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irake-my.sharepoint.com/personal/gkago_ira_go_ke/Documents/Documents/2025 Quarterly Insurance Industry Release/Q4 2025 Industry Release/"/>
    </mc:Choice>
  </mc:AlternateContent>
  <xr:revisionPtr revIDLastSave="0" documentId="8_{D9A97121-1174-4E39-A1C2-5FC0A6C4EA89}" xr6:coauthVersionLast="47" xr6:coauthVersionMax="47" xr10:uidLastSave="{00000000-0000-0000-0000-000000000000}"/>
  <workbookProtection workbookAlgorithmName="SHA-512" workbookHashValue="G2ZVO/tTpCyBdJLCUVYV3/8YnmSxmmYt2XOAwcsP6EQuVDRKJwVpep+vbqVDapYJUPfWNg7DaVu/WnnPWip0ZQ==" workbookSaltValue="wy3Vk3WZj+uK1RwmMEUGNQ==" workbookSpinCount="100000" lockStructure="1"/>
  <bookViews>
    <workbookView xWindow="-110" yWindow="-110" windowWidth="19420" windowHeight="10300" tabRatio="817" firstSheet="31" activeTab="42" xr2:uid="{1FB25438-BB9A-4A88-AC24-9B155581336D}"/>
  </bookViews>
  <sheets>
    <sheet name="Details" sheetId="1" r:id="rId1"/>
    <sheet name="Reliance &amp; Limitations" sheetId="2" r:id="rId2"/>
    <sheet name="Table of Contents" sheetId="3" r:id="rId3"/>
    <sheet name="APPENDIX 1" sheetId="4" r:id="rId4"/>
    <sheet name="APPENDIX 2" sheetId="5" r:id="rId5"/>
    <sheet name="APPENDIX 3" sheetId="6" r:id="rId6"/>
    <sheet name="APPENDIX 4 i" sheetId="7" r:id="rId7"/>
    <sheet name="APPENDIX 4 ii" sheetId="8" r:id="rId8"/>
    <sheet name="APPENDIX 4 iii" sheetId="9" r:id="rId9"/>
    <sheet name="APPENDIX 5 i" sheetId="10" r:id="rId10"/>
    <sheet name="APPENDIX 5 ii" sheetId="11" r:id="rId11"/>
    <sheet name="APPENDIX 5 iii" sheetId="12" r:id="rId12"/>
    <sheet name="APPENDIX  5 iv" sheetId="13" r:id="rId13"/>
    <sheet name="APPENDIX 6" sheetId="14" r:id="rId14"/>
    <sheet name="APPENDIX 7" sheetId="15" r:id="rId15"/>
    <sheet name="APPENDIX 8" sheetId="16" r:id="rId16"/>
    <sheet name="APPENDIX 9" sheetId="17" r:id="rId17"/>
    <sheet name="APPENDIX 10" sheetId="18" r:id="rId18"/>
    <sheet name="APPENDIX 11" sheetId="19" r:id="rId19"/>
    <sheet name="APPENDIX 12" sheetId="20" r:id="rId20"/>
    <sheet name="APPENDIX 13" sheetId="21" r:id="rId21"/>
    <sheet name="LINKED" sheetId="22" state="hidden" r:id="rId22"/>
    <sheet name="NON-LINKED" sheetId="23" state="hidden" r:id="rId23"/>
    <sheet name="APPENDIX 14" sheetId="24" r:id="rId24"/>
    <sheet name="PENSIONS" sheetId="25" state="hidden" r:id="rId25"/>
    <sheet name="APPENDIX 15" sheetId="26" r:id="rId26"/>
    <sheet name="APPENDIX 16" sheetId="27" r:id="rId27"/>
    <sheet name="APPENDIX 17" sheetId="28" r:id="rId28"/>
    <sheet name="APPENDIX 18" sheetId="29" r:id="rId29"/>
    <sheet name="GDP" sheetId="30" state="hidden" r:id="rId30"/>
    <sheet name="INWARD" sheetId="31" state="hidden" r:id="rId31"/>
    <sheet name="APPENDIX 19" sheetId="32" r:id="rId32"/>
    <sheet name="APPENDIX 20" sheetId="33" r:id="rId33"/>
    <sheet name="APPENDIX 21" sheetId="34" r:id="rId34"/>
    <sheet name="APPENDIX 22" sheetId="35" r:id="rId35"/>
    <sheet name="NPI" sheetId="36" state="hidden" r:id="rId36"/>
    <sheet name="NEPI" sheetId="37" state="hidden" r:id="rId37"/>
    <sheet name="COM" sheetId="38" state="hidden" r:id="rId38"/>
    <sheet name="MGT" sheetId="39" state="hidden" r:id="rId39"/>
    <sheet name="UWProfit" sheetId="40" state="hidden" r:id="rId40"/>
    <sheet name="APPENDIX 23" sheetId="41" r:id="rId41"/>
    <sheet name="APPENDIX 24" sheetId="55" r:id="rId42"/>
    <sheet name="APPENDIX 25" sheetId="42" r:id="rId43"/>
    <sheet name="APPENDIX 22_M" sheetId="43" state="hidden" r:id="rId44"/>
    <sheet name="GDP (Micro)" sheetId="44" state="hidden" r:id="rId45"/>
    <sheet name="INWARD (Micro)" sheetId="45" state="hidden" r:id="rId46"/>
    <sheet name="APPENDIX 23_M" sheetId="46" state="hidden" r:id="rId47"/>
    <sheet name="APPENDIX 24_M" sheetId="47" state="hidden" r:id="rId48"/>
    <sheet name="APPENDIX 25_M" sheetId="48" state="hidden" r:id="rId49"/>
    <sheet name="APPENDIX 26_M" sheetId="49" state="hidden" r:id="rId50"/>
    <sheet name="NPI (Micro)" sheetId="50" state="hidden" r:id="rId51"/>
    <sheet name="NEPI (Micro)" sheetId="51" state="hidden" r:id="rId52"/>
    <sheet name="COM (Micro)" sheetId="52" state="hidden" r:id="rId53"/>
    <sheet name="MGT (Micro)" sheetId="53" state="hidden" r:id="rId54"/>
    <sheet name="APPENDIX 27_M" sheetId="54" state="hidden" r:id="rId55"/>
    <sheet name="Sheet1" sheetId="56" state="hidden" r:id="rId56"/>
  </sheets>
  <externalReferences>
    <externalReference r:id="rId57"/>
  </externalReferences>
  <definedNames>
    <definedName name="_xlnm._FilterDatabase" localSheetId="55" hidden="1">Sheet1!$A$1:$A$37</definedName>
    <definedName name="Appendix_1_Range">'APPENDIX 1'!$B$3:$R$52</definedName>
    <definedName name="Appendix_10_Range">'APPENDIX 10'!$B$3:$Q$36</definedName>
    <definedName name="Appendix_11_Range">'APPENDIX 11'!$B$3:$Q$36</definedName>
    <definedName name="Appendix_12_Range">'APPENDIX 12'!$B$3:$Q$36</definedName>
    <definedName name="Appendix_13_Range">'APPENDIX 13'!$B$3:$Q$36</definedName>
    <definedName name="Appendix_14_Range">'APPENDIX 14'!$B$3:$Q$36</definedName>
    <definedName name="Appendix_15_Range">'APPENDIX 15'!$B$3:$Q$36</definedName>
    <definedName name="Appendix_16_Range">'APPENDIX 16'!$B$3:$Q$36</definedName>
    <definedName name="Appendix_17_Range">'APPENDIX 17'!$B$3:$Q$35</definedName>
    <definedName name="Appendix_18_Range">'APPENDIX 18'!$B$3:$R$51</definedName>
    <definedName name="Appendix_19_Range">'APPENDIX 19'!$B$3:$Q$51</definedName>
    <definedName name="Appendix_2_Range">'APPENDIX 2'!$B$3:$R$37</definedName>
    <definedName name="Appendix_20_Range">'APPENDIX 20'!$B$3:$Q$51</definedName>
    <definedName name="Appendix_21_Range">'APPENDIX 21'!$B$3:$Q$51</definedName>
    <definedName name="Appendix_22_Range">'APPENDIX 22'!$B$3:$Q$51</definedName>
    <definedName name="Appendix_23_Range">'APPENDIX 23'!$B$3:$Q$51</definedName>
    <definedName name="Appendix_24_Range" localSheetId="42">'APPENDIX 25'!$B$3:$L$35</definedName>
    <definedName name="Appendix_25_Range">'APPENDIX 24'!$B$3:$Q$13</definedName>
    <definedName name="Appendix_3_Range">'APPENDIX 3'!$B$3:$R$13</definedName>
    <definedName name="Appendix_4i_Range">'APPENDIX 4 i'!$B$4:$K$44</definedName>
    <definedName name="Appendix_4ii_Range">'APPENDIX 4 ii'!$B$3:$K$44</definedName>
    <definedName name="Appendix_4iii_Range">'APPENDIX 4 iii'!$B$3:$L$44</definedName>
    <definedName name="Appendix_5i_Range">'APPENDIX 5 i'!$B$4:$L$42</definedName>
    <definedName name="Appendix_5ii_Range">'APPENDIX 5 ii'!$B$3:$L$42</definedName>
    <definedName name="Appendix_5iii_Range">'APPENDIX 5 iii'!$B$3:$M$42</definedName>
    <definedName name="Appendix_5iv_Range">'APPENDIX  5 iv'!$B$3:$N$42</definedName>
    <definedName name="Appendix_6i_Range">'APPENDIX 6'!$B$4:$I$42</definedName>
    <definedName name="Appendix_7_Range">'APPENDIX 7'!$B$3:$L$36</definedName>
    <definedName name="Appendix_8_Range">'APPENDIX 8'!$B$3:$K$36</definedName>
    <definedName name="Appendix_9_Range">'APPENDIX 9'!$B$3:$Q$36</definedName>
    <definedName name="Details_Range">Details!$C$2:$J$21</definedName>
    <definedName name="Reliances_and_Limitations" localSheetId="1">'Reliance &amp; Limitations'!$A$2:$G$8</definedName>
    <definedName name="Table_of_Contents" localSheetId="2">'Table of Contents'!$A$1:$D$37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5" l="1"/>
  <c r="C36" i="3"/>
  <c r="Q12" i="55"/>
  <c r="P12" i="55"/>
  <c r="O12" i="55"/>
  <c r="N12" i="55"/>
  <c r="M12" i="55"/>
  <c r="L12" i="55"/>
  <c r="K12" i="55"/>
  <c r="J12" i="55"/>
  <c r="I12" i="55"/>
  <c r="H12" i="55"/>
  <c r="G12" i="55"/>
  <c r="F12" i="55"/>
  <c r="E12" i="55"/>
  <c r="D12" i="55"/>
  <c r="C12" i="55"/>
  <c r="F12" i="54"/>
  <c r="E12" i="54"/>
  <c r="D12" i="54"/>
  <c r="C12" i="54"/>
  <c r="B3" i="54"/>
  <c r="F12" i="53"/>
  <c r="E12" i="53"/>
  <c r="D12" i="53"/>
  <c r="C12" i="53"/>
  <c r="E4" i="53"/>
  <c r="D4" i="53"/>
  <c r="C4" i="53"/>
  <c r="B3" i="53"/>
  <c r="F12" i="52"/>
  <c r="E12" i="52"/>
  <c r="D12" i="52"/>
  <c r="C12" i="52"/>
  <c r="B3" i="52"/>
  <c r="F12" i="51"/>
  <c r="E12" i="51"/>
  <c r="D12" i="51"/>
  <c r="C12" i="51"/>
  <c r="B3" i="51"/>
  <c r="F12" i="50"/>
  <c r="E12" i="50"/>
  <c r="D12" i="50"/>
  <c r="C12" i="50"/>
  <c r="B3" i="50"/>
  <c r="F11" i="49"/>
  <c r="E11" i="49"/>
  <c r="D11" i="49"/>
  <c r="C11" i="49"/>
  <c r="B11" i="49"/>
  <c r="F10" i="49"/>
  <c r="L32" i="42" s="1"/>
  <c r="E10" i="49"/>
  <c r="D10" i="49"/>
  <c r="C10" i="49"/>
  <c r="I32" i="42" s="1"/>
  <c r="B10" i="49"/>
  <c r="F9" i="49"/>
  <c r="L31" i="42" s="1"/>
  <c r="E9" i="49"/>
  <c r="K31" i="42" s="1"/>
  <c r="D9" i="49"/>
  <c r="J31" i="42" s="1"/>
  <c r="C9" i="49"/>
  <c r="I31" i="42" s="1"/>
  <c r="B9" i="49"/>
  <c r="F8" i="49"/>
  <c r="L30" i="42" s="1"/>
  <c r="E8" i="49"/>
  <c r="K30" i="42" s="1"/>
  <c r="D8" i="49"/>
  <c r="J30" i="42" s="1"/>
  <c r="C8" i="49"/>
  <c r="B8" i="49"/>
  <c r="F7" i="49"/>
  <c r="E7" i="49"/>
  <c r="D7" i="49"/>
  <c r="C7" i="49"/>
  <c r="B7" i="49"/>
  <c r="F6" i="49"/>
  <c r="E6" i="49"/>
  <c r="K28" i="42" s="1"/>
  <c r="D6" i="49"/>
  <c r="J28" i="42" s="1"/>
  <c r="C6" i="49"/>
  <c r="B6" i="49"/>
  <c r="B3" i="49"/>
  <c r="F12" i="48"/>
  <c r="E12" i="48"/>
  <c r="D12" i="48"/>
  <c r="C12" i="48"/>
  <c r="B3" i="48"/>
  <c r="F12" i="47"/>
  <c r="E12" i="47"/>
  <c r="D12" i="47"/>
  <c r="C12" i="47"/>
  <c r="B3" i="47"/>
  <c r="B11" i="46"/>
  <c r="B9" i="46"/>
  <c r="B6" i="46"/>
  <c r="B3" i="46"/>
  <c r="F12" i="45"/>
  <c r="E12" i="45"/>
  <c r="D12" i="45"/>
  <c r="C12" i="45"/>
  <c r="B3" i="45"/>
  <c r="F12" i="44"/>
  <c r="E12" i="44"/>
  <c r="D12" i="44"/>
  <c r="C12" i="44"/>
  <c r="B3" i="44"/>
  <c r="E11" i="43"/>
  <c r="D11" i="43"/>
  <c r="C11" i="43"/>
  <c r="F11" i="43" s="1"/>
  <c r="B11" i="43"/>
  <c r="E10" i="43"/>
  <c r="D10" i="43"/>
  <c r="C10" i="43"/>
  <c r="B10" i="43"/>
  <c r="B10" i="46" s="1"/>
  <c r="E9" i="43"/>
  <c r="D9" i="43"/>
  <c r="C9" i="43"/>
  <c r="B9" i="43"/>
  <c r="E8" i="43"/>
  <c r="D8" i="43"/>
  <c r="C8" i="43"/>
  <c r="B8" i="43"/>
  <c r="B8" i="46" s="1"/>
  <c r="E7" i="43"/>
  <c r="D7" i="43"/>
  <c r="C7" i="43"/>
  <c r="B7" i="43"/>
  <c r="B7" i="46" s="1"/>
  <c r="E6" i="43"/>
  <c r="D6" i="43"/>
  <c r="C6" i="43"/>
  <c r="B6" i="43"/>
  <c r="E4" i="43"/>
  <c r="B3" i="43"/>
  <c r="L33" i="42"/>
  <c r="K33" i="42"/>
  <c r="J33" i="42"/>
  <c r="I33" i="42"/>
  <c r="E33" i="42"/>
  <c r="D33" i="42"/>
  <c r="C33" i="42"/>
  <c r="K32" i="42"/>
  <c r="J32" i="42"/>
  <c r="F32" i="42"/>
  <c r="E32" i="42"/>
  <c r="D32" i="42"/>
  <c r="C32" i="42"/>
  <c r="E31" i="42"/>
  <c r="D31" i="42"/>
  <c r="C31" i="42"/>
  <c r="I30" i="42"/>
  <c r="E30" i="42"/>
  <c r="D30" i="42"/>
  <c r="C30" i="42"/>
  <c r="F30" i="42" s="1"/>
  <c r="L29" i="42"/>
  <c r="K29" i="42"/>
  <c r="J29" i="42"/>
  <c r="I29" i="42"/>
  <c r="E29" i="42"/>
  <c r="D29" i="42"/>
  <c r="C29" i="42"/>
  <c r="F29" i="42" s="1"/>
  <c r="L28" i="42"/>
  <c r="I28" i="42"/>
  <c r="E28" i="42"/>
  <c r="D28" i="42"/>
  <c r="D34" i="42" s="1"/>
  <c r="C28" i="42"/>
  <c r="F28" i="42" s="1"/>
  <c r="K22" i="42"/>
  <c r="J22" i="42"/>
  <c r="I22" i="42"/>
  <c r="L22" i="42" s="1"/>
  <c r="K21" i="42"/>
  <c r="J21" i="42"/>
  <c r="I21" i="42"/>
  <c r="L21" i="42" s="1"/>
  <c r="L20" i="42"/>
  <c r="K20" i="42"/>
  <c r="J20" i="42"/>
  <c r="I20" i="42"/>
  <c r="K19" i="42"/>
  <c r="J19" i="42"/>
  <c r="I19" i="42"/>
  <c r="L19" i="42" s="1"/>
  <c r="L18" i="42"/>
  <c r="K18" i="42"/>
  <c r="J18" i="42"/>
  <c r="I18" i="42"/>
  <c r="L17" i="42"/>
  <c r="K17" i="42"/>
  <c r="J17" i="42"/>
  <c r="I17" i="42"/>
  <c r="K12" i="42"/>
  <c r="J12" i="42"/>
  <c r="J13" i="42" s="1"/>
  <c r="I12" i="42"/>
  <c r="L12" i="42" s="1"/>
  <c r="E12" i="42"/>
  <c r="C12" i="42"/>
  <c r="L11" i="42"/>
  <c r="K11" i="42"/>
  <c r="J11" i="42"/>
  <c r="I11" i="42"/>
  <c r="K10" i="42"/>
  <c r="J10" i="42"/>
  <c r="I10" i="42"/>
  <c r="L10" i="42" s="1"/>
  <c r="D10" i="42"/>
  <c r="C10" i="42"/>
  <c r="K9" i="42"/>
  <c r="J9" i="42"/>
  <c r="I9" i="42"/>
  <c r="L9" i="42" s="1"/>
  <c r="E9" i="42"/>
  <c r="D9" i="42"/>
  <c r="C9" i="42"/>
  <c r="F9" i="42" s="1"/>
  <c r="L8" i="42"/>
  <c r="K8" i="42"/>
  <c r="J8" i="42"/>
  <c r="I8" i="42"/>
  <c r="K7" i="42"/>
  <c r="J7" i="42"/>
  <c r="I7" i="42"/>
  <c r="Q50" i="41"/>
  <c r="P50" i="41"/>
  <c r="O50" i="41"/>
  <c r="N50" i="41"/>
  <c r="M50" i="41"/>
  <c r="L50" i="41"/>
  <c r="K50" i="41"/>
  <c r="J50" i="41"/>
  <c r="I50" i="41"/>
  <c r="H50" i="41"/>
  <c r="G50" i="41"/>
  <c r="F50" i="41"/>
  <c r="E50" i="41"/>
  <c r="D50" i="41"/>
  <c r="C50" i="41"/>
  <c r="Q43" i="41"/>
  <c r="P43" i="41"/>
  <c r="O43" i="41"/>
  <c r="N43" i="41"/>
  <c r="M43" i="41"/>
  <c r="L43" i="41"/>
  <c r="K43" i="41"/>
  <c r="J43" i="41"/>
  <c r="I43" i="41"/>
  <c r="H43" i="41"/>
  <c r="G43" i="41"/>
  <c r="F43" i="41"/>
  <c r="E43" i="41"/>
  <c r="D43" i="41"/>
  <c r="C43" i="41"/>
  <c r="Q50" i="40"/>
  <c r="P50" i="40"/>
  <c r="O50" i="40"/>
  <c r="N50" i="40"/>
  <c r="M50" i="40"/>
  <c r="L50" i="40"/>
  <c r="K50" i="40"/>
  <c r="J50" i="40"/>
  <c r="I50" i="40"/>
  <c r="H50" i="40"/>
  <c r="G50" i="40"/>
  <c r="F50" i="40"/>
  <c r="E50" i="40"/>
  <c r="D50" i="40"/>
  <c r="C50" i="40"/>
  <c r="Q43" i="40"/>
  <c r="P43" i="40"/>
  <c r="O43" i="40"/>
  <c r="N43" i="40"/>
  <c r="M43" i="40"/>
  <c r="L43" i="40"/>
  <c r="K43" i="40"/>
  <c r="J43" i="40"/>
  <c r="I43" i="40"/>
  <c r="H43" i="40"/>
  <c r="G43" i="40"/>
  <c r="F43" i="40"/>
  <c r="E43" i="40"/>
  <c r="D43" i="40"/>
  <c r="C43" i="40"/>
  <c r="Q50" i="39"/>
  <c r="P50" i="39"/>
  <c r="O50" i="39"/>
  <c r="N50" i="39"/>
  <c r="M50" i="39"/>
  <c r="L50" i="39"/>
  <c r="K50" i="39"/>
  <c r="J50" i="39"/>
  <c r="I50" i="39"/>
  <c r="H50" i="39"/>
  <c r="G50" i="39"/>
  <c r="F50" i="39"/>
  <c r="E50" i="39"/>
  <c r="D50" i="39"/>
  <c r="C50" i="39"/>
  <c r="Q43" i="39"/>
  <c r="P43" i="39"/>
  <c r="O43" i="39"/>
  <c r="N43" i="39"/>
  <c r="M43" i="39"/>
  <c r="L43" i="39"/>
  <c r="K43" i="39"/>
  <c r="J43" i="39"/>
  <c r="I43" i="39"/>
  <c r="H43" i="39"/>
  <c r="G43" i="39"/>
  <c r="F43" i="39"/>
  <c r="E43" i="39"/>
  <c r="D43" i="39"/>
  <c r="C43" i="39"/>
  <c r="B3" i="39"/>
  <c r="Q50" i="38"/>
  <c r="P50" i="38"/>
  <c r="O50" i="38"/>
  <c r="N50" i="38"/>
  <c r="M50" i="38"/>
  <c r="L50" i="38"/>
  <c r="K50" i="38"/>
  <c r="J50" i="38"/>
  <c r="I50" i="38"/>
  <c r="H50" i="38"/>
  <c r="G50" i="38"/>
  <c r="F50" i="38"/>
  <c r="E50" i="38"/>
  <c r="D50" i="38"/>
  <c r="C50" i="38"/>
  <c r="Q43" i="38"/>
  <c r="P43" i="38"/>
  <c r="O43" i="38"/>
  <c r="N43" i="38"/>
  <c r="M43" i="38"/>
  <c r="L43" i="38"/>
  <c r="K43" i="38"/>
  <c r="J43" i="38"/>
  <c r="I43" i="38"/>
  <c r="H43" i="38"/>
  <c r="G43" i="38"/>
  <c r="F43" i="38"/>
  <c r="E43" i="38"/>
  <c r="D43" i="38"/>
  <c r="C43" i="38"/>
  <c r="B3" i="38"/>
  <c r="Q50" i="37"/>
  <c r="Q50" i="35" s="1"/>
  <c r="P50" i="37"/>
  <c r="O50" i="37"/>
  <c r="N50" i="37"/>
  <c r="M50" i="37"/>
  <c r="L50" i="37"/>
  <c r="L50" i="35" s="1"/>
  <c r="K50" i="37"/>
  <c r="J50" i="37"/>
  <c r="I50" i="37"/>
  <c r="H50" i="37"/>
  <c r="G50" i="37"/>
  <c r="F50" i="37"/>
  <c r="E50" i="37"/>
  <c r="D50" i="37"/>
  <c r="C50" i="37"/>
  <c r="Q43" i="37"/>
  <c r="P43" i="37"/>
  <c r="O43" i="37"/>
  <c r="N43" i="37"/>
  <c r="M43" i="37"/>
  <c r="M43" i="35" s="1"/>
  <c r="L43" i="37"/>
  <c r="K43" i="37"/>
  <c r="J43" i="37"/>
  <c r="I43" i="37"/>
  <c r="H43" i="37"/>
  <c r="H43" i="35" s="1"/>
  <c r="G43" i="37"/>
  <c r="F43" i="37"/>
  <c r="E43" i="37"/>
  <c r="D43" i="37"/>
  <c r="C43" i="37"/>
  <c r="B3" i="37"/>
  <c r="Q50" i="36"/>
  <c r="P50" i="36"/>
  <c r="O50" i="36"/>
  <c r="N50" i="36"/>
  <c r="M50" i="36"/>
  <c r="L50" i="36"/>
  <c r="K50" i="36"/>
  <c r="J50" i="36"/>
  <c r="I50" i="36"/>
  <c r="H50" i="36"/>
  <c r="G50" i="36"/>
  <c r="F50" i="36"/>
  <c r="E50" i="36"/>
  <c r="D50" i="36"/>
  <c r="C50" i="36"/>
  <c r="Q43" i="36"/>
  <c r="P43" i="36"/>
  <c r="O43" i="36"/>
  <c r="N43" i="36"/>
  <c r="M43" i="36"/>
  <c r="L43" i="36"/>
  <c r="K43" i="36"/>
  <c r="J43" i="36"/>
  <c r="I43" i="36"/>
  <c r="H43" i="36"/>
  <c r="G43" i="36"/>
  <c r="F43" i="36"/>
  <c r="E43" i="36"/>
  <c r="D43" i="36"/>
  <c r="C43" i="36"/>
  <c r="B3" i="36"/>
  <c r="M50" i="35"/>
  <c r="K50" i="35"/>
  <c r="G50" i="35"/>
  <c r="C50" i="35"/>
  <c r="Q49" i="35"/>
  <c r="P49" i="35"/>
  <c r="O49" i="35"/>
  <c r="N49" i="35"/>
  <c r="M49" i="35"/>
  <c r="L49" i="35"/>
  <c r="K49" i="35"/>
  <c r="J49" i="35"/>
  <c r="I49" i="35"/>
  <c r="H49" i="35"/>
  <c r="G49" i="35"/>
  <c r="F49" i="35"/>
  <c r="E49" i="35"/>
  <c r="D49" i="35"/>
  <c r="C49" i="35"/>
  <c r="B49" i="35"/>
  <c r="Q48" i="35"/>
  <c r="P48" i="35"/>
  <c r="O48" i="35"/>
  <c r="N48" i="35"/>
  <c r="M48" i="35"/>
  <c r="L48" i="35"/>
  <c r="K48" i="35"/>
  <c r="J48" i="35"/>
  <c r="I48" i="35"/>
  <c r="H48" i="35"/>
  <c r="G48" i="35"/>
  <c r="F48" i="35"/>
  <c r="E48" i="35"/>
  <c r="D48" i="35"/>
  <c r="C48" i="35"/>
  <c r="B48" i="35"/>
  <c r="Q47" i="35"/>
  <c r="P47" i="35"/>
  <c r="O47" i="35"/>
  <c r="N47" i="35"/>
  <c r="M47" i="35"/>
  <c r="L47" i="35"/>
  <c r="K47" i="35"/>
  <c r="J47" i="35"/>
  <c r="I47" i="35"/>
  <c r="H47" i="35"/>
  <c r="G47" i="35"/>
  <c r="F47" i="35"/>
  <c r="E47" i="35"/>
  <c r="D47" i="35"/>
  <c r="C47" i="35"/>
  <c r="B47" i="35"/>
  <c r="Q46" i="35"/>
  <c r="P46" i="35"/>
  <c r="O46" i="35"/>
  <c r="N46" i="35"/>
  <c r="M46" i="35"/>
  <c r="L46" i="35"/>
  <c r="K46" i="35"/>
  <c r="J46" i="35"/>
  <c r="I46" i="35"/>
  <c r="H46" i="35"/>
  <c r="G46" i="35"/>
  <c r="F46" i="35"/>
  <c r="E46" i="35"/>
  <c r="D46" i="35"/>
  <c r="C46" i="35"/>
  <c r="B46" i="35"/>
  <c r="Q45" i="35"/>
  <c r="P45" i="35"/>
  <c r="O45" i="35"/>
  <c r="N45" i="35"/>
  <c r="M45" i="35"/>
  <c r="L45" i="35"/>
  <c r="K45" i="35"/>
  <c r="J45" i="35"/>
  <c r="I45" i="35"/>
  <c r="H45" i="35"/>
  <c r="G45" i="35"/>
  <c r="F45" i="35"/>
  <c r="E45" i="35"/>
  <c r="D45" i="35"/>
  <c r="C45" i="35"/>
  <c r="B45" i="35"/>
  <c r="B44" i="35"/>
  <c r="Q43" i="35"/>
  <c r="P43" i="35"/>
  <c r="O43" i="35"/>
  <c r="N43" i="35"/>
  <c r="L43" i="35"/>
  <c r="K43" i="35"/>
  <c r="C43" i="35"/>
  <c r="Q42" i="35"/>
  <c r="P42" i="35"/>
  <c r="O42" i="35"/>
  <c r="N42" i="35"/>
  <c r="M42" i="35"/>
  <c r="L42" i="35"/>
  <c r="K42" i="35"/>
  <c r="J42" i="35"/>
  <c r="I42" i="35"/>
  <c r="H42" i="35"/>
  <c r="G42" i="35"/>
  <c r="F42" i="35"/>
  <c r="E42" i="35"/>
  <c r="D42" i="35"/>
  <c r="C42" i="35"/>
  <c r="B42" i="35"/>
  <c r="Q41" i="35"/>
  <c r="P41" i="35"/>
  <c r="O41" i="35"/>
  <c r="N41" i="35"/>
  <c r="M41" i="35"/>
  <c r="L41" i="35"/>
  <c r="K41" i="35"/>
  <c r="J41" i="35"/>
  <c r="I41" i="35"/>
  <c r="H41" i="35"/>
  <c r="G41" i="35"/>
  <c r="F41" i="35"/>
  <c r="E41" i="35"/>
  <c r="D41" i="35"/>
  <c r="C41" i="35"/>
  <c r="B41" i="35"/>
  <c r="Q40" i="35"/>
  <c r="P40" i="35"/>
  <c r="O40" i="35"/>
  <c r="N40" i="35"/>
  <c r="M40" i="35"/>
  <c r="L40" i="35"/>
  <c r="K40" i="35"/>
  <c r="J40" i="35"/>
  <c r="I40" i="35"/>
  <c r="H40" i="35"/>
  <c r="G40" i="35"/>
  <c r="F40" i="35"/>
  <c r="E40" i="35"/>
  <c r="D40" i="35"/>
  <c r="C40" i="35"/>
  <c r="B40" i="35"/>
  <c r="Q39" i="35"/>
  <c r="P39" i="35"/>
  <c r="O39" i="35"/>
  <c r="N39" i="35"/>
  <c r="M39" i="35"/>
  <c r="L39" i="35"/>
  <c r="K39" i="35"/>
  <c r="J39" i="35"/>
  <c r="I39" i="35"/>
  <c r="H39" i="35"/>
  <c r="G39" i="35"/>
  <c r="F39" i="35"/>
  <c r="E39" i="35"/>
  <c r="D39" i="35"/>
  <c r="C39" i="35"/>
  <c r="B39" i="35"/>
  <c r="Q38" i="35"/>
  <c r="P38" i="35"/>
  <c r="O38" i="35"/>
  <c r="N38" i="35"/>
  <c r="M38" i="35"/>
  <c r="L38" i="35"/>
  <c r="K38" i="35"/>
  <c r="J38" i="35"/>
  <c r="I38" i="35"/>
  <c r="H38" i="35"/>
  <c r="G38" i="35"/>
  <c r="F38" i="35"/>
  <c r="E38" i="35"/>
  <c r="D38" i="35"/>
  <c r="C38" i="35"/>
  <c r="B38" i="35"/>
  <c r="Q37" i="35"/>
  <c r="P37" i="35"/>
  <c r="O37" i="35"/>
  <c r="N37" i="35"/>
  <c r="M37" i="35"/>
  <c r="L37" i="35"/>
  <c r="K37" i="35"/>
  <c r="J37" i="35"/>
  <c r="I37" i="35"/>
  <c r="H37" i="35"/>
  <c r="G37" i="35"/>
  <c r="F37" i="35"/>
  <c r="E37" i="35"/>
  <c r="D37" i="35"/>
  <c r="C37" i="35"/>
  <c r="B37" i="35"/>
  <c r="Q36" i="35"/>
  <c r="P36" i="35"/>
  <c r="O36" i="35"/>
  <c r="N36" i="35"/>
  <c r="M36" i="35"/>
  <c r="L36" i="35"/>
  <c r="K36" i="35"/>
  <c r="J36" i="35"/>
  <c r="I36" i="35"/>
  <c r="H36" i="35"/>
  <c r="G36" i="35"/>
  <c r="F36" i="35"/>
  <c r="E36" i="35"/>
  <c r="D36" i="35"/>
  <c r="C36" i="35"/>
  <c r="B36" i="35"/>
  <c r="Q35" i="35"/>
  <c r="P35" i="35"/>
  <c r="O35" i="35"/>
  <c r="N35" i="35"/>
  <c r="M35" i="35"/>
  <c r="L35" i="35"/>
  <c r="K35" i="35"/>
  <c r="J35" i="35"/>
  <c r="I35" i="35"/>
  <c r="H35" i="35"/>
  <c r="G35" i="35"/>
  <c r="F35" i="35"/>
  <c r="E35" i="35"/>
  <c r="D35" i="35"/>
  <c r="C35" i="35"/>
  <c r="B35" i="35"/>
  <c r="Q34" i="35"/>
  <c r="P34" i="35"/>
  <c r="O34" i="35"/>
  <c r="N34" i="35"/>
  <c r="M34" i="35"/>
  <c r="L34" i="35"/>
  <c r="K34" i="35"/>
  <c r="J34" i="35"/>
  <c r="I34" i="35"/>
  <c r="H34" i="35"/>
  <c r="G34" i="35"/>
  <c r="F34" i="35"/>
  <c r="E34" i="35"/>
  <c r="D34" i="35"/>
  <c r="C34" i="35"/>
  <c r="B34" i="35"/>
  <c r="Q33" i="35"/>
  <c r="P33" i="35"/>
  <c r="O33" i="35"/>
  <c r="N33" i="35"/>
  <c r="M33" i="35"/>
  <c r="L33" i="35"/>
  <c r="K33" i="35"/>
  <c r="J33" i="35"/>
  <c r="I33" i="35"/>
  <c r="H33" i="35"/>
  <c r="G33" i="35"/>
  <c r="F33" i="35"/>
  <c r="E33" i="35"/>
  <c r="D33" i="35"/>
  <c r="C33" i="35"/>
  <c r="B33" i="35"/>
  <c r="Q32" i="35"/>
  <c r="P32" i="35"/>
  <c r="O32" i="35"/>
  <c r="N32" i="35"/>
  <c r="M32" i="35"/>
  <c r="L32" i="35"/>
  <c r="K32" i="35"/>
  <c r="J32" i="35"/>
  <c r="I32" i="35"/>
  <c r="H32" i="35"/>
  <c r="G32" i="35"/>
  <c r="F32" i="35"/>
  <c r="E32" i="35"/>
  <c r="D32" i="35"/>
  <c r="C32" i="35"/>
  <c r="B32" i="35"/>
  <c r="Q31" i="35"/>
  <c r="P31" i="35"/>
  <c r="O31" i="35"/>
  <c r="N31" i="35"/>
  <c r="M31" i="35"/>
  <c r="L31" i="35"/>
  <c r="K31" i="35"/>
  <c r="J31" i="35"/>
  <c r="I31" i="35"/>
  <c r="H31" i="35"/>
  <c r="G31" i="35"/>
  <c r="F31" i="35"/>
  <c r="E31" i="35"/>
  <c r="D31" i="35"/>
  <c r="C31" i="35"/>
  <c r="B31" i="35"/>
  <c r="Q30" i="35"/>
  <c r="P30" i="35"/>
  <c r="O30" i="35"/>
  <c r="N30" i="35"/>
  <c r="M30" i="35"/>
  <c r="L30" i="35"/>
  <c r="K30" i="35"/>
  <c r="J30" i="35"/>
  <c r="I30" i="35"/>
  <c r="H30" i="35"/>
  <c r="G30" i="35"/>
  <c r="F30" i="35"/>
  <c r="E30" i="35"/>
  <c r="D30" i="35"/>
  <c r="C30" i="35"/>
  <c r="B30" i="35"/>
  <c r="Q29" i="35"/>
  <c r="P29" i="35"/>
  <c r="O29" i="35"/>
  <c r="N29" i="35"/>
  <c r="M29" i="35"/>
  <c r="L29" i="35"/>
  <c r="K29" i="35"/>
  <c r="J29" i="35"/>
  <c r="I29" i="35"/>
  <c r="H29" i="35"/>
  <c r="G29" i="35"/>
  <c r="F29" i="35"/>
  <c r="E29" i="35"/>
  <c r="D29" i="35"/>
  <c r="C29" i="35"/>
  <c r="B29" i="35"/>
  <c r="Q28" i="35"/>
  <c r="P28" i="35"/>
  <c r="O28" i="35"/>
  <c r="N28" i="35"/>
  <c r="M28" i="35"/>
  <c r="L28" i="35"/>
  <c r="K28" i="35"/>
  <c r="J28" i="35"/>
  <c r="I28" i="35"/>
  <c r="H28" i="35"/>
  <c r="G28" i="35"/>
  <c r="F28" i="35"/>
  <c r="E28" i="35"/>
  <c r="D28" i="35"/>
  <c r="C28" i="35"/>
  <c r="B28" i="35"/>
  <c r="Q27" i="35"/>
  <c r="P27" i="35"/>
  <c r="O27" i="35"/>
  <c r="N27" i="35"/>
  <c r="M27" i="35"/>
  <c r="L27" i="35"/>
  <c r="K27" i="35"/>
  <c r="J27" i="35"/>
  <c r="I27" i="35"/>
  <c r="H27" i="35"/>
  <c r="G27" i="35"/>
  <c r="F27" i="35"/>
  <c r="E27" i="35"/>
  <c r="D27" i="35"/>
  <c r="C27" i="35"/>
  <c r="B27" i="35"/>
  <c r="Q26" i="35"/>
  <c r="P26" i="35"/>
  <c r="O26" i="35"/>
  <c r="N26" i="35"/>
  <c r="M26" i="35"/>
  <c r="L26" i="35"/>
  <c r="K26" i="35"/>
  <c r="J26" i="35"/>
  <c r="I26" i="35"/>
  <c r="H26" i="35"/>
  <c r="G26" i="35"/>
  <c r="F26" i="35"/>
  <c r="E26" i="35"/>
  <c r="D26" i="35"/>
  <c r="C26" i="35"/>
  <c r="B26" i="35"/>
  <c r="Q25" i="35"/>
  <c r="P25" i="35"/>
  <c r="O25" i="35"/>
  <c r="N25" i="35"/>
  <c r="M25" i="35"/>
  <c r="L25" i="35"/>
  <c r="K25" i="35"/>
  <c r="J25" i="35"/>
  <c r="I25" i="35"/>
  <c r="H25" i="35"/>
  <c r="G25" i="35"/>
  <c r="F25" i="35"/>
  <c r="E25" i="35"/>
  <c r="D25" i="35"/>
  <c r="C25" i="35"/>
  <c r="B25" i="35"/>
  <c r="Q24" i="35"/>
  <c r="P24" i="35"/>
  <c r="O24" i="35"/>
  <c r="N24" i="35"/>
  <c r="M24" i="35"/>
  <c r="L24" i="35"/>
  <c r="K24" i="35"/>
  <c r="J24" i="35"/>
  <c r="I24" i="35"/>
  <c r="H24" i="35"/>
  <c r="G24" i="35"/>
  <c r="F24" i="35"/>
  <c r="E24" i="35"/>
  <c r="D24" i="35"/>
  <c r="C24" i="35"/>
  <c r="B24" i="35"/>
  <c r="Q23" i="35"/>
  <c r="P23" i="35"/>
  <c r="O23" i="35"/>
  <c r="N23" i="35"/>
  <c r="M23" i="35"/>
  <c r="L23" i="35"/>
  <c r="K23" i="35"/>
  <c r="J23" i="35"/>
  <c r="I23" i="35"/>
  <c r="H23" i="35"/>
  <c r="G23" i="35"/>
  <c r="F23" i="35"/>
  <c r="E23" i="35"/>
  <c r="D23" i="35"/>
  <c r="C23" i="35"/>
  <c r="B23" i="35"/>
  <c r="Q22" i="35"/>
  <c r="P22" i="35"/>
  <c r="O22" i="35"/>
  <c r="N22" i="35"/>
  <c r="M22" i="35"/>
  <c r="L22" i="35"/>
  <c r="K22" i="35"/>
  <c r="J22" i="35"/>
  <c r="I22" i="35"/>
  <c r="H22" i="35"/>
  <c r="G22" i="35"/>
  <c r="F22" i="35"/>
  <c r="E22" i="35"/>
  <c r="D22" i="35"/>
  <c r="C22" i="35"/>
  <c r="B22" i="35"/>
  <c r="Q21" i="35"/>
  <c r="P21" i="35"/>
  <c r="O21" i="35"/>
  <c r="N21" i="35"/>
  <c r="M21" i="35"/>
  <c r="L21" i="35"/>
  <c r="K21" i="35"/>
  <c r="J21" i="35"/>
  <c r="I21" i="35"/>
  <c r="H21" i="35"/>
  <c r="G21" i="35"/>
  <c r="F21" i="35"/>
  <c r="E21" i="35"/>
  <c r="D21" i="35"/>
  <c r="C21" i="35"/>
  <c r="B21" i="35"/>
  <c r="Q20" i="35"/>
  <c r="P20" i="35"/>
  <c r="O20" i="35"/>
  <c r="N20" i="35"/>
  <c r="M20" i="35"/>
  <c r="L20" i="35"/>
  <c r="K20" i="35"/>
  <c r="J20" i="35"/>
  <c r="I20" i="35"/>
  <c r="H20" i="35"/>
  <c r="G20" i="35"/>
  <c r="F20" i="35"/>
  <c r="E20" i="35"/>
  <c r="D20" i="35"/>
  <c r="C20" i="35"/>
  <c r="B20" i="35"/>
  <c r="Q19" i="35"/>
  <c r="P19" i="35"/>
  <c r="O19" i="35"/>
  <c r="N19" i="35"/>
  <c r="M19" i="35"/>
  <c r="L19" i="35"/>
  <c r="K19" i="35"/>
  <c r="J19" i="35"/>
  <c r="I19" i="35"/>
  <c r="H19" i="35"/>
  <c r="G19" i="35"/>
  <c r="F19" i="35"/>
  <c r="E19" i="35"/>
  <c r="D19" i="35"/>
  <c r="C19" i="35"/>
  <c r="B19" i="35"/>
  <c r="Q18" i="35"/>
  <c r="P18" i="35"/>
  <c r="O18" i="35"/>
  <c r="N18" i="35"/>
  <c r="M18" i="35"/>
  <c r="L18" i="35"/>
  <c r="K18" i="35"/>
  <c r="J18" i="35"/>
  <c r="I18" i="35"/>
  <c r="H18" i="35"/>
  <c r="G18" i="35"/>
  <c r="F18" i="35"/>
  <c r="E18" i="35"/>
  <c r="D18" i="35"/>
  <c r="C18" i="35"/>
  <c r="B18" i="35"/>
  <c r="Q17" i="35"/>
  <c r="P17" i="35"/>
  <c r="O17" i="35"/>
  <c r="N17" i="35"/>
  <c r="M17" i="35"/>
  <c r="L17" i="35"/>
  <c r="K17" i="35"/>
  <c r="J17" i="35"/>
  <c r="I17" i="35"/>
  <c r="H17" i="35"/>
  <c r="G17" i="35"/>
  <c r="F17" i="35"/>
  <c r="E17" i="35"/>
  <c r="D17" i="35"/>
  <c r="C17" i="35"/>
  <c r="B17" i="35"/>
  <c r="Q16" i="35"/>
  <c r="P16" i="35"/>
  <c r="O16" i="35"/>
  <c r="N16" i="35"/>
  <c r="M16" i="35"/>
  <c r="L16" i="35"/>
  <c r="K16" i="35"/>
  <c r="J16" i="35"/>
  <c r="I16" i="35"/>
  <c r="H16" i="35"/>
  <c r="G16" i="35"/>
  <c r="F16" i="35"/>
  <c r="E16" i="35"/>
  <c r="D16" i="35"/>
  <c r="C16" i="35"/>
  <c r="B16" i="35"/>
  <c r="Q15" i="35"/>
  <c r="P15" i="35"/>
  <c r="O15" i="35"/>
  <c r="N15" i="35"/>
  <c r="M15" i="35"/>
  <c r="L15" i="35"/>
  <c r="K15" i="35"/>
  <c r="J15" i="35"/>
  <c r="I15" i="35"/>
  <c r="H15" i="35"/>
  <c r="G15" i="35"/>
  <c r="F15" i="35"/>
  <c r="E15" i="35"/>
  <c r="D15" i="35"/>
  <c r="C15" i="35"/>
  <c r="B15" i="35"/>
  <c r="Q14" i="35"/>
  <c r="P14" i="35"/>
  <c r="O14" i="35"/>
  <c r="N14" i="35"/>
  <c r="M14" i="35"/>
  <c r="L14" i="35"/>
  <c r="K14" i="35"/>
  <c r="J14" i="35"/>
  <c r="I14" i="35"/>
  <c r="H14" i="35"/>
  <c r="G14" i="35"/>
  <c r="F14" i="35"/>
  <c r="E14" i="35"/>
  <c r="D14" i="35"/>
  <c r="C14" i="35"/>
  <c r="B14" i="35"/>
  <c r="Q13" i="35"/>
  <c r="P13" i="35"/>
  <c r="O13" i="35"/>
  <c r="N13" i="35"/>
  <c r="M13" i="35"/>
  <c r="L13" i="35"/>
  <c r="K13" i="35"/>
  <c r="J13" i="35"/>
  <c r="I13" i="35"/>
  <c r="H13" i="35"/>
  <c r="G13" i="35"/>
  <c r="F13" i="35"/>
  <c r="E13" i="35"/>
  <c r="D13" i="35"/>
  <c r="C13" i="35"/>
  <c r="B13" i="35"/>
  <c r="Q12" i="35"/>
  <c r="P12" i="35"/>
  <c r="O12" i="35"/>
  <c r="N12" i="35"/>
  <c r="M12" i="35"/>
  <c r="L12" i="35"/>
  <c r="K12" i="35"/>
  <c r="J12" i="35"/>
  <c r="I12" i="35"/>
  <c r="H12" i="35"/>
  <c r="G12" i="35"/>
  <c r="F12" i="35"/>
  <c r="E12" i="35"/>
  <c r="D12" i="35"/>
  <c r="C12" i="35"/>
  <c r="B12" i="35"/>
  <c r="Q11" i="35"/>
  <c r="P11" i="35"/>
  <c r="O11" i="35"/>
  <c r="N11" i="35"/>
  <c r="M11" i="35"/>
  <c r="L11" i="35"/>
  <c r="K11" i="35"/>
  <c r="J11" i="35"/>
  <c r="I11" i="35"/>
  <c r="H11" i="35"/>
  <c r="G11" i="35"/>
  <c r="F11" i="35"/>
  <c r="E11" i="35"/>
  <c r="D11" i="35"/>
  <c r="C11" i="35"/>
  <c r="B11" i="35"/>
  <c r="Q10" i="35"/>
  <c r="P10" i="35"/>
  <c r="O10" i="35"/>
  <c r="N10" i="35"/>
  <c r="M10" i="35"/>
  <c r="L10" i="35"/>
  <c r="K10" i="35"/>
  <c r="J10" i="35"/>
  <c r="I10" i="35"/>
  <c r="H10" i="35"/>
  <c r="G10" i="35"/>
  <c r="F10" i="35"/>
  <c r="E10" i="35"/>
  <c r="D10" i="35"/>
  <c r="C10" i="35"/>
  <c r="B10" i="35"/>
  <c r="Q9" i="35"/>
  <c r="P9" i="35"/>
  <c r="O9" i="35"/>
  <c r="N9" i="35"/>
  <c r="M9" i="35"/>
  <c r="L9" i="35"/>
  <c r="K9" i="35"/>
  <c r="J9" i="35"/>
  <c r="I9" i="35"/>
  <c r="H9" i="35"/>
  <c r="G9" i="35"/>
  <c r="F9" i="35"/>
  <c r="E9" i="35"/>
  <c r="D9" i="35"/>
  <c r="C9" i="35"/>
  <c r="B9" i="35"/>
  <c r="Q8" i="35"/>
  <c r="P8" i="35"/>
  <c r="O8" i="35"/>
  <c r="N8" i="35"/>
  <c r="M8" i="35"/>
  <c r="L8" i="35"/>
  <c r="K8" i="35"/>
  <c r="J8" i="35"/>
  <c r="I8" i="35"/>
  <c r="H8" i="35"/>
  <c r="G8" i="35"/>
  <c r="F8" i="35"/>
  <c r="E8" i="35"/>
  <c r="D8" i="35"/>
  <c r="C8" i="35"/>
  <c r="B8" i="35"/>
  <c r="Q7" i="35"/>
  <c r="P7" i="35"/>
  <c r="O7" i="35"/>
  <c r="N7" i="35"/>
  <c r="M7" i="35"/>
  <c r="L7" i="35"/>
  <c r="K7" i="35"/>
  <c r="J7" i="35"/>
  <c r="I7" i="35"/>
  <c r="H7" i="35"/>
  <c r="G7" i="35"/>
  <c r="F7" i="35"/>
  <c r="E7" i="35"/>
  <c r="D7" i="35"/>
  <c r="C7" i="35"/>
  <c r="B7" i="35"/>
  <c r="Q6" i="35"/>
  <c r="P6" i="35"/>
  <c r="O6" i="35"/>
  <c r="N6" i="35"/>
  <c r="M6" i="35"/>
  <c r="L6" i="35"/>
  <c r="K6" i="35"/>
  <c r="J6" i="35"/>
  <c r="I6" i="35"/>
  <c r="H6" i="35"/>
  <c r="G6" i="35"/>
  <c r="F6" i="35"/>
  <c r="E6" i="35"/>
  <c r="D6" i="35"/>
  <c r="C6" i="35"/>
  <c r="B6" i="35"/>
  <c r="Q50" i="34"/>
  <c r="P50" i="34"/>
  <c r="P50" i="35" s="1"/>
  <c r="O50" i="34"/>
  <c r="O50" i="35" s="1"/>
  <c r="N50" i="34"/>
  <c r="N50" i="35" s="1"/>
  <c r="M50" i="34"/>
  <c r="L50" i="34"/>
  <c r="K50" i="34"/>
  <c r="J50" i="34"/>
  <c r="J50" i="35" s="1"/>
  <c r="I50" i="34"/>
  <c r="I50" i="35" s="1"/>
  <c r="H50" i="34"/>
  <c r="H50" i="35" s="1"/>
  <c r="G50" i="34"/>
  <c r="F50" i="34"/>
  <c r="F50" i="35" s="1"/>
  <c r="E50" i="34"/>
  <c r="E50" i="35" s="1"/>
  <c r="D50" i="34"/>
  <c r="D50" i="35" s="1"/>
  <c r="C50" i="34"/>
  <c r="Q43" i="34"/>
  <c r="P43" i="34"/>
  <c r="O43" i="34"/>
  <c r="N43" i="34"/>
  <c r="M43" i="34"/>
  <c r="L43" i="34"/>
  <c r="K43" i="34"/>
  <c r="J43" i="34"/>
  <c r="J43" i="35" s="1"/>
  <c r="I43" i="34"/>
  <c r="I43" i="35" s="1"/>
  <c r="H43" i="34"/>
  <c r="G43" i="34"/>
  <c r="G43" i="35" s="1"/>
  <c r="F43" i="34"/>
  <c r="F43" i="35" s="1"/>
  <c r="E43" i="34"/>
  <c r="D43" i="34"/>
  <c r="D43" i="35" s="1"/>
  <c r="C43" i="34"/>
  <c r="Q50" i="33"/>
  <c r="P50" i="33"/>
  <c r="O50" i="33"/>
  <c r="N50" i="33"/>
  <c r="M50" i="33"/>
  <c r="L50" i="33"/>
  <c r="K50" i="33"/>
  <c r="J50" i="33"/>
  <c r="I50" i="33"/>
  <c r="H50" i="33"/>
  <c r="G50" i="33"/>
  <c r="F50" i="33"/>
  <c r="E50" i="33"/>
  <c r="D50" i="33"/>
  <c r="C50" i="33"/>
  <c r="Q43" i="33"/>
  <c r="P43" i="33"/>
  <c r="O43" i="33"/>
  <c r="N43" i="33"/>
  <c r="M43" i="33"/>
  <c r="L43" i="33"/>
  <c r="K43" i="33"/>
  <c r="J43" i="33"/>
  <c r="I43" i="33"/>
  <c r="H43" i="33"/>
  <c r="G43" i="33"/>
  <c r="F43" i="33"/>
  <c r="E43" i="33"/>
  <c r="D43" i="33"/>
  <c r="C43" i="33"/>
  <c r="Q49" i="32"/>
  <c r="B49" i="32"/>
  <c r="B46" i="32"/>
  <c r="Q45" i="32"/>
  <c r="B42" i="32"/>
  <c r="O40" i="32"/>
  <c r="B39" i="32"/>
  <c r="B35" i="32"/>
  <c r="B34" i="32"/>
  <c r="B31" i="32"/>
  <c r="B30" i="32"/>
  <c r="B27" i="32"/>
  <c r="B26" i="32"/>
  <c r="B24" i="32"/>
  <c r="B21" i="32"/>
  <c r="B15" i="32"/>
  <c r="B13" i="32"/>
  <c r="B12" i="32"/>
  <c r="B11" i="32"/>
  <c r="B10" i="32"/>
  <c r="B8" i="32"/>
  <c r="Q50" i="31"/>
  <c r="P50" i="31"/>
  <c r="O50" i="31"/>
  <c r="N50" i="31"/>
  <c r="M50" i="31"/>
  <c r="L50" i="31"/>
  <c r="K50" i="31"/>
  <c r="J50" i="31"/>
  <c r="I50" i="31"/>
  <c r="H50" i="31"/>
  <c r="G50" i="31"/>
  <c r="F50" i="31"/>
  <c r="E50" i="31"/>
  <c r="D50" i="31"/>
  <c r="C50" i="31"/>
  <c r="Q43" i="31"/>
  <c r="P43" i="31"/>
  <c r="O43" i="31"/>
  <c r="N43" i="31"/>
  <c r="M43" i="31"/>
  <c r="L43" i="31"/>
  <c r="K43" i="31"/>
  <c r="J43" i="31"/>
  <c r="I43" i="31"/>
  <c r="H43" i="31"/>
  <c r="G43" i="31"/>
  <c r="F43" i="31"/>
  <c r="E43" i="31"/>
  <c r="D43" i="31"/>
  <c r="C43" i="31"/>
  <c r="B3" i="31"/>
  <c r="Q50" i="30"/>
  <c r="P50" i="30"/>
  <c r="O50" i="30"/>
  <c r="N50" i="30"/>
  <c r="M50" i="30"/>
  <c r="L50" i="30"/>
  <c r="K50" i="30"/>
  <c r="J50" i="30"/>
  <c r="I50" i="30"/>
  <c r="H50" i="30"/>
  <c r="G50" i="30"/>
  <c r="F50" i="30"/>
  <c r="E50" i="30"/>
  <c r="D50" i="30"/>
  <c r="C50" i="30"/>
  <c r="Q43" i="30"/>
  <c r="P43" i="30"/>
  <c r="O43" i="30"/>
  <c r="N43" i="30"/>
  <c r="M43" i="30"/>
  <c r="L43" i="30"/>
  <c r="K43" i="30"/>
  <c r="J43" i="30"/>
  <c r="I43" i="30"/>
  <c r="H43" i="30"/>
  <c r="G43" i="30"/>
  <c r="F43" i="30"/>
  <c r="E43" i="30"/>
  <c r="D43" i="30"/>
  <c r="C43" i="30"/>
  <c r="B3" i="30"/>
  <c r="Q50" i="29"/>
  <c r="Q49" i="29"/>
  <c r="P49" i="29"/>
  <c r="O49" i="29"/>
  <c r="N49" i="29"/>
  <c r="M49" i="29"/>
  <c r="L49" i="29"/>
  <c r="K49" i="29"/>
  <c r="J49" i="29"/>
  <c r="I49" i="29"/>
  <c r="H49" i="29"/>
  <c r="G49" i="29"/>
  <c r="F49" i="29"/>
  <c r="E49" i="29"/>
  <c r="D49" i="29"/>
  <c r="C49" i="29"/>
  <c r="B49" i="29"/>
  <c r="Q48" i="29"/>
  <c r="P48" i="29"/>
  <c r="O48" i="29"/>
  <c r="N48" i="29"/>
  <c r="M48" i="29"/>
  <c r="L48" i="29"/>
  <c r="K48" i="29"/>
  <c r="J48" i="29"/>
  <c r="I48" i="29"/>
  <c r="H48" i="29"/>
  <c r="G48" i="29"/>
  <c r="F48" i="29"/>
  <c r="E48" i="29"/>
  <c r="D48" i="29"/>
  <c r="C48" i="29"/>
  <c r="B48" i="29"/>
  <c r="B48" i="32" s="1"/>
  <c r="Q47" i="29"/>
  <c r="Q47" i="32" s="1"/>
  <c r="P47" i="29"/>
  <c r="O47" i="29"/>
  <c r="N47" i="29"/>
  <c r="M47" i="29"/>
  <c r="L47" i="29"/>
  <c r="K47" i="29"/>
  <c r="J47" i="29"/>
  <c r="I47" i="29"/>
  <c r="H47" i="29"/>
  <c r="G47" i="29"/>
  <c r="F47" i="29"/>
  <c r="E47" i="29"/>
  <c r="D47" i="29"/>
  <c r="C47" i="29"/>
  <c r="B47" i="29"/>
  <c r="B47" i="32" s="1"/>
  <c r="Q46" i="29"/>
  <c r="P46" i="29"/>
  <c r="O46" i="29"/>
  <c r="N46" i="29"/>
  <c r="M46" i="29"/>
  <c r="L46" i="29"/>
  <c r="K46" i="29"/>
  <c r="J46" i="29"/>
  <c r="I46" i="29"/>
  <c r="H46" i="29"/>
  <c r="G46" i="29"/>
  <c r="F46" i="29"/>
  <c r="E46" i="29"/>
  <c r="D46" i="29"/>
  <c r="C46" i="29"/>
  <c r="B46" i="29"/>
  <c r="Q45" i="29"/>
  <c r="P45" i="29"/>
  <c r="O45" i="29"/>
  <c r="N45" i="29"/>
  <c r="M45" i="29"/>
  <c r="L45" i="29"/>
  <c r="K45" i="29"/>
  <c r="J45" i="29"/>
  <c r="I45" i="29"/>
  <c r="H45" i="29"/>
  <c r="G45" i="29"/>
  <c r="F45" i="29"/>
  <c r="E45" i="29"/>
  <c r="D45" i="29"/>
  <c r="C45" i="29"/>
  <c r="B45" i="29"/>
  <c r="B45" i="32" s="1"/>
  <c r="Q42" i="29"/>
  <c r="P42" i="29"/>
  <c r="O42" i="29"/>
  <c r="N42" i="29"/>
  <c r="M42" i="29"/>
  <c r="L42" i="29"/>
  <c r="K42" i="29"/>
  <c r="J42" i="29"/>
  <c r="I42" i="29"/>
  <c r="H42" i="29"/>
  <c r="G42" i="29"/>
  <c r="F42" i="29"/>
  <c r="E42" i="29"/>
  <c r="D42" i="29"/>
  <c r="C42" i="29"/>
  <c r="B42" i="29"/>
  <c r="Q41" i="29"/>
  <c r="P41" i="29"/>
  <c r="O41" i="29"/>
  <c r="N41" i="29"/>
  <c r="M41" i="29"/>
  <c r="L41" i="29"/>
  <c r="K41" i="29"/>
  <c r="J41" i="29"/>
  <c r="I41" i="29"/>
  <c r="H41" i="29"/>
  <c r="G41" i="29"/>
  <c r="F41" i="29"/>
  <c r="E41" i="29"/>
  <c r="D41" i="29"/>
  <c r="C41" i="29"/>
  <c r="B41" i="29"/>
  <c r="B41" i="32" s="1"/>
  <c r="Q40" i="29"/>
  <c r="P40" i="29"/>
  <c r="O40" i="29"/>
  <c r="N40" i="29"/>
  <c r="M40" i="29"/>
  <c r="L40" i="29"/>
  <c r="K40" i="29"/>
  <c r="J40" i="29"/>
  <c r="I40" i="29"/>
  <c r="H40" i="29"/>
  <c r="G40" i="29"/>
  <c r="F40" i="29"/>
  <c r="E40" i="29"/>
  <c r="D40" i="29"/>
  <c r="C40" i="29"/>
  <c r="B40" i="29"/>
  <c r="B40" i="32" s="1"/>
  <c r="Q39" i="29"/>
  <c r="P39" i="29"/>
  <c r="O39" i="29"/>
  <c r="N39" i="29"/>
  <c r="M39" i="29"/>
  <c r="L39" i="29"/>
  <c r="K39" i="29"/>
  <c r="J39" i="29"/>
  <c r="I39" i="29"/>
  <c r="H39" i="29"/>
  <c r="G39" i="29"/>
  <c r="F39" i="29"/>
  <c r="E39" i="29"/>
  <c r="D39" i="29"/>
  <c r="C39" i="29"/>
  <c r="B39" i="29"/>
  <c r="Q38" i="29"/>
  <c r="P38" i="29"/>
  <c r="O38" i="29"/>
  <c r="N38" i="29"/>
  <c r="M38" i="29"/>
  <c r="L38" i="29"/>
  <c r="K38" i="29"/>
  <c r="J38" i="29"/>
  <c r="I38" i="29"/>
  <c r="H38" i="29"/>
  <c r="G38" i="29"/>
  <c r="F38" i="29"/>
  <c r="E38" i="29"/>
  <c r="D38" i="29"/>
  <c r="C38" i="29"/>
  <c r="B38" i="29"/>
  <c r="B38" i="32" s="1"/>
  <c r="Q37" i="29"/>
  <c r="P37" i="29"/>
  <c r="O37" i="29"/>
  <c r="N37" i="29"/>
  <c r="M37" i="29"/>
  <c r="L37" i="29"/>
  <c r="K37" i="29"/>
  <c r="J37" i="29"/>
  <c r="I37" i="29"/>
  <c r="H37" i="29"/>
  <c r="G37" i="29"/>
  <c r="F37" i="29"/>
  <c r="E37" i="29"/>
  <c r="D37" i="29"/>
  <c r="C37" i="29"/>
  <c r="B37" i="29"/>
  <c r="B37" i="32" s="1"/>
  <c r="Q36" i="29"/>
  <c r="P36" i="29"/>
  <c r="O36" i="29"/>
  <c r="N36" i="29"/>
  <c r="M36" i="29"/>
  <c r="L36" i="29"/>
  <c r="K36" i="29"/>
  <c r="J36" i="29"/>
  <c r="I36" i="29"/>
  <c r="H36" i="29"/>
  <c r="G36" i="29"/>
  <c r="F36" i="29"/>
  <c r="E36" i="29"/>
  <c r="D36" i="29"/>
  <c r="C36" i="29"/>
  <c r="B36" i="29"/>
  <c r="B36" i="32" s="1"/>
  <c r="Q35" i="29"/>
  <c r="P35" i="29"/>
  <c r="O35" i="29"/>
  <c r="N35" i="29"/>
  <c r="M35" i="29"/>
  <c r="L35" i="29"/>
  <c r="K35" i="29"/>
  <c r="J35" i="29"/>
  <c r="I35" i="29"/>
  <c r="H35" i="29"/>
  <c r="G35" i="29"/>
  <c r="F35" i="29"/>
  <c r="E35" i="29"/>
  <c r="D35" i="29"/>
  <c r="C35" i="29"/>
  <c r="B35" i="29"/>
  <c r="Q34" i="29"/>
  <c r="P34" i="29"/>
  <c r="O34" i="29"/>
  <c r="N34" i="29"/>
  <c r="M34" i="29"/>
  <c r="L34" i="29"/>
  <c r="K34" i="29"/>
  <c r="J34" i="29"/>
  <c r="I34" i="29"/>
  <c r="H34" i="29"/>
  <c r="G34" i="29"/>
  <c r="F34" i="29"/>
  <c r="E34" i="29"/>
  <c r="D34" i="29"/>
  <c r="C34" i="29"/>
  <c r="B34" i="29"/>
  <c r="Q33" i="29"/>
  <c r="P33" i="29"/>
  <c r="O33" i="29"/>
  <c r="N33" i="29"/>
  <c r="M33" i="29"/>
  <c r="L33" i="29"/>
  <c r="K33" i="29"/>
  <c r="J33" i="29"/>
  <c r="I33" i="29"/>
  <c r="H33" i="29"/>
  <c r="G33" i="29"/>
  <c r="F33" i="29"/>
  <c r="E33" i="29"/>
  <c r="D33" i="29"/>
  <c r="C33" i="29"/>
  <c r="B33" i="29"/>
  <c r="B33" i="32" s="1"/>
  <c r="Q32" i="29"/>
  <c r="P32" i="29"/>
  <c r="O32" i="29"/>
  <c r="N32" i="29"/>
  <c r="M32" i="29"/>
  <c r="L32" i="29"/>
  <c r="K32" i="29"/>
  <c r="J32" i="29"/>
  <c r="I32" i="29"/>
  <c r="H32" i="29"/>
  <c r="G32" i="29"/>
  <c r="F32" i="29"/>
  <c r="E32" i="29"/>
  <c r="D32" i="29"/>
  <c r="C32" i="29"/>
  <c r="B32" i="29"/>
  <c r="B32" i="32" s="1"/>
  <c r="Q31" i="29"/>
  <c r="P31" i="29"/>
  <c r="O31" i="29"/>
  <c r="N31" i="29"/>
  <c r="M31" i="29"/>
  <c r="L31" i="29"/>
  <c r="K31" i="29"/>
  <c r="J31" i="29"/>
  <c r="I31" i="29"/>
  <c r="H31" i="29"/>
  <c r="G31" i="29"/>
  <c r="F31" i="29"/>
  <c r="E31" i="29"/>
  <c r="D31" i="29"/>
  <c r="C31" i="29"/>
  <c r="B31" i="29"/>
  <c r="Q30" i="29"/>
  <c r="P30" i="29"/>
  <c r="O30" i="29"/>
  <c r="N30" i="29"/>
  <c r="M30" i="29"/>
  <c r="L30" i="29"/>
  <c r="K30" i="29"/>
  <c r="J30" i="29"/>
  <c r="I30" i="29"/>
  <c r="H30" i="29"/>
  <c r="G30" i="29"/>
  <c r="F30" i="29"/>
  <c r="E30" i="29"/>
  <c r="D30" i="29"/>
  <c r="C30" i="29"/>
  <c r="B30" i="29"/>
  <c r="Q29" i="29"/>
  <c r="P29" i="29"/>
  <c r="O29" i="29"/>
  <c r="N29" i="29"/>
  <c r="M29" i="29"/>
  <c r="L29" i="29"/>
  <c r="K29" i="29"/>
  <c r="J29" i="29"/>
  <c r="I29" i="29"/>
  <c r="H29" i="29"/>
  <c r="G29" i="29"/>
  <c r="F29" i="29"/>
  <c r="E29" i="29"/>
  <c r="D29" i="29"/>
  <c r="C29" i="29"/>
  <c r="B29" i="29"/>
  <c r="B29" i="32" s="1"/>
  <c r="Q28" i="29"/>
  <c r="P28" i="29"/>
  <c r="O28" i="29"/>
  <c r="N28" i="29"/>
  <c r="M28" i="29"/>
  <c r="L28" i="29"/>
  <c r="K28" i="29"/>
  <c r="J28" i="29"/>
  <c r="I28" i="29"/>
  <c r="H28" i="29"/>
  <c r="G28" i="29"/>
  <c r="F28" i="29"/>
  <c r="E28" i="29"/>
  <c r="D28" i="29"/>
  <c r="C28" i="29"/>
  <c r="B28" i="29"/>
  <c r="B28" i="32" s="1"/>
  <c r="Q27" i="29"/>
  <c r="P27" i="29"/>
  <c r="O27" i="29"/>
  <c r="N27" i="29"/>
  <c r="M27" i="29"/>
  <c r="L27" i="29"/>
  <c r="K27" i="29"/>
  <c r="J27" i="29"/>
  <c r="I27" i="29"/>
  <c r="H27" i="29"/>
  <c r="G27" i="29"/>
  <c r="F27" i="29"/>
  <c r="E27" i="29"/>
  <c r="D27" i="29"/>
  <c r="C27" i="29"/>
  <c r="B27" i="29"/>
  <c r="Q26" i="29"/>
  <c r="P26" i="29"/>
  <c r="O26" i="29"/>
  <c r="N26" i="29"/>
  <c r="M26" i="29"/>
  <c r="L26" i="29"/>
  <c r="K26" i="29"/>
  <c r="J26" i="29"/>
  <c r="I26" i="29"/>
  <c r="H26" i="29"/>
  <c r="G26" i="29"/>
  <c r="F26" i="29"/>
  <c r="E26" i="29"/>
  <c r="D26" i="29"/>
  <c r="C26" i="29"/>
  <c r="B26" i="29"/>
  <c r="Q25" i="29"/>
  <c r="P25" i="29"/>
  <c r="O25" i="29"/>
  <c r="N25" i="29"/>
  <c r="M25" i="29"/>
  <c r="L25" i="29"/>
  <c r="K25" i="29"/>
  <c r="J25" i="29"/>
  <c r="I25" i="29"/>
  <c r="H25" i="29"/>
  <c r="G25" i="29"/>
  <c r="F25" i="29"/>
  <c r="E25" i="29"/>
  <c r="D25" i="29"/>
  <c r="C25" i="29"/>
  <c r="B25" i="29"/>
  <c r="B25" i="32" s="1"/>
  <c r="Q24" i="29"/>
  <c r="P24" i="29"/>
  <c r="O24" i="29"/>
  <c r="O24" i="32" s="1"/>
  <c r="N24" i="29"/>
  <c r="M24" i="29"/>
  <c r="L24" i="29"/>
  <c r="K24" i="29"/>
  <c r="J24" i="29"/>
  <c r="I24" i="29"/>
  <c r="H24" i="29"/>
  <c r="G24" i="29"/>
  <c r="F24" i="29"/>
  <c r="E24" i="29"/>
  <c r="D24" i="29"/>
  <c r="C24" i="29"/>
  <c r="B24" i="29"/>
  <c r="Q23" i="29"/>
  <c r="P23" i="29"/>
  <c r="O23" i="29"/>
  <c r="N23" i="29"/>
  <c r="M23" i="29"/>
  <c r="L23" i="29"/>
  <c r="K23" i="29"/>
  <c r="J23" i="29"/>
  <c r="I23" i="29"/>
  <c r="H23" i="29"/>
  <c r="G23" i="29"/>
  <c r="F23" i="29"/>
  <c r="E23" i="29"/>
  <c r="D23" i="29"/>
  <c r="C23" i="29"/>
  <c r="B23" i="29"/>
  <c r="B23" i="32" s="1"/>
  <c r="Q22" i="29"/>
  <c r="P22" i="29"/>
  <c r="O22" i="29"/>
  <c r="N22" i="29"/>
  <c r="M22" i="29"/>
  <c r="L22" i="29"/>
  <c r="K22" i="29"/>
  <c r="J22" i="29"/>
  <c r="I22" i="29"/>
  <c r="H22" i="29"/>
  <c r="G22" i="29"/>
  <c r="F22" i="29"/>
  <c r="E22" i="29"/>
  <c r="D22" i="29"/>
  <c r="C22" i="29"/>
  <c r="B22" i="29"/>
  <c r="B22" i="32" s="1"/>
  <c r="Q21" i="29"/>
  <c r="P21" i="29"/>
  <c r="O21" i="29"/>
  <c r="N21" i="29"/>
  <c r="M21" i="29"/>
  <c r="L21" i="29"/>
  <c r="K21" i="29"/>
  <c r="J21" i="29"/>
  <c r="I21" i="29"/>
  <c r="H21" i="29"/>
  <c r="G21" i="29"/>
  <c r="F21" i="29"/>
  <c r="E21" i="29"/>
  <c r="D21" i="29"/>
  <c r="C21" i="29"/>
  <c r="B21" i="29"/>
  <c r="Q20" i="29"/>
  <c r="P20" i="29"/>
  <c r="O20" i="29"/>
  <c r="N20" i="29"/>
  <c r="M20" i="29"/>
  <c r="L20" i="29"/>
  <c r="K20" i="29"/>
  <c r="J20" i="29"/>
  <c r="I20" i="29"/>
  <c r="H20" i="29"/>
  <c r="G20" i="29"/>
  <c r="F20" i="29"/>
  <c r="E20" i="29"/>
  <c r="D20" i="29"/>
  <c r="C20" i="29"/>
  <c r="B20" i="29"/>
  <c r="B20" i="32" s="1"/>
  <c r="Q19" i="29"/>
  <c r="P19" i="29"/>
  <c r="O19" i="29"/>
  <c r="N19" i="29"/>
  <c r="M19" i="29"/>
  <c r="L19" i="29"/>
  <c r="K19" i="29"/>
  <c r="J19" i="29"/>
  <c r="I19" i="29"/>
  <c r="H19" i="29"/>
  <c r="G19" i="29"/>
  <c r="F19" i="29"/>
  <c r="E19" i="29"/>
  <c r="D19" i="29"/>
  <c r="C19" i="29"/>
  <c r="B19" i="29"/>
  <c r="B19" i="32" s="1"/>
  <c r="Q18" i="29"/>
  <c r="P18" i="29"/>
  <c r="O18" i="29"/>
  <c r="N18" i="29"/>
  <c r="M18" i="29"/>
  <c r="L18" i="29"/>
  <c r="K18" i="29"/>
  <c r="J18" i="29"/>
  <c r="I18" i="29"/>
  <c r="H18" i="29"/>
  <c r="G18" i="29"/>
  <c r="F18" i="29"/>
  <c r="E18" i="29"/>
  <c r="D18" i="29"/>
  <c r="C18" i="29"/>
  <c r="B18" i="29"/>
  <c r="B18" i="32" s="1"/>
  <c r="Q17" i="29"/>
  <c r="P17" i="29"/>
  <c r="O17" i="29"/>
  <c r="N17" i="29"/>
  <c r="M17" i="29"/>
  <c r="L17" i="29"/>
  <c r="K17" i="29"/>
  <c r="J17" i="29"/>
  <c r="I17" i="29"/>
  <c r="H17" i="29"/>
  <c r="G17" i="29"/>
  <c r="F17" i="29"/>
  <c r="E17" i="29"/>
  <c r="D17" i="29"/>
  <c r="C17" i="29"/>
  <c r="B17" i="29"/>
  <c r="B17" i="32" s="1"/>
  <c r="Q16" i="29"/>
  <c r="P16" i="29"/>
  <c r="O16" i="29"/>
  <c r="N16" i="29"/>
  <c r="M16" i="29"/>
  <c r="L16" i="29"/>
  <c r="K16" i="29"/>
  <c r="J16" i="29"/>
  <c r="I16" i="29"/>
  <c r="H16" i="29"/>
  <c r="G16" i="29"/>
  <c r="F16" i="29"/>
  <c r="E16" i="29"/>
  <c r="D16" i="29"/>
  <c r="C16" i="29"/>
  <c r="B16" i="29"/>
  <c r="B16" i="32" s="1"/>
  <c r="Q15" i="29"/>
  <c r="P15" i="29"/>
  <c r="O15" i="29"/>
  <c r="N15" i="29"/>
  <c r="M15" i="29"/>
  <c r="L15" i="29"/>
  <c r="K15" i="29"/>
  <c r="J15" i="29"/>
  <c r="I15" i="29"/>
  <c r="H15" i="29"/>
  <c r="G15" i="29"/>
  <c r="F15" i="29"/>
  <c r="E15" i="29"/>
  <c r="D15" i="29"/>
  <c r="C15" i="29"/>
  <c r="B15" i="29"/>
  <c r="Q14" i="29"/>
  <c r="P14" i="29"/>
  <c r="O14" i="29"/>
  <c r="N14" i="29"/>
  <c r="M14" i="29"/>
  <c r="L14" i="29"/>
  <c r="K14" i="29"/>
  <c r="J14" i="29"/>
  <c r="I14" i="29"/>
  <c r="H14" i="29"/>
  <c r="G14" i="29"/>
  <c r="F14" i="29"/>
  <c r="E14" i="29"/>
  <c r="D14" i="29"/>
  <c r="C14" i="29"/>
  <c r="B14" i="29"/>
  <c r="B14" i="32" s="1"/>
  <c r="Q13" i="29"/>
  <c r="P13" i="29"/>
  <c r="O13" i="29"/>
  <c r="N13" i="29"/>
  <c r="M13" i="29"/>
  <c r="L13" i="29"/>
  <c r="K13" i="29"/>
  <c r="J13" i="29"/>
  <c r="I13" i="29"/>
  <c r="H13" i="29"/>
  <c r="G13" i="29"/>
  <c r="F13" i="29"/>
  <c r="E13" i="29"/>
  <c r="D13" i="29"/>
  <c r="C13" i="29"/>
  <c r="B13" i="29"/>
  <c r="Q12" i="29"/>
  <c r="P12" i="29"/>
  <c r="O12" i="29"/>
  <c r="N12" i="29"/>
  <c r="M12" i="29"/>
  <c r="L12" i="29"/>
  <c r="K12" i="29"/>
  <c r="J12" i="29"/>
  <c r="I12" i="29"/>
  <c r="H12" i="29"/>
  <c r="G12" i="29"/>
  <c r="F12" i="29"/>
  <c r="E12" i="29"/>
  <c r="D12" i="29"/>
  <c r="C12" i="29"/>
  <c r="B12" i="29"/>
  <c r="Q11" i="29"/>
  <c r="P11" i="29"/>
  <c r="O11" i="29"/>
  <c r="N11" i="29"/>
  <c r="M11" i="29"/>
  <c r="L11" i="29"/>
  <c r="K11" i="29"/>
  <c r="J11" i="29"/>
  <c r="I11" i="29"/>
  <c r="H11" i="29"/>
  <c r="G11" i="29"/>
  <c r="F11" i="29"/>
  <c r="E11" i="29"/>
  <c r="D11" i="29"/>
  <c r="C11" i="29"/>
  <c r="B11" i="29"/>
  <c r="Q10" i="29"/>
  <c r="P10" i="29"/>
  <c r="P43" i="29" s="1"/>
  <c r="P32" i="32" s="1"/>
  <c r="O10" i="29"/>
  <c r="N10" i="29"/>
  <c r="M10" i="29"/>
  <c r="L10" i="29"/>
  <c r="K10" i="29"/>
  <c r="J10" i="29"/>
  <c r="I10" i="29"/>
  <c r="H10" i="29"/>
  <c r="G10" i="29"/>
  <c r="F10" i="29"/>
  <c r="E10" i="29"/>
  <c r="D10" i="29"/>
  <c r="C10" i="29"/>
  <c r="B10" i="29"/>
  <c r="Q9" i="29"/>
  <c r="P9" i="29"/>
  <c r="O9" i="29"/>
  <c r="N9" i="29"/>
  <c r="M9" i="29"/>
  <c r="L9" i="29"/>
  <c r="K9" i="29"/>
  <c r="J9" i="29"/>
  <c r="I9" i="29"/>
  <c r="H9" i="29"/>
  <c r="G9" i="29"/>
  <c r="F9" i="29"/>
  <c r="E9" i="29"/>
  <c r="D9" i="29"/>
  <c r="C9" i="29"/>
  <c r="B9" i="29"/>
  <c r="B9" i="32" s="1"/>
  <c r="Q8" i="29"/>
  <c r="P8" i="29"/>
  <c r="O8" i="29"/>
  <c r="N8" i="29"/>
  <c r="M8" i="29"/>
  <c r="L8" i="29"/>
  <c r="K8" i="29"/>
  <c r="J8" i="29"/>
  <c r="I8" i="29"/>
  <c r="H8" i="29"/>
  <c r="G8" i="29"/>
  <c r="F8" i="29"/>
  <c r="E8" i="29"/>
  <c r="D8" i="29"/>
  <c r="C8" i="29"/>
  <c r="B8" i="29"/>
  <c r="Q7" i="29"/>
  <c r="P7" i="29"/>
  <c r="O7" i="29"/>
  <c r="O43" i="29" s="1"/>
  <c r="N7" i="29"/>
  <c r="M7" i="29"/>
  <c r="L7" i="29"/>
  <c r="K7" i="29"/>
  <c r="J7" i="29"/>
  <c r="I7" i="29"/>
  <c r="H7" i="29"/>
  <c r="G7" i="29"/>
  <c r="F7" i="29"/>
  <c r="E7" i="29"/>
  <c r="D7" i="29"/>
  <c r="C7" i="29"/>
  <c r="B7" i="29"/>
  <c r="B7" i="32" s="1"/>
  <c r="Q6" i="29"/>
  <c r="P6" i="29"/>
  <c r="O6" i="29"/>
  <c r="N6" i="29"/>
  <c r="M6" i="29"/>
  <c r="L6" i="29"/>
  <c r="K6" i="29"/>
  <c r="J6" i="29"/>
  <c r="I6" i="29"/>
  <c r="H6" i="29"/>
  <c r="G6" i="29"/>
  <c r="F6" i="29"/>
  <c r="E6" i="29"/>
  <c r="D6" i="29"/>
  <c r="C6" i="29"/>
  <c r="B6" i="29"/>
  <c r="B6" i="32" s="1"/>
  <c r="Q35" i="28"/>
  <c r="P35" i="28"/>
  <c r="O35" i="28"/>
  <c r="N35" i="28"/>
  <c r="M35" i="28"/>
  <c r="L35" i="28"/>
  <c r="K35" i="28"/>
  <c r="J35" i="28"/>
  <c r="I35" i="28"/>
  <c r="H35" i="28"/>
  <c r="G35" i="28"/>
  <c r="F35" i="28"/>
  <c r="E35" i="28"/>
  <c r="D35" i="28"/>
  <c r="C35" i="28"/>
  <c r="Q30" i="28"/>
  <c r="P30" i="28"/>
  <c r="O30" i="28"/>
  <c r="N30" i="28"/>
  <c r="M30" i="28"/>
  <c r="L30" i="28"/>
  <c r="K30" i="28"/>
  <c r="J30" i="28"/>
  <c r="I30" i="28"/>
  <c r="H30" i="28"/>
  <c r="G30" i="28"/>
  <c r="F30" i="28"/>
  <c r="E30" i="28"/>
  <c r="D30" i="28"/>
  <c r="C30" i="28"/>
  <c r="Q35" i="27"/>
  <c r="P35" i="27"/>
  <c r="O35" i="27"/>
  <c r="N35" i="27"/>
  <c r="M35" i="27"/>
  <c r="L35" i="27"/>
  <c r="K35" i="27"/>
  <c r="J35" i="27"/>
  <c r="I35" i="27"/>
  <c r="H35" i="27"/>
  <c r="G35" i="27"/>
  <c r="F35" i="27"/>
  <c r="E35" i="27"/>
  <c r="D35" i="27"/>
  <c r="C35" i="27"/>
  <c r="Q30" i="27"/>
  <c r="P30" i="27"/>
  <c r="O30" i="27"/>
  <c r="N30" i="27"/>
  <c r="M30" i="27"/>
  <c r="L30" i="27"/>
  <c r="K30" i="27"/>
  <c r="J30" i="27"/>
  <c r="I30" i="27"/>
  <c r="H30" i="27"/>
  <c r="G30" i="27"/>
  <c r="F30" i="27"/>
  <c r="E30" i="27"/>
  <c r="D30" i="27"/>
  <c r="C30" i="27"/>
  <c r="Q35" i="26"/>
  <c r="P35" i="26"/>
  <c r="O35" i="26"/>
  <c r="N35" i="26"/>
  <c r="M35" i="26"/>
  <c r="L35" i="26"/>
  <c r="K35" i="26"/>
  <c r="J35" i="26"/>
  <c r="I35" i="26"/>
  <c r="H35" i="26"/>
  <c r="G35" i="26"/>
  <c r="F35" i="26"/>
  <c r="E35" i="26"/>
  <c r="D35" i="26"/>
  <c r="C35" i="26"/>
  <c r="Q30" i="26"/>
  <c r="P30" i="26"/>
  <c r="O30" i="26"/>
  <c r="N30" i="26"/>
  <c r="M30" i="26"/>
  <c r="L30" i="26"/>
  <c r="K30" i="26"/>
  <c r="J30" i="26"/>
  <c r="I30" i="26"/>
  <c r="H30" i="26"/>
  <c r="G30" i="26"/>
  <c r="F30" i="26"/>
  <c r="E30" i="26"/>
  <c r="D30" i="26"/>
  <c r="C30" i="26"/>
  <c r="L35" i="25"/>
  <c r="J35" i="25"/>
  <c r="D35" i="25"/>
  <c r="C35" i="25"/>
  <c r="Q34" i="25"/>
  <c r="P34" i="25"/>
  <c r="O34" i="25"/>
  <c r="N34" i="25"/>
  <c r="M34" i="25"/>
  <c r="L34" i="25"/>
  <c r="K34" i="25"/>
  <c r="J34" i="25"/>
  <c r="I34" i="25"/>
  <c r="H34" i="25"/>
  <c r="G34" i="25"/>
  <c r="F34" i="25"/>
  <c r="E34" i="25"/>
  <c r="D34" i="25"/>
  <c r="C34" i="25"/>
  <c r="B34" i="25"/>
  <c r="Q33" i="25"/>
  <c r="P33" i="25"/>
  <c r="O33" i="25"/>
  <c r="N33" i="25"/>
  <c r="M33" i="25"/>
  <c r="M35" i="25" s="1"/>
  <c r="L33" i="25"/>
  <c r="K33" i="25"/>
  <c r="J33" i="25"/>
  <c r="I33" i="25"/>
  <c r="I35" i="25" s="1"/>
  <c r="H33" i="25"/>
  <c r="G33" i="25"/>
  <c r="F33" i="25"/>
  <c r="E33" i="25"/>
  <c r="D33" i="25"/>
  <c r="C33" i="25"/>
  <c r="B33" i="25"/>
  <c r="Q32" i="25"/>
  <c r="P32" i="25"/>
  <c r="O32" i="25"/>
  <c r="N32" i="25"/>
  <c r="M32" i="25"/>
  <c r="L32" i="25"/>
  <c r="K32" i="25"/>
  <c r="J32" i="25"/>
  <c r="I32" i="25"/>
  <c r="H32" i="25"/>
  <c r="G32" i="25"/>
  <c r="G35" i="25" s="1"/>
  <c r="F32" i="25"/>
  <c r="F35" i="25" s="1"/>
  <c r="E32" i="25"/>
  <c r="E35" i="25" s="1"/>
  <c r="D32" i="25"/>
  <c r="C32" i="25"/>
  <c r="B32" i="25"/>
  <c r="Q29" i="25"/>
  <c r="P29" i="25"/>
  <c r="O29" i="25"/>
  <c r="N29" i="25"/>
  <c r="M29" i="25"/>
  <c r="L29" i="25"/>
  <c r="K29" i="25"/>
  <c r="J29" i="25"/>
  <c r="I29" i="25"/>
  <c r="H29" i="25"/>
  <c r="G29" i="25"/>
  <c r="F29" i="25"/>
  <c r="E29" i="25"/>
  <c r="D29" i="25"/>
  <c r="C29" i="25"/>
  <c r="B29" i="25"/>
  <c r="Q28" i="25"/>
  <c r="P28" i="25"/>
  <c r="O28" i="25"/>
  <c r="N28" i="25"/>
  <c r="M28" i="25"/>
  <c r="L28" i="25"/>
  <c r="K28" i="25"/>
  <c r="J28" i="25"/>
  <c r="I28" i="25"/>
  <c r="H28" i="25"/>
  <c r="G28" i="25"/>
  <c r="F28" i="25"/>
  <c r="E28" i="25"/>
  <c r="D28" i="25"/>
  <c r="C28" i="25"/>
  <c r="B28" i="25"/>
  <c r="Q27" i="25"/>
  <c r="P27" i="25"/>
  <c r="O27" i="25"/>
  <c r="N27" i="25"/>
  <c r="M27" i="25"/>
  <c r="L27" i="25"/>
  <c r="K27" i="25"/>
  <c r="J27" i="25"/>
  <c r="I27" i="25"/>
  <c r="H27" i="25"/>
  <c r="G27" i="25"/>
  <c r="F27" i="25"/>
  <c r="E27" i="25"/>
  <c r="D27" i="25"/>
  <c r="C27" i="25"/>
  <c r="B27" i="25"/>
  <c r="Q26" i="25"/>
  <c r="P26" i="25"/>
  <c r="O26" i="25"/>
  <c r="N26" i="25"/>
  <c r="M26" i="25"/>
  <c r="L26" i="25"/>
  <c r="K26" i="25"/>
  <c r="J26" i="25"/>
  <c r="I26" i="25"/>
  <c r="H26" i="25"/>
  <c r="G26" i="25"/>
  <c r="F26" i="25"/>
  <c r="E26" i="25"/>
  <c r="D26" i="25"/>
  <c r="C26" i="25"/>
  <c r="B26" i="25"/>
  <c r="Q25" i="25"/>
  <c r="P25" i="25"/>
  <c r="O25" i="25"/>
  <c r="N25" i="25"/>
  <c r="M25" i="25"/>
  <c r="L25" i="25"/>
  <c r="K25" i="25"/>
  <c r="J25" i="25"/>
  <c r="I25" i="25"/>
  <c r="H25" i="25"/>
  <c r="G25" i="25"/>
  <c r="F25" i="25"/>
  <c r="E25" i="25"/>
  <c r="D25" i="25"/>
  <c r="C25" i="25"/>
  <c r="B25" i="25"/>
  <c r="Q24" i="25"/>
  <c r="P24" i="25"/>
  <c r="O24" i="25"/>
  <c r="N24" i="25"/>
  <c r="M24" i="25"/>
  <c r="L24" i="25"/>
  <c r="K24" i="25"/>
  <c r="J24" i="25"/>
  <c r="I24" i="25"/>
  <c r="H24" i="25"/>
  <c r="G24" i="25"/>
  <c r="F24" i="25"/>
  <c r="E24" i="25"/>
  <c r="D24" i="25"/>
  <c r="C24" i="25"/>
  <c r="B24" i="25"/>
  <c r="Q23" i="25"/>
  <c r="P23" i="25"/>
  <c r="O23" i="25"/>
  <c r="N23" i="25"/>
  <c r="M23" i="25"/>
  <c r="L23" i="25"/>
  <c r="K23" i="25"/>
  <c r="J23" i="25"/>
  <c r="I23" i="25"/>
  <c r="H23" i="25"/>
  <c r="G23" i="25"/>
  <c r="F23" i="25"/>
  <c r="E23" i="25"/>
  <c r="D23" i="25"/>
  <c r="C23" i="25"/>
  <c r="B23" i="25"/>
  <c r="Q22" i="25"/>
  <c r="P22" i="25"/>
  <c r="O22" i="25"/>
  <c r="N22" i="25"/>
  <c r="M22" i="25"/>
  <c r="L22" i="25"/>
  <c r="K22" i="25"/>
  <c r="J22" i="25"/>
  <c r="I22" i="25"/>
  <c r="H22" i="25"/>
  <c r="G22" i="25"/>
  <c r="F22" i="25"/>
  <c r="E22" i="25"/>
  <c r="D22" i="25"/>
  <c r="C22" i="25"/>
  <c r="B22" i="25"/>
  <c r="Q21" i="25"/>
  <c r="P21" i="25"/>
  <c r="O21" i="25"/>
  <c r="N21" i="25"/>
  <c r="M21" i="25"/>
  <c r="L21" i="25"/>
  <c r="K21" i="25"/>
  <c r="J21" i="25"/>
  <c r="I21" i="25"/>
  <c r="H21" i="25"/>
  <c r="G21" i="25"/>
  <c r="F21" i="25"/>
  <c r="E21" i="25"/>
  <c r="D21" i="25"/>
  <c r="C21" i="25"/>
  <c r="B21" i="25"/>
  <c r="Q20" i="25"/>
  <c r="P20" i="25"/>
  <c r="O20" i="25"/>
  <c r="N20" i="25"/>
  <c r="M20" i="25"/>
  <c r="L20" i="25"/>
  <c r="K20" i="25"/>
  <c r="J20" i="25"/>
  <c r="I20" i="25"/>
  <c r="H20" i="25"/>
  <c r="G20" i="25"/>
  <c r="F20" i="25"/>
  <c r="E20" i="25"/>
  <c r="D20" i="25"/>
  <c r="C20" i="25"/>
  <c r="B20" i="25"/>
  <c r="Q19" i="25"/>
  <c r="P19" i="25"/>
  <c r="O19" i="25"/>
  <c r="N19" i="25"/>
  <c r="M19" i="25"/>
  <c r="L19" i="25"/>
  <c r="K19" i="25"/>
  <c r="J19" i="25"/>
  <c r="I19" i="25"/>
  <c r="H19" i="25"/>
  <c r="G19" i="25"/>
  <c r="F19" i="25"/>
  <c r="E19" i="25"/>
  <c r="D19" i="25"/>
  <c r="C19" i="25"/>
  <c r="B19" i="25"/>
  <c r="Q18" i="25"/>
  <c r="P18" i="25"/>
  <c r="O18" i="25"/>
  <c r="N18" i="25"/>
  <c r="M18" i="25"/>
  <c r="L18" i="25"/>
  <c r="K18" i="25"/>
  <c r="J18" i="25"/>
  <c r="I18" i="25"/>
  <c r="H18" i="25"/>
  <c r="G18" i="25"/>
  <c r="F18" i="25"/>
  <c r="E18" i="25"/>
  <c r="D18" i="25"/>
  <c r="C18" i="25"/>
  <c r="B18" i="25"/>
  <c r="Q17" i="25"/>
  <c r="P17" i="25"/>
  <c r="O17" i="25"/>
  <c r="N17" i="25"/>
  <c r="M17" i="25"/>
  <c r="L17" i="25"/>
  <c r="K17" i="25"/>
  <c r="J17" i="25"/>
  <c r="I17" i="25"/>
  <c r="H17" i="25"/>
  <c r="G17" i="25"/>
  <c r="F17" i="25"/>
  <c r="E17" i="25"/>
  <c r="D17" i="25"/>
  <c r="C17" i="25"/>
  <c r="B17" i="25"/>
  <c r="Q16" i="25"/>
  <c r="P16" i="25"/>
  <c r="O16" i="25"/>
  <c r="N16" i="25"/>
  <c r="M16" i="25"/>
  <c r="L16" i="25"/>
  <c r="K16" i="25"/>
  <c r="J16" i="25"/>
  <c r="I16" i="25"/>
  <c r="H16" i="25"/>
  <c r="G16" i="25"/>
  <c r="F16" i="25"/>
  <c r="E16" i="25"/>
  <c r="D16" i="25"/>
  <c r="C16" i="25"/>
  <c r="B16" i="25"/>
  <c r="Q15" i="25"/>
  <c r="P15" i="25"/>
  <c r="O15" i="25"/>
  <c r="N15" i="25"/>
  <c r="M15" i="25"/>
  <c r="L15" i="25"/>
  <c r="K15" i="25"/>
  <c r="J15" i="25"/>
  <c r="I15" i="25"/>
  <c r="H15" i="25"/>
  <c r="G15" i="25"/>
  <c r="F15" i="25"/>
  <c r="E15" i="25"/>
  <c r="D15" i="25"/>
  <c r="C15" i="25"/>
  <c r="B15" i="25"/>
  <c r="Q14" i="25"/>
  <c r="P14" i="25"/>
  <c r="O14" i="25"/>
  <c r="N14" i="25"/>
  <c r="M14" i="25"/>
  <c r="L14" i="25"/>
  <c r="K14" i="25"/>
  <c r="J14" i="25"/>
  <c r="I14" i="25"/>
  <c r="H14" i="25"/>
  <c r="G14" i="25"/>
  <c r="F14" i="25"/>
  <c r="E14" i="25"/>
  <c r="D14" i="25"/>
  <c r="C14" i="25"/>
  <c r="B14" i="25"/>
  <c r="Q13" i="25"/>
  <c r="P13" i="25"/>
  <c r="O13" i="25"/>
  <c r="N13" i="25"/>
  <c r="M13" i="25"/>
  <c r="L13" i="25"/>
  <c r="K13" i="25"/>
  <c r="J13" i="25"/>
  <c r="I13" i="25"/>
  <c r="H13" i="25"/>
  <c r="G13" i="25"/>
  <c r="F13" i="25"/>
  <c r="E13" i="25"/>
  <c r="D13" i="25"/>
  <c r="C13" i="25"/>
  <c r="B13" i="25"/>
  <c r="Q12" i="25"/>
  <c r="P12" i="25"/>
  <c r="O12" i="25"/>
  <c r="N12" i="25"/>
  <c r="M12" i="25"/>
  <c r="L12" i="25"/>
  <c r="K12" i="25"/>
  <c r="J12" i="25"/>
  <c r="I12" i="25"/>
  <c r="H12" i="25"/>
  <c r="G12" i="25"/>
  <c r="F12" i="25"/>
  <c r="E12" i="25"/>
  <c r="D12" i="25"/>
  <c r="C12" i="25"/>
  <c r="C30" i="25" s="1"/>
  <c r="B12" i="25"/>
  <c r="Q11" i="25"/>
  <c r="P11" i="25"/>
  <c r="O11" i="25"/>
  <c r="N11" i="25"/>
  <c r="M11" i="25"/>
  <c r="L11" i="25"/>
  <c r="K11" i="25"/>
  <c r="J11" i="25"/>
  <c r="I11" i="25"/>
  <c r="H11" i="25"/>
  <c r="G11" i="25"/>
  <c r="F11" i="25"/>
  <c r="E11" i="25"/>
  <c r="D11" i="25"/>
  <c r="C11" i="25"/>
  <c r="B11" i="25"/>
  <c r="Q10" i="25"/>
  <c r="P10" i="25"/>
  <c r="O10" i="25"/>
  <c r="N10" i="25"/>
  <c r="M10" i="25"/>
  <c r="L10" i="25"/>
  <c r="K10" i="25"/>
  <c r="J10" i="25"/>
  <c r="I10" i="25"/>
  <c r="H10" i="25"/>
  <c r="G10" i="25"/>
  <c r="F10" i="25"/>
  <c r="E10" i="25"/>
  <c r="D10" i="25"/>
  <c r="C10" i="25"/>
  <c r="B10" i="25"/>
  <c r="Q9" i="25"/>
  <c r="P9" i="25"/>
  <c r="O9" i="25"/>
  <c r="N9" i="25"/>
  <c r="M9" i="25"/>
  <c r="L9" i="25"/>
  <c r="K9" i="25"/>
  <c r="J9" i="25"/>
  <c r="I9" i="25"/>
  <c r="H9" i="25"/>
  <c r="G9" i="25"/>
  <c r="G30" i="25" s="1"/>
  <c r="F9" i="25"/>
  <c r="E9" i="25"/>
  <c r="D9" i="25"/>
  <c r="C9" i="25"/>
  <c r="B9" i="25"/>
  <c r="Q8" i="25"/>
  <c r="P8" i="25"/>
  <c r="O8" i="25"/>
  <c r="N8" i="25"/>
  <c r="M8" i="25"/>
  <c r="L8" i="25"/>
  <c r="K8" i="25"/>
  <c r="J8" i="25"/>
  <c r="I8" i="25"/>
  <c r="H8" i="25"/>
  <c r="G8" i="25"/>
  <c r="F8" i="25"/>
  <c r="E8" i="25"/>
  <c r="D8" i="25"/>
  <c r="C8" i="25"/>
  <c r="B8" i="25"/>
  <c r="Q7" i="25"/>
  <c r="Q30" i="25" s="1"/>
  <c r="P7" i="25"/>
  <c r="O7" i="25"/>
  <c r="N7" i="25"/>
  <c r="M7" i="25"/>
  <c r="L7" i="25"/>
  <c r="K7" i="25"/>
  <c r="J7" i="25"/>
  <c r="I7" i="25"/>
  <c r="H7" i="25"/>
  <c r="G7" i="25"/>
  <c r="F7" i="25"/>
  <c r="E7" i="25"/>
  <c r="D7" i="25"/>
  <c r="C7" i="25"/>
  <c r="B7" i="25"/>
  <c r="Q6" i="25"/>
  <c r="P6" i="25"/>
  <c r="P30" i="25" s="1"/>
  <c r="O6" i="25"/>
  <c r="N6" i="25"/>
  <c r="M6" i="25"/>
  <c r="L6" i="25"/>
  <c r="K6" i="25"/>
  <c r="K30" i="25" s="1"/>
  <c r="J6" i="25"/>
  <c r="J30" i="25" s="1"/>
  <c r="I6" i="25"/>
  <c r="H6" i="25"/>
  <c r="G6" i="25"/>
  <c r="F6" i="25"/>
  <c r="E6" i="25"/>
  <c r="D6" i="25"/>
  <c r="C6" i="25"/>
  <c r="B6" i="25"/>
  <c r="B3" i="25"/>
  <c r="Q35" i="24"/>
  <c r="P35" i="24"/>
  <c r="O35" i="24"/>
  <c r="N35" i="24"/>
  <c r="M35" i="24"/>
  <c r="L35" i="24"/>
  <c r="K35" i="24"/>
  <c r="J35" i="24"/>
  <c r="I35" i="24"/>
  <c r="H35" i="24"/>
  <c r="G35" i="24"/>
  <c r="F35" i="24"/>
  <c r="E35" i="24"/>
  <c r="D35" i="24"/>
  <c r="C35" i="24"/>
  <c r="Q30" i="24"/>
  <c r="P30" i="24"/>
  <c r="O30" i="24"/>
  <c r="N30" i="24"/>
  <c r="M30" i="24"/>
  <c r="L30" i="24"/>
  <c r="K30" i="24"/>
  <c r="J30" i="24"/>
  <c r="I30" i="24"/>
  <c r="H30" i="24"/>
  <c r="G30" i="24"/>
  <c r="F30" i="24"/>
  <c r="E30" i="24"/>
  <c r="D30" i="24"/>
  <c r="C30" i="24"/>
  <c r="Q35" i="23"/>
  <c r="P35" i="23"/>
  <c r="O35" i="23"/>
  <c r="N35" i="23"/>
  <c r="M35" i="23"/>
  <c r="L35" i="23"/>
  <c r="K35" i="23"/>
  <c r="J35" i="23"/>
  <c r="I35" i="23"/>
  <c r="H35" i="23"/>
  <c r="G35" i="23"/>
  <c r="F35" i="23"/>
  <c r="E35" i="23"/>
  <c r="D35" i="23"/>
  <c r="C35" i="23"/>
  <c r="Q30" i="23"/>
  <c r="P30" i="23"/>
  <c r="O30" i="23"/>
  <c r="N30" i="23"/>
  <c r="M30" i="23"/>
  <c r="L30" i="23"/>
  <c r="K30" i="23"/>
  <c r="J30" i="23"/>
  <c r="I30" i="23"/>
  <c r="H30" i="23"/>
  <c r="G30" i="23"/>
  <c r="F30" i="23"/>
  <c r="E30" i="23"/>
  <c r="D30" i="23"/>
  <c r="C30" i="23"/>
  <c r="B3" i="23"/>
  <c r="Q30" i="22"/>
  <c r="P30" i="22"/>
  <c r="O30" i="22"/>
  <c r="N30" i="22"/>
  <c r="M30" i="22"/>
  <c r="L30" i="22"/>
  <c r="K30" i="22"/>
  <c r="J30" i="22"/>
  <c r="I30" i="22"/>
  <c r="H30" i="22"/>
  <c r="G30" i="22"/>
  <c r="F30" i="22"/>
  <c r="E30" i="22"/>
  <c r="D30" i="22"/>
  <c r="C30" i="22"/>
  <c r="B3" i="22"/>
  <c r="Q35" i="21"/>
  <c r="M35" i="21"/>
  <c r="K35" i="21"/>
  <c r="J35" i="21"/>
  <c r="Q34" i="21"/>
  <c r="P34" i="21"/>
  <c r="O34" i="21"/>
  <c r="O35" i="21" s="1"/>
  <c r="N34" i="21"/>
  <c r="N35" i="21" s="1"/>
  <c r="M34" i="21"/>
  <c r="L34" i="21"/>
  <c r="K34" i="21"/>
  <c r="J34" i="21"/>
  <c r="I34" i="21"/>
  <c r="H34" i="21"/>
  <c r="G34" i="21"/>
  <c r="F34" i="21"/>
  <c r="E34" i="21"/>
  <c r="D34" i="21"/>
  <c r="J34" i="15" s="1"/>
  <c r="C34" i="21"/>
  <c r="B34" i="21"/>
  <c r="Q33" i="21"/>
  <c r="P33" i="21"/>
  <c r="O33" i="21"/>
  <c r="N33" i="21"/>
  <c r="M33" i="21"/>
  <c r="L33" i="21"/>
  <c r="K33" i="21"/>
  <c r="J33" i="21"/>
  <c r="I33" i="21"/>
  <c r="I35" i="21" s="1"/>
  <c r="H33" i="21"/>
  <c r="H35" i="21" s="1"/>
  <c r="G33" i="21"/>
  <c r="F33" i="21"/>
  <c r="E33" i="21"/>
  <c r="D33" i="21"/>
  <c r="C33" i="21"/>
  <c r="B33" i="21"/>
  <c r="Q32" i="21"/>
  <c r="P32" i="21"/>
  <c r="P35" i="21" s="1"/>
  <c r="O32" i="21"/>
  <c r="N32" i="21"/>
  <c r="M32" i="21"/>
  <c r="L32" i="21"/>
  <c r="L35" i="21" s="1"/>
  <c r="K32" i="21"/>
  <c r="J32" i="21"/>
  <c r="I32" i="21"/>
  <c r="H32" i="21"/>
  <c r="G32" i="21"/>
  <c r="F32" i="21"/>
  <c r="F35" i="21" s="1"/>
  <c r="E32" i="21"/>
  <c r="E35" i="21" s="1"/>
  <c r="D32" i="21"/>
  <c r="J32" i="15" s="1"/>
  <c r="C32" i="21"/>
  <c r="C35" i="21" s="1"/>
  <c r="B32" i="21"/>
  <c r="Q29" i="21"/>
  <c r="P29" i="21"/>
  <c r="O29" i="21"/>
  <c r="N29" i="21"/>
  <c r="M29" i="21"/>
  <c r="L29" i="21"/>
  <c r="K29" i="21"/>
  <c r="J29" i="21"/>
  <c r="I29" i="21"/>
  <c r="H29" i="21"/>
  <c r="G29" i="21"/>
  <c r="F29" i="21"/>
  <c r="E29" i="21"/>
  <c r="D29" i="21"/>
  <c r="C29" i="21"/>
  <c r="B29" i="21"/>
  <c r="Q28" i="21"/>
  <c r="P28" i="21"/>
  <c r="O28" i="21"/>
  <c r="N28" i="21"/>
  <c r="M28" i="21"/>
  <c r="L28" i="21"/>
  <c r="K28" i="21"/>
  <c r="J28" i="21"/>
  <c r="I28" i="21"/>
  <c r="H28" i="21"/>
  <c r="G28" i="21"/>
  <c r="F28" i="21"/>
  <c r="E28" i="21"/>
  <c r="D28" i="21"/>
  <c r="J28" i="15" s="1"/>
  <c r="C28" i="21"/>
  <c r="B28" i="21"/>
  <c r="Q27" i="21"/>
  <c r="P27" i="21"/>
  <c r="O27" i="21"/>
  <c r="N27" i="21"/>
  <c r="M27" i="21"/>
  <c r="L27" i="21"/>
  <c r="K27" i="21"/>
  <c r="J27" i="21"/>
  <c r="I27" i="21"/>
  <c r="H27" i="21"/>
  <c r="G27" i="21"/>
  <c r="F27" i="21"/>
  <c r="E27" i="21"/>
  <c r="D27" i="21"/>
  <c r="C27" i="21"/>
  <c r="B27" i="21"/>
  <c r="Q26" i="21"/>
  <c r="P26" i="21"/>
  <c r="O26" i="21"/>
  <c r="N26" i="21"/>
  <c r="M26" i="21"/>
  <c r="L26" i="21"/>
  <c r="K26" i="21"/>
  <c r="J26" i="21"/>
  <c r="I26" i="21"/>
  <c r="H26" i="21"/>
  <c r="G26" i="21"/>
  <c r="F26" i="21"/>
  <c r="E26" i="21"/>
  <c r="D26" i="21"/>
  <c r="C26" i="21"/>
  <c r="B26" i="21"/>
  <c r="Q25" i="21"/>
  <c r="P25" i="21"/>
  <c r="O25" i="21"/>
  <c r="N25" i="21"/>
  <c r="M25" i="21"/>
  <c r="L25" i="21"/>
  <c r="K25" i="21"/>
  <c r="J25" i="21"/>
  <c r="I25" i="21"/>
  <c r="H25" i="21"/>
  <c r="G25" i="21"/>
  <c r="F25" i="21"/>
  <c r="E25" i="21"/>
  <c r="D25" i="21"/>
  <c r="C25" i="21"/>
  <c r="B25" i="21"/>
  <c r="Q24" i="21"/>
  <c r="P24" i="21"/>
  <c r="O24" i="21"/>
  <c r="N24" i="21"/>
  <c r="M24" i="21"/>
  <c r="L24" i="21"/>
  <c r="K24" i="21"/>
  <c r="J24" i="21"/>
  <c r="I24" i="21"/>
  <c r="H24" i="21"/>
  <c r="G24" i="21"/>
  <c r="F24" i="21"/>
  <c r="E24" i="21"/>
  <c r="D24" i="21"/>
  <c r="J24" i="15" s="1"/>
  <c r="C24" i="21"/>
  <c r="B24" i="21"/>
  <c r="Q23" i="21"/>
  <c r="P23" i="21"/>
  <c r="O23" i="21"/>
  <c r="N23" i="21"/>
  <c r="M23" i="21"/>
  <c r="L23" i="21"/>
  <c r="K23" i="21"/>
  <c r="J23" i="21"/>
  <c r="I23" i="21"/>
  <c r="H23" i="21"/>
  <c r="G23" i="21"/>
  <c r="F23" i="21"/>
  <c r="E23" i="21"/>
  <c r="D23" i="21"/>
  <c r="C23" i="21"/>
  <c r="B23" i="21"/>
  <c r="Q22" i="21"/>
  <c r="P22" i="21"/>
  <c r="O22" i="21"/>
  <c r="N22" i="21"/>
  <c r="M22" i="21"/>
  <c r="L22" i="21"/>
  <c r="K22" i="21"/>
  <c r="J22" i="21"/>
  <c r="I22" i="21"/>
  <c r="H22" i="21"/>
  <c r="G22" i="21"/>
  <c r="F22" i="21"/>
  <c r="E22" i="21"/>
  <c r="D22" i="21"/>
  <c r="J22" i="15" s="1"/>
  <c r="C22" i="21"/>
  <c r="B22" i="21"/>
  <c r="Q21" i="21"/>
  <c r="P21" i="21"/>
  <c r="O21" i="21"/>
  <c r="N21" i="21"/>
  <c r="M21" i="21"/>
  <c r="L21" i="21"/>
  <c r="K21" i="21"/>
  <c r="J21" i="21"/>
  <c r="I21" i="21"/>
  <c r="H21" i="21"/>
  <c r="G21" i="21"/>
  <c r="F21" i="21"/>
  <c r="E21" i="21"/>
  <c r="D21" i="21"/>
  <c r="C21" i="21"/>
  <c r="B21" i="21"/>
  <c r="Q20" i="21"/>
  <c r="P20" i="21"/>
  <c r="O20" i="21"/>
  <c r="N20" i="21"/>
  <c r="M20" i="21"/>
  <c r="L20" i="21"/>
  <c r="K20" i="21"/>
  <c r="J20" i="21"/>
  <c r="I20" i="21"/>
  <c r="H20" i="21"/>
  <c r="G20" i="21"/>
  <c r="F20" i="21"/>
  <c r="E20" i="21"/>
  <c r="D20" i="21"/>
  <c r="C20" i="21"/>
  <c r="B20" i="21"/>
  <c r="Q19" i="21"/>
  <c r="P19" i="21"/>
  <c r="O19" i="21"/>
  <c r="N19" i="21"/>
  <c r="M19" i="21"/>
  <c r="L19" i="21"/>
  <c r="K19" i="21"/>
  <c r="J19" i="21"/>
  <c r="I19" i="21"/>
  <c r="H19" i="21"/>
  <c r="G19" i="21"/>
  <c r="F19" i="21"/>
  <c r="E19" i="21"/>
  <c r="D19" i="21"/>
  <c r="C19" i="21"/>
  <c r="B19" i="21"/>
  <c r="Q18" i="21"/>
  <c r="P18" i="21"/>
  <c r="O18" i="21"/>
  <c r="N18" i="21"/>
  <c r="M18" i="21"/>
  <c r="L18" i="21"/>
  <c r="K18" i="21"/>
  <c r="J18" i="21"/>
  <c r="I18" i="21"/>
  <c r="H18" i="21"/>
  <c r="G18" i="21"/>
  <c r="F18" i="21"/>
  <c r="E18" i="21"/>
  <c r="D18" i="21"/>
  <c r="C18" i="21"/>
  <c r="B18" i="21"/>
  <c r="Q17" i="21"/>
  <c r="P17" i="21"/>
  <c r="O17" i="21"/>
  <c r="N17" i="21"/>
  <c r="M17" i="21"/>
  <c r="L17" i="21"/>
  <c r="K17" i="21"/>
  <c r="J17" i="21"/>
  <c r="I17" i="21"/>
  <c r="H17" i="21"/>
  <c r="G17" i="21"/>
  <c r="F17" i="21"/>
  <c r="E17" i="21"/>
  <c r="D17" i="21"/>
  <c r="J17" i="15" s="1"/>
  <c r="C17" i="21"/>
  <c r="B17" i="21"/>
  <c r="Q16" i="21"/>
  <c r="P16" i="21"/>
  <c r="O16" i="21"/>
  <c r="N16" i="21"/>
  <c r="M16" i="21"/>
  <c r="L16" i="21"/>
  <c r="K16" i="21"/>
  <c r="J16" i="21"/>
  <c r="I16" i="21"/>
  <c r="H16" i="21"/>
  <c r="G16" i="21"/>
  <c r="F16" i="21"/>
  <c r="E16" i="21"/>
  <c r="D16" i="21"/>
  <c r="C16" i="21"/>
  <c r="B16" i="21"/>
  <c r="Q15" i="21"/>
  <c r="P15" i="21"/>
  <c r="O15" i="21"/>
  <c r="N15" i="21"/>
  <c r="M15" i="21"/>
  <c r="M30" i="21" s="1"/>
  <c r="L15" i="21"/>
  <c r="K15" i="21"/>
  <c r="J15" i="21"/>
  <c r="I15" i="21"/>
  <c r="H15" i="21"/>
  <c r="G15" i="21"/>
  <c r="F15" i="21"/>
  <c r="E15" i="21"/>
  <c r="D15" i="21"/>
  <c r="J15" i="15" s="1"/>
  <c r="C15" i="21"/>
  <c r="B15" i="21"/>
  <c r="Q14" i="21"/>
  <c r="P14" i="21"/>
  <c r="O14" i="21"/>
  <c r="N14" i="21"/>
  <c r="M14" i="21"/>
  <c r="L14" i="21"/>
  <c r="K14" i="21"/>
  <c r="J14" i="21"/>
  <c r="I14" i="21"/>
  <c r="H14" i="21"/>
  <c r="G14" i="21"/>
  <c r="F14" i="21"/>
  <c r="E14" i="21"/>
  <c r="D14" i="21"/>
  <c r="C14" i="21"/>
  <c r="B14" i="21"/>
  <c r="Q13" i="21"/>
  <c r="P13" i="21"/>
  <c r="O13" i="21"/>
  <c r="N13" i="21"/>
  <c r="M13" i="21"/>
  <c r="L13" i="21"/>
  <c r="K13" i="21"/>
  <c r="J13" i="21"/>
  <c r="I13" i="21"/>
  <c r="H13" i="21"/>
  <c r="G13" i="21"/>
  <c r="F13" i="21"/>
  <c r="E13" i="21"/>
  <c r="D13" i="21"/>
  <c r="J13" i="15" s="1"/>
  <c r="C13" i="21"/>
  <c r="B13" i="21"/>
  <c r="Q12" i="21"/>
  <c r="Q30" i="21" s="1"/>
  <c r="P12" i="21"/>
  <c r="O12" i="21"/>
  <c r="N12" i="21"/>
  <c r="M12" i="21"/>
  <c r="L12" i="21"/>
  <c r="K12" i="21"/>
  <c r="J12" i="21"/>
  <c r="I12" i="21"/>
  <c r="H12" i="21"/>
  <c r="G12" i="21"/>
  <c r="F12" i="21"/>
  <c r="E12" i="21"/>
  <c r="D12" i="21"/>
  <c r="C12" i="21"/>
  <c r="B12" i="21"/>
  <c r="Q11" i="21"/>
  <c r="P11" i="21"/>
  <c r="O11" i="21"/>
  <c r="N11" i="21"/>
  <c r="M11" i="21"/>
  <c r="L11" i="21"/>
  <c r="K11" i="21"/>
  <c r="J11" i="21"/>
  <c r="I11" i="21"/>
  <c r="H11" i="21"/>
  <c r="G11" i="21"/>
  <c r="F11" i="21"/>
  <c r="E11" i="21"/>
  <c r="D11" i="21"/>
  <c r="C11" i="21"/>
  <c r="B11" i="21"/>
  <c r="Q10" i="21"/>
  <c r="P10" i="21"/>
  <c r="O10" i="21"/>
  <c r="N10" i="21"/>
  <c r="M10" i="21"/>
  <c r="L10" i="21"/>
  <c r="K10" i="21"/>
  <c r="J10" i="21"/>
  <c r="I10" i="21"/>
  <c r="H10" i="21"/>
  <c r="G10" i="21"/>
  <c r="F10" i="21"/>
  <c r="E10" i="21"/>
  <c r="D10" i="21"/>
  <c r="C10" i="21"/>
  <c r="B10" i="21"/>
  <c r="Q9" i="21"/>
  <c r="P9" i="21"/>
  <c r="O9" i="21"/>
  <c r="N9" i="21"/>
  <c r="M9" i="21"/>
  <c r="L9" i="21"/>
  <c r="K9" i="21"/>
  <c r="J9" i="21"/>
  <c r="I9" i="21"/>
  <c r="H9" i="21"/>
  <c r="G9" i="21"/>
  <c r="F9" i="21"/>
  <c r="E9" i="21"/>
  <c r="D9" i="21"/>
  <c r="C9" i="21"/>
  <c r="B9" i="21"/>
  <c r="Q8" i="21"/>
  <c r="P8" i="21"/>
  <c r="O8" i="21"/>
  <c r="N8" i="21"/>
  <c r="M8" i="21"/>
  <c r="L8" i="21"/>
  <c r="K8" i="21"/>
  <c r="J8" i="21"/>
  <c r="I8" i="21"/>
  <c r="H8" i="21"/>
  <c r="G8" i="21"/>
  <c r="F8" i="21"/>
  <c r="E8" i="21"/>
  <c r="D8" i="21"/>
  <c r="C8" i="21"/>
  <c r="B8" i="21"/>
  <c r="Q7" i="21"/>
  <c r="P7" i="21"/>
  <c r="O7" i="21"/>
  <c r="N7" i="21"/>
  <c r="M7" i="21"/>
  <c r="L7" i="21"/>
  <c r="K7" i="21"/>
  <c r="J7" i="21"/>
  <c r="J30" i="21" s="1"/>
  <c r="I7" i="21"/>
  <c r="H7" i="21"/>
  <c r="G7" i="21"/>
  <c r="F7" i="21"/>
  <c r="E7" i="21"/>
  <c r="D7" i="21"/>
  <c r="J7" i="15" s="1"/>
  <c r="C7" i="21"/>
  <c r="B7" i="21"/>
  <c r="Q6" i="21"/>
  <c r="P6" i="21"/>
  <c r="O6" i="21"/>
  <c r="N6" i="21"/>
  <c r="M6" i="21"/>
  <c r="L6" i="21"/>
  <c r="K6" i="21"/>
  <c r="J6" i="21"/>
  <c r="I6" i="21"/>
  <c r="H6" i="21"/>
  <c r="G6" i="21"/>
  <c r="F6" i="21"/>
  <c r="E6" i="21"/>
  <c r="D6" i="21"/>
  <c r="D30" i="21" s="1"/>
  <c r="C6" i="21"/>
  <c r="C30" i="21" s="1"/>
  <c r="B6" i="21"/>
  <c r="Q35" i="20"/>
  <c r="P35" i="20"/>
  <c r="O35" i="20"/>
  <c r="N35" i="20"/>
  <c r="M35" i="20"/>
  <c r="L35" i="20"/>
  <c r="K35" i="20"/>
  <c r="J35" i="20"/>
  <c r="I35" i="20"/>
  <c r="H35" i="20"/>
  <c r="G35" i="20"/>
  <c r="F35" i="20"/>
  <c r="E35" i="20"/>
  <c r="D35" i="20"/>
  <c r="C35" i="20"/>
  <c r="Q30" i="20"/>
  <c r="P30" i="20"/>
  <c r="O30" i="20"/>
  <c r="N30" i="20"/>
  <c r="M30" i="20"/>
  <c r="L30" i="20"/>
  <c r="K30" i="20"/>
  <c r="J30" i="20"/>
  <c r="I30" i="20"/>
  <c r="H30" i="20"/>
  <c r="G30" i="20"/>
  <c r="F30" i="20"/>
  <c r="E30" i="20"/>
  <c r="D30" i="20"/>
  <c r="C30" i="20"/>
  <c r="Q35" i="19"/>
  <c r="P35" i="19"/>
  <c r="O35" i="19"/>
  <c r="N35" i="19"/>
  <c r="M35" i="19"/>
  <c r="L35" i="19"/>
  <c r="K35" i="19"/>
  <c r="J35" i="19"/>
  <c r="I35" i="19"/>
  <c r="H35" i="19"/>
  <c r="G35" i="19"/>
  <c r="F35" i="19"/>
  <c r="E35" i="19"/>
  <c r="D35" i="19"/>
  <c r="C35" i="19"/>
  <c r="Q30" i="19"/>
  <c r="P30" i="19"/>
  <c r="O30" i="19"/>
  <c r="N30" i="19"/>
  <c r="M30" i="19"/>
  <c r="L30" i="19"/>
  <c r="K30" i="19"/>
  <c r="J30" i="19"/>
  <c r="I30" i="19"/>
  <c r="H30" i="19"/>
  <c r="G30" i="19"/>
  <c r="F30" i="19"/>
  <c r="E30" i="19"/>
  <c r="D30" i="19"/>
  <c r="C30" i="19"/>
  <c r="Q35" i="18"/>
  <c r="P35" i="18"/>
  <c r="O35" i="18"/>
  <c r="N35" i="18"/>
  <c r="M35" i="18"/>
  <c r="L35" i="18"/>
  <c r="K35" i="18"/>
  <c r="J35" i="18"/>
  <c r="I35" i="18"/>
  <c r="H35" i="18"/>
  <c r="G35" i="18"/>
  <c r="F35" i="18"/>
  <c r="E35" i="18"/>
  <c r="D35" i="18"/>
  <c r="C35" i="18"/>
  <c r="Q30" i="18"/>
  <c r="P30" i="18"/>
  <c r="O30" i="18"/>
  <c r="N30" i="18"/>
  <c r="M30" i="18"/>
  <c r="L30" i="18"/>
  <c r="K30" i="18"/>
  <c r="J30" i="18"/>
  <c r="I30" i="18"/>
  <c r="H30" i="18"/>
  <c r="G30" i="18"/>
  <c r="F30" i="18"/>
  <c r="E30" i="18"/>
  <c r="D30" i="18"/>
  <c r="C30" i="18"/>
  <c r="Q35" i="17"/>
  <c r="P35" i="17"/>
  <c r="O35" i="17"/>
  <c r="N35" i="17"/>
  <c r="M35" i="17"/>
  <c r="L35" i="17"/>
  <c r="K35" i="17"/>
  <c r="J35" i="17"/>
  <c r="I35" i="17"/>
  <c r="H35" i="17"/>
  <c r="G35" i="17"/>
  <c r="F35" i="17"/>
  <c r="E35" i="17"/>
  <c r="D35" i="17"/>
  <c r="C35" i="17"/>
  <c r="Q30" i="17"/>
  <c r="P30" i="17"/>
  <c r="O30" i="17"/>
  <c r="N30" i="17"/>
  <c r="M30" i="17"/>
  <c r="L30" i="17"/>
  <c r="K30" i="17"/>
  <c r="J30" i="17"/>
  <c r="I30" i="17"/>
  <c r="H30" i="17"/>
  <c r="G30" i="17"/>
  <c r="F30" i="17"/>
  <c r="E30" i="17"/>
  <c r="D30" i="17"/>
  <c r="C30" i="17"/>
  <c r="B34" i="16"/>
  <c r="B33" i="16"/>
  <c r="I32" i="16"/>
  <c r="H32" i="16"/>
  <c r="B32" i="16"/>
  <c r="B29" i="16"/>
  <c r="B28" i="16"/>
  <c r="B27" i="16"/>
  <c r="B26" i="16"/>
  <c r="B25" i="16"/>
  <c r="B24" i="16"/>
  <c r="B23" i="16"/>
  <c r="B22" i="16"/>
  <c r="B21" i="16"/>
  <c r="B20" i="16"/>
  <c r="B19" i="16"/>
  <c r="B18" i="16"/>
  <c r="F17" i="16"/>
  <c r="B17" i="16"/>
  <c r="B16" i="16"/>
  <c r="B15" i="16"/>
  <c r="B14" i="16"/>
  <c r="B13" i="16"/>
  <c r="B12" i="16"/>
  <c r="B11" i="16"/>
  <c r="B10" i="16"/>
  <c r="B9" i="16"/>
  <c r="B8" i="16"/>
  <c r="B7" i="16"/>
  <c r="B6" i="16"/>
  <c r="J35" i="15"/>
  <c r="J34" i="16" s="1"/>
  <c r="I35" i="15"/>
  <c r="I34" i="16" s="1"/>
  <c r="H35" i="15"/>
  <c r="H34" i="16" s="1"/>
  <c r="I34" i="15"/>
  <c r="H34" i="15"/>
  <c r="G34" i="15"/>
  <c r="F34" i="15"/>
  <c r="E34" i="15"/>
  <c r="D34" i="15"/>
  <c r="C34" i="15"/>
  <c r="B34" i="15"/>
  <c r="J33" i="15"/>
  <c r="I33" i="15"/>
  <c r="H33" i="15"/>
  <c r="G33" i="15"/>
  <c r="F33" i="15"/>
  <c r="E33" i="15"/>
  <c r="D33" i="15"/>
  <c r="C33" i="15"/>
  <c r="B33" i="15"/>
  <c r="K32" i="15"/>
  <c r="I32" i="15"/>
  <c r="H32" i="15"/>
  <c r="G32" i="15"/>
  <c r="F32" i="15"/>
  <c r="E32" i="15"/>
  <c r="D32" i="15"/>
  <c r="C32" i="15"/>
  <c r="B32" i="15"/>
  <c r="J29" i="15"/>
  <c r="I29" i="15"/>
  <c r="H29" i="15"/>
  <c r="G29" i="15"/>
  <c r="F29" i="15"/>
  <c r="E29" i="15"/>
  <c r="D29" i="15"/>
  <c r="C29" i="15"/>
  <c r="B29" i="15"/>
  <c r="I28" i="15"/>
  <c r="H28" i="15"/>
  <c r="G28" i="15"/>
  <c r="F28" i="15"/>
  <c r="E28" i="15"/>
  <c r="D28" i="15"/>
  <c r="C28" i="15"/>
  <c r="B28" i="15"/>
  <c r="J27" i="15"/>
  <c r="I27" i="15"/>
  <c r="H27" i="15"/>
  <c r="G27" i="15"/>
  <c r="F27" i="15"/>
  <c r="E27" i="15"/>
  <c r="D27" i="15"/>
  <c r="C27" i="15"/>
  <c r="B27" i="15"/>
  <c r="J26" i="15"/>
  <c r="I26" i="15"/>
  <c r="H26" i="15"/>
  <c r="G26" i="15"/>
  <c r="F26" i="15"/>
  <c r="E26" i="15"/>
  <c r="D26" i="15"/>
  <c r="C26" i="15"/>
  <c r="B26" i="15"/>
  <c r="J25" i="15"/>
  <c r="I25" i="15"/>
  <c r="H25" i="15"/>
  <c r="G25" i="15"/>
  <c r="F25" i="15"/>
  <c r="E25" i="15"/>
  <c r="D25" i="15"/>
  <c r="C25" i="15"/>
  <c r="B25" i="15"/>
  <c r="I24" i="15"/>
  <c r="H24" i="15"/>
  <c r="G24" i="15"/>
  <c r="F24" i="15"/>
  <c r="E24" i="15"/>
  <c r="D24" i="15"/>
  <c r="C24" i="15"/>
  <c r="B24" i="15"/>
  <c r="J23" i="15"/>
  <c r="I23" i="15"/>
  <c r="H23" i="15"/>
  <c r="G23" i="15"/>
  <c r="F23" i="15"/>
  <c r="E23" i="15"/>
  <c r="D23" i="15"/>
  <c r="C23" i="15"/>
  <c r="K23" i="15" s="1"/>
  <c r="B23" i="15"/>
  <c r="I22" i="15"/>
  <c r="H22" i="15"/>
  <c r="G22" i="15"/>
  <c r="F22" i="15"/>
  <c r="E22" i="15"/>
  <c r="K22" i="15" s="1"/>
  <c r="D22" i="15"/>
  <c r="C22" i="15"/>
  <c r="B22" i="15"/>
  <c r="J21" i="15"/>
  <c r="I21" i="15"/>
  <c r="H21" i="15"/>
  <c r="G21" i="15"/>
  <c r="F21" i="15"/>
  <c r="E21" i="15"/>
  <c r="D21" i="15"/>
  <c r="C21" i="15"/>
  <c r="B21" i="15"/>
  <c r="J20" i="15"/>
  <c r="I20" i="15"/>
  <c r="H20" i="15"/>
  <c r="G20" i="15"/>
  <c r="F20" i="15"/>
  <c r="E20" i="15"/>
  <c r="D20" i="15"/>
  <c r="C20" i="15"/>
  <c r="B20" i="15"/>
  <c r="J19" i="15"/>
  <c r="I19" i="15"/>
  <c r="H19" i="15"/>
  <c r="G19" i="15"/>
  <c r="F19" i="15"/>
  <c r="E19" i="15"/>
  <c r="D19" i="15"/>
  <c r="C19" i="15"/>
  <c r="B19" i="15"/>
  <c r="J18" i="15"/>
  <c r="I18" i="15"/>
  <c r="H18" i="15"/>
  <c r="G18" i="15"/>
  <c r="F18" i="15"/>
  <c r="E18" i="15"/>
  <c r="D18" i="15"/>
  <c r="C18" i="15"/>
  <c r="B18" i="15"/>
  <c r="I17" i="15"/>
  <c r="H17" i="15"/>
  <c r="G17" i="15"/>
  <c r="F17" i="15"/>
  <c r="E17" i="15"/>
  <c r="D17" i="15"/>
  <c r="C17" i="15"/>
  <c r="B17" i="15"/>
  <c r="J16" i="15"/>
  <c r="I16" i="15"/>
  <c r="H16" i="15"/>
  <c r="G16" i="15"/>
  <c r="F16" i="15"/>
  <c r="E16" i="15"/>
  <c r="D16" i="15"/>
  <c r="C16" i="15"/>
  <c r="B16" i="15"/>
  <c r="I15" i="15"/>
  <c r="H15" i="15"/>
  <c r="G15" i="15"/>
  <c r="F15" i="15"/>
  <c r="E15" i="15"/>
  <c r="D15" i="15"/>
  <c r="C15" i="15"/>
  <c r="B15" i="15"/>
  <c r="J14" i="15"/>
  <c r="I14" i="15"/>
  <c r="H14" i="15"/>
  <c r="G14" i="15"/>
  <c r="F14" i="15"/>
  <c r="E14" i="15"/>
  <c r="D14" i="15"/>
  <c r="C14" i="15"/>
  <c r="B14" i="15"/>
  <c r="I13" i="15"/>
  <c r="H13" i="15"/>
  <c r="G13" i="15"/>
  <c r="F13" i="15"/>
  <c r="F30" i="15" s="1"/>
  <c r="F23" i="16" s="1"/>
  <c r="E13" i="15"/>
  <c r="D13" i="15"/>
  <c r="C13" i="15"/>
  <c r="B13" i="15"/>
  <c r="J12" i="15"/>
  <c r="I12" i="15"/>
  <c r="H12" i="15"/>
  <c r="G12" i="15"/>
  <c r="F12" i="15"/>
  <c r="E12" i="15"/>
  <c r="D12" i="15"/>
  <c r="C12" i="15"/>
  <c r="B12" i="15"/>
  <c r="J11" i="15"/>
  <c r="I11" i="15"/>
  <c r="H11" i="15"/>
  <c r="G11" i="15"/>
  <c r="F11" i="15"/>
  <c r="E11" i="15"/>
  <c r="D11" i="15"/>
  <c r="C11" i="15"/>
  <c r="B11" i="15"/>
  <c r="J10" i="15"/>
  <c r="I10" i="15"/>
  <c r="H10" i="15"/>
  <c r="G10" i="15"/>
  <c r="F10" i="15"/>
  <c r="K10" i="15" s="1"/>
  <c r="E10" i="15"/>
  <c r="D10" i="15"/>
  <c r="C10" i="15"/>
  <c r="B10" i="15"/>
  <c r="J9" i="15"/>
  <c r="I9" i="15"/>
  <c r="H9" i="15"/>
  <c r="G9" i="15"/>
  <c r="F9" i="15"/>
  <c r="E9" i="15"/>
  <c r="D9" i="15"/>
  <c r="C9" i="15"/>
  <c r="B9" i="15"/>
  <c r="J8" i="15"/>
  <c r="I8" i="15"/>
  <c r="H8" i="15"/>
  <c r="G8" i="15"/>
  <c r="F8" i="15"/>
  <c r="E8" i="15"/>
  <c r="D8" i="15"/>
  <c r="C8" i="15"/>
  <c r="B8" i="15"/>
  <c r="I7" i="15"/>
  <c r="H7" i="15"/>
  <c r="G7" i="15"/>
  <c r="F7" i="15"/>
  <c r="E7" i="15"/>
  <c r="D7" i="15"/>
  <c r="C7" i="15"/>
  <c r="B7" i="15"/>
  <c r="I6" i="15"/>
  <c r="H6" i="15"/>
  <c r="G6" i="15"/>
  <c r="F6" i="15"/>
  <c r="E6" i="15"/>
  <c r="D6" i="15"/>
  <c r="C6" i="15"/>
  <c r="B6" i="15"/>
  <c r="Q41" i="13"/>
  <c r="P41" i="13" s="1"/>
  <c r="Q40" i="13"/>
  <c r="P40" i="13"/>
  <c r="Q39" i="13"/>
  <c r="P39" i="13"/>
  <c r="Q38" i="13"/>
  <c r="P38" i="13"/>
  <c r="Q37" i="13"/>
  <c r="P37" i="13" s="1"/>
  <c r="Q36" i="13"/>
  <c r="P36" i="13" s="1"/>
  <c r="Q35" i="13"/>
  <c r="P35" i="13"/>
  <c r="Q34" i="13"/>
  <c r="P34" i="13" s="1"/>
  <c r="Q33" i="13"/>
  <c r="P33" i="13"/>
  <c r="Q32" i="13"/>
  <c r="P32" i="13" s="1"/>
  <c r="Q31" i="13"/>
  <c r="P31" i="13" s="1"/>
  <c r="Q30" i="13"/>
  <c r="P30" i="13" s="1"/>
  <c r="Q29" i="13"/>
  <c r="P29" i="13"/>
  <c r="Q28" i="13"/>
  <c r="P28" i="13"/>
  <c r="Q27" i="13"/>
  <c r="P27" i="13"/>
  <c r="Q26" i="13"/>
  <c r="P26" i="13"/>
  <c r="Q25" i="13"/>
  <c r="P25" i="13" s="1"/>
  <c r="Q24" i="13"/>
  <c r="P24" i="13" s="1"/>
  <c r="Q23" i="13"/>
  <c r="P23" i="13"/>
  <c r="Q22" i="13"/>
  <c r="P22" i="13" s="1"/>
  <c r="Q21" i="13"/>
  <c r="P21" i="13"/>
  <c r="Q20" i="13"/>
  <c r="P20" i="13" s="1"/>
  <c r="Q19" i="13"/>
  <c r="P19" i="13" s="1"/>
  <c r="Q18" i="13"/>
  <c r="P18" i="13"/>
  <c r="Q17" i="13"/>
  <c r="P17" i="13"/>
  <c r="Q16" i="13"/>
  <c r="P16" i="13"/>
  <c r="Q15" i="13"/>
  <c r="P15" i="13"/>
  <c r="Q14" i="13"/>
  <c r="P14" i="13"/>
  <c r="Q13" i="13"/>
  <c r="P13" i="13" s="1"/>
  <c r="Q12" i="13"/>
  <c r="P12" i="13" s="1"/>
  <c r="Q11" i="13"/>
  <c r="P11" i="13"/>
  <c r="Q10" i="13"/>
  <c r="P10" i="13" s="1"/>
  <c r="Q9" i="13"/>
  <c r="P9" i="13" s="1"/>
  <c r="Q8" i="13"/>
  <c r="P8" i="13" s="1"/>
  <c r="Q7" i="13"/>
  <c r="P7" i="13" s="1"/>
  <c r="Q6" i="13"/>
  <c r="P6" i="13" s="1"/>
  <c r="R52" i="9"/>
  <c r="Q52" i="9"/>
  <c r="P52" i="9"/>
  <c r="R51" i="9"/>
  <c r="Q51" i="9"/>
  <c r="P51" i="9"/>
  <c r="O51" i="9"/>
  <c r="R50" i="9"/>
  <c r="Q50" i="9"/>
  <c r="P50" i="9"/>
  <c r="O43" i="9"/>
  <c r="N43" i="9"/>
  <c r="N51" i="9" s="1"/>
  <c r="O42" i="9"/>
  <c r="N42" i="9" s="1"/>
  <c r="O41" i="9"/>
  <c r="N41" i="9" s="1"/>
  <c r="O40" i="9"/>
  <c r="N40" i="9"/>
  <c r="O39" i="9"/>
  <c r="N39" i="9"/>
  <c r="O38" i="9"/>
  <c r="N38" i="9"/>
  <c r="O37" i="9"/>
  <c r="N37" i="9"/>
  <c r="O36" i="9"/>
  <c r="N36" i="9"/>
  <c r="O35" i="9"/>
  <c r="N35" i="9"/>
  <c r="O34" i="9"/>
  <c r="N34" i="9"/>
  <c r="O33" i="9"/>
  <c r="N33" i="9"/>
  <c r="O32" i="9"/>
  <c r="N32" i="9"/>
  <c r="O31" i="9"/>
  <c r="N31" i="9"/>
  <c r="O30" i="9"/>
  <c r="N30" i="9" s="1"/>
  <c r="O29" i="9"/>
  <c r="O28" i="9"/>
  <c r="N28" i="9" s="1"/>
  <c r="O27" i="9"/>
  <c r="N27" i="9"/>
  <c r="O26" i="9"/>
  <c r="N26" i="9" s="1"/>
  <c r="O25" i="9"/>
  <c r="N25" i="9"/>
  <c r="O24" i="9"/>
  <c r="N24" i="9"/>
  <c r="O23" i="9"/>
  <c r="O22" i="9"/>
  <c r="O21" i="9"/>
  <c r="N21" i="9"/>
  <c r="O20" i="9"/>
  <c r="N20" i="9"/>
  <c r="O19" i="9"/>
  <c r="O18" i="9"/>
  <c r="N18" i="9"/>
  <c r="O17" i="9"/>
  <c r="N17" i="9"/>
  <c r="O16" i="9"/>
  <c r="N16" i="9"/>
  <c r="O15" i="9"/>
  <c r="N15" i="9"/>
  <c r="O14" i="9"/>
  <c r="O13" i="9"/>
  <c r="N13" i="9" s="1"/>
  <c r="O12" i="9"/>
  <c r="N12" i="9"/>
  <c r="O11" i="9"/>
  <c r="O10" i="9"/>
  <c r="N10" i="9" s="1"/>
  <c r="O9" i="9"/>
  <c r="O8" i="9"/>
  <c r="N8" i="9" s="1"/>
  <c r="O7" i="9"/>
  <c r="N7" i="9"/>
  <c r="O6" i="9"/>
  <c r="N6" i="9" s="1"/>
  <c r="D36" i="5"/>
  <c r="C36" i="5"/>
  <c r="R35" i="5"/>
  <c r="R36" i="5" s="1"/>
  <c r="Q35" i="5"/>
  <c r="Q36" i="5" s="1"/>
  <c r="P35" i="5"/>
  <c r="P36" i="5" s="1"/>
  <c r="O35" i="5"/>
  <c r="O36" i="5" s="1"/>
  <c r="N35" i="5"/>
  <c r="N36" i="5" s="1"/>
  <c r="M35" i="5"/>
  <c r="M36" i="5" s="1"/>
  <c r="L35" i="5"/>
  <c r="K35" i="5"/>
  <c r="J35" i="5"/>
  <c r="I35" i="5"/>
  <c r="H35" i="5"/>
  <c r="G35" i="5"/>
  <c r="F35" i="5"/>
  <c r="E35" i="5"/>
  <c r="D35" i="5"/>
  <c r="C35" i="5"/>
  <c r="R30" i="5"/>
  <c r="Q30" i="5"/>
  <c r="P30" i="5"/>
  <c r="O30" i="5"/>
  <c r="N30" i="5"/>
  <c r="M30" i="5"/>
  <c r="L30" i="5"/>
  <c r="K30" i="5"/>
  <c r="J30" i="5"/>
  <c r="I30" i="5"/>
  <c r="H30" i="5"/>
  <c r="H36" i="5" s="1"/>
  <c r="G30" i="5"/>
  <c r="G36" i="5" s="1"/>
  <c r="F30" i="5"/>
  <c r="E30" i="5"/>
  <c r="E36" i="5" s="1"/>
  <c r="D30" i="5"/>
  <c r="C30" i="5"/>
  <c r="C51" i="4"/>
  <c r="R50" i="4"/>
  <c r="R51" i="4" s="1"/>
  <c r="Q50" i="4"/>
  <c r="Q51" i="4" s="1"/>
  <c r="P50" i="4"/>
  <c r="O50" i="4"/>
  <c r="N50" i="4"/>
  <c r="M50" i="4"/>
  <c r="L50" i="4"/>
  <c r="K50" i="4"/>
  <c r="J50" i="4"/>
  <c r="I50" i="4"/>
  <c r="H50" i="4"/>
  <c r="G50" i="4"/>
  <c r="F50" i="4"/>
  <c r="E50" i="4"/>
  <c r="D50" i="4"/>
  <c r="C50" i="4"/>
  <c r="R43" i="4"/>
  <c r="Q43" i="4"/>
  <c r="P43" i="4"/>
  <c r="O43" i="4"/>
  <c r="N43" i="4"/>
  <c r="M43" i="4"/>
  <c r="L43" i="4"/>
  <c r="K43" i="4"/>
  <c r="J43" i="4"/>
  <c r="I43" i="4"/>
  <c r="I51" i="4" s="1"/>
  <c r="H43" i="4"/>
  <c r="H51" i="4" s="1"/>
  <c r="G43" i="4"/>
  <c r="G51" i="4" s="1"/>
  <c r="F43" i="4"/>
  <c r="F51" i="4" s="1"/>
  <c r="E43" i="4"/>
  <c r="E51" i="4" s="1"/>
  <c r="D43" i="4"/>
  <c r="D51" i="4" s="1"/>
  <c r="C43" i="4"/>
  <c r="C37" i="3"/>
  <c r="B3" i="42" s="1"/>
  <c r="C35" i="3"/>
  <c r="B3" i="41" s="1"/>
  <c r="B3" i="40"/>
  <c r="C34" i="3"/>
  <c r="B3" i="35" s="1"/>
  <c r="C33" i="3"/>
  <c r="B3" i="34" s="1"/>
  <c r="C32" i="3"/>
  <c r="B3" i="33" s="1"/>
  <c r="C31" i="3"/>
  <c r="B3" i="32" s="1"/>
  <c r="C30" i="3"/>
  <c r="B3" i="29" s="1"/>
  <c r="C29" i="3"/>
  <c r="B3" i="28" s="1"/>
  <c r="C28" i="3"/>
  <c r="B3" i="27" s="1"/>
  <c r="C27" i="3"/>
  <c r="B3" i="26" s="1"/>
  <c r="C26" i="3"/>
  <c r="B3" i="24" s="1"/>
  <c r="C25" i="3"/>
  <c r="B3" i="21" s="1"/>
  <c r="C24" i="3"/>
  <c r="B3" i="20" s="1"/>
  <c r="C23" i="3"/>
  <c r="B3" i="19" s="1"/>
  <c r="C22" i="3"/>
  <c r="B3" i="18" s="1"/>
  <c r="C21" i="3"/>
  <c r="B3" i="17" s="1"/>
  <c r="C20" i="3"/>
  <c r="B3" i="16" s="1"/>
  <c r="C19" i="3"/>
  <c r="B3" i="15" s="1"/>
  <c r="C18" i="3"/>
  <c r="B4" i="14" s="1"/>
  <c r="C17" i="3"/>
  <c r="B4" i="13" s="1"/>
  <c r="C16" i="3"/>
  <c r="B4" i="12" s="1"/>
  <c r="C15" i="3"/>
  <c r="B4" i="11" s="1"/>
  <c r="C14" i="3"/>
  <c r="B4" i="10" s="1"/>
  <c r="C13" i="3"/>
  <c r="B4" i="9" s="1"/>
  <c r="C12" i="3"/>
  <c r="B4" i="8" s="1"/>
  <c r="C11" i="3"/>
  <c r="B4" i="7" s="1"/>
  <c r="C10" i="3"/>
  <c r="B3" i="6" s="1"/>
  <c r="C9" i="3"/>
  <c r="B3" i="5" s="1"/>
  <c r="C8" i="3"/>
  <c r="B3" i="4" s="1"/>
  <c r="B5" i="3"/>
  <c r="R12" i="6"/>
  <c r="Q12" i="6"/>
  <c r="P12" i="6"/>
  <c r="O12" i="6"/>
  <c r="N12" i="6"/>
  <c r="M12" i="6"/>
  <c r="L12" i="6"/>
  <c r="K12" i="6"/>
  <c r="J12" i="6"/>
  <c r="I12" i="6"/>
  <c r="H12" i="6"/>
  <c r="G12" i="6"/>
  <c r="F12" i="6"/>
  <c r="E12" i="6"/>
  <c r="D12" i="6"/>
  <c r="C12" i="6"/>
  <c r="Q25" i="9" l="1"/>
  <c r="Q17" i="9"/>
  <c r="Q26" i="9"/>
  <c r="R35" i="9"/>
  <c r="Q36" i="9"/>
  <c r="R22" i="9"/>
  <c r="Q33" i="9"/>
  <c r="R30" i="9"/>
  <c r="Q28" i="9"/>
  <c r="Q41" i="9"/>
  <c r="R8" i="9"/>
  <c r="Q27" i="9"/>
  <c r="Q24" i="9"/>
  <c r="Q38" i="9"/>
  <c r="Q10" i="9"/>
  <c r="R43" i="9"/>
  <c r="T51" i="9" s="1"/>
  <c r="Q16" i="9"/>
  <c r="R16" i="9"/>
  <c r="Q42" i="9"/>
  <c r="R17" i="9"/>
  <c r="S17" i="9" s="1"/>
  <c r="R42" i="9"/>
  <c r="F26" i="16"/>
  <c r="K9" i="15"/>
  <c r="C30" i="15"/>
  <c r="G50" i="29"/>
  <c r="G47" i="32" s="1"/>
  <c r="I16" i="16"/>
  <c r="N47" i="32"/>
  <c r="F14" i="16"/>
  <c r="P50" i="29"/>
  <c r="K46" i="32"/>
  <c r="R41" i="29"/>
  <c r="F50" i="29"/>
  <c r="P27" i="32"/>
  <c r="R7" i="9"/>
  <c r="C48" i="32"/>
  <c r="I50" i="29"/>
  <c r="E30" i="15"/>
  <c r="G39" i="32"/>
  <c r="H50" i="29"/>
  <c r="D50" i="29"/>
  <c r="F18" i="16"/>
  <c r="F29" i="16"/>
  <c r="F22" i="16"/>
  <c r="F8" i="16"/>
  <c r="F20" i="16"/>
  <c r="F16" i="16"/>
  <c r="F24" i="16"/>
  <c r="F27" i="16"/>
  <c r="F19" i="16"/>
  <c r="C35" i="15"/>
  <c r="C32" i="16" s="1"/>
  <c r="K33" i="15"/>
  <c r="K21" i="15"/>
  <c r="C21" i="16"/>
  <c r="G11" i="16"/>
  <c r="H16" i="16"/>
  <c r="K16" i="15"/>
  <c r="M47" i="32"/>
  <c r="J6" i="15"/>
  <c r="K14" i="15"/>
  <c r="Q19" i="32"/>
  <c r="E45" i="32"/>
  <c r="E50" i="29"/>
  <c r="N9" i="9"/>
  <c r="Q9" i="9" s="1"/>
  <c r="R9" i="9"/>
  <c r="F13" i="16"/>
  <c r="R33" i="29"/>
  <c r="D35" i="15"/>
  <c r="D32" i="16" s="1"/>
  <c r="D33" i="16"/>
  <c r="F30" i="21"/>
  <c r="D11" i="46"/>
  <c r="D23" i="42" s="1"/>
  <c r="D12" i="42"/>
  <c r="F12" i="42" s="1"/>
  <c r="F11" i="16"/>
  <c r="F10" i="16"/>
  <c r="J32" i="16"/>
  <c r="F7" i="16"/>
  <c r="Q43" i="9"/>
  <c r="L28" i="32"/>
  <c r="R40" i="29"/>
  <c r="P29" i="32"/>
  <c r="P8" i="32"/>
  <c r="P34" i="32"/>
  <c r="P25" i="32"/>
  <c r="P33" i="32"/>
  <c r="P11" i="32"/>
  <c r="P15" i="32"/>
  <c r="P21" i="32"/>
  <c r="P43" i="32"/>
  <c r="P19" i="32"/>
  <c r="P7" i="32"/>
  <c r="P28" i="32"/>
  <c r="P37" i="32"/>
  <c r="P41" i="32"/>
  <c r="P10" i="32"/>
  <c r="R36" i="29"/>
  <c r="C6" i="46"/>
  <c r="P40" i="32"/>
  <c r="C50" i="29"/>
  <c r="C46" i="32" s="1"/>
  <c r="O50" i="29"/>
  <c r="J50" i="29"/>
  <c r="L46" i="32"/>
  <c r="O36" i="32"/>
  <c r="O10" i="32"/>
  <c r="O6" i="32"/>
  <c r="O12" i="32"/>
  <c r="O8" i="32"/>
  <c r="O32" i="32"/>
  <c r="O25" i="32"/>
  <c r="O33" i="32"/>
  <c r="O7" i="32"/>
  <c r="O43" i="32"/>
  <c r="O19" i="32"/>
  <c r="O11" i="32"/>
  <c r="O15" i="32"/>
  <c r="O34" i="32"/>
  <c r="O41" i="32"/>
  <c r="O37" i="32"/>
  <c r="O21" i="32"/>
  <c r="R10" i="9"/>
  <c r="L30" i="25"/>
  <c r="R36" i="9"/>
  <c r="K39" i="32"/>
  <c r="R19" i="9"/>
  <c r="N19" i="9"/>
  <c r="Q19" i="9" s="1"/>
  <c r="F33" i="16"/>
  <c r="F35" i="15"/>
  <c r="M24" i="32"/>
  <c r="D12" i="49"/>
  <c r="J34" i="42" s="1"/>
  <c r="R28" i="9"/>
  <c r="G33" i="16"/>
  <c r="G35" i="15"/>
  <c r="G32" i="16" s="1"/>
  <c r="P17" i="32"/>
  <c r="H42" i="32"/>
  <c r="D20" i="16"/>
  <c r="C41" i="32"/>
  <c r="L12" i="32"/>
  <c r="O39" i="32"/>
  <c r="G27" i="16"/>
  <c r="E22" i="32"/>
  <c r="O35" i="32"/>
  <c r="K13" i="15"/>
  <c r="D25" i="16"/>
  <c r="I30" i="25"/>
  <c r="O16" i="32"/>
  <c r="P20" i="32"/>
  <c r="F22" i="32"/>
  <c r="I30" i="32"/>
  <c r="O31" i="32"/>
  <c r="J51" i="4"/>
  <c r="N50" i="9"/>
  <c r="Q13" i="9"/>
  <c r="N22" i="9"/>
  <c r="D30" i="15"/>
  <c r="D23" i="16" s="1"/>
  <c r="P30" i="21"/>
  <c r="D30" i="25"/>
  <c r="P16" i="32"/>
  <c r="Q20" i="32"/>
  <c r="R20" i="29"/>
  <c r="O27" i="32"/>
  <c r="P31" i="32"/>
  <c r="R35" i="29"/>
  <c r="R29" i="9"/>
  <c r="N29" i="9"/>
  <c r="Q29" i="9" s="1"/>
  <c r="M8" i="32"/>
  <c r="I8" i="16"/>
  <c r="I30" i="15"/>
  <c r="M28" i="32"/>
  <c r="E33" i="16"/>
  <c r="E35" i="15"/>
  <c r="M9" i="32"/>
  <c r="L24" i="32"/>
  <c r="Q36" i="32"/>
  <c r="R17" i="29"/>
  <c r="N39" i="32"/>
  <c r="F15" i="16"/>
  <c r="N20" i="32"/>
  <c r="P24" i="32"/>
  <c r="F26" i="32"/>
  <c r="I38" i="32"/>
  <c r="Q39" i="9"/>
  <c r="Q12" i="32"/>
  <c r="Q27" i="32"/>
  <c r="R27" i="29"/>
  <c r="Q50" i="32"/>
  <c r="M51" i="4"/>
  <c r="F6" i="16"/>
  <c r="I18" i="16"/>
  <c r="K20" i="15"/>
  <c r="G43" i="29"/>
  <c r="R12" i="29"/>
  <c r="M15" i="32"/>
  <c r="P23" i="32"/>
  <c r="R47" i="29"/>
  <c r="R49" i="29"/>
  <c r="R46" i="29"/>
  <c r="R21" i="9"/>
  <c r="R18" i="9"/>
  <c r="Q31" i="9"/>
  <c r="Q21" i="9"/>
  <c r="Q15" i="9"/>
  <c r="Q7" i="9"/>
  <c r="Q20" i="9"/>
  <c r="R34" i="9"/>
  <c r="R40" i="9"/>
  <c r="R20" i="9"/>
  <c r="Q40" i="9"/>
  <c r="R6" i="9"/>
  <c r="R33" i="9"/>
  <c r="R39" i="9"/>
  <c r="R12" i="9"/>
  <c r="E12" i="43"/>
  <c r="E8" i="46" s="1"/>
  <c r="E20" i="42" s="1"/>
  <c r="E6" i="46"/>
  <c r="E7" i="42"/>
  <c r="I27" i="32"/>
  <c r="O28" i="32"/>
  <c r="F38" i="32"/>
  <c r="R37" i="9"/>
  <c r="H33" i="16"/>
  <c r="H35" i="16" s="1"/>
  <c r="I23" i="32"/>
  <c r="L31" i="32"/>
  <c r="H38" i="32"/>
  <c r="C18" i="16"/>
  <c r="Q13" i="32"/>
  <c r="M31" i="32"/>
  <c r="O20" i="32"/>
  <c r="C29" i="32"/>
  <c r="R38" i="9"/>
  <c r="F29" i="32"/>
  <c r="Q31" i="32"/>
  <c r="L51" i="4"/>
  <c r="Q8" i="32"/>
  <c r="O23" i="32"/>
  <c r="N51" i="4"/>
  <c r="G30" i="15"/>
  <c r="G24" i="16" s="1"/>
  <c r="K8" i="15"/>
  <c r="H6" i="32"/>
  <c r="H43" i="29"/>
  <c r="M11" i="32"/>
  <c r="N15" i="32"/>
  <c r="Q23" i="32"/>
  <c r="Q10" i="32"/>
  <c r="R10" i="29"/>
  <c r="H27" i="32"/>
  <c r="P36" i="32"/>
  <c r="C12" i="49"/>
  <c r="I34" i="42" s="1"/>
  <c r="L49" i="32"/>
  <c r="F6" i="43"/>
  <c r="M39" i="32"/>
  <c r="E12" i="49"/>
  <c r="K34" i="42" s="1"/>
  <c r="R11" i="9"/>
  <c r="N11" i="9"/>
  <c r="Q11" i="9" s="1"/>
  <c r="S11" i="9" s="1"/>
  <c r="M20" i="32"/>
  <c r="H30" i="32"/>
  <c r="K51" i="4"/>
  <c r="F25" i="16"/>
  <c r="P12" i="32"/>
  <c r="R31" i="9"/>
  <c r="F43" i="29"/>
  <c r="K43" i="29"/>
  <c r="K7" i="32"/>
  <c r="R15" i="9"/>
  <c r="Q32" i="9"/>
  <c r="O51" i="4"/>
  <c r="R32" i="9"/>
  <c r="H6" i="16"/>
  <c r="H30" i="15"/>
  <c r="E11" i="16"/>
  <c r="K18" i="15"/>
  <c r="Q43" i="29"/>
  <c r="R8" i="29" s="1"/>
  <c r="F46" i="32"/>
  <c r="R48" i="29"/>
  <c r="P39" i="32"/>
  <c r="M30" i="25"/>
  <c r="I43" i="29"/>
  <c r="Q39" i="32"/>
  <c r="F12" i="16"/>
  <c r="I14" i="16"/>
  <c r="D19" i="16"/>
  <c r="J33" i="16"/>
  <c r="L30" i="21"/>
  <c r="J6" i="32"/>
  <c r="J43" i="29"/>
  <c r="J16" i="32" s="1"/>
  <c r="L22" i="32"/>
  <c r="R23" i="29"/>
  <c r="M30" i="32"/>
  <c r="M34" i="32"/>
  <c r="R39" i="29"/>
  <c r="E34" i="42"/>
  <c r="F36" i="5"/>
  <c r="R26" i="9"/>
  <c r="S26" i="9" s="1"/>
  <c r="F21" i="16"/>
  <c r="E28" i="16"/>
  <c r="G30" i="21"/>
  <c r="O30" i="25"/>
  <c r="L18" i="32"/>
  <c r="R19" i="29"/>
  <c r="M22" i="32"/>
  <c r="N26" i="32"/>
  <c r="C28" i="32"/>
  <c r="H33" i="32"/>
  <c r="M42" i="32"/>
  <c r="L23" i="42"/>
  <c r="P35" i="32"/>
  <c r="F12" i="49"/>
  <c r="L34" i="42" s="1"/>
  <c r="H14" i="16"/>
  <c r="K19" i="15"/>
  <c r="C19" i="16"/>
  <c r="E30" i="21"/>
  <c r="F25" i="32"/>
  <c r="F33" i="32"/>
  <c r="K42" i="32"/>
  <c r="I48" i="32"/>
  <c r="R13" i="9"/>
  <c r="T50" i="9" s="1"/>
  <c r="O50" i="9"/>
  <c r="L43" i="29"/>
  <c r="I30" i="21"/>
  <c r="M43" i="29"/>
  <c r="R27" i="9"/>
  <c r="E17" i="16"/>
  <c r="K34" i="15"/>
  <c r="P22" i="32"/>
  <c r="R26" i="29"/>
  <c r="Q30" i="32"/>
  <c r="P42" i="32"/>
  <c r="I28" i="16"/>
  <c r="D34" i="16"/>
  <c r="J17" i="32"/>
  <c r="P18" i="32"/>
  <c r="Q22" i="32"/>
  <c r="C34" i="42"/>
  <c r="D7" i="46"/>
  <c r="D19" i="42" s="1"/>
  <c r="I33" i="16"/>
  <c r="I35" i="16" s="1"/>
  <c r="K30" i="21"/>
  <c r="N43" i="29"/>
  <c r="K22" i="32"/>
  <c r="R31" i="29"/>
  <c r="L34" i="32"/>
  <c r="K38" i="32"/>
  <c r="K17" i="15"/>
  <c r="F28" i="16"/>
  <c r="R7" i="29"/>
  <c r="R14" i="9"/>
  <c r="N14" i="9"/>
  <c r="Q14" i="9" s="1"/>
  <c r="I12" i="16"/>
  <c r="O30" i="21"/>
  <c r="I10" i="16"/>
  <c r="K12" i="15"/>
  <c r="K15" i="15"/>
  <c r="C15" i="16"/>
  <c r="K36" i="5"/>
  <c r="D15" i="16"/>
  <c r="K24" i="15"/>
  <c r="C24" i="16"/>
  <c r="E12" i="32"/>
  <c r="P14" i="32"/>
  <c r="R18" i="29"/>
  <c r="H28" i="32"/>
  <c r="P51" i="4"/>
  <c r="K28" i="15"/>
  <c r="H10" i="32"/>
  <c r="Q35" i="32"/>
  <c r="Q6" i="9"/>
  <c r="K26" i="15"/>
  <c r="L36" i="5"/>
  <c r="Q35" i="9"/>
  <c r="O47" i="9"/>
  <c r="R41" i="9"/>
  <c r="O52" i="9"/>
  <c r="C17" i="16"/>
  <c r="R14" i="29"/>
  <c r="E46" i="32"/>
  <c r="Q48" i="32"/>
  <c r="D8" i="42"/>
  <c r="E9" i="46"/>
  <c r="E21" i="42" s="1"/>
  <c r="E10" i="42"/>
  <c r="F10" i="42" s="1"/>
  <c r="F9" i="43"/>
  <c r="H35" i="25"/>
  <c r="N14" i="32"/>
  <c r="H17" i="32"/>
  <c r="N18" i="32"/>
  <c r="N22" i="32"/>
  <c r="O26" i="32"/>
  <c r="O30" i="32"/>
  <c r="H37" i="32"/>
  <c r="L50" i="29"/>
  <c r="N23" i="9"/>
  <c r="R23" i="9"/>
  <c r="Q30" i="9"/>
  <c r="I6" i="16"/>
  <c r="K11" i="15"/>
  <c r="K29" i="15"/>
  <c r="G34" i="16"/>
  <c r="C11" i="16"/>
  <c r="P6" i="32"/>
  <c r="E8" i="32"/>
  <c r="O14" i="32"/>
  <c r="I17" i="32"/>
  <c r="O18" i="32"/>
  <c r="O22" i="32"/>
  <c r="P26" i="32"/>
  <c r="P30" i="32"/>
  <c r="K23" i="42"/>
  <c r="C11" i="42"/>
  <c r="R24" i="9"/>
  <c r="G35" i="21"/>
  <c r="D35" i="21"/>
  <c r="E30" i="25"/>
  <c r="H8" i="32"/>
  <c r="C27" i="32"/>
  <c r="N29" i="32"/>
  <c r="C31" i="32"/>
  <c r="L41" i="32"/>
  <c r="D11" i="42"/>
  <c r="D10" i="46"/>
  <c r="D22" i="42" s="1"/>
  <c r="K37" i="32"/>
  <c r="Q18" i="9"/>
  <c r="C29" i="16"/>
  <c r="F30" i="25"/>
  <c r="I8" i="32"/>
  <c r="H12" i="32"/>
  <c r="M13" i="32"/>
  <c r="H16" i="32"/>
  <c r="H24" i="32"/>
  <c r="R45" i="29"/>
  <c r="E11" i="42"/>
  <c r="E10" i="46"/>
  <c r="E22" i="42" s="1"/>
  <c r="I36" i="5"/>
  <c r="Q12" i="9"/>
  <c r="K7" i="15"/>
  <c r="C7" i="16"/>
  <c r="F9" i="16"/>
  <c r="N35" i="25"/>
  <c r="O9" i="32"/>
  <c r="E43" i="35"/>
  <c r="F31" i="42"/>
  <c r="F34" i="42" s="1"/>
  <c r="C12" i="43"/>
  <c r="C7" i="42"/>
  <c r="F10" i="43"/>
  <c r="J36" i="5"/>
  <c r="R25" i="9"/>
  <c r="Q37" i="9"/>
  <c r="K25" i="15"/>
  <c r="C25" i="16"/>
  <c r="H30" i="21"/>
  <c r="N30" i="21"/>
  <c r="O35" i="25"/>
  <c r="K13" i="42"/>
  <c r="D12" i="43"/>
  <c r="D7" i="42"/>
  <c r="N30" i="25"/>
  <c r="P35" i="25"/>
  <c r="P9" i="32"/>
  <c r="O13" i="32"/>
  <c r="C15" i="32"/>
  <c r="I16" i="32"/>
  <c r="I37" i="32"/>
  <c r="O38" i="32"/>
  <c r="C40" i="32"/>
  <c r="H41" i="32"/>
  <c r="Q34" i="9"/>
  <c r="C22" i="16"/>
  <c r="Q8" i="9"/>
  <c r="I26" i="16"/>
  <c r="L8" i="32"/>
  <c r="Q9" i="32"/>
  <c r="P13" i="32"/>
  <c r="O17" i="32"/>
  <c r="C19" i="32"/>
  <c r="R30" i="29"/>
  <c r="K33" i="32"/>
  <c r="P38" i="32"/>
  <c r="D40" i="32"/>
  <c r="I41" i="32"/>
  <c r="O42" i="32"/>
  <c r="K50" i="29"/>
  <c r="Q46" i="32"/>
  <c r="C8" i="42"/>
  <c r="C43" i="29"/>
  <c r="C37" i="32" s="1"/>
  <c r="M12" i="32"/>
  <c r="I24" i="32"/>
  <c r="Q42" i="32"/>
  <c r="R42" i="29"/>
  <c r="E7" i="46"/>
  <c r="E19" i="42" s="1"/>
  <c r="E8" i="42"/>
  <c r="E18" i="16"/>
  <c r="I24" i="16"/>
  <c r="K27" i="15"/>
  <c r="C27" i="16"/>
  <c r="D43" i="29"/>
  <c r="D28" i="32" s="1"/>
  <c r="G15" i="32"/>
  <c r="M16" i="32"/>
  <c r="K20" i="32"/>
  <c r="Q21" i="32"/>
  <c r="N50" i="29"/>
  <c r="I13" i="42"/>
  <c r="L7" i="42"/>
  <c r="L13" i="42" s="1"/>
  <c r="I23" i="42"/>
  <c r="F7" i="43"/>
  <c r="O29" i="32"/>
  <c r="K41" i="32"/>
  <c r="M50" i="29"/>
  <c r="E11" i="46"/>
  <c r="E23" i="42" s="1"/>
  <c r="E16" i="16"/>
  <c r="H22" i="16"/>
  <c r="E43" i="29"/>
  <c r="C14" i="32"/>
  <c r="H15" i="32"/>
  <c r="N16" i="32"/>
  <c r="R21" i="29"/>
  <c r="R25" i="29"/>
  <c r="J23" i="42"/>
  <c r="F33" i="42"/>
  <c r="R24" i="29"/>
  <c r="E30" i="32"/>
  <c r="I22" i="16"/>
  <c r="H30" i="25"/>
  <c r="H26" i="32"/>
  <c r="M27" i="32"/>
  <c r="K31" i="32"/>
  <c r="M6" i="32"/>
  <c r="G26" i="32"/>
  <c r="E12" i="16"/>
  <c r="H18" i="16"/>
  <c r="I20" i="16"/>
  <c r="K35" i="25"/>
  <c r="Q35" i="25"/>
  <c r="R11" i="29"/>
  <c r="I26" i="32"/>
  <c r="Q32" i="32"/>
  <c r="F8" i="43"/>
  <c r="Q24" i="32"/>
  <c r="S16" i="9" l="1"/>
  <c r="S21" i="9"/>
  <c r="S36" i="9"/>
  <c r="S27" i="9"/>
  <c r="S33" i="9"/>
  <c r="S10" i="9"/>
  <c r="S24" i="9"/>
  <c r="S38" i="9"/>
  <c r="S15" i="9"/>
  <c r="S8" i="9"/>
  <c r="S25" i="9"/>
  <c r="S28" i="9"/>
  <c r="R47" i="9"/>
  <c r="S35" i="9"/>
  <c r="S14" i="9"/>
  <c r="S30" i="9"/>
  <c r="S9" i="9"/>
  <c r="S6" i="9"/>
  <c r="S12" i="9"/>
  <c r="S20" i="9"/>
  <c r="S39" i="9"/>
  <c r="S7" i="9"/>
  <c r="S31" i="9"/>
  <c r="S18" i="9"/>
  <c r="S42" i="9"/>
  <c r="D45" i="32"/>
  <c r="D47" i="32"/>
  <c r="D46" i="32"/>
  <c r="D49" i="32"/>
  <c r="D48" i="32"/>
  <c r="J41" i="32"/>
  <c r="G6" i="16"/>
  <c r="S41" i="9"/>
  <c r="E40" i="32"/>
  <c r="E18" i="32"/>
  <c r="E35" i="32"/>
  <c r="E26" i="32"/>
  <c r="E39" i="32"/>
  <c r="E34" i="32"/>
  <c r="E23" i="32"/>
  <c r="E16" i="32"/>
  <c r="E9" i="32"/>
  <c r="E32" i="32"/>
  <c r="E27" i="32"/>
  <c r="E43" i="32"/>
  <c r="E38" i="32"/>
  <c r="E13" i="32"/>
  <c r="E6" i="32"/>
  <c r="E24" i="32"/>
  <c r="E17" i="32"/>
  <c r="E10" i="32"/>
  <c r="E36" i="32"/>
  <c r="E14" i="32"/>
  <c r="E20" i="32"/>
  <c r="E28" i="32"/>
  <c r="E33" i="32"/>
  <c r="E25" i="32"/>
  <c r="E31" i="32"/>
  <c r="E7" i="32"/>
  <c r="E11" i="32"/>
  <c r="E19" i="32"/>
  <c r="E41" i="32"/>
  <c r="E42" i="32"/>
  <c r="E21" i="32"/>
  <c r="E15" i="32"/>
  <c r="E29" i="32"/>
  <c r="G22" i="32"/>
  <c r="G35" i="32"/>
  <c r="G43" i="32"/>
  <c r="G20" i="32"/>
  <c r="G31" i="32"/>
  <c r="G28" i="32"/>
  <c r="G36" i="32"/>
  <c r="G32" i="32"/>
  <c r="G40" i="32"/>
  <c r="G19" i="32"/>
  <c r="G30" i="32"/>
  <c r="G25" i="32"/>
  <c r="G9" i="32"/>
  <c r="G24" i="32"/>
  <c r="G14" i="32"/>
  <c r="G16" i="32"/>
  <c r="G7" i="32"/>
  <c r="G13" i="32"/>
  <c r="G21" i="32"/>
  <c r="G6" i="32"/>
  <c r="G17" i="32"/>
  <c r="G33" i="32"/>
  <c r="G23" i="32"/>
  <c r="G41" i="32"/>
  <c r="G18" i="32"/>
  <c r="G37" i="32"/>
  <c r="G10" i="32"/>
  <c r="G27" i="32"/>
  <c r="G12" i="32"/>
  <c r="G34" i="32"/>
  <c r="G38" i="32"/>
  <c r="G29" i="32"/>
  <c r="P46" i="32"/>
  <c r="P45" i="32"/>
  <c r="P49" i="32"/>
  <c r="P48" i="32"/>
  <c r="L15" i="32"/>
  <c r="L43" i="32"/>
  <c r="L37" i="32"/>
  <c r="L20" i="32"/>
  <c r="L36" i="32"/>
  <c r="L25" i="32"/>
  <c r="L14" i="32"/>
  <c r="L26" i="32"/>
  <c r="L21" i="32"/>
  <c r="L17" i="32"/>
  <c r="L29" i="32"/>
  <c r="L10" i="32"/>
  <c r="L33" i="32"/>
  <c r="L32" i="32"/>
  <c r="L7" i="32"/>
  <c r="L38" i="32"/>
  <c r="L23" i="32"/>
  <c r="L11" i="32"/>
  <c r="L40" i="32"/>
  <c r="L39" i="32"/>
  <c r="L42" i="32"/>
  <c r="L27" i="32"/>
  <c r="L16" i="32"/>
  <c r="L6" i="32"/>
  <c r="L30" i="32"/>
  <c r="L35" i="32"/>
  <c r="L19" i="32"/>
  <c r="L13" i="32"/>
  <c r="L9" i="32"/>
  <c r="P47" i="32"/>
  <c r="J34" i="32"/>
  <c r="D33" i="32"/>
  <c r="J15" i="32"/>
  <c r="F12" i="43"/>
  <c r="G6" i="43"/>
  <c r="F6" i="46"/>
  <c r="G11" i="32"/>
  <c r="G42" i="32"/>
  <c r="H45" i="32"/>
  <c r="H47" i="32"/>
  <c r="H48" i="32"/>
  <c r="H49" i="32"/>
  <c r="H46" i="32"/>
  <c r="S32" i="9"/>
  <c r="J48" i="32"/>
  <c r="J47" i="32"/>
  <c r="J45" i="32"/>
  <c r="J49" i="32"/>
  <c r="J30" i="15"/>
  <c r="K6" i="15"/>
  <c r="J31" i="32"/>
  <c r="J40" i="32"/>
  <c r="J39" i="32"/>
  <c r="J43" i="32"/>
  <c r="J37" i="32"/>
  <c r="J14" i="32"/>
  <c r="J10" i="32"/>
  <c r="J28" i="32"/>
  <c r="J7" i="32"/>
  <c r="J36" i="32"/>
  <c r="J27" i="32"/>
  <c r="J35" i="32"/>
  <c r="J32" i="32"/>
  <c r="J29" i="32"/>
  <c r="J9" i="32"/>
  <c r="J21" i="32"/>
  <c r="J18" i="32"/>
  <c r="J13" i="32"/>
  <c r="J24" i="32"/>
  <c r="J8" i="32"/>
  <c r="J38" i="32"/>
  <c r="J26" i="32"/>
  <c r="J25" i="32"/>
  <c r="J20" i="32"/>
  <c r="J11" i="32"/>
  <c r="J22" i="32"/>
  <c r="J42" i="32"/>
  <c r="J19" i="32"/>
  <c r="J12" i="32"/>
  <c r="J30" i="32"/>
  <c r="J46" i="32"/>
  <c r="J23" i="32"/>
  <c r="D21" i="32"/>
  <c r="D26" i="32"/>
  <c r="D31" i="32"/>
  <c r="D39" i="32"/>
  <c r="D8" i="32"/>
  <c r="D10" i="32"/>
  <c r="D34" i="32"/>
  <c r="D23" i="32"/>
  <c r="D15" i="32"/>
  <c r="D13" i="32"/>
  <c r="D16" i="32"/>
  <c r="D9" i="32"/>
  <c r="D12" i="32"/>
  <c r="D32" i="32"/>
  <c r="D30" i="32"/>
  <c r="D43" i="32"/>
  <c r="D38" i="32"/>
  <c r="D6" i="32"/>
  <c r="D36" i="32"/>
  <c r="D24" i="32"/>
  <c r="D17" i="32"/>
  <c r="D20" i="32"/>
  <c r="D14" i="32"/>
  <c r="D25" i="32"/>
  <c r="D19" i="32"/>
  <c r="D7" i="32"/>
  <c r="D35" i="32"/>
  <c r="D22" i="32"/>
  <c r="D42" i="32"/>
  <c r="D37" i="32"/>
  <c r="D41" i="32"/>
  <c r="D18" i="32"/>
  <c r="D27" i="32"/>
  <c r="D11" i="32"/>
  <c r="D29" i="32"/>
  <c r="G18" i="16"/>
  <c r="G22" i="16"/>
  <c r="G20" i="16"/>
  <c r="G16" i="16"/>
  <c r="G28" i="16"/>
  <c r="G8" i="16"/>
  <c r="G13" i="16"/>
  <c r="G19" i="16"/>
  <c r="G10" i="16"/>
  <c r="G23" i="16"/>
  <c r="G17" i="16"/>
  <c r="G29" i="16"/>
  <c r="G9" i="16"/>
  <c r="G14" i="16"/>
  <c r="G25" i="16"/>
  <c r="G7" i="16"/>
  <c r="G12" i="16"/>
  <c r="G15" i="16"/>
  <c r="G21" i="16"/>
  <c r="G26" i="16"/>
  <c r="E37" i="32"/>
  <c r="J33" i="32"/>
  <c r="H27" i="16"/>
  <c r="H21" i="16"/>
  <c r="H11" i="16"/>
  <c r="H25" i="16"/>
  <c r="H29" i="16"/>
  <c r="H7" i="16"/>
  <c r="H30" i="16" s="1"/>
  <c r="H19" i="16"/>
  <c r="H13" i="16"/>
  <c r="H15" i="16"/>
  <c r="H9" i="16"/>
  <c r="H23" i="16"/>
  <c r="H17" i="16"/>
  <c r="H8" i="16"/>
  <c r="H24" i="16"/>
  <c r="H10" i="16"/>
  <c r="H26" i="16"/>
  <c r="H28" i="16"/>
  <c r="H20" i="16"/>
  <c r="H12" i="16"/>
  <c r="S29" i="9"/>
  <c r="G8" i="32"/>
  <c r="D35" i="16"/>
  <c r="S37" i="9"/>
  <c r="F30" i="16"/>
  <c r="O46" i="32"/>
  <c r="O45" i="32"/>
  <c r="O49" i="32"/>
  <c r="M49" i="32"/>
  <c r="M45" i="32"/>
  <c r="O47" i="32"/>
  <c r="R50" i="29"/>
  <c r="N6" i="32"/>
  <c r="N10" i="32"/>
  <c r="N28" i="32"/>
  <c r="N32" i="32"/>
  <c r="N36" i="32"/>
  <c r="N12" i="32"/>
  <c r="N17" i="32"/>
  <c r="N11" i="32"/>
  <c r="N43" i="32"/>
  <c r="N19" i="32"/>
  <c r="N23" i="32"/>
  <c r="N8" i="32"/>
  <c r="N34" i="32"/>
  <c r="N41" i="32"/>
  <c r="N21" i="32"/>
  <c r="N37" i="32"/>
  <c r="N33" i="32"/>
  <c r="N40" i="32"/>
  <c r="N7" i="32"/>
  <c r="L34" i="15"/>
  <c r="K34" i="16"/>
  <c r="K40" i="32"/>
  <c r="K43" i="32"/>
  <c r="K6" i="32"/>
  <c r="K14" i="32"/>
  <c r="K10" i="32"/>
  <c r="K24" i="32"/>
  <c r="K18" i="32"/>
  <c r="K28" i="32"/>
  <c r="K36" i="32"/>
  <c r="K27" i="32"/>
  <c r="K35" i="32"/>
  <c r="K29" i="32"/>
  <c r="K21" i="32"/>
  <c r="K13" i="32"/>
  <c r="K32" i="32"/>
  <c r="K25" i="32"/>
  <c r="K26" i="32"/>
  <c r="E29" i="16"/>
  <c r="E9" i="16"/>
  <c r="E27" i="16"/>
  <c r="E6" i="16"/>
  <c r="E13" i="16"/>
  <c r="E23" i="16"/>
  <c r="E19" i="16"/>
  <c r="K12" i="32"/>
  <c r="C34" i="16"/>
  <c r="F35" i="32"/>
  <c r="F39" i="32"/>
  <c r="F43" i="32"/>
  <c r="F34" i="32"/>
  <c r="F23" i="32"/>
  <c r="F31" i="32"/>
  <c r="F7" i="32"/>
  <c r="F32" i="32"/>
  <c r="F30" i="32"/>
  <c r="F40" i="32"/>
  <c r="F27" i="32"/>
  <c r="F19" i="32"/>
  <c r="F16" i="32"/>
  <c r="F14" i="32"/>
  <c r="F24" i="32"/>
  <c r="F17" i="32"/>
  <c r="F36" i="32"/>
  <c r="F41" i="32"/>
  <c r="F9" i="32"/>
  <c r="F6" i="32"/>
  <c r="F28" i="32"/>
  <c r="F13" i="32"/>
  <c r="F21" i="32"/>
  <c r="K15" i="32"/>
  <c r="N24" i="32"/>
  <c r="C45" i="32"/>
  <c r="E7" i="16"/>
  <c r="E14" i="16"/>
  <c r="K8" i="32"/>
  <c r="C13" i="42"/>
  <c r="F7" i="42"/>
  <c r="E22" i="16"/>
  <c r="K19" i="32"/>
  <c r="K33" i="16"/>
  <c r="K35" i="15"/>
  <c r="I46" i="32"/>
  <c r="I45" i="32"/>
  <c r="I47" i="32"/>
  <c r="F15" i="32"/>
  <c r="C9" i="46"/>
  <c r="C21" i="42" s="1"/>
  <c r="C11" i="46"/>
  <c r="C23" i="42" s="1"/>
  <c r="C23" i="32"/>
  <c r="C13" i="32"/>
  <c r="D21" i="16"/>
  <c r="E26" i="16"/>
  <c r="E10" i="16"/>
  <c r="I31" i="32"/>
  <c r="I35" i="32"/>
  <c r="I39" i="32"/>
  <c r="I28" i="32"/>
  <c r="I7" i="32"/>
  <c r="I22" i="32"/>
  <c r="I9" i="32"/>
  <c r="I14" i="32"/>
  <c r="I43" i="32"/>
  <c r="I11" i="32"/>
  <c r="I36" i="32"/>
  <c r="I10" i="32"/>
  <c r="I32" i="32"/>
  <c r="I29" i="32"/>
  <c r="I18" i="32"/>
  <c r="I40" i="32"/>
  <c r="I21" i="32"/>
  <c r="I13" i="32"/>
  <c r="I6" i="32"/>
  <c r="C26" i="32"/>
  <c r="I15" i="32"/>
  <c r="G35" i="16"/>
  <c r="C33" i="16"/>
  <c r="C35" i="16" s="1"/>
  <c r="I49" i="32"/>
  <c r="G46" i="32"/>
  <c r="M46" i="32"/>
  <c r="C10" i="16"/>
  <c r="C8" i="16"/>
  <c r="C14" i="16"/>
  <c r="C12" i="16"/>
  <c r="C20" i="16"/>
  <c r="C16" i="16"/>
  <c r="C26" i="16"/>
  <c r="C28" i="16"/>
  <c r="C6" i="16"/>
  <c r="C30" i="16" s="1"/>
  <c r="C8" i="46"/>
  <c r="C20" i="42" s="1"/>
  <c r="F7" i="46"/>
  <c r="F19" i="42" s="1"/>
  <c r="G7" i="43"/>
  <c r="D22" i="16"/>
  <c r="M48" i="32"/>
  <c r="N52" i="9"/>
  <c r="Q23" i="9"/>
  <c r="C20" i="32"/>
  <c r="C18" i="32"/>
  <c r="E12" i="46"/>
  <c r="E18" i="42"/>
  <c r="E24" i="42" s="1"/>
  <c r="C13" i="16"/>
  <c r="S51" i="9"/>
  <c r="S43" i="9"/>
  <c r="G49" i="32"/>
  <c r="G45" i="32"/>
  <c r="C9" i="16"/>
  <c r="N27" i="32"/>
  <c r="E24" i="16"/>
  <c r="N9" i="32"/>
  <c r="C10" i="46"/>
  <c r="C22" i="42" s="1"/>
  <c r="G48" i="32"/>
  <c r="F12" i="32"/>
  <c r="E8" i="16"/>
  <c r="K34" i="32"/>
  <c r="H39" i="32"/>
  <c r="H35" i="32"/>
  <c r="H43" i="32"/>
  <c r="H23" i="32"/>
  <c r="H20" i="32"/>
  <c r="H31" i="32"/>
  <c r="H7" i="32"/>
  <c r="H36" i="32"/>
  <c r="H22" i="32"/>
  <c r="H9" i="32"/>
  <c r="H40" i="32"/>
  <c r="H18" i="32"/>
  <c r="H34" i="32"/>
  <c r="H11" i="32"/>
  <c r="H32" i="32"/>
  <c r="H14" i="32"/>
  <c r="H29" i="32"/>
  <c r="H25" i="32"/>
  <c r="H21" i="32"/>
  <c r="H13" i="32"/>
  <c r="E34" i="16"/>
  <c r="E32" i="16"/>
  <c r="E35" i="16" s="1"/>
  <c r="E21" i="16"/>
  <c r="E49" i="32"/>
  <c r="E48" i="32"/>
  <c r="E47" i="32"/>
  <c r="E50" i="32" s="1"/>
  <c r="R22" i="29"/>
  <c r="M23" i="32"/>
  <c r="M41" i="32"/>
  <c r="M10" i="32"/>
  <c r="M14" i="32"/>
  <c r="M32" i="32"/>
  <c r="M36" i="32"/>
  <c r="M25" i="32"/>
  <c r="M17" i="32"/>
  <c r="M43" i="32"/>
  <c r="M19" i="32"/>
  <c r="M26" i="32"/>
  <c r="M18" i="32"/>
  <c r="M29" i="32"/>
  <c r="M37" i="32"/>
  <c r="M21" i="32"/>
  <c r="M7" i="32"/>
  <c r="M40" i="32"/>
  <c r="M33" i="32"/>
  <c r="M38" i="32"/>
  <c r="F37" i="32"/>
  <c r="M35" i="32"/>
  <c r="C23" i="16"/>
  <c r="H19" i="32"/>
  <c r="F18" i="32"/>
  <c r="D13" i="16"/>
  <c r="F34" i="16"/>
  <c r="F32" i="16"/>
  <c r="F35" i="16" s="1"/>
  <c r="R37" i="29"/>
  <c r="R15" i="29"/>
  <c r="Q38" i="32"/>
  <c r="R28" i="29"/>
  <c r="Q11" i="32"/>
  <c r="Q28" i="32"/>
  <c r="R38" i="29"/>
  <c r="Q16" i="32"/>
  <c r="Q34" i="32"/>
  <c r="Q17" i="32"/>
  <c r="Q14" i="32"/>
  <c r="R34" i="29"/>
  <c r="Q15" i="32"/>
  <c r="Q18" i="32"/>
  <c r="Q26" i="32"/>
  <c r="Q7" i="32"/>
  <c r="R32" i="29"/>
  <c r="R6" i="29"/>
  <c r="R16" i="29"/>
  <c r="Q37" i="32"/>
  <c r="Q29" i="32"/>
  <c r="R9" i="29"/>
  <c r="Q40" i="32"/>
  <c r="R29" i="29"/>
  <c r="R43" i="29"/>
  <c r="Q33" i="32"/>
  <c r="Q25" i="32"/>
  <c r="Q6" i="32"/>
  <c r="R13" i="29"/>
  <c r="F10" i="32"/>
  <c r="I19" i="16"/>
  <c r="I29" i="16"/>
  <c r="I15" i="16"/>
  <c r="I30" i="16" s="1"/>
  <c r="I9" i="16"/>
  <c r="I11" i="16"/>
  <c r="I25" i="16"/>
  <c r="I7" i="16"/>
  <c r="I13" i="16"/>
  <c r="I27" i="16"/>
  <c r="I21" i="16"/>
  <c r="I23" i="16"/>
  <c r="I17" i="16"/>
  <c r="Q22" i="9"/>
  <c r="S22" i="9" s="1"/>
  <c r="N47" i="9"/>
  <c r="I34" i="32"/>
  <c r="F49" i="32"/>
  <c r="F48" i="32"/>
  <c r="F47" i="32"/>
  <c r="C49" i="32"/>
  <c r="S13" i="9"/>
  <c r="U50" i="9" s="1"/>
  <c r="S50" i="9"/>
  <c r="N31" i="32"/>
  <c r="S19" i="9"/>
  <c r="F45" i="32"/>
  <c r="T52" i="9"/>
  <c r="N25" i="32"/>
  <c r="E13" i="42"/>
  <c r="K11" i="32"/>
  <c r="C18" i="42"/>
  <c r="C12" i="32"/>
  <c r="C21" i="32"/>
  <c r="C10" i="32"/>
  <c r="C34" i="32"/>
  <c r="C42" i="32"/>
  <c r="C39" i="32"/>
  <c r="C35" i="32"/>
  <c r="C16" i="32"/>
  <c r="C32" i="32"/>
  <c r="C8" i="32"/>
  <c r="C43" i="32"/>
  <c r="C22" i="32"/>
  <c r="C38" i="32"/>
  <c r="C6" i="32"/>
  <c r="C30" i="32"/>
  <c r="C11" i="32"/>
  <c r="C24" i="32"/>
  <c r="C17" i="32"/>
  <c r="D13" i="42"/>
  <c r="N13" i="32"/>
  <c r="F11" i="42"/>
  <c r="L48" i="32"/>
  <c r="L45" i="32"/>
  <c r="K9" i="32"/>
  <c r="N35" i="32"/>
  <c r="F42" i="32"/>
  <c r="K30" i="32"/>
  <c r="D29" i="16"/>
  <c r="D18" i="16"/>
  <c r="D7" i="16"/>
  <c r="D16" i="16"/>
  <c r="D12" i="16"/>
  <c r="D28" i="16"/>
  <c r="D9" i="16"/>
  <c r="D26" i="16"/>
  <c r="D6" i="16"/>
  <c r="D14" i="16"/>
  <c r="D10" i="16"/>
  <c r="C25" i="32"/>
  <c r="E20" i="16"/>
  <c r="D8" i="46"/>
  <c r="D20" i="42" s="1"/>
  <c r="D9" i="46"/>
  <c r="D21" i="42" s="1"/>
  <c r="D6" i="46"/>
  <c r="I12" i="32"/>
  <c r="C7" i="32"/>
  <c r="N38" i="32"/>
  <c r="F8" i="32"/>
  <c r="O48" i="32"/>
  <c r="L47" i="32"/>
  <c r="I42" i="32"/>
  <c r="E25" i="16"/>
  <c r="J35" i="16"/>
  <c r="K16" i="32"/>
  <c r="C47" i="32"/>
  <c r="F8" i="42"/>
  <c r="S34" i="9"/>
  <c r="N46" i="32"/>
  <c r="N45" i="32"/>
  <c r="N49" i="32"/>
  <c r="C7" i="46"/>
  <c r="C19" i="42" s="1"/>
  <c r="N48" i="32"/>
  <c r="C36" i="32"/>
  <c r="D24" i="16"/>
  <c r="F20" i="32"/>
  <c r="N42" i="32"/>
  <c r="I20" i="32"/>
  <c r="I33" i="32"/>
  <c r="E15" i="16"/>
  <c r="I25" i="32"/>
  <c r="D17" i="16"/>
  <c r="C9" i="32"/>
  <c r="D11" i="16"/>
  <c r="C33" i="32"/>
  <c r="K48" i="32"/>
  <c r="K49" i="32"/>
  <c r="K47" i="32"/>
  <c r="K45" i="32"/>
  <c r="D27" i="16"/>
  <c r="K17" i="32"/>
  <c r="D8" i="16"/>
  <c r="N30" i="32"/>
  <c r="F11" i="32"/>
  <c r="S40" i="9"/>
  <c r="I19" i="32"/>
  <c r="K23" i="32"/>
  <c r="Q41" i="32"/>
  <c r="S23" i="9" l="1"/>
  <c r="U52" i="9" s="1"/>
  <c r="S52" i="9"/>
  <c r="F18" i="42"/>
  <c r="F11" i="46"/>
  <c r="F23" i="42" s="1"/>
  <c r="G11" i="43"/>
  <c r="D12" i="46"/>
  <c r="D18" i="42"/>
  <c r="D24" i="42" s="1"/>
  <c r="C24" i="42"/>
  <c r="C12" i="46"/>
  <c r="G50" i="32"/>
  <c r="I50" i="32"/>
  <c r="G10" i="43"/>
  <c r="J13" i="16"/>
  <c r="J17" i="16"/>
  <c r="J26" i="16"/>
  <c r="J7" i="16"/>
  <c r="J28" i="16"/>
  <c r="J23" i="16"/>
  <c r="J27" i="16"/>
  <c r="J25" i="16"/>
  <c r="J12" i="16"/>
  <c r="J16" i="16"/>
  <c r="J18" i="16"/>
  <c r="J15" i="16"/>
  <c r="J20" i="16"/>
  <c r="J14" i="16"/>
  <c r="J21" i="16"/>
  <c r="J9" i="16"/>
  <c r="J10" i="16"/>
  <c r="J11" i="16"/>
  <c r="J22" i="16"/>
  <c r="J19" i="16"/>
  <c r="J8" i="16"/>
  <c r="J29" i="16"/>
  <c r="J24" i="16"/>
  <c r="G30" i="16"/>
  <c r="J6" i="16"/>
  <c r="U51" i="9"/>
  <c r="V51" i="9" s="1"/>
  <c r="S47" i="9"/>
  <c r="K32" i="16"/>
  <c r="K35" i="16" s="1"/>
  <c r="L32" i="15"/>
  <c r="L33" i="15"/>
  <c r="J50" i="32"/>
  <c r="V50" i="9"/>
  <c r="Q47" i="9"/>
  <c r="Q43" i="32"/>
  <c r="S6" i="32"/>
  <c r="H50" i="32"/>
  <c r="O50" i="32"/>
  <c r="C50" i="32"/>
  <c r="L50" i="32"/>
  <c r="P50" i="32"/>
  <c r="F10" i="46"/>
  <c r="F22" i="42" s="1"/>
  <c r="K30" i="15"/>
  <c r="K6" i="16" s="1"/>
  <c r="N50" i="32"/>
  <c r="E30" i="16"/>
  <c r="D30" i="16"/>
  <c r="F8" i="46"/>
  <c r="F20" i="42" s="1"/>
  <c r="G8" i="43"/>
  <c r="G12" i="43" s="1"/>
  <c r="G9" i="43"/>
  <c r="K50" i="32"/>
  <c r="F9" i="46"/>
  <c r="F21" i="42" s="1"/>
  <c r="F50" i="32"/>
  <c r="F13" i="42"/>
  <c r="M50" i="32"/>
  <c r="D50" i="32"/>
  <c r="V52" i="9" l="1"/>
  <c r="L6" i="15"/>
  <c r="F24" i="42"/>
  <c r="F12" i="46"/>
  <c r="L35" i="15"/>
  <c r="J30" i="16"/>
  <c r="L10" i="15"/>
  <c r="K10" i="16"/>
  <c r="K22" i="16"/>
  <c r="L22" i="15"/>
  <c r="K23" i="16"/>
  <c r="L23" i="15"/>
  <c r="K19" i="16"/>
  <c r="K11" i="16"/>
  <c r="L11" i="15"/>
  <c r="K20" i="16"/>
  <c r="L9" i="15"/>
  <c r="L20" i="15"/>
  <c r="K9" i="16"/>
  <c r="K29" i="16"/>
  <c r="L8" i="15"/>
  <c r="L17" i="15"/>
  <c r="K14" i="16"/>
  <c r="L14" i="15"/>
  <c r="L27" i="15"/>
  <c r="K24" i="16"/>
  <c r="L21" i="15"/>
  <c r="L24" i="15"/>
  <c r="L15" i="15"/>
  <c r="K26" i="16"/>
  <c r="K17" i="16"/>
  <c r="K25" i="16"/>
  <c r="L25" i="15"/>
  <c r="K21" i="16"/>
  <c r="K12" i="16"/>
  <c r="L7" i="15"/>
  <c r="L29" i="15"/>
  <c r="K28" i="16"/>
  <c r="K18" i="16"/>
  <c r="L12" i="15"/>
  <c r="K7" i="16"/>
  <c r="L7" i="16" s="1"/>
  <c r="L28" i="15"/>
  <c r="L18" i="15"/>
  <c r="K16" i="16"/>
  <c r="K8" i="16"/>
  <c r="L16" i="15"/>
  <c r="K27" i="16"/>
  <c r="K15" i="16"/>
  <c r="L13" i="15"/>
  <c r="K13" i="16"/>
  <c r="L26" i="15"/>
  <c r="L19" i="15"/>
  <c r="L29" i="16" l="1"/>
  <c r="L18" i="16"/>
  <c r="L28" i="16"/>
  <c r="L11" i="16"/>
  <c r="L21" i="16"/>
  <c r="L25" i="16"/>
  <c r="L22" i="16"/>
  <c r="L26" i="16"/>
  <c r="L10" i="16"/>
  <c r="L13" i="16"/>
  <c r="L15" i="16"/>
  <c r="L24" i="16"/>
  <c r="L30" i="15"/>
  <c r="L19" i="16"/>
  <c r="L8" i="16"/>
  <c r="L14" i="16"/>
  <c r="K30" i="16"/>
  <c r="L9" i="16"/>
  <c r="L20" i="16"/>
  <c r="L12" i="16"/>
  <c r="L23" i="16"/>
  <c r="L17" i="16"/>
  <c r="L27" i="16"/>
  <c r="M6" i="16"/>
  <c r="L16" i="16"/>
  <c r="L6" i="16"/>
</calcChain>
</file>

<file path=xl/sharedStrings.xml><?xml version="1.0" encoding="utf-8"?>
<sst xmlns="http://schemas.openxmlformats.org/spreadsheetml/2006/main" count="2141" uniqueCount="287">
  <si>
    <t>Company</t>
  </si>
  <si>
    <t>Insurance Revenue</t>
  </si>
  <si>
    <t>Insurance Service Expense</t>
  </si>
  <si>
    <t>Net expenses from reinsurance contracts held</t>
  </si>
  <si>
    <t>Insurance Service Result</t>
  </si>
  <si>
    <t>Net Investment Income</t>
  </si>
  <si>
    <t>Finance expenses from insurance contracts</t>
  </si>
  <si>
    <t>Finance income from reinsurance contracts</t>
  </si>
  <si>
    <t xml:space="preserve">Net Financial Result </t>
  </si>
  <si>
    <t>Asset management services revenue</t>
  </si>
  <si>
    <t>Other Income</t>
  </si>
  <si>
    <t>Other finance costs</t>
  </si>
  <si>
    <t>Other operating expenses</t>
  </si>
  <si>
    <t>Share of profit of associates and joint ventures accounted for using the equity method</t>
  </si>
  <si>
    <t>Profit before income tax</t>
  </si>
  <si>
    <t>Income tax expense</t>
  </si>
  <si>
    <t>Profit for the year</t>
  </si>
  <si>
    <t>INSURERS</t>
  </si>
  <si>
    <t>APA MICRO INSURANCE</t>
  </si>
  <si>
    <t>BIRDVIEW MICRO INSURANCE</t>
  </si>
  <si>
    <t>BRITAM MICRO INSURANCE</t>
  </si>
  <si>
    <t>CIC MICRO INSURANCE</t>
  </si>
  <si>
    <t>STAR DISCOVER MICRO INSURANCE</t>
  </si>
  <si>
    <t>TURACO MICRO INSURANCE</t>
  </si>
  <si>
    <t>TOTAL</t>
  </si>
  <si>
    <t>Amounts in Thousand Shillings</t>
  </si>
  <si>
    <t>INSURANCE REGULATORY AUTHORITY</t>
  </si>
  <si>
    <t>TYPE OF INDUSTRY STATISTICS</t>
  </si>
  <si>
    <t>Quarterly (Unaudited)</t>
  </si>
  <si>
    <t>QUARTER</t>
  </si>
  <si>
    <t xml:space="preserve"> YEAR</t>
  </si>
  <si>
    <t>PERIOD ENDED</t>
  </si>
  <si>
    <t>31.12.2025</t>
  </si>
  <si>
    <t>RELIANCE AND LIMITATIONS</t>
  </si>
  <si>
    <t>TABLE OF CONTENTS</t>
  </si>
  <si>
    <t>Link</t>
  </si>
  <si>
    <t>Description</t>
  </si>
  <si>
    <t>APPENDIX 1</t>
  </si>
  <si>
    <t>APPENDIX 2</t>
  </si>
  <si>
    <t>APPENDIX 3</t>
  </si>
  <si>
    <t>APPENDIX 4 i</t>
  </si>
  <si>
    <t>APPENDIX 4 ii</t>
  </si>
  <si>
    <t>APPENDIX 4 iii</t>
  </si>
  <si>
    <t>APPENDIX 5 i</t>
  </si>
  <si>
    <t>APPENDIX 5 ii</t>
  </si>
  <si>
    <t>APPENDIX 5 iii</t>
  </si>
  <si>
    <t>APPENDIX 5 iv</t>
  </si>
  <si>
    <t>APPENDIX 7</t>
  </si>
  <si>
    <t>APPENDIX 8</t>
  </si>
  <si>
    <t>APPENDIX 9</t>
  </si>
  <si>
    <t>APPENDIX 10</t>
  </si>
  <si>
    <t>APPENDIX 11</t>
  </si>
  <si>
    <t>APPENDIX 12</t>
  </si>
  <si>
    <t>APPENDIX 13</t>
  </si>
  <si>
    <t>APPENDIX 14</t>
  </si>
  <si>
    <t>APPENDIX 15</t>
  </si>
  <si>
    <t>APPENDIX 16</t>
  </si>
  <si>
    <t>APPENDIX 17</t>
  </si>
  <si>
    <t>APPENDIX 18</t>
  </si>
  <si>
    <t>APPENDIX 19</t>
  </si>
  <si>
    <t>APPENDIX 20</t>
  </si>
  <si>
    <t>APPENDIX 21</t>
  </si>
  <si>
    <t>APPENDIX 22</t>
  </si>
  <si>
    <t>APPENDIX 23</t>
  </si>
  <si>
    <t>APPENDIX 24</t>
  </si>
  <si>
    <t>APPENDIX 25</t>
  </si>
  <si>
    <t>AAR INSURANCE KENYA</t>
  </si>
  <si>
    <t xml:space="preserve">AFRICAN MERCHANT ASSURANCE </t>
  </si>
  <si>
    <t>APA INSURANCE LIMITED</t>
  </si>
  <si>
    <t>BRITAM GENERAL INSURANCE</t>
  </si>
  <si>
    <t>BUPA GLOBAL INSURANCE</t>
  </si>
  <si>
    <t>CANNON GENERAL INSURANCE</t>
  </si>
  <si>
    <t>CIC GENERAL INSURANCE COMPANY</t>
  </si>
  <si>
    <t>CORPORATE INSURANCE COMPANY</t>
  </si>
  <si>
    <t>DEFINITE ASSURANCE COMPANY</t>
  </si>
  <si>
    <t>DIRECTLINE ASSURANCE COMPANY</t>
  </si>
  <si>
    <t>EQUITY GENERAL INSURANCE LIMITED</t>
  </si>
  <si>
    <t>EQUITY HEALTH INSURANCE LIMITED</t>
  </si>
  <si>
    <t xml:space="preserve">FIDELITY SHIELD INSURANCE  </t>
  </si>
  <si>
    <t>FIRST ASSURANCE COMPANY</t>
  </si>
  <si>
    <t>GA INSURANCE COMPANY</t>
  </si>
  <si>
    <t xml:space="preserve">GEMINIA INSURANCE COMPANY </t>
  </si>
  <si>
    <t>ICEA LION GENERAL INSURANCE</t>
  </si>
  <si>
    <t xml:space="preserve">INTRA-AFRICA ASSURANCE </t>
  </si>
  <si>
    <t>JUBILEE HEALTH INSURANCE</t>
  </si>
  <si>
    <t xml:space="preserve">KENINDIA ASSURANCE COMPANY </t>
  </si>
  <si>
    <t>KENYA ORIENT INSURANCE</t>
  </si>
  <si>
    <t>MADISON INSURANCE COMPANY</t>
  </si>
  <si>
    <t>MAYFAIR INSURANCE COMPANY</t>
  </si>
  <si>
    <t>MUA INSURANCE COMPANY</t>
  </si>
  <si>
    <t>NCBA INSURANCE COMPANY</t>
  </si>
  <si>
    <t xml:space="preserve">OCCIDENTAL INSURANCE COMPANY </t>
  </si>
  <si>
    <t xml:space="preserve">OLD MUTUAL GENERAL INSURANCE </t>
  </si>
  <si>
    <t>PACIS INSURANCE COMPANY</t>
  </si>
  <si>
    <t>PIONEER INSURANCE COMPANY</t>
  </si>
  <si>
    <t>SANLAM ALLIANZ GENERAL INSURANCE</t>
  </si>
  <si>
    <t>STAR DISCOVER INSURANCE</t>
  </si>
  <si>
    <t>TAKAFUL INSURANCE OF AFRICA</t>
  </si>
  <si>
    <t>TAUSI ASSURANCE COMPANY</t>
  </si>
  <si>
    <t>THE HERITAGE INSURANCE COMPANY</t>
  </si>
  <si>
    <t xml:space="preserve">THE KENYAN ALLIANCE INSURANCE </t>
  </si>
  <si>
    <t xml:space="preserve">THE MONARCH INSURANCE </t>
  </si>
  <si>
    <t xml:space="preserve">TRIDENT INSURANCE COMPANY </t>
  </si>
  <si>
    <t>REINSURERS</t>
  </si>
  <si>
    <t>CONTINENTAL REINSURANCE</t>
  </si>
  <si>
    <t xml:space="preserve">EAST AFRICA REINSURANCE </t>
  </si>
  <si>
    <t>GHANA REINSURANCE COMPANY</t>
  </si>
  <si>
    <t>KENYA REINSURANCE CORPORATION</t>
  </si>
  <si>
    <t>WAICA REINSURANCE KENYA LIMITED</t>
  </si>
  <si>
    <t>GRAND TOTAL</t>
  </si>
  <si>
    <t>ABSA LIFE ASSURANCE</t>
  </si>
  <si>
    <t xml:space="preserve">APA LIFE ASSURANCE COMPANY </t>
  </si>
  <si>
    <t>BRITAM LIFE ASSURANCE</t>
  </si>
  <si>
    <t>CANNON LIFE ASSURANCE (K) LIMITED</t>
  </si>
  <si>
    <t>CAPEX LIFE ASSURANCE COMPANY</t>
  </si>
  <si>
    <t>CIC LIFE ASSURANCE COMPANY</t>
  </si>
  <si>
    <t xml:space="preserve">EQUITY LIFE ASSURANCE </t>
  </si>
  <si>
    <t xml:space="preserve">GA LIFE ASSURANCE COMPANY </t>
  </si>
  <si>
    <t>GEMINIA LIFE INSURANCE COMPANY</t>
  </si>
  <si>
    <t xml:space="preserve">ICEA LION LIFE ASSURANCE </t>
  </si>
  <si>
    <t>JUBILEE LIFE INSURANCE</t>
  </si>
  <si>
    <t>KENINDIA ASSURANCE COMPANY</t>
  </si>
  <si>
    <t>KENYA ORIENT LIFE ASSURANCE</t>
  </si>
  <si>
    <t>KUSCCO MUTUAL ASSURANCE LIMITED</t>
  </si>
  <si>
    <t>LIBERTY LIFE ASSURANCE COMPANY</t>
  </si>
  <si>
    <t>OLD MUTUAL LIFE ASSURANCE KENYA</t>
  </si>
  <si>
    <t xml:space="preserve">PIONEER ASSURANCE COMPANY </t>
  </si>
  <si>
    <t>PRUDENTIAL LIFE ASSURANCE</t>
  </si>
  <si>
    <t>SANLAM LIFE ASSURANCE</t>
  </si>
  <si>
    <t>STAR DISCOVER LIFE INSURANCE</t>
  </si>
  <si>
    <t>THE KENYAN ALLIANCE INSURANCE</t>
  </si>
  <si>
    <t>THE MONARCH INSURANCE</t>
  </si>
  <si>
    <t>Share Capital</t>
  </si>
  <si>
    <t xml:space="preserve">Share Premium_x000D_
</t>
  </si>
  <si>
    <t>Revaluation Reserves</t>
  </si>
  <si>
    <t>Statutory Reserves</t>
  </si>
  <si>
    <t>Other Equity</t>
  </si>
  <si>
    <t>Retained Earnings</t>
  </si>
  <si>
    <t>Other Reserves</t>
  </si>
  <si>
    <t xml:space="preserve">Total Equity_x000D_
</t>
  </si>
  <si>
    <t>Investment Contract Liabilites</t>
  </si>
  <si>
    <t>Insurance Contract Liabilites</t>
  </si>
  <si>
    <t>Reinsurance Contract Liabilites</t>
  </si>
  <si>
    <t>Long-Term Liabilites</t>
  </si>
  <si>
    <t>Short-Term Liabilites</t>
  </si>
  <si>
    <t>Other Liabilites</t>
  </si>
  <si>
    <t>Total Equity And Liabilities</t>
  </si>
  <si>
    <t>Intangible Assets</t>
  </si>
  <si>
    <t>Land and Buildings</t>
  </si>
  <si>
    <t>Investment Property</t>
  </si>
  <si>
    <t>Fixed Assets</t>
  </si>
  <si>
    <t>Government Securites</t>
  </si>
  <si>
    <t>Other Securites</t>
  </si>
  <si>
    <t>Investment in Related Parties</t>
  </si>
  <si>
    <t>Corporate Bonds</t>
  </si>
  <si>
    <t>Commercial Papers</t>
  </si>
  <si>
    <t>Debentures</t>
  </si>
  <si>
    <t>Ordinary Shares Quoted</t>
  </si>
  <si>
    <t>Ordinary Shares Unquoted</t>
  </si>
  <si>
    <t>Preference Shares Quoted</t>
  </si>
  <si>
    <t>Preference Shares Unquoted</t>
  </si>
  <si>
    <t>Loans Secured and Unsecured</t>
  </si>
  <si>
    <t>Mortgages</t>
  </si>
  <si>
    <t>Term Deposits</t>
  </si>
  <si>
    <t>Cash and Cash Balances</t>
  </si>
  <si>
    <t>Insurance Contract Assets</t>
  </si>
  <si>
    <t>Reinsurance Contract Assets</t>
  </si>
  <si>
    <t>Other Receivables</t>
  </si>
  <si>
    <t>Other Assets</t>
  </si>
  <si>
    <t>Total Assets</t>
  </si>
  <si>
    <t xml:space="preserve">Amounts in Thousand Shillings                                                                                                                                                                                         </t>
  </si>
  <si>
    <t>Continued next page</t>
  </si>
  <si>
    <t>Continued from previous page</t>
  </si>
  <si>
    <t>Industry</t>
  </si>
  <si>
    <t>Insurers</t>
  </si>
  <si>
    <t>Reinsurers</t>
  </si>
  <si>
    <t>Total</t>
  </si>
  <si>
    <t>Life</t>
  </si>
  <si>
    <t>General</t>
  </si>
  <si>
    <t>Micro</t>
  </si>
  <si>
    <t>Microinsurers</t>
  </si>
  <si>
    <t>Equity</t>
  </si>
  <si>
    <t>Assets</t>
  </si>
  <si>
    <t>Investments</t>
  </si>
  <si>
    <t>COMPANY</t>
  </si>
  <si>
    <t>Share Premium</t>
  </si>
  <si>
    <t>Revaluation Reserve</t>
  </si>
  <si>
    <t xml:space="preserve">Amounts in Thousand Shillings                                                                                                                                                                                               </t>
  </si>
  <si>
    <t xml:space="preserve">Amounts in thousand Shillings                                                                                                                                                                                               </t>
  </si>
  <si>
    <t>Total Equity</t>
  </si>
  <si>
    <t>Life Assurances</t>
  </si>
  <si>
    <t>Annuities</t>
  </si>
  <si>
    <t>Personal Pensions</t>
  </si>
  <si>
    <t>Deposit Administration</t>
  </si>
  <si>
    <t>Group Life</t>
  </si>
  <si>
    <t>Group Credit</t>
  </si>
  <si>
    <t xml:space="preserve">Permanent Health </t>
  </si>
  <si>
    <t>Market Share (%)</t>
  </si>
  <si>
    <t>Pensions</t>
  </si>
  <si>
    <t>Figures in %</t>
  </si>
  <si>
    <t>Life Fund BF</t>
  </si>
  <si>
    <t>Gross Premium</t>
  </si>
  <si>
    <t xml:space="preserve">Net Premium </t>
  </si>
  <si>
    <t>Other (Fee) Income</t>
  </si>
  <si>
    <t>Total Benefits</t>
  </si>
  <si>
    <t>Claims</t>
  </si>
  <si>
    <t>Surrenders_x000D_</t>
  </si>
  <si>
    <t>Bonuses Paid</t>
  </si>
  <si>
    <t>Annuities Paid</t>
  </si>
  <si>
    <t>Net Commisions</t>
  </si>
  <si>
    <t xml:space="preserve">Expense of Management </t>
  </si>
  <si>
    <t>Investment Income</t>
  </si>
  <si>
    <t>Investment Expenses</t>
  </si>
  <si>
    <t>Transfer To (From) P &amp; L</t>
  </si>
  <si>
    <t>Life Fund CF</t>
  </si>
  <si>
    <t xml:space="preserve">Aviation </t>
  </si>
  <si>
    <t>Engineering</t>
  </si>
  <si>
    <t>Fire Domestic</t>
  </si>
  <si>
    <t>Fire Industrial</t>
  </si>
  <si>
    <t>Liability</t>
  </si>
  <si>
    <t>Marine</t>
  </si>
  <si>
    <t>Motor Private</t>
  </si>
  <si>
    <t>Motor Commercial</t>
  </si>
  <si>
    <t>Motor Commercial PSV</t>
  </si>
  <si>
    <t>Personal Accident</t>
  </si>
  <si>
    <t>Theft</t>
  </si>
  <si>
    <t>Workmens' Compensation</t>
  </si>
  <si>
    <t>Medical</t>
  </si>
  <si>
    <t>Miscellaneous</t>
  </si>
  <si>
    <t xml:space="preserve">Total_x000D_
</t>
  </si>
  <si>
    <t xml:space="preserve">TOTAL </t>
  </si>
  <si>
    <t>figures in %</t>
  </si>
  <si>
    <t>Ratios</t>
  </si>
  <si>
    <t xml:space="preserve">Gross Direct Premium </t>
  </si>
  <si>
    <t>Inward Reinsurance</t>
  </si>
  <si>
    <t xml:space="preserve">Outward Reinsurance </t>
  </si>
  <si>
    <t>Net Premium Written</t>
  </si>
  <si>
    <t>UPR B/F</t>
  </si>
  <si>
    <t xml:space="preserve"> Unexpired Risk Reserve (B/F) </t>
  </si>
  <si>
    <t xml:space="preserve">UPR C/F_x000D_
</t>
  </si>
  <si>
    <t>Net Earned Premium Income</t>
  </si>
  <si>
    <t>Incurred Claims</t>
  </si>
  <si>
    <t>Underwriting Profit /(Loss)</t>
  </si>
  <si>
    <t xml:space="preserve">Operating Profit_x000D_
</t>
  </si>
  <si>
    <t>SUMMARY OF GROSS PREMIUM INCOME</t>
  </si>
  <si>
    <t>SUMMARY OF CLAIMS PAID</t>
  </si>
  <si>
    <t>Bundled</t>
  </si>
  <si>
    <t>SUMMARY OF MARKET SHARE PER CLASS OF BUSINESS</t>
  </si>
  <si>
    <t>SUMMARY OF UNDERWRITING PROFITS</t>
  </si>
  <si>
    <t>(%)</t>
  </si>
  <si>
    <t>SUMMARY OF INCURRED CLAIMS RATIOS</t>
  </si>
  <si>
    <t>SUMMARY OF INCURRED CLAIMS</t>
  </si>
  <si>
    <t xml:space="preserve">Average
</t>
  </si>
  <si>
    <t xml:space="preserve">Amounts in Thousand Shillings unless otherwise stated </t>
  </si>
  <si>
    <t>Details_Range</t>
  </si>
  <si>
    <t>Appendix_1_Range</t>
  </si>
  <si>
    <t>Appendix_2_Range</t>
  </si>
  <si>
    <t>Appendix_3_Range</t>
  </si>
  <si>
    <t>Appendix_4_Range</t>
  </si>
  <si>
    <t>Appendix_5_Range</t>
  </si>
  <si>
    <t>Appendix_6_Range</t>
  </si>
  <si>
    <t>Appendix_7_Range</t>
  </si>
  <si>
    <t>Appendix_8_Range</t>
  </si>
  <si>
    <t>Appendix_9_Range</t>
  </si>
  <si>
    <t>Appendix_10_Range</t>
  </si>
  <si>
    <t>Appendix_11_Range</t>
  </si>
  <si>
    <t>Appendix_12_Range</t>
  </si>
  <si>
    <t>Appendix_13_Range</t>
  </si>
  <si>
    <t>Appendix_14_Range</t>
  </si>
  <si>
    <t>Appendix_15_Range</t>
  </si>
  <si>
    <t>Appendix_16_Range</t>
  </si>
  <si>
    <t>Appendix_17_Range</t>
  </si>
  <si>
    <t>Appendix_18_Range</t>
  </si>
  <si>
    <t>Appendix_19_Range</t>
  </si>
  <si>
    <t>Appendix_20_Range</t>
  </si>
  <si>
    <t>Appendix_21_Range</t>
  </si>
  <si>
    <t>Appendix_22_Range</t>
  </si>
  <si>
    <t>Appendix_23i_Range</t>
  </si>
  <si>
    <t>Appendix_23ii_Range</t>
  </si>
  <si>
    <t>Appendix_23iii_Range</t>
  </si>
  <si>
    <t>Appendix_24i_Range</t>
  </si>
  <si>
    <t>Appendix_24ii_Range</t>
  </si>
  <si>
    <t>Appendix_24iii_Range</t>
  </si>
  <si>
    <t>Appendix_24iv_Range</t>
  </si>
  <si>
    <t>Appendix_25i_Range</t>
  </si>
  <si>
    <t>The insurance information contained in this workbook has been extracted from the quarterly unaudited returns submitted to the Authority in line with Section 54 of the Insurance Act. No adjustments have been made to the returns’ data except where necessary in consultation with the affected insurer(s) or reinsurer(s).
The publication of any summary of the returns in this report does not necessarily mean that the returns so summarized have satisfied all the requirements of the Insurance Act, or that the Commissioner of Insurance approves the accuracy or the contents of the returns
Where necessary, figures have been adjusted to eliminate errors in totals due to rounding off, and are given in thousands Kenya Shillings (‘000’ KES) except where otherwise stated. The report incorporates data from all insurers and reinsurers except for, KUSCCO Mutual Assurance Limited, The Monarch Insurance Company Limited-Life, Corporate Insurance Company- General, The Monarch Insurance Company Limited-General and Trident Insurance Company Limited  due to non-compliance with the submission requirements</t>
  </si>
  <si>
    <t>APPENDIX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</si>
</sst>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_);_(* \(\ #,##0\ \);_(* &quot;-&quot;??_);_(\ @_ \)"/>
    <numFmt numFmtId="165" formatCode="_(* #,##0_);_(* \(#,##0\);_(* &quot;-&quot;??_);_(@_)"/>
    <numFmt numFmtId="166" formatCode="_(* #,##0.00_);_(* \(\ #,##0.00\ \);_(* &quot;-&quot;??_);_(\ @_ \)"/>
    <numFmt numFmtId="167" formatCode="_-* #,##0_-;\-* #,##0_-;_-* &quot;-&quot;??_-;_-@_-"/>
    <numFmt numFmtId="168" formatCode="0.0"/>
  </numFmts>
  <fonts count="45" x14ac:knownFonts="1">
    <font>
      <sz val="11"/>
      <color theme="1"/>
      <name val="Calibri"/>
      <family val="2"/>
      <scheme val="minor"/>
    </font>
    <font>
      <sz val="11"/>
      <color theme="1"/>
      <name val="Calibri"/>
      <family val="2"/>
      <scheme val="minor"/>
    </font>
    <font>
      <b/>
      <sz val="11"/>
      <color theme="1"/>
      <name val="Calibri"/>
      <family val="2"/>
      <scheme val="minor"/>
    </font>
    <font>
      <b/>
      <sz val="11"/>
      <name val="Bookman Old Style"/>
      <family val="1"/>
    </font>
    <font>
      <b/>
      <sz val="10"/>
      <name val="Bookman Old Style"/>
      <family val="1"/>
    </font>
    <font>
      <b/>
      <sz val="9"/>
      <name val="Bookman Old Style"/>
      <family val="1"/>
    </font>
    <font>
      <sz val="10"/>
      <color indexed="8"/>
      <name val="Bookman Old Style"/>
      <family val="1"/>
    </font>
    <font>
      <b/>
      <sz val="10"/>
      <color indexed="8"/>
      <name val="Bookman Old Style"/>
      <family val="1"/>
    </font>
    <font>
      <sz val="11"/>
      <color theme="1"/>
      <name val="Bookman Old Style"/>
      <family val="1"/>
    </font>
    <font>
      <b/>
      <sz val="11"/>
      <color theme="1"/>
      <name val="Bookman Old Style"/>
      <family val="1"/>
    </font>
    <font>
      <i/>
      <sz val="11"/>
      <color theme="1"/>
      <name val="Bookman Old Style"/>
      <family val="1"/>
    </font>
    <font>
      <sz val="10"/>
      <color theme="1"/>
      <name val="Bookman Old Style"/>
      <family val="1"/>
    </font>
    <font>
      <sz val="11"/>
      <name val="Bookman Old Style"/>
      <family val="1"/>
    </font>
    <font>
      <u/>
      <sz val="11"/>
      <color theme="10"/>
      <name val="Calibri"/>
      <family val="2"/>
      <scheme val="minor"/>
    </font>
    <font>
      <b/>
      <i/>
      <sz val="24"/>
      <color theme="4"/>
      <name val="Bookman Old Style"/>
      <family val="1"/>
    </font>
    <font>
      <b/>
      <i/>
      <sz val="24"/>
      <color rgb="FF996633"/>
      <name val="Bookman Old Style"/>
      <family val="1"/>
    </font>
    <font>
      <b/>
      <sz val="12"/>
      <color theme="1"/>
      <name val="Bookman Old Style"/>
      <family val="1"/>
    </font>
    <font>
      <b/>
      <sz val="18"/>
      <color theme="1"/>
      <name val="Bookman Old Style"/>
      <family val="1"/>
    </font>
    <font>
      <sz val="11"/>
      <color indexed="8"/>
      <name val="Bookman Old Style"/>
      <family val="1"/>
    </font>
    <font>
      <b/>
      <sz val="11"/>
      <color indexed="8"/>
      <name val="Bookman Old Style"/>
      <family val="1"/>
    </font>
    <font>
      <b/>
      <sz val="20"/>
      <color theme="1"/>
      <name val="Bookman Old Style"/>
      <family val="1"/>
    </font>
    <font>
      <b/>
      <sz val="14"/>
      <color rgb="FF76B531"/>
      <name val="Bookman Old Style"/>
      <family val="1"/>
    </font>
    <font>
      <b/>
      <i/>
      <sz val="16"/>
      <color rgb="FF946D20"/>
      <name val="Bookman Old Style"/>
      <family val="1"/>
    </font>
    <font>
      <u/>
      <sz val="11"/>
      <color theme="1"/>
      <name val="Bookman Old Style"/>
      <family val="1"/>
    </font>
    <font>
      <i/>
      <sz val="11"/>
      <color theme="1"/>
      <name val="Calibri"/>
      <family val="2"/>
      <scheme val="minor"/>
    </font>
    <font>
      <i/>
      <sz val="11"/>
      <color indexed="8"/>
      <name val="Bookman Old Style"/>
      <family val="1"/>
    </font>
    <font>
      <sz val="10"/>
      <name val="Tahoma"/>
      <family val="2"/>
    </font>
    <font>
      <sz val="11"/>
      <color theme="1" tint="0.14999847407452621"/>
      <name val="Calibri"/>
      <family val="2"/>
      <scheme val="minor"/>
    </font>
    <font>
      <b/>
      <sz val="12"/>
      <name val="Bookman Old Style"/>
      <family val="1"/>
    </font>
    <font>
      <sz val="12"/>
      <color indexed="8"/>
      <name val="Bookman Old Style"/>
      <family val="1"/>
    </font>
    <font>
      <b/>
      <sz val="12"/>
      <color indexed="8"/>
      <name val="Bookman Old Style"/>
      <family val="1"/>
    </font>
    <font>
      <i/>
      <sz val="12"/>
      <color indexed="8"/>
      <name val="Bookman Old Style"/>
      <family val="1"/>
    </font>
    <font>
      <i/>
      <sz val="12"/>
      <color theme="1"/>
      <name val="Bookman Old Style"/>
      <family val="1"/>
    </font>
    <font>
      <sz val="12"/>
      <color theme="1"/>
      <name val="Bookman Old Style"/>
      <family val="1"/>
    </font>
    <font>
      <b/>
      <sz val="16"/>
      <name val="Bookman Old Style"/>
      <family val="1"/>
    </font>
    <font>
      <sz val="12"/>
      <name val="Bookman Old Style"/>
      <family val="1"/>
    </font>
    <font>
      <sz val="12"/>
      <color theme="1"/>
      <name val="Calibri"/>
      <family val="2"/>
      <scheme val="minor"/>
    </font>
    <font>
      <b/>
      <sz val="12"/>
      <color indexed="63"/>
      <name val="Bookman Old Style"/>
      <family val="1"/>
    </font>
    <font>
      <sz val="12"/>
      <color theme="1"/>
      <name val="Arial"/>
      <family val="2"/>
    </font>
    <font>
      <b/>
      <sz val="12"/>
      <color theme="1"/>
      <name val="Arial"/>
      <family val="2"/>
    </font>
    <font>
      <b/>
      <sz val="12"/>
      <color theme="1"/>
      <name val="Calibri"/>
      <family val="2"/>
      <scheme val="minor"/>
    </font>
    <font>
      <i/>
      <sz val="12"/>
      <color theme="1"/>
      <name val="Calibri"/>
      <family val="2"/>
      <scheme val="minor"/>
    </font>
    <font>
      <sz val="12"/>
      <color indexed="63"/>
      <name val="Bookman Old Style"/>
      <family val="1"/>
    </font>
    <font>
      <b/>
      <i/>
      <sz val="12"/>
      <color theme="1"/>
      <name val="Bookman Old Style"/>
      <family val="1"/>
    </font>
    <font>
      <b/>
      <sz val="10"/>
      <color theme="1"/>
      <name val="Arial"/>
      <family val="2"/>
    </font>
  </fonts>
  <fills count="14">
    <fill>
      <patternFill patternType="none"/>
    </fill>
    <fill>
      <patternFill patternType="gray125"/>
    </fill>
    <fill>
      <patternFill patternType="solid">
        <fgColor indexed="1"/>
        <bgColor indexed="1"/>
      </patternFill>
    </fill>
    <fill>
      <patternFill patternType="solid">
        <fgColor indexed="9"/>
        <bgColor indexed="9"/>
      </patternFill>
    </fill>
    <fill>
      <patternFill patternType="solid">
        <fgColor theme="0"/>
        <bgColor indexed="64"/>
      </patternFill>
    </fill>
    <fill>
      <patternFill patternType="solid">
        <fgColor rgb="FFA2D668"/>
        <bgColor indexed="64"/>
      </patternFill>
    </fill>
    <fill>
      <patternFill patternType="solid">
        <fgColor rgb="FFF0A73C"/>
        <bgColor indexed="64"/>
      </patternFill>
    </fill>
    <fill>
      <patternFill patternType="solid">
        <fgColor rgb="FFABDB77"/>
        <bgColor indexed="64"/>
      </patternFill>
    </fill>
    <fill>
      <patternFill patternType="solid">
        <fgColor rgb="FFF0A73C"/>
        <bgColor indexed="1"/>
      </patternFill>
    </fill>
    <fill>
      <patternFill patternType="solid">
        <fgColor rgb="FFABDB77"/>
        <bgColor indexed="1"/>
      </patternFill>
    </fill>
    <fill>
      <patternFill patternType="solid">
        <fgColor theme="0"/>
        <bgColor indexed="1"/>
      </patternFill>
    </fill>
    <fill>
      <patternFill patternType="solid">
        <fgColor rgb="FFFFC000"/>
        <bgColor indexed="64"/>
      </patternFill>
    </fill>
    <fill>
      <patternFill patternType="solid">
        <fgColor rgb="FFFFC000"/>
        <bgColor indexed="9"/>
      </patternFill>
    </fill>
    <fill>
      <patternFill patternType="solid">
        <fgColor rgb="FFFFC000"/>
        <bgColor indexed="1"/>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rgb="FFA87C24"/>
      </left>
      <right/>
      <top style="double">
        <color rgb="FFA87C24"/>
      </top>
      <bottom/>
      <diagonal/>
    </border>
    <border>
      <left/>
      <right style="double">
        <color rgb="FFA87C24"/>
      </right>
      <top style="double">
        <color rgb="FFA87C24"/>
      </top>
      <bottom/>
      <diagonal/>
    </border>
    <border>
      <left style="double">
        <color rgb="FFA87C24"/>
      </left>
      <right/>
      <top/>
      <bottom/>
      <diagonal/>
    </border>
    <border>
      <left/>
      <right style="double">
        <color rgb="FFA87C24"/>
      </right>
      <top/>
      <bottom/>
      <diagonal/>
    </border>
    <border>
      <left style="double">
        <color rgb="FFA87C24"/>
      </left>
      <right/>
      <top style="thick">
        <color rgb="FFA87C24"/>
      </top>
      <bottom style="thick">
        <color rgb="FFA87C24"/>
      </bottom>
      <diagonal/>
    </border>
    <border>
      <left style="medium">
        <color rgb="FFA87C24"/>
      </left>
      <right style="double">
        <color rgb="FFA87C24"/>
      </right>
      <top style="thick">
        <color rgb="FFA87C24"/>
      </top>
      <bottom style="thick">
        <color rgb="FFA87C24"/>
      </bottom>
      <diagonal/>
    </border>
    <border>
      <left style="thick">
        <color rgb="FFA87C24"/>
      </left>
      <right style="double">
        <color rgb="FFA87C24"/>
      </right>
      <top style="thick">
        <color rgb="FFA87C24"/>
      </top>
      <bottom/>
      <diagonal/>
    </border>
    <border>
      <left style="thick">
        <color rgb="FFA87C24"/>
      </left>
      <right style="double">
        <color rgb="FFA87C24"/>
      </right>
      <top/>
      <bottom/>
      <diagonal/>
    </border>
    <border>
      <left style="thick">
        <color rgb="FFA87C24"/>
      </left>
      <right style="double">
        <color rgb="FFA87C24"/>
      </right>
      <top/>
      <bottom style="double">
        <color rgb="FFA87C24"/>
      </bottom>
      <diagonal/>
    </border>
    <border>
      <left style="thick">
        <color rgb="FFA87C24"/>
      </left>
      <right style="thick">
        <color rgb="FFA87C24"/>
      </right>
      <top/>
      <bottom/>
      <diagonal/>
    </border>
    <border>
      <left/>
      <right/>
      <top style="double">
        <color rgb="FFC7932B"/>
      </top>
      <bottom/>
      <diagonal/>
    </border>
    <border>
      <left/>
      <right/>
      <top style="medium">
        <color rgb="FFC7932B"/>
      </top>
      <bottom style="double">
        <color rgb="FFC7932B"/>
      </bottom>
      <diagonal/>
    </border>
    <border>
      <left/>
      <right style="medium">
        <color rgb="FFC7932B"/>
      </right>
      <top style="medium">
        <color rgb="FFC7932B"/>
      </top>
      <bottom style="double">
        <color rgb="FFC7932B"/>
      </bottom>
      <diagonal/>
    </border>
    <border>
      <left/>
      <right style="medium">
        <color rgb="FFC7932B"/>
      </right>
      <top style="double">
        <color rgb="FFC7932B"/>
      </top>
      <bottom/>
      <diagonal/>
    </border>
    <border>
      <left style="medium">
        <color rgb="FFC7932B"/>
      </left>
      <right/>
      <top/>
      <bottom/>
      <diagonal/>
    </border>
    <border>
      <left/>
      <right style="medium">
        <color rgb="FFC7932B"/>
      </right>
      <top/>
      <bottom/>
      <diagonal/>
    </border>
    <border>
      <left style="medium">
        <color rgb="FFC7932B"/>
      </left>
      <right/>
      <top/>
      <bottom style="medium">
        <color rgb="FFC7932B"/>
      </bottom>
      <diagonal/>
    </border>
    <border>
      <left/>
      <right/>
      <top/>
      <bottom style="medium">
        <color rgb="FFC7932B"/>
      </bottom>
      <diagonal/>
    </border>
    <border>
      <left/>
      <right style="medium">
        <color rgb="FFC7932B"/>
      </right>
      <top/>
      <bottom style="medium">
        <color rgb="FFC7932B"/>
      </bottom>
      <diagonal/>
    </border>
    <border>
      <left/>
      <right/>
      <top style="double">
        <color indexed="64"/>
      </top>
      <bottom/>
      <diagonal/>
    </border>
    <border>
      <left/>
      <right/>
      <top style="thick">
        <color rgb="FFA87C24"/>
      </top>
      <bottom/>
      <diagonal/>
    </border>
    <border>
      <left style="medium">
        <color rgb="FFC7932B"/>
      </left>
      <right style="medium">
        <color rgb="FFC7932B"/>
      </right>
      <top style="medium">
        <color rgb="FFC7932B"/>
      </top>
      <bottom style="double">
        <color rgb="FFC7932B"/>
      </bottom>
      <diagonal/>
    </border>
    <border>
      <left style="medium">
        <color rgb="FFC7932B"/>
      </left>
      <right style="medium">
        <color rgb="FFC7932B"/>
      </right>
      <top style="double">
        <color rgb="FFC7932B"/>
      </top>
      <bottom style="medium">
        <color rgb="FFC7932B"/>
      </bottom>
      <diagonal/>
    </border>
    <border>
      <left style="double">
        <color rgb="FFA87C24"/>
      </left>
      <right style="double">
        <color rgb="FFA87C2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9">
    <xf numFmtId="0" fontId="0" fillId="0" borderId="0"/>
    <xf numFmtId="43" fontId="1" fillId="0" borderId="0"/>
    <xf numFmtId="0" fontId="26" fillId="0" borderId="0"/>
    <xf numFmtId="43" fontId="1" fillId="0" borderId="0"/>
    <xf numFmtId="0" fontId="13" fillId="0" borderId="0"/>
    <xf numFmtId="41" fontId="1" fillId="0" borderId="0"/>
    <xf numFmtId="0" fontId="26" fillId="0" borderId="0"/>
    <xf numFmtId="166" fontId="26" fillId="0" borderId="0"/>
    <xf numFmtId="43" fontId="1" fillId="0" borderId="0"/>
  </cellStyleXfs>
  <cellXfs count="342">
    <xf numFmtId="0" fontId="0" fillId="0" borderId="0" xfId="0"/>
    <xf numFmtId="0" fontId="2" fillId="0" borderId="0" xfId="0" applyFont="1"/>
    <xf numFmtId="0" fontId="8" fillId="0" borderId="0" xfId="0" applyFont="1"/>
    <xf numFmtId="0" fontId="8" fillId="0" borderId="1" xfId="0" applyFont="1" applyBorder="1"/>
    <xf numFmtId="0" fontId="6" fillId="2" borderId="1" xfId="0" applyFont="1" applyFill="1" applyBorder="1"/>
    <xf numFmtId="0" fontId="9" fillId="0" borderId="0" xfId="0" applyFont="1"/>
    <xf numFmtId="0" fontId="6" fillId="0" borderId="1" xfId="0" applyFont="1" applyBorder="1" applyAlignment="1">
      <alignment wrapText="1"/>
    </xf>
    <xf numFmtId="0" fontId="0" fillId="4" borderId="0" xfId="0" applyFill="1"/>
    <xf numFmtId="0" fontId="0" fillId="4" borderId="8" xfId="0" applyFill="1" applyBorder="1"/>
    <xf numFmtId="0" fontId="0" fillId="4" borderId="10" xfId="0" applyFill="1" applyBorder="1"/>
    <xf numFmtId="0" fontId="0" fillId="4" borderId="11" xfId="0" applyFill="1" applyBorder="1"/>
    <xf numFmtId="0" fontId="0" fillId="4" borderId="9" xfId="0" applyFill="1" applyBorder="1"/>
    <xf numFmtId="0" fontId="0" fillId="4" borderId="12" xfId="0" applyFill="1" applyBorder="1"/>
    <xf numFmtId="0" fontId="14" fillId="4" borderId="0" xfId="0" applyFont="1" applyFill="1"/>
    <xf numFmtId="0" fontId="15" fillId="4" borderId="0" xfId="0" applyFont="1" applyFill="1"/>
    <xf numFmtId="0" fontId="9" fillId="4" borderId="0" xfId="0" applyFont="1" applyFill="1"/>
    <xf numFmtId="0" fontId="0" fillId="4" borderId="14" xfId="0" applyFill="1" applyBorder="1"/>
    <xf numFmtId="0" fontId="0" fillId="4" borderId="15" xfId="0" applyFill="1" applyBorder="1"/>
    <xf numFmtId="0" fontId="0" fillId="4" borderId="16" xfId="0" applyFill="1" applyBorder="1"/>
    <xf numFmtId="0" fontId="17" fillId="4" borderId="0" xfId="0" applyFont="1" applyFill="1" applyAlignment="1">
      <alignment horizontal="left" indent="17"/>
    </xf>
    <xf numFmtId="0" fontId="0" fillId="4" borderId="0" xfId="0" applyFill="1" applyAlignment="1">
      <alignment horizontal="left" indent="17"/>
    </xf>
    <xf numFmtId="0" fontId="9" fillId="4" borderId="0" xfId="0" applyFont="1" applyFill="1" applyAlignment="1">
      <alignment horizontal="left"/>
    </xf>
    <xf numFmtId="0" fontId="16" fillId="5" borderId="13" xfId="0" applyFont="1" applyFill="1" applyBorder="1" applyAlignment="1">
      <alignment horizontal="center" vertical="center"/>
    </xf>
    <xf numFmtId="0" fontId="9" fillId="0" borderId="21" xfId="0" applyFont="1" applyBorder="1"/>
    <xf numFmtId="0" fontId="9" fillId="0" borderId="22" xfId="0" applyFont="1" applyBorder="1"/>
    <xf numFmtId="0" fontId="9" fillId="6" borderId="1" xfId="0" applyFont="1" applyFill="1" applyBorder="1"/>
    <xf numFmtId="0" fontId="3" fillId="0" borderId="1" xfId="0" applyFont="1" applyBorder="1" applyAlignment="1">
      <alignment wrapText="1"/>
    </xf>
    <xf numFmtId="0" fontId="3" fillId="0" borderId="1" xfId="0" applyFont="1" applyBorder="1" applyAlignment="1">
      <alignment horizontal="center" wrapText="1"/>
    </xf>
    <xf numFmtId="164" fontId="18" fillId="0" borderId="1" xfId="1" applyNumberFormat="1" applyFont="1" applyBorder="1" applyAlignment="1">
      <alignment horizontal="right" wrapText="1"/>
    </xf>
    <xf numFmtId="0" fontId="11" fillId="0" borderId="23" xfId="0" applyFont="1" applyBorder="1" applyAlignment="1">
      <alignment horizontal="left"/>
    </xf>
    <xf numFmtId="0" fontId="11" fillId="0" borderId="24" xfId="0" applyFont="1" applyBorder="1" applyAlignment="1">
      <alignment horizontal="left"/>
    </xf>
    <xf numFmtId="0" fontId="11" fillId="0" borderId="25" xfId="0" applyFont="1" applyBorder="1" applyAlignment="1">
      <alignment horizontal="left"/>
    </xf>
    <xf numFmtId="0" fontId="8" fillId="0" borderId="9" xfId="0" applyFont="1" applyBorder="1"/>
    <xf numFmtId="0" fontId="8" fillId="0" borderId="17" xfId="0" applyFont="1" applyBorder="1"/>
    <xf numFmtId="0" fontId="8" fillId="0" borderId="18" xfId="0" applyFont="1" applyBorder="1"/>
    <xf numFmtId="0" fontId="2" fillId="0" borderId="0" xfId="0" applyFont="1" applyAlignment="1">
      <alignment wrapText="1"/>
    </xf>
    <xf numFmtId="0" fontId="16" fillId="6" borderId="13" xfId="0" applyFont="1" applyFill="1" applyBorder="1" applyAlignment="1">
      <alignment horizontal="center" vertical="center"/>
    </xf>
    <xf numFmtId="0" fontId="18" fillId="0" borderId="1" xfId="0" applyFont="1" applyBorder="1" applyAlignment="1">
      <alignment wrapText="1"/>
    </xf>
    <xf numFmtId="0" fontId="19" fillId="6" borderId="1" xfId="0" applyFont="1" applyFill="1" applyBorder="1" applyAlignment="1">
      <alignment wrapText="1"/>
    </xf>
    <xf numFmtId="164" fontId="19" fillId="6" borderId="1" xfId="1" applyNumberFormat="1" applyFont="1" applyFill="1" applyBorder="1" applyAlignment="1">
      <alignment horizontal="right" wrapText="1"/>
    </xf>
    <xf numFmtId="164" fontId="19" fillId="0" borderId="1" xfId="1" applyNumberFormat="1" applyFont="1" applyBorder="1" applyAlignment="1">
      <alignment horizontal="right" wrapText="1"/>
    </xf>
    <xf numFmtId="0" fontId="8" fillId="0" borderId="0" xfId="0" applyFont="1" applyAlignment="1">
      <alignment horizontal="center" vertical="center"/>
    </xf>
    <xf numFmtId="41" fontId="0" fillId="0" borderId="0" xfId="5" applyFont="1"/>
    <xf numFmtId="0" fontId="18" fillId="0" borderId="1" xfId="0" applyFont="1" applyBorder="1"/>
    <xf numFmtId="0" fontId="3" fillId="0" borderId="1" xfId="0" applyFont="1" applyBorder="1" applyAlignment="1">
      <alignment horizontal="center"/>
    </xf>
    <xf numFmtId="164" fontId="18" fillId="2" borderId="1" xfId="1" applyNumberFormat="1" applyFont="1" applyFill="1" applyBorder="1" applyAlignment="1">
      <alignment horizontal="right" wrapText="1"/>
    </xf>
    <xf numFmtId="164" fontId="19" fillId="2" borderId="1" xfId="1" applyNumberFormat="1" applyFont="1" applyFill="1" applyBorder="1" applyAlignment="1">
      <alignment horizontal="right" wrapText="1"/>
    </xf>
    <xf numFmtId="164" fontId="19" fillId="8" borderId="1" xfId="1" applyNumberFormat="1" applyFont="1" applyFill="1" applyBorder="1" applyAlignment="1">
      <alignment horizontal="right" wrapText="1"/>
    </xf>
    <xf numFmtId="0" fontId="8" fillId="0" borderId="0" xfId="6" applyFont="1"/>
    <xf numFmtId="0" fontId="9" fillId="0" borderId="0" xfId="6" applyFont="1"/>
    <xf numFmtId="0" fontId="3" fillId="0" borderId="1" xfId="6" applyFont="1" applyBorder="1" applyAlignment="1">
      <alignment wrapText="1"/>
    </xf>
    <xf numFmtId="0" fontId="5" fillId="0" borderId="1" xfId="6" applyFont="1" applyBorder="1" applyAlignment="1">
      <alignment horizontal="center" wrapText="1"/>
    </xf>
    <xf numFmtId="0" fontId="5" fillId="0" borderId="1" xfId="6" applyFont="1" applyBorder="1" applyAlignment="1">
      <alignment horizontal="center"/>
    </xf>
    <xf numFmtId="0" fontId="4" fillId="0" borderId="1" xfId="6" applyFont="1" applyBorder="1" applyAlignment="1">
      <alignment horizontal="center" wrapText="1"/>
    </xf>
    <xf numFmtId="0" fontId="8" fillId="0" borderId="0" xfId="6" applyFont="1" applyAlignment="1">
      <alignment wrapText="1"/>
    </xf>
    <xf numFmtId="0" fontId="8" fillId="0" borderId="1" xfId="6" applyFont="1" applyBorder="1"/>
    <xf numFmtId="165" fontId="6" fillId="2" borderId="1" xfId="7" applyNumberFormat="1" applyFont="1" applyFill="1" applyBorder="1" applyAlignment="1">
      <alignment horizontal="right" wrapText="1"/>
    </xf>
    <xf numFmtId="165" fontId="7" fillId="2" borderId="1" xfId="7" applyNumberFormat="1" applyFont="1" applyFill="1" applyBorder="1" applyAlignment="1">
      <alignment horizontal="right" wrapText="1"/>
    </xf>
    <xf numFmtId="0" fontId="9" fillId="6" borderId="1" xfId="6" applyFont="1" applyFill="1" applyBorder="1"/>
    <xf numFmtId="165" fontId="7" fillId="8" borderId="1" xfId="7" applyNumberFormat="1" applyFont="1" applyFill="1" applyBorder="1" applyAlignment="1">
      <alignment horizontal="right" wrapText="1"/>
    </xf>
    <xf numFmtId="164" fontId="6" fillId="2" borderId="1" xfId="7" applyNumberFormat="1" applyFont="1" applyFill="1" applyBorder="1" applyAlignment="1">
      <alignment horizontal="right" wrapText="1"/>
    </xf>
    <xf numFmtId="0" fontId="27" fillId="4" borderId="9" xfId="0" applyFont="1" applyFill="1" applyBorder="1"/>
    <xf numFmtId="0" fontId="27" fillId="4" borderId="0" xfId="0" applyFont="1" applyFill="1"/>
    <xf numFmtId="0" fontId="27" fillId="4" borderId="12" xfId="0" applyFont="1" applyFill="1" applyBorder="1"/>
    <xf numFmtId="0" fontId="29" fillId="2" borderId="1" xfId="0" applyFont="1" applyFill="1" applyBorder="1"/>
    <xf numFmtId="0" fontId="28" fillId="0" borderId="1" xfId="0" applyFont="1" applyBorder="1" applyAlignment="1">
      <alignment wrapText="1"/>
    </xf>
    <xf numFmtId="0" fontId="28" fillId="0" borderId="1" xfId="0" applyFont="1" applyBorder="1" applyAlignment="1">
      <alignment horizontal="center" wrapText="1"/>
    </xf>
    <xf numFmtId="0" fontId="29" fillId="0" borderId="1" xfId="0" applyFont="1" applyBorder="1" applyAlignment="1">
      <alignment wrapText="1"/>
    </xf>
    <xf numFmtId="164" fontId="29" fillId="0" borderId="2" xfId="1" applyNumberFormat="1" applyFont="1" applyBorder="1" applyAlignment="1">
      <alignment horizontal="right" wrapText="1"/>
    </xf>
    <xf numFmtId="164" fontId="30" fillId="0" borderId="2" xfId="1" applyNumberFormat="1" applyFont="1" applyBorder="1" applyAlignment="1">
      <alignment horizontal="right" wrapText="1"/>
    </xf>
    <xf numFmtId="164" fontId="29" fillId="0" borderId="1" xfId="1" applyNumberFormat="1" applyFont="1" applyBorder="1" applyAlignment="1">
      <alignment horizontal="right" wrapText="1"/>
    </xf>
    <xf numFmtId="0" fontId="30" fillId="6" borderId="1" xfId="0" applyFont="1" applyFill="1" applyBorder="1" applyAlignment="1">
      <alignment wrapText="1"/>
    </xf>
    <xf numFmtId="164" fontId="30" fillId="6" borderId="1" xfId="1" applyNumberFormat="1" applyFont="1" applyFill="1" applyBorder="1" applyAlignment="1">
      <alignment horizontal="right" wrapText="1"/>
    </xf>
    <xf numFmtId="164" fontId="30" fillId="0" borderId="1" xfId="1" applyNumberFormat="1" applyFont="1" applyBorder="1" applyAlignment="1">
      <alignment horizontal="right" wrapText="1"/>
    </xf>
    <xf numFmtId="0" fontId="28" fillId="0" borderId="1" xfId="0" applyFont="1" applyBorder="1" applyAlignment="1">
      <alignment horizontal="center" vertical="center" wrapText="1"/>
    </xf>
    <xf numFmtId="0" fontId="29" fillId="0" borderId="2" xfId="0" applyFont="1" applyBorder="1" applyAlignment="1">
      <alignment wrapText="1"/>
    </xf>
    <xf numFmtId="0" fontId="33" fillId="0" borderId="0" xfId="0" applyFont="1"/>
    <xf numFmtId="0" fontId="32" fillId="0" borderId="0" xfId="0" applyFont="1"/>
    <xf numFmtId="0" fontId="23" fillId="0" borderId="37" xfId="0" applyFont="1" applyBorder="1"/>
    <xf numFmtId="0" fontId="12" fillId="0" borderId="26" xfId="4" quotePrefix="1" applyFont="1" applyBorder="1"/>
    <xf numFmtId="164" fontId="18" fillId="0" borderId="2" xfId="1" applyNumberFormat="1" applyFont="1" applyBorder="1" applyAlignment="1">
      <alignment horizontal="right" wrapText="1"/>
    </xf>
    <xf numFmtId="164" fontId="19" fillId="0" borderId="2" xfId="1" applyNumberFormat="1" applyFont="1" applyBorder="1" applyAlignment="1">
      <alignment horizontal="right" wrapText="1"/>
    </xf>
    <xf numFmtId="0" fontId="18" fillId="2" borderId="1" xfId="0" applyFont="1" applyFill="1" applyBorder="1"/>
    <xf numFmtId="0" fontId="18" fillId="0" borderId="2" xfId="0" applyFont="1" applyBorder="1"/>
    <xf numFmtId="166" fontId="18" fillId="0" borderId="1" xfId="1" applyNumberFormat="1" applyFont="1" applyBorder="1" applyAlignment="1">
      <alignment horizontal="right" wrapText="1"/>
    </xf>
    <xf numFmtId="166" fontId="19" fillId="0" borderId="1" xfId="1" applyNumberFormat="1" applyFont="1" applyBorder="1" applyAlignment="1">
      <alignment horizontal="right" wrapText="1"/>
    </xf>
    <xf numFmtId="0" fontId="19" fillId="6" borderId="1" xfId="0" applyFont="1" applyFill="1" applyBorder="1"/>
    <xf numFmtId="166" fontId="19" fillId="6" borderId="1" xfId="1" applyNumberFormat="1" applyFont="1" applyFill="1" applyBorder="1" applyAlignment="1">
      <alignment horizontal="right" wrapText="1"/>
    </xf>
    <xf numFmtId="0" fontId="18" fillId="2" borderId="2" xfId="0" applyFont="1" applyFill="1" applyBorder="1"/>
    <xf numFmtId="2" fontId="9" fillId="0" borderId="1" xfId="0" applyNumberFormat="1" applyFont="1" applyBorder="1"/>
    <xf numFmtId="0" fontId="19" fillId="8" borderId="1" xfId="0" applyFont="1" applyFill="1" applyBorder="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8" fillId="2" borderId="1" xfId="0" applyFont="1" applyFill="1" applyBorder="1" applyAlignment="1">
      <alignment wrapText="1"/>
    </xf>
    <xf numFmtId="0" fontId="0" fillId="0" borderId="0" xfId="0" applyAlignment="1">
      <alignment vertical="center"/>
    </xf>
    <xf numFmtId="164" fontId="8" fillId="0" borderId="0" xfId="0" applyNumberFormat="1" applyFont="1"/>
    <xf numFmtId="0" fontId="28" fillId="0" borderId="1" xfId="0" applyFont="1" applyBorder="1" applyAlignment="1">
      <alignment horizontal="center"/>
    </xf>
    <xf numFmtId="166" fontId="19" fillId="8" borderId="1" xfId="1" applyNumberFormat="1" applyFont="1" applyFill="1" applyBorder="1" applyAlignment="1">
      <alignment horizontal="right" wrapText="1"/>
    </xf>
    <xf numFmtId="0" fontId="3" fillId="0" borderId="1" xfId="0" applyFont="1" applyBorder="1" applyAlignment="1">
      <alignment horizontal="center" vertical="center"/>
    </xf>
    <xf numFmtId="2" fontId="29" fillId="0" borderId="2" xfId="1" applyNumberFormat="1" applyFont="1" applyBorder="1" applyAlignment="1">
      <alignment horizontal="right" wrapText="1"/>
    </xf>
    <xf numFmtId="2" fontId="30" fillId="0" borderId="2" xfId="1" applyNumberFormat="1" applyFont="1" applyBorder="1" applyAlignment="1">
      <alignment horizontal="right" wrapText="1"/>
    </xf>
    <xf numFmtId="2" fontId="30" fillId="6" borderId="2" xfId="1" applyNumberFormat="1" applyFont="1" applyFill="1" applyBorder="1" applyAlignment="1">
      <alignment horizontal="right" wrapText="1"/>
    </xf>
    <xf numFmtId="0" fontId="0" fillId="0" borderId="6" xfId="0" applyBorder="1"/>
    <xf numFmtId="0" fontId="10" fillId="0" borderId="6" xfId="0" applyFont="1" applyBorder="1"/>
    <xf numFmtId="0" fontId="31" fillId="0" borderId="0" xfId="0" applyFont="1" applyAlignment="1">
      <alignment horizontal="left" wrapText="1"/>
    </xf>
    <xf numFmtId="0" fontId="36" fillId="0" borderId="4" xfId="0" applyFont="1" applyBorder="1"/>
    <xf numFmtId="0" fontId="36" fillId="0" borderId="5" xfId="0" applyFont="1" applyBorder="1"/>
    <xf numFmtId="0" fontId="33" fillId="0" borderId="0" xfId="0" applyFont="1" applyAlignment="1">
      <alignment vertical="center"/>
    </xf>
    <xf numFmtId="0" fontId="28" fillId="0" borderId="1" xfId="0" applyFont="1" applyBorder="1" applyAlignment="1">
      <alignment vertical="center" wrapText="1"/>
    </xf>
    <xf numFmtId="0" fontId="37" fillId="0" borderId="1" xfId="0" applyFont="1" applyBorder="1" applyAlignment="1">
      <alignment horizontal="left" vertical="center" wrapText="1"/>
    </xf>
    <xf numFmtId="0" fontId="37" fillId="0" borderId="1" xfId="0" applyFont="1" applyBorder="1" applyAlignment="1">
      <alignment horizontal="center" vertical="center" wrapText="1"/>
    </xf>
    <xf numFmtId="0" fontId="29" fillId="2" borderId="1" xfId="0" applyFont="1" applyFill="1" applyBorder="1" applyAlignment="1">
      <alignment wrapText="1"/>
    </xf>
    <xf numFmtId="165" fontId="29" fillId="2" borderId="1" xfId="1" applyNumberFormat="1" applyFont="1" applyFill="1" applyBorder="1" applyAlignment="1">
      <alignment horizontal="right" wrapText="1"/>
    </xf>
    <xf numFmtId="165" fontId="29" fillId="3" borderId="1" xfId="1" applyNumberFormat="1" applyFont="1" applyFill="1" applyBorder="1" applyAlignment="1">
      <alignment horizontal="right" wrapText="1"/>
    </xf>
    <xf numFmtId="165" fontId="30" fillId="3" borderId="1" xfId="1" applyNumberFormat="1" applyFont="1" applyFill="1" applyBorder="1" applyAlignment="1">
      <alignment horizontal="right" wrapText="1"/>
    </xf>
    <xf numFmtId="165" fontId="29" fillId="0" borderId="1" xfId="1" applyNumberFormat="1" applyFont="1" applyBorder="1" applyAlignment="1">
      <alignment horizontal="right" wrapText="1"/>
    </xf>
    <xf numFmtId="165" fontId="30" fillId="0" borderId="1" xfId="1" applyNumberFormat="1" applyFont="1" applyBorder="1" applyAlignment="1">
      <alignment horizontal="right" wrapText="1"/>
    </xf>
    <xf numFmtId="165" fontId="29" fillId="2" borderId="1" xfId="1" applyNumberFormat="1" applyFont="1" applyFill="1" applyBorder="1"/>
    <xf numFmtId="165" fontId="29" fillId="3" borderId="1" xfId="1" applyNumberFormat="1" applyFont="1" applyFill="1" applyBorder="1"/>
    <xf numFmtId="0" fontId="30" fillId="8" borderId="1" xfId="0" applyFont="1" applyFill="1" applyBorder="1" applyAlignment="1">
      <alignment wrapText="1"/>
    </xf>
    <xf numFmtId="165" fontId="30" fillId="8" borderId="1" xfId="1" applyNumberFormat="1" applyFont="1" applyFill="1" applyBorder="1" applyAlignment="1">
      <alignment horizontal="right" wrapText="1"/>
    </xf>
    <xf numFmtId="41" fontId="29" fillId="2" borderId="1" xfId="1" applyNumberFormat="1" applyFont="1" applyFill="1" applyBorder="1" applyAlignment="1">
      <alignment wrapText="1"/>
    </xf>
    <xf numFmtId="41" fontId="30" fillId="2" borderId="1" xfId="1" applyNumberFormat="1" applyFont="1" applyFill="1" applyBorder="1" applyAlignment="1">
      <alignment wrapText="1"/>
    </xf>
    <xf numFmtId="164" fontId="30" fillId="8" borderId="1" xfId="1" applyNumberFormat="1" applyFont="1" applyFill="1" applyBorder="1" applyAlignment="1">
      <alignment wrapText="1"/>
    </xf>
    <xf numFmtId="0" fontId="38" fillId="0" borderId="0" xfId="0" applyFont="1"/>
    <xf numFmtId="41" fontId="29" fillId="2" borderId="1" xfId="1" applyNumberFormat="1" applyFont="1" applyFill="1" applyBorder="1" applyAlignment="1">
      <alignment horizontal="right" wrapText="1"/>
    </xf>
    <xf numFmtId="41" fontId="29" fillId="3" borderId="1" xfId="1" applyNumberFormat="1" applyFont="1" applyFill="1" applyBorder="1" applyAlignment="1">
      <alignment horizontal="right" wrapText="1"/>
    </xf>
    <xf numFmtId="41" fontId="30" fillId="3" borderId="1" xfId="1" applyNumberFormat="1" applyFont="1" applyFill="1" applyBorder="1" applyAlignment="1">
      <alignment horizontal="right" wrapText="1"/>
    </xf>
    <xf numFmtId="0" fontId="33" fillId="0" borderId="1" xfId="0" applyFont="1" applyBorder="1"/>
    <xf numFmtId="41" fontId="30" fillId="8" borderId="1" xfId="1" applyNumberFormat="1" applyFont="1" applyFill="1" applyBorder="1" applyAlignment="1">
      <alignment horizontal="right" wrapText="1"/>
    </xf>
    <xf numFmtId="0" fontId="39" fillId="0" borderId="0" xfId="0" applyFont="1"/>
    <xf numFmtId="41" fontId="30" fillId="2" borderId="1" xfId="1" applyNumberFormat="1" applyFont="1" applyFill="1" applyBorder="1" applyAlignment="1">
      <alignment horizontal="right" wrapText="1"/>
    </xf>
    <xf numFmtId="41" fontId="28" fillId="6" borderId="1" xfId="1" applyNumberFormat="1" applyFont="1" applyFill="1" applyBorder="1" applyAlignment="1">
      <alignment horizontal="right" wrapText="1"/>
    </xf>
    <xf numFmtId="41" fontId="33" fillId="0" borderId="0" xfId="0" applyNumberFormat="1" applyFont="1"/>
    <xf numFmtId="0" fontId="36" fillId="0" borderId="0" xfId="0" applyFont="1"/>
    <xf numFmtId="167" fontId="30" fillId="3" borderId="2" xfId="1" applyNumberFormat="1" applyFont="1" applyFill="1" applyBorder="1" applyAlignment="1">
      <alignment horizontal="right" wrapText="1"/>
    </xf>
    <xf numFmtId="43" fontId="33" fillId="0" borderId="1" xfId="0" applyNumberFormat="1" applyFont="1" applyBorder="1"/>
    <xf numFmtId="0" fontId="16" fillId="6" borderId="1" xfId="0" applyFont="1" applyFill="1" applyBorder="1"/>
    <xf numFmtId="167" fontId="30" fillId="8" borderId="1" xfId="1" applyNumberFormat="1" applyFont="1" applyFill="1" applyBorder="1" applyAlignment="1">
      <alignment horizontal="center" wrapText="1"/>
    </xf>
    <xf numFmtId="43" fontId="30" fillId="8" borderId="1" xfId="1" applyFont="1" applyFill="1" applyBorder="1" applyAlignment="1">
      <alignment horizontal="center" wrapText="1"/>
    </xf>
    <xf numFmtId="0" fontId="16" fillId="0" borderId="0" xfId="0" applyFont="1"/>
    <xf numFmtId="167" fontId="28" fillId="6" borderId="1" xfId="1" applyNumberFormat="1" applyFont="1" applyFill="1" applyBorder="1" applyAlignment="1">
      <alignment horizontal="left" wrapText="1"/>
    </xf>
    <xf numFmtId="167" fontId="28" fillId="6" borderId="1" xfId="1" applyNumberFormat="1" applyFont="1" applyFill="1" applyBorder="1" applyAlignment="1">
      <alignment horizontal="right" wrapText="1"/>
    </xf>
    <xf numFmtId="43" fontId="28" fillId="6" borderId="1" xfId="1" applyFont="1" applyFill="1" applyBorder="1" applyAlignment="1">
      <alignment horizontal="right" wrapText="1"/>
    </xf>
    <xf numFmtId="0" fontId="28" fillId="0" borderId="1" xfId="0" applyFont="1" applyBorder="1"/>
    <xf numFmtId="43" fontId="29" fillId="2" borderId="2" xfId="1" applyFont="1" applyFill="1" applyBorder="1" applyAlignment="1">
      <alignment horizontal="right" wrapText="1"/>
    </xf>
    <xf numFmtId="43" fontId="30" fillId="2" borderId="2" xfId="1" applyFont="1" applyFill="1" applyBorder="1" applyAlignment="1">
      <alignment horizontal="right" wrapText="1"/>
    </xf>
    <xf numFmtId="0" fontId="33" fillId="0" borderId="2" xfId="0" applyFont="1" applyBorder="1"/>
    <xf numFmtId="0" fontId="28" fillId="6" borderId="1" xfId="0" applyFont="1" applyFill="1" applyBorder="1"/>
    <xf numFmtId="43" fontId="30" fillId="6" borderId="1" xfId="1" applyFont="1" applyFill="1" applyBorder="1" applyAlignment="1">
      <alignment horizontal="center" wrapText="1"/>
    </xf>
    <xf numFmtId="0" fontId="33" fillId="0" borderId="0" xfId="0" applyFont="1" applyAlignment="1">
      <alignment wrapText="1"/>
    </xf>
    <xf numFmtId="165" fontId="30" fillId="2" borderId="1" xfId="1" applyNumberFormat="1" applyFont="1" applyFill="1" applyBorder="1" applyAlignment="1">
      <alignment horizontal="right" wrapText="1"/>
    </xf>
    <xf numFmtId="0" fontId="29" fillId="0" borderId="1" xfId="0" applyFont="1" applyBorder="1"/>
    <xf numFmtId="167" fontId="33" fillId="0" borderId="0" xfId="0" applyNumberFormat="1" applyFont="1"/>
    <xf numFmtId="0" fontId="16" fillId="0" borderId="1" xfId="0" applyFont="1" applyBorder="1" applyAlignment="1">
      <alignment wrapText="1"/>
    </xf>
    <xf numFmtId="0" fontId="33" fillId="0" borderId="0" xfId="6" applyFont="1"/>
    <xf numFmtId="0" fontId="28" fillId="0" borderId="1" xfId="6" applyFont="1" applyBorder="1" applyAlignment="1">
      <alignment wrapText="1"/>
    </xf>
    <xf numFmtId="0" fontId="28" fillId="0" borderId="1" xfId="6" applyFont="1" applyBorder="1" applyAlignment="1">
      <alignment horizontal="center" wrapText="1"/>
    </xf>
    <xf numFmtId="0" fontId="28" fillId="0" borderId="1" xfId="6" applyFont="1" applyBorder="1" applyAlignment="1">
      <alignment horizontal="center"/>
    </xf>
    <xf numFmtId="0" fontId="33" fillId="0" borderId="0" xfId="6" applyFont="1" applyAlignment="1">
      <alignment wrapText="1"/>
    </xf>
    <xf numFmtId="165" fontId="29" fillId="2" borderId="1" xfId="7" applyNumberFormat="1" applyFont="1" applyFill="1" applyBorder="1" applyAlignment="1">
      <alignment horizontal="right" wrapText="1"/>
    </xf>
    <xf numFmtId="165" fontId="30" fillId="2" borderId="1" xfId="7" applyNumberFormat="1" applyFont="1" applyFill="1" applyBorder="1" applyAlignment="1">
      <alignment horizontal="right" wrapText="1"/>
    </xf>
    <xf numFmtId="164" fontId="29" fillId="2" borderId="1" xfId="7" applyNumberFormat="1" applyFont="1" applyFill="1" applyBorder="1" applyAlignment="1">
      <alignment horizontal="right" wrapText="1"/>
    </xf>
    <xf numFmtId="0" fontId="16" fillId="6" borderId="1" xfId="6" applyFont="1" applyFill="1" applyBorder="1"/>
    <xf numFmtId="165" fontId="30" fillId="8" borderId="1" xfId="7" applyNumberFormat="1" applyFont="1" applyFill="1" applyBorder="1" applyAlignment="1">
      <alignment horizontal="right" wrapText="1"/>
    </xf>
    <xf numFmtId="0" fontId="33" fillId="0" borderId="1" xfId="6" applyFont="1" applyBorder="1"/>
    <xf numFmtId="0" fontId="16" fillId="0" borderId="0" xfId="6" applyFont="1"/>
    <xf numFmtId="0" fontId="33" fillId="4" borderId="0" xfId="6" applyFont="1" applyFill="1"/>
    <xf numFmtId="0" fontId="28" fillId="4" borderId="1" xfId="6" applyFont="1" applyFill="1" applyBorder="1" applyAlignment="1">
      <alignment wrapText="1"/>
    </xf>
    <xf numFmtId="0" fontId="28" fillId="4" borderId="1" xfId="6" applyFont="1" applyFill="1" applyBorder="1" applyAlignment="1">
      <alignment horizontal="center" wrapText="1"/>
    </xf>
    <xf numFmtId="0" fontId="28" fillId="4" borderId="1" xfId="6" applyFont="1" applyFill="1" applyBorder="1" applyAlignment="1">
      <alignment horizontal="center"/>
    </xf>
    <xf numFmtId="0" fontId="33" fillId="4" borderId="0" xfId="6" applyFont="1" applyFill="1" applyAlignment="1">
      <alignment wrapText="1"/>
    </xf>
    <xf numFmtId="0" fontId="29" fillId="4" borderId="1" xfId="0" applyFont="1" applyFill="1" applyBorder="1" applyAlignment="1">
      <alignment wrapText="1"/>
    </xf>
    <xf numFmtId="165" fontId="29" fillId="10" borderId="1" xfId="7" applyNumberFormat="1" applyFont="1" applyFill="1" applyBorder="1" applyAlignment="1">
      <alignment horizontal="right" wrapText="1"/>
    </xf>
    <xf numFmtId="165" fontId="30" fillId="10" borderId="1" xfId="7" applyNumberFormat="1" applyFont="1" applyFill="1" applyBorder="1" applyAlignment="1">
      <alignment horizontal="right" wrapText="1"/>
    </xf>
    <xf numFmtId="0" fontId="33" fillId="4" borderId="1" xfId="6" applyFont="1" applyFill="1" applyBorder="1"/>
    <xf numFmtId="0" fontId="33" fillId="4" borderId="1" xfId="0" applyFont="1" applyFill="1" applyBorder="1"/>
    <xf numFmtId="164" fontId="29" fillId="10" borderId="1" xfId="7" applyNumberFormat="1" applyFont="1" applyFill="1" applyBorder="1" applyAlignment="1">
      <alignment horizontal="right" wrapText="1"/>
    </xf>
    <xf numFmtId="167" fontId="16" fillId="6" borderId="1" xfId="1" applyNumberFormat="1" applyFont="1" applyFill="1" applyBorder="1"/>
    <xf numFmtId="43" fontId="16" fillId="6" borderId="1" xfId="1" applyFont="1" applyFill="1" applyBorder="1"/>
    <xf numFmtId="0" fontId="16" fillId="4" borderId="0" xfId="6" applyFont="1" applyFill="1"/>
    <xf numFmtId="0" fontId="36" fillId="0" borderId="0" xfId="0" applyFont="1" applyAlignment="1">
      <alignment wrapText="1"/>
    </xf>
    <xf numFmtId="164" fontId="29" fillId="2" borderId="1" xfId="1" applyNumberFormat="1" applyFont="1" applyFill="1" applyBorder="1" applyAlignment="1">
      <alignment horizontal="right" wrapText="1"/>
    </xf>
    <xf numFmtId="164" fontId="30" fillId="2" borderId="1" xfId="1" applyNumberFormat="1" applyFont="1" applyFill="1" applyBorder="1" applyAlignment="1">
      <alignment horizontal="right" wrapText="1"/>
    </xf>
    <xf numFmtId="164" fontId="30" fillId="8" borderId="1" xfId="1" applyNumberFormat="1" applyFont="1" applyFill="1" applyBorder="1" applyAlignment="1">
      <alignment horizontal="right" wrapText="1"/>
    </xf>
    <xf numFmtId="164" fontId="33" fillId="0" borderId="1" xfId="1" applyNumberFormat="1" applyFont="1" applyBorder="1" applyAlignment="1">
      <alignment horizontal="right" wrapText="1"/>
    </xf>
    <xf numFmtId="164" fontId="16" fillId="0" borderId="1" xfId="1" applyNumberFormat="1" applyFont="1" applyBorder="1" applyAlignment="1">
      <alignment horizontal="right" wrapText="1"/>
    </xf>
    <xf numFmtId="0" fontId="40" fillId="0" borderId="0" xfId="0" applyFont="1"/>
    <xf numFmtId="41" fontId="36" fillId="0" borderId="0" xfId="5" applyFont="1"/>
    <xf numFmtId="0" fontId="36" fillId="0" borderId="0" xfId="0" applyFont="1" applyAlignment="1">
      <alignment vertical="center"/>
    </xf>
    <xf numFmtId="0" fontId="29" fillId="2" borderId="2" xfId="0" applyFont="1" applyFill="1" applyBorder="1"/>
    <xf numFmtId="2" fontId="16" fillId="0" borderId="1" xfId="0" applyNumberFormat="1" applyFont="1" applyBorder="1"/>
    <xf numFmtId="0" fontId="30" fillId="8" borderId="1" xfId="0" applyFont="1" applyFill="1" applyBorder="1"/>
    <xf numFmtId="43" fontId="30" fillId="2" borderId="1" xfId="1" applyFont="1" applyFill="1" applyBorder="1" applyAlignment="1">
      <alignment horizontal="right"/>
    </xf>
    <xf numFmtId="0" fontId="29" fillId="0" borderId="2" xfId="0" applyFont="1" applyBorder="1"/>
    <xf numFmtId="166" fontId="29" fillId="0" borderId="1" xfId="1" applyNumberFormat="1" applyFont="1" applyBorder="1" applyAlignment="1">
      <alignment horizontal="right" wrapText="1"/>
    </xf>
    <xf numFmtId="166" fontId="30" fillId="0" borderId="1" xfId="1" applyNumberFormat="1" applyFont="1" applyBorder="1" applyAlignment="1">
      <alignment horizontal="right" wrapText="1"/>
    </xf>
    <xf numFmtId="0" fontId="30" fillId="6" borderId="1" xfId="0" applyFont="1" applyFill="1" applyBorder="1"/>
    <xf numFmtId="166" fontId="30" fillId="6" borderId="1" xfId="1" applyNumberFormat="1" applyFont="1" applyFill="1" applyBorder="1" applyAlignment="1">
      <alignment horizontal="right" wrapText="1"/>
    </xf>
    <xf numFmtId="2" fontId="29" fillId="0" borderId="1" xfId="1" applyNumberFormat="1" applyFont="1" applyBorder="1" applyAlignment="1">
      <alignment horizontal="right" wrapText="1"/>
    </xf>
    <xf numFmtId="2" fontId="35" fillId="0" borderId="1" xfId="1" applyNumberFormat="1" applyFont="1" applyBorder="1" applyAlignment="1">
      <alignment horizontal="right" wrapText="1"/>
    </xf>
    <xf numFmtId="2" fontId="30" fillId="0" borderId="1" xfId="1" applyNumberFormat="1" applyFont="1" applyBorder="1" applyAlignment="1">
      <alignment horizontal="right" wrapText="1"/>
    </xf>
    <xf numFmtId="0" fontId="33" fillId="0" borderId="0" xfId="0" applyFont="1" applyAlignment="1">
      <alignment horizontal="center" vertical="center"/>
    </xf>
    <xf numFmtId="168" fontId="29" fillId="0" borderId="2" xfId="1" applyNumberFormat="1" applyFont="1" applyBorder="1" applyAlignment="1">
      <alignment horizontal="right" wrapText="1"/>
    </xf>
    <xf numFmtId="168" fontId="30" fillId="0" borderId="2" xfId="1" applyNumberFormat="1" applyFont="1" applyBorder="1" applyAlignment="1">
      <alignment horizontal="right" wrapText="1"/>
    </xf>
    <xf numFmtId="168" fontId="30" fillId="6" borderId="2" xfId="1" applyNumberFormat="1" applyFont="1" applyFill="1" applyBorder="1" applyAlignment="1">
      <alignment horizontal="right" wrapText="1"/>
    </xf>
    <xf numFmtId="41" fontId="33" fillId="0" borderId="0" xfId="5" applyFont="1"/>
    <xf numFmtId="0" fontId="36" fillId="0" borderId="42" xfId="0" applyFont="1" applyBorder="1" applyAlignment="1">
      <alignment horizontal="center"/>
    </xf>
    <xf numFmtId="0" fontId="36" fillId="0" borderId="4" xfId="0" applyFont="1" applyBorder="1" applyAlignment="1">
      <alignment horizontal="center"/>
    </xf>
    <xf numFmtId="0" fontId="36" fillId="0" borderId="5" xfId="0" applyFont="1" applyBorder="1" applyAlignment="1">
      <alignment horizontal="center"/>
    </xf>
    <xf numFmtId="41" fontId="36" fillId="0" borderId="42" xfId="5" applyFont="1" applyBorder="1"/>
    <xf numFmtId="0" fontId="28" fillId="0" borderId="1" xfId="0" applyFont="1" applyBorder="1" applyAlignment="1">
      <alignment horizontal="center" vertical="center"/>
    </xf>
    <xf numFmtId="0" fontId="35" fillId="0" borderId="1" xfId="0" applyFont="1" applyBorder="1" applyAlignment="1">
      <alignment horizontal="center" vertical="center" wrapText="1"/>
    </xf>
    <xf numFmtId="0" fontId="35" fillId="0" borderId="5" xfId="0" applyFont="1" applyBorder="1" applyAlignment="1">
      <alignment horizontal="center" vertical="center" wrapText="1"/>
    </xf>
    <xf numFmtId="0" fontId="28" fillId="0" borderId="2" xfId="0" applyFont="1" applyBorder="1" applyAlignment="1">
      <alignment wrapText="1"/>
    </xf>
    <xf numFmtId="0" fontId="35" fillId="0" borderId="2" xfId="0" applyFont="1" applyBorder="1" applyAlignment="1">
      <alignment horizontal="center"/>
    </xf>
    <xf numFmtId="0" fontId="36" fillId="0" borderId="7" xfId="0" applyFont="1" applyBorder="1"/>
    <xf numFmtId="0" fontId="32" fillId="0" borderId="0" xfId="0" applyFont="1" applyAlignment="1">
      <alignment horizontal="left"/>
    </xf>
    <xf numFmtId="0" fontId="28" fillId="0" borderId="1" xfId="0" applyFont="1" applyBorder="1" applyAlignment="1">
      <alignment horizontal="left" wrapText="1"/>
    </xf>
    <xf numFmtId="0" fontId="30" fillId="2" borderId="1" xfId="0" applyFont="1" applyFill="1" applyBorder="1" applyAlignment="1">
      <alignment horizontal="center" vertical="center" wrapText="1"/>
    </xf>
    <xf numFmtId="0" fontId="42" fillId="0" borderId="1" xfId="0" applyFont="1" applyBorder="1" applyAlignment="1">
      <alignment horizontal="left"/>
    </xf>
    <xf numFmtId="164" fontId="29" fillId="0" borderId="1" xfId="1" applyNumberFormat="1" applyFont="1" applyBorder="1" applyAlignment="1">
      <alignment horizontal="center" wrapText="1"/>
    </xf>
    <xf numFmtId="167" fontId="28" fillId="7" borderId="3" xfId="1" applyNumberFormat="1" applyFont="1" applyFill="1" applyBorder="1"/>
    <xf numFmtId="164" fontId="30" fillId="9" borderId="3" xfId="1" applyNumberFormat="1" applyFont="1" applyFill="1" applyBorder="1" applyAlignment="1">
      <alignment horizontal="right" wrapText="1"/>
    </xf>
    <xf numFmtId="0" fontId="42" fillId="0" borderId="2" xfId="0" applyFont="1" applyBorder="1" applyAlignment="1">
      <alignment horizontal="left"/>
    </xf>
    <xf numFmtId="0" fontId="35" fillId="0" borderId="1" xfId="0" applyFont="1" applyBorder="1" applyAlignment="1">
      <alignment horizontal="left"/>
    </xf>
    <xf numFmtId="0" fontId="28" fillId="11" borderId="3" xfId="0" applyFont="1" applyFill="1" applyBorder="1" applyAlignment="1">
      <alignment horizontal="left"/>
    </xf>
    <xf numFmtId="164" fontId="30" fillId="12" borderId="3" xfId="1" applyNumberFormat="1" applyFont="1" applyFill="1" applyBorder="1" applyAlignment="1">
      <alignment horizontal="center" wrapText="1"/>
    </xf>
    <xf numFmtId="0" fontId="35" fillId="0" borderId="2" xfId="0" applyFont="1" applyBorder="1" applyAlignment="1">
      <alignment horizontal="left"/>
    </xf>
    <xf numFmtId="164" fontId="33" fillId="0" borderId="0" xfId="0" applyNumberFormat="1" applyFont="1"/>
    <xf numFmtId="167" fontId="32" fillId="0" borderId="0" xfId="1" applyNumberFormat="1" applyFont="1" applyAlignment="1">
      <alignment horizontal="left"/>
    </xf>
    <xf numFmtId="167" fontId="33" fillId="0" borderId="0" xfId="1" applyNumberFormat="1" applyFont="1"/>
    <xf numFmtId="0" fontId="32" fillId="0" borderId="7" xfId="0" applyFont="1" applyBorder="1" applyAlignment="1">
      <alignment horizontal="left"/>
    </xf>
    <xf numFmtId="167" fontId="32" fillId="0" borderId="7" xfId="1" applyNumberFormat="1" applyFont="1" applyBorder="1" applyAlignment="1">
      <alignment horizontal="center"/>
    </xf>
    <xf numFmtId="0" fontId="43" fillId="0" borderId="7" xfId="0" applyFont="1" applyBorder="1" applyAlignment="1">
      <alignment horizontal="left"/>
    </xf>
    <xf numFmtId="164" fontId="29" fillId="0" borderId="2" xfId="1" applyNumberFormat="1" applyFont="1" applyBorder="1" applyAlignment="1">
      <alignment horizontal="center" wrapText="1"/>
    </xf>
    <xf numFmtId="167" fontId="33" fillId="0" borderId="0" xfId="1" applyNumberFormat="1" applyFont="1" applyAlignment="1">
      <alignment horizontal="center"/>
    </xf>
    <xf numFmtId="164" fontId="16" fillId="0" borderId="0" xfId="0" applyNumberFormat="1" applyFont="1"/>
    <xf numFmtId="0" fontId="28" fillId="0" borderId="2" xfId="2" applyFont="1" applyBorder="1" applyAlignment="1">
      <alignment horizontal="left" vertical="center" wrapText="1"/>
    </xf>
    <xf numFmtId="0" fontId="30" fillId="2" borderId="1" xfId="2" applyFont="1" applyFill="1" applyBorder="1" applyAlignment="1">
      <alignment horizontal="center" vertical="center" wrapText="1"/>
    </xf>
    <xf numFmtId="167" fontId="35" fillId="0" borderId="1" xfId="1" applyNumberFormat="1" applyFont="1" applyBorder="1"/>
    <xf numFmtId="41" fontId="30" fillId="9" borderId="3" xfId="1" applyNumberFormat="1" applyFont="1" applyFill="1" applyBorder="1" applyAlignment="1">
      <alignment horizontal="right" wrapText="1"/>
    </xf>
    <xf numFmtId="167" fontId="35" fillId="0" borderId="2" xfId="1" applyNumberFormat="1" applyFont="1" applyBorder="1"/>
    <xf numFmtId="167" fontId="28" fillId="11" borderId="3" xfId="1" applyNumberFormat="1" applyFont="1" applyFill="1" applyBorder="1"/>
    <xf numFmtId="41" fontId="30" fillId="13" borderId="3" xfId="1" applyNumberFormat="1" applyFont="1" applyFill="1" applyBorder="1" applyAlignment="1">
      <alignment horizontal="right" wrapText="1"/>
    </xf>
    <xf numFmtId="41" fontId="29" fillId="2" borderId="2" xfId="1" applyNumberFormat="1" applyFont="1" applyFill="1" applyBorder="1" applyAlignment="1">
      <alignment horizontal="right" wrapText="1"/>
    </xf>
    <xf numFmtId="0" fontId="30" fillId="2" borderId="2" xfId="2" applyFont="1" applyFill="1" applyBorder="1" applyAlignment="1">
      <alignment horizontal="center" vertical="center" wrapText="1"/>
    </xf>
    <xf numFmtId="0" fontId="28" fillId="0" borderId="2" xfId="2" applyFont="1" applyBorder="1" applyAlignment="1">
      <alignment horizontal="center" vertical="center" wrapText="1"/>
    </xf>
    <xf numFmtId="41" fontId="30" fillId="9" borderId="3" xfId="1" applyNumberFormat="1" applyFont="1" applyFill="1" applyBorder="1" applyAlignment="1">
      <alignment horizontal="left" vertical="top" wrapText="1"/>
    </xf>
    <xf numFmtId="0" fontId="19" fillId="2" borderId="1" xfId="0" applyFont="1" applyFill="1" applyBorder="1" applyAlignment="1">
      <alignment horizontal="center" vertical="center" wrapText="1"/>
    </xf>
    <xf numFmtId="164" fontId="18" fillId="0" borderId="1" xfId="1" applyNumberFormat="1" applyFont="1" applyBorder="1" applyAlignment="1">
      <alignment horizontal="center" wrapText="1"/>
    </xf>
    <xf numFmtId="164" fontId="19" fillId="9" borderId="1" xfId="1" applyNumberFormat="1" applyFont="1" applyFill="1" applyBorder="1" applyAlignment="1">
      <alignment horizontal="right" wrapText="1"/>
    </xf>
    <xf numFmtId="164" fontId="19" fillId="12" borderId="1" xfId="1" applyNumberFormat="1" applyFont="1" applyFill="1" applyBorder="1" applyAlignment="1">
      <alignment horizontal="center" wrapText="1"/>
    </xf>
    <xf numFmtId="164" fontId="19" fillId="12" borderId="3" xfId="1" applyNumberFormat="1" applyFont="1" applyFill="1" applyBorder="1" applyAlignment="1">
      <alignment horizontal="center" wrapText="1"/>
    </xf>
    <xf numFmtId="164" fontId="9" fillId="0" borderId="0" xfId="0" applyNumberFormat="1" applyFont="1"/>
    <xf numFmtId="167" fontId="9" fillId="6" borderId="0" xfId="1" applyNumberFormat="1" applyFont="1" applyFill="1"/>
    <xf numFmtId="167" fontId="9" fillId="0" borderId="0" xfId="1" applyNumberFormat="1" applyFont="1"/>
    <xf numFmtId="41" fontId="8" fillId="0" borderId="0" xfId="0" applyNumberFormat="1" applyFont="1"/>
    <xf numFmtId="0" fontId="19" fillId="8" borderId="1" xfId="0" applyFont="1" applyFill="1" applyBorder="1" applyAlignment="1">
      <alignment wrapText="1"/>
    </xf>
    <xf numFmtId="165" fontId="7" fillId="8" borderId="1" xfId="1" applyNumberFormat="1" applyFont="1" applyFill="1" applyBorder="1" applyAlignment="1">
      <alignment horizontal="right" wrapText="1"/>
    </xf>
    <xf numFmtId="164" fontId="7" fillId="8" borderId="1" xfId="1" applyNumberFormat="1" applyFont="1" applyFill="1" applyBorder="1" applyAlignment="1">
      <alignment wrapText="1"/>
    </xf>
    <xf numFmtId="0" fontId="44" fillId="0" borderId="0" xfId="0" applyFont="1"/>
    <xf numFmtId="0" fontId="7" fillId="8" borderId="1" xfId="0" applyFont="1" applyFill="1" applyBorder="1" applyAlignment="1">
      <alignment wrapText="1"/>
    </xf>
    <xf numFmtId="41" fontId="7" fillId="8" borderId="1" xfId="1" applyNumberFormat="1" applyFont="1" applyFill="1" applyBorder="1" applyAlignment="1">
      <alignment horizontal="right" wrapText="1"/>
    </xf>
    <xf numFmtId="165" fontId="19" fillId="8" borderId="1" xfId="1" applyNumberFormat="1" applyFont="1" applyFill="1" applyBorder="1" applyAlignment="1">
      <alignment horizontal="right" wrapText="1"/>
    </xf>
    <xf numFmtId="0" fontId="30" fillId="0" borderId="0" xfId="2" applyFont="1" applyAlignment="1">
      <alignment horizontal="center" vertical="center" wrapText="1"/>
    </xf>
    <xf numFmtId="41" fontId="29" fillId="0" borderId="0" xfId="1" applyNumberFormat="1" applyFont="1" applyAlignment="1">
      <alignment horizontal="right" wrapText="1"/>
    </xf>
    <xf numFmtId="41" fontId="30" fillId="0" borderId="0" xfId="1" applyNumberFormat="1" applyFont="1" applyAlignment="1">
      <alignment horizontal="right" wrapText="1"/>
    </xf>
    <xf numFmtId="0" fontId="28" fillId="6" borderId="1" xfId="0" applyFont="1" applyFill="1" applyBorder="1" applyAlignment="1">
      <alignment horizontal="center"/>
    </xf>
    <xf numFmtId="0" fontId="0" fillId="0" borderId="4" xfId="0" applyBorder="1"/>
    <xf numFmtId="0" fontId="0" fillId="0" borderId="5" xfId="0" applyBorder="1"/>
    <xf numFmtId="0" fontId="28" fillId="6" borderId="43" xfId="0" applyFont="1" applyFill="1" applyBorder="1" applyAlignment="1">
      <alignment horizontal="left"/>
    </xf>
    <xf numFmtId="0" fontId="0" fillId="0" borderId="6" xfId="0" applyBorder="1"/>
    <xf numFmtId="0" fontId="0" fillId="0" borderId="44" xfId="0" applyBorder="1"/>
    <xf numFmtId="0" fontId="28" fillId="6" borderId="1" xfId="0" applyFont="1" applyFill="1" applyBorder="1" applyAlignment="1">
      <alignment horizontal="center" wrapText="1"/>
    </xf>
    <xf numFmtId="0" fontId="32" fillId="0" borderId="6" xfId="0" applyFont="1" applyBorder="1" applyAlignment="1">
      <alignment horizontal="left"/>
    </xf>
    <xf numFmtId="0" fontId="32" fillId="0" borderId="1" xfId="0" applyFont="1" applyBorder="1" applyAlignment="1">
      <alignment horizontal="left"/>
    </xf>
    <xf numFmtId="0" fontId="35" fillId="0" borderId="39" xfId="0" applyFont="1" applyBorder="1" applyAlignment="1">
      <alignment horizontal="justify" vertical="justify" wrapText="1"/>
    </xf>
    <xf numFmtId="0" fontId="0" fillId="0" borderId="27" xfId="0" applyBorder="1"/>
    <xf numFmtId="0" fontId="0" fillId="0" borderId="30" xfId="0" applyBorder="1"/>
    <xf numFmtId="0" fontId="0" fillId="0" borderId="31" xfId="0" applyBorder="1"/>
    <xf numFmtId="0" fontId="8" fillId="0" borderId="0" xfId="0" applyFont="1"/>
    <xf numFmtId="0" fontId="0" fillId="0" borderId="32" xfId="0" applyBorder="1"/>
    <xf numFmtId="0" fontId="0" fillId="0" borderId="33" xfId="0" applyBorder="1"/>
    <xf numFmtId="0" fontId="0" fillId="0" borderId="34" xfId="0" applyBorder="1"/>
    <xf numFmtId="0" fontId="0" fillId="0" borderId="35" xfId="0" applyBorder="1"/>
    <xf numFmtId="0" fontId="34" fillId="0" borderId="38" xfId="0" applyFont="1" applyBorder="1" applyAlignment="1">
      <alignment horizontal="center"/>
    </xf>
    <xf numFmtId="0" fontId="0" fillId="0" borderId="28" xfId="0" applyBorder="1"/>
    <xf numFmtId="0" fontId="0" fillId="0" borderId="29" xfId="0" applyBorder="1"/>
    <xf numFmtId="0" fontId="22" fillId="0" borderId="40" xfId="0" applyFont="1" applyBorder="1" applyAlignment="1">
      <alignment horizontal="left" indent="5"/>
    </xf>
    <xf numFmtId="0" fontId="0" fillId="0" borderId="20" xfId="0" applyBorder="1"/>
    <xf numFmtId="0" fontId="21" fillId="0" borderId="40" xfId="0" applyFont="1" applyBorder="1" applyAlignment="1">
      <alignment horizontal="center"/>
    </xf>
    <xf numFmtId="0" fontId="20" fillId="0" borderId="40" xfId="0" applyFont="1" applyBorder="1" applyAlignment="1">
      <alignment horizontal="center" vertical="center" wrapText="1"/>
    </xf>
    <xf numFmtId="0" fontId="0" fillId="0" borderId="19" xfId="0" applyBorder="1"/>
    <xf numFmtId="0" fontId="28" fillId="7" borderId="1" xfId="0" applyFont="1" applyFill="1" applyBorder="1" applyAlignment="1">
      <alignment horizontal="center" wrapText="1"/>
    </xf>
    <xf numFmtId="0" fontId="31" fillId="0" borderId="6" xfId="0" applyFont="1" applyBorder="1" applyAlignment="1">
      <alignment horizontal="left" wrapText="1"/>
    </xf>
    <xf numFmtId="0" fontId="37" fillId="6" borderId="1" xfId="0" applyFont="1" applyFill="1" applyBorder="1" applyAlignment="1">
      <alignment horizontal="left" wrapText="1"/>
    </xf>
    <xf numFmtId="0" fontId="31" fillId="0" borderId="6" xfId="0" applyFont="1" applyBorder="1" applyAlignment="1">
      <alignment wrapText="1"/>
    </xf>
    <xf numFmtId="0" fontId="31" fillId="0" borderId="0" xfId="0" applyFont="1" applyAlignment="1">
      <alignment horizontal="left" wrapText="1"/>
    </xf>
    <xf numFmtId="0" fontId="36" fillId="0" borderId="0" xfId="0" applyFont="1"/>
    <xf numFmtId="0" fontId="16" fillId="6" borderId="1" xfId="0" applyFont="1" applyFill="1" applyBorder="1" applyAlignment="1">
      <alignment horizontal="left"/>
    </xf>
    <xf numFmtId="0" fontId="32" fillId="0" borderId="36" xfId="0" applyFont="1" applyBorder="1" applyAlignment="1">
      <alignment horizontal="right"/>
    </xf>
    <xf numFmtId="0" fontId="0" fillId="0" borderId="36" xfId="0" applyBorder="1"/>
    <xf numFmtId="0" fontId="32" fillId="0" borderId="0" xfId="0" applyFont="1"/>
    <xf numFmtId="0" fontId="33" fillId="0" borderId="0" xfId="0" applyFont="1"/>
    <xf numFmtId="167" fontId="16" fillId="6" borderId="1" xfId="1" applyNumberFormat="1" applyFont="1" applyFill="1" applyBorder="1" applyAlignment="1">
      <alignment horizontal="left"/>
    </xf>
    <xf numFmtId="0" fontId="32" fillId="0" borderId="0" xfId="0" applyFont="1" applyAlignment="1">
      <alignment horizontal="left"/>
    </xf>
    <xf numFmtId="167" fontId="33" fillId="0" borderId="0" xfId="1" applyNumberFormat="1" applyFont="1"/>
    <xf numFmtId="167" fontId="9" fillId="6" borderId="0" xfId="1" applyNumberFormat="1" applyFont="1" applyFill="1" applyAlignment="1">
      <alignment horizontal="center"/>
    </xf>
    <xf numFmtId="167" fontId="33" fillId="0" borderId="0" xfId="1" applyNumberFormat="1" applyFont="1" applyAlignment="1">
      <alignment horizontal="center"/>
    </xf>
    <xf numFmtId="0" fontId="16" fillId="0" borderId="0" xfId="0" applyFont="1"/>
    <xf numFmtId="0" fontId="9" fillId="6" borderId="41" xfId="0" applyFont="1" applyFill="1" applyBorder="1" applyAlignment="1">
      <alignment horizontal="center"/>
    </xf>
    <xf numFmtId="0" fontId="0" fillId="0" borderId="7" xfId="0" applyBorder="1"/>
    <xf numFmtId="0" fontId="32" fillId="0" borderId="7" xfId="0" applyFont="1"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28" fillId="5" borderId="1" xfId="0" applyFont="1" applyFill="1" applyBorder="1" applyAlignment="1">
      <alignment horizontal="center"/>
    </xf>
    <xf numFmtId="0" fontId="16" fillId="7" borderId="1" xfId="0" applyFont="1" applyFill="1" applyBorder="1" applyAlignment="1">
      <alignment horizontal="center"/>
    </xf>
    <xf numFmtId="0" fontId="32" fillId="0" borderId="6" xfId="0" applyFont="1" applyBorder="1"/>
    <xf numFmtId="0" fontId="16" fillId="5" borderId="1" xfId="0" applyFont="1" applyFill="1" applyBorder="1" applyAlignment="1">
      <alignment horizontal="center"/>
    </xf>
    <xf numFmtId="0" fontId="28" fillId="6" borderId="1" xfId="0" applyFont="1" applyFill="1" applyBorder="1" applyAlignment="1">
      <alignment horizontal="left"/>
    </xf>
    <xf numFmtId="0" fontId="9" fillId="5" borderId="1" xfId="6" applyFont="1" applyFill="1" applyBorder="1" applyAlignment="1">
      <alignment horizontal="center"/>
    </xf>
    <xf numFmtId="0" fontId="10" fillId="0" borderId="6" xfId="6" applyFont="1" applyBorder="1"/>
    <xf numFmtId="0" fontId="3" fillId="6" borderId="1" xfId="6" applyFont="1" applyFill="1" applyBorder="1" applyAlignment="1">
      <alignment horizontal="left"/>
    </xf>
    <xf numFmtId="0" fontId="9" fillId="5" borderId="1" xfId="0" applyFont="1" applyFill="1" applyBorder="1" applyAlignment="1">
      <alignment horizontal="center"/>
    </xf>
    <xf numFmtId="0" fontId="3" fillId="6" borderId="1" xfId="0" applyFont="1" applyFill="1" applyBorder="1" applyAlignment="1">
      <alignment horizontal="left"/>
    </xf>
    <xf numFmtId="0" fontId="16" fillId="5" borderId="1" xfId="6" applyFont="1" applyFill="1" applyBorder="1" applyAlignment="1">
      <alignment horizontal="center"/>
    </xf>
    <xf numFmtId="0" fontId="32" fillId="0" borderId="6" xfId="6" applyFont="1" applyBorder="1"/>
    <xf numFmtId="0" fontId="28" fillId="6" borderId="1" xfId="6" applyFont="1" applyFill="1" applyBorder="1" applyAlignment="1">
      <alignment horizontal="left"/>
    </xf>
    <xf numFmtId="0" fontId="32" fillId="4" borderId="6" xfId="6" applyFont="1" applyFill="1" applyBorder="1"/>
    <xf numFmtId="0" fontId="25" fillId="0" borderId="0" xfId="0" applyFont="1" applyAlignment="1">
      <alignment horizontal="left" wrapText="1"/>
    </xf>
    <xf numFmtId="0" fontId="3" fillId="5" borderId="1" xfId="0" applyFont="1" applyFill="1" applyBorder="1" applyAlignment="1">
      <alignment horizontal="center" wrapText="1"/>
    </xf>
    <xf numFmtId="0" fontId="3" fillId="6" borderId="1" xfId="0" applyFont="1" applyFill="1" applyBorder="1" applyAlignment="1">
      <alignment horizontal="left" wrapText="1"/>
    </xf>
    <xf numFmtId="0" fontId="19" fillId="5" borderId="1" xfId="0" applyFont="1" applyFill="1" applyBorder="1" applyAlignment="1">
      <alignment horizontal="center" wrapText="1"/>
    </xf>
    <xf numFmtId="0" fontId="41" fillId="0" borderId="6" xfId="0" applyFont="1" applyBorder="1" applyAlignment="1">
      <alignment horizontal="left"/>
    </xf>
    <xf numFmtId="0" fontId="28" fillId="5" borderId="1" xfId="0" applyFont="1" applyFill="1" applyBorder="1" applyAlignment="1">
      <alignment horizontal="center" wrapText="1"/>
    </xf>
    <xf numFmtId="0" fontId="28" fillId="6" borderId="1" xfId="0" applyFont="1" applyFill="1" applyBorder="1" applyAlignment="1">
      <alignment horizontal="left" wrapText="1"/>
    </xf>
    <xf numFmtId="0" fontId="30" fillId="5" borderId="1" xfId="0" applyFont="1" applyFill="1" applyBorder="1" applyAlignment="1">
      <alignment horizontal="center" vertical="center" wrapText="1"/>
    </xf>
    <xf numFmtId="0" fontId="30" fillId="5" borderId="1" xfId="0" applyFont="1" applyFill="1" applyBorder="1" applyAlignment="1">
      <alignment horizontal="center" wrapText="1"/>
    </xf>
    <xf numFmtId="0" fontId="3" fillId="5" borderId="1" xfId="0" applyFont="1" applyFill="1" applyBorder="1" applyAlignment="1">
      <alignment horizontal="center"/>
    </xf>
    <xf numFmtId="0" fontId="10" fillId="0" borderId="6" xfId="0" applyFont="1" applyBorder="1" applyAlignment="1">
      <alignment horizontal="left"/>
    </xf>
    <xf numFmtId="0" fontId="24" fillId="0" borderId="6" xfId="0" applyFont="1" applyBorder="1" applyAlignment="1">
      <alignment horizontal="left"/>
    </xf>
  </cellXfs>
  <cellStyles count="9">
    <cellStyle name="Comma" xfId="1" builtinId="3"/>
    <cellStyle name="Comma [0]" xfId="5" builtinId="6"/>
    <cellStyle name="Comma 2" xfId="3" xr:uid="{00000000-0005-0000-0000-000003000000}"/>
    <cellStyle name="Comma 3" xfId="7" xr:uid="{00000000-0005-0000-0000-000007000000}"/>
    <cellStyle name="Comma 4" xfId="8" xr:uid="{00000000-0005-0000-0000-000008000000}"/>
    <cellStyle name="Hyperlink" xfId="4" builtinId="8"/>
    <cellStyle name="Normal" xfId="0" builtinId="0"/>
    <cellStyle name="Normal 2" xfId="2" xr:uid="{00000000-0005-0000-0000-000002000000}"/>
    <cellStyle name="Normal 3" xfId="6" xr:uid="{00000000-0005-0000-0000-000006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Business Revenue"/>
      <sheetName val="Long Term Business Revenue"/>
      <sheetName val="GB_SFP"/>
      <sheetName val="General Business Bal Sheet"/>
      <sheetName val="LB_SFP"/>
      <sheetName val="Long Term Business Bal Sheet"/>
      <sheetName val="General Business Premiums"/>
      <sheetName val="Long Term Premiums"/>
      <sheetName val="GB_GPI_Trend"/>
      <sheetName val="LT_GPI_Trend"/>
      <sheetName val="Details"/>
      <sheetName val="Reliance &amp; Limitations"/>
      <sheetName val="Table of Contents"/>
      <sheetName val="APPENDIX 1"/>
      <sheetName val="APPENDIX 2"/>
      <sheetName val="APPENDIX 3"/>
      <sheetName val="APPENDIX 4 i"/>
      <sheetName val="APPENDIX 4 ii"/>
      <sheetName val="APPENDIX 4 iii"/>
      <sheetName val="APPENDIX 5 i"/>
      <sheetName val="APPENDIX 5 ii"/>
      <sheetName val="APPENDIX 5 iii"/>
      <sheetName val="APPENDIX 5 iv"/>
      <sheetName val="APPENDIX 6 i"/>
      <sheetName val="APPENDIX 7"/>
      <sheetName val="APPENDIX 8"/>
      <sheetName val="APPENDIX 9"/>
      <sheetName val="APPENDIX 10"/>
      <sheetName val="APPENDIX 11"/>
      <sheetName val="APPENDIX 12"/>
      <sheetName val="APPENDIX 13"/>
      <sheetName val="LINKED"/>
      <sheetName val="NON-LINKED"/>
      <sheetName val="APPENDIX 14"/>
      <sheetName val="PENSIONS"/>
      <sheetName val="APPENDIX 15"/>
      <sheetName val="APPENDIX 16"/>
      <sheetName val="APPENDIX 17"/>
      <sheetName val="APPENDIX 18"/>
      <sheetName val="GDP"/>
      <sheetName val="INWARD"/>
      <sheetName val="APPENDIX 19"/>
      <sheetName val="APPENDIX 20"/>
      <sheetName val="APPENDIX 21"/>
      <sheetName val="APPENDIX 22"/>
      <sheetName val="NPI"/>
      <sheetName val="NEPI"/>
      <sheetName val="COM"/>
      <sheetName val="MGT"/>
      <sheetName val="APPENDIX 23"/>
      <sheetName val="APPENDIX 24"/>
      <sheetName val="APPENDIX 25"/>
      <sheetName val="APPENDIX 18_M"/>
      <sheetName val="GDP (Micro)"/>
      <sheetName val="INWARD (Micro)"/>
      <sheetName val="APPENDIX 19_M"/>
      <sheetName val="APPENDIX 20_M"/>
      <sheetName val="APPENDIX 21_M"/>
      <sheetName val="APPENDIX 22_M"/>
      <sheetName val="NPI (Micro)"/>
      <sheetName val="NEPI (Micro)"/>
      <sheetName val="COM (Micro)"/>
      <sheetName val="MGT (Micro)"/>
      <sheetName val="APPENDIX 23_M"/>
      <sheetName val="APPENDIX 26"/>
      <sheetName val="Sheet1"/>
    </sheetNames>
    <sheetDataSet>
      <sheetData sheetId="0">
        <row r="1">
          <cell r="I1">
            <v>0.63938415830397799</v>
          </cell>
        </row>
      </sheetData>
      <sheetData sheetId="1">
        <row r="2">
          <cell r="J2" t="str">
            <v>Q3 2024</v>
          </cell>
        </row>
      </sheetData>
      <sheetData sheetId="2" refreshError="1"/>
      <sheetData sheetId="3" refreshError="1"/>
      <sheetData sheetId="4" refreshError="1"/>
      <sheetData sheetId="5" refreshError="1"/>
      <sheetData sheetId="6">
        <row r="1">
          <cell r="R1">
            <v>1000</v>
          </cell>
        </row>
      </sheetData>
      <sheetData sheetId="7">
        <row r="1">
          <cell r="L1" t="str">
            <v>Q3 2024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I6">
            <v>500000</v>
          </cell>
        </row>
      </sheetData>
      <sheetData sheetId="17">
        <row r="6">
          <cell r="J6">
            <v>500000</v>
          </cell>
        </row>
      </sheetData>
      <sheetData sheetId="18" refreshError="1"/>
      <sheetData sheetId="19" refreshError="1"/>
      <sheetData sheetId="20" refreshError="1"/>
      <sheetData sheetId="21" refreshError="1"/>
      <sheetData sheetId="22">
        <row r="6">
          <cell r="P6">
            <v>38276041.577999994</v>
          </cell>
        </row>
        <row r="12">
          <cell r="P12">
            <v>90922729.063192606</v>
          </cell>
          <cell r="Q12">
            <v>53446420.529503793</v>
          </cell>
        </row>
        <row r="21">
          <cell r="P21">
            <v>23971165.011409987</v>
          </cell>
          <cell r="Q21">
            <v>11919089.583000001</v>
          </cell>
        </row>
        <row r="23">
          <cell r="P23">
            <v>114043625.20665088</v>
          </cell>
          <cell r="Q23">
            <v>28022795.085545413</v>
          </cell>
        </row>
        <row r="24">
          <cell r="P24">
            <v>1511604.7209469718</v>
          </cell>
          <cell r="Q24">
            <v>729895.81518777227</v>
          </cell>
        </row>
        <row r="25">
          <cell r="P25">
            <v>7349183.2530099973</v>
          </cell>
          <cell r="Q25">
            <v>12504498.664760001</v>
          </cell>
        </row>
        <row r="26">
          <cell r="P26">
            <v>155802.18687999999</v>
          </cell>
          <cell r="Q26">
            <v>46266.605560000004</v>
          </cell>
        </row>
        <row r="27">
          <cell r="P27">
            <v>74997.255999999994</v>
          </cell>
          <cell r="Q27">
            <v>0</v>
          </cell>
        </row>
        <row r="28">
          <cell r="P28">
            <v>357021.46899999998</v>
          </cell>
          <cell r="Q28">
            <v>0</v>
          </cell>
        </row>
        <row r="29">
          <cell r="P29">
            <v>4363806.7068074541</v>
          </cell>
          <cell r="Q29">
            <v>1590412.5371008001</v>
          </cell>
        </row>
        <row r="30">
          <cell r="P30">
            <v>2368633.439353399</v>
          </cell>
          <cell r="Q30">
            <v>812582.48151333304</v>
          </cell>
        </row>
        <row r="31">
          <cell r="P31">
            <v>402.09999999999997</v>
          </cell>
          <cell r="Q31">
            <v>72.863559999999993</v>
          </cell>
        </row>
        <row r="32">
          <cell r="P32">
            <v>59</v>
          </cell>
          <cell r="Q32">
            <v>0</v>
          </cell>
        </row>
        <row r="33">
          <cell r="P33">
            <v>2624302.5922414451</v>
          </cell>
          <cell r="Q33">
            <v>33611.736505422792</v>
          </cell>
        </row>
        <row r="34">
          <cell r="P34">
            <v>320727.01023466303</v>
          </cell>
          <cell r="Q34">
            <v>996130.85299999989</v>
          </cell>
        </row>
        <row r="35">
          <cell r="P35">
            <v>34563900.956104204</v>
          </cell>
          <cell r="Q35">
            <v>10799022.032781268</v>
          </cell>
        </row>
        <row r="41">
          <cell r="P41">
            <v>302997317.63184988</v>
          </cell>
          <cell r="Q41">
            <v>80549341.408765644</v>
          </cell>
        </row>
      </sheetData>
      <sheetData sheetId="23">
        <row r="6">
          <cell r="I6">
            <v>350000</v>
          </cell>
        </row>
        <row r="12">
          <cell r="I12">
            <v>305551.66345971148</v>
          </cell>
        </row>
        <row r="21">
          <cell r="I21">
            <v>0</v>
          </cell>
        </row>
        <row r="23">
          <cell r="I23">
            <v>558185.78019739722</v>
          </cell>
        </row>
        <row r="24">
          <cell r="I24">
            <v>1E-3</v>
          </cell>
        </row>
        <row r="25">
          <cell r="I25">
            <v>0</v>
          </cell>
        </row>
        <row r="26">
          <cell r="I26">
            <v>0</v>
          </cell>
        </row>
        <row r="27">
          <cell r="I27">
            <v>0</v>
          </cell>
        </row>
        <row r="28">
          <cell r="I28">
            <v>0</v>
          </cell>
        </row>
        <row r="29">
          <cell r="I29">
            <v>0</v>
          </cell>
        </row>
        <row r="30">
          <cell r="I30">
            <v>0</v>
          </cell>
        </row>
        <row r="31">
          <cell r="I31">
            <v>0</v>
          </cell>
        </row>
        <row r="32">
          <cell r="I32">
            <v>0</v>
          </cell>
        </row>
        <row r="33">
          <cell r="I33">
            <v>0</v>
          </cell>
        </row>
        <row r="34">
          <cell r="I34">
            <v>0</v>
          </cell>
        </row>
        <row r="35">
          <cell r="I35">
            <v>42448.65753424658</v>
          </cell>
        </row>
        <row r="41">
          <cell r="I41">
            <v>995719.76927409822</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pageSetUpPr fitToPage="1"/>
  </sheetPr>
  <dimension ref="C1:J21"/>
  <sheetViews>
    <sheetView topLeftCell="A12" workbookViewId="0"/>
  </sheetViews>
  <sheetFormatPr defaultColWidth="9.453125" defaultRowHeight="14.5" x14ac:dyDescent="0.35"/>
  <cols>
    <col min="1" max="1" width="2" style="7" customWidth="1"/>
    <col min="2" max="2" width="2.453125" style="7" customWidth="1"/>
    <col min="3" max="3" width="2.54296875" style="7" customWidth="1"/>
    <col min="4" max="4" width="20.453125" style="7" customWidth="1"/>
    <col min="5" max="6" width="48.453125" style="7" customWidth="1"/>
    <col min="7" max="7" width="22.453125" style="7" customWidth="1"/>
    <col min="8" max="8" width="15" style="7" customWidth="1"/>
    <col min="9" max="9" width="9.453125" style="7" customWidth="1"/>
    <col min="10" max="10" width="3.453125" style="7" customWidth="1"/>
    <col min="11" max="11" width="9.453125" style="7" customWidth="1"/>
    <col min="12" max="13" width="12.453125" style="7" customWidth="1"/>
    <col min="14" max="14" width="9.453125" style="7" customWidth="1"/>
    <col min="15" max="15" width="15.453125" style="7" customWidth="1"/>
    <col min="16" max="102" width="9.453125" style="7" customWidth="1"/>
    <col min="103" max="16384" width="9.453125" style="7"/>
  </cols>
  <sheetData>
    <row r="1" spans="3:10" ht="24.75" customHeight="1" thickBot="1" x14ac:dyDescent="0.4"/>
    <row r="2" spans="3:10" ht="15" customHeight="1" thickBot="1" x14ac:dyDescent="0.4">
      <c r="C2" s="8"/>
      <c r="D2" s="9"/>
      <c r="E2" s="9"/>
      <c r="F2" s="9"/>
      <c r="G2" s="9"/>
      <c r="H2" s="9"/>
      <c r="I2" s="9"/>
      <c r="J2" s="10"/>
    </row>
    <row r="3" spans="3:10" ht="7.5" customHeight="1" x14ac:dyDescent="0.35">
      <c r="C3" s="11"/>
      <c r="D3" s="8"/>
      <c r="E3" s="9"/>
      <c r="F3" s="9"/>
      <c r="G3" s="9"/>
      <c r="H3" s="9"/>
      <c r="I3" s="10"/>
      <c r="J3" s="12"/>
    </row>
    <row r="4" spans="3:10" ht="5.25" customHeight="1" x14ac:dyDescent="0.35">
      <c r="C4" s="11"/>
      <c r="D4" s="11"/>
      <c r="I4" s="12"/>
      <c r="J4" s="12"/>
    </row>
    <row r="5" spans="3:10" ht="9" customHeight="1" x14ac:dyDescent="0.35">
      <c r="C5" s="11"/>
      <c r="D5" s="11"/>
      <c r="I5" s="12"/>
      <c r="J5" s="12"/>
    </row>
    <row r="6" spans="3:10" ht="22.5" customHeight="1" x14ac:dyDescent="0.45">
      <c r="C6" s="11"/>
      <c r="D6" s="11"/>
      <c r="E6" s="19" t="s">
        <v>26</v>
      </c>
      <c r="F6" s="19"/>
      <c r="G6" s="19"/>
      <c r="H6" s="20"/>
      <c r="I6" s="12"/>
      <c r="J6" s="12"/>
    </row>
    <row r="7" spans="3:10" ht="30" customHeight="1" x14ac:dyDescent="0.6">
      <c r="C7" s="11"/>
      <c r="D7" s="11"/>
      <c r="E7" s="13"/>
      <c r="I7" s="12"/>
      <c r="J7" s="12"/>
    </row>
    <row r="8" spans="3:10" ht="30" customHeight="1" x14ac:dyDescent="0.6">
      <c r="C8" s="11"/>
      <c r="D8" s="11"/>
      <c r="E8" s="14"/>
      <c r="F8" s="14"/>
      <c r="I8" s="12"/>
      <c r="J8" s="12"/>
    </row>
    <row r="9" spans="3:10" ht="30" customHeight="1" x14ac:dyDescent="0.35">
      <c r="C9" s="11"/>
      <c r="D9" s="11"/>
      <c r="I9" s="12"/>
      <c r="J9" s="12"/>
    </row>
    <row r="10" spans="3:10" ht="20.149999999999999" customHeight="1" thickBot="1" x14ac:dyDescent="0.4">
      <c r="C10" s="11"/>
      <c r="D10" s="11"/>
      <c r="I10" s="12"/>
      <c r="J10" s="12"/>
    </row>
    <row r="11" spans="3:10" ht="20.149999999999999" customHeight="1" thickBot="1" x14ac:dyDescent="0.4">
      <c r="C11" s="11"/>
      <c r="D11" s="11"/>
      <c r="E11" s="15" t="s">
        <v>27</v>
      </c>
      <c r="F11" s="22" t="s">
        <v>28</v>
      </c>
      <c r="I11" s="12"/>
      <c r="J11" s="12"/>
    </row>
    <row r="12" spans="3:10" ht="20.149999999999999" customHeight="1" thickBot="1" x14ac:dyDescent="0.4">
      <c r="C12" s="11"/>
      <c r="D12" s="11"/>
      <c r="I12" s="12"/>
      <c r="J12" s="12"/>
    </row>
    <row r="13" spans="3:10" ht="20.149999999999999" customHeight="1" thickBot="1" x14ac:dyDescent="0.4">
      <c r="C13" s="11"/>
      <c r="D13" s="11"/>
      <c r="E13" s="21" t="s">
        <v>29</v>
      </c>
      <c r="F13" s="36">
        <v>4</v>
      </c>
      <c r="I13" s="12"/>
      <c r="J13" s="12"/>
    </row>
    <row r="14" spans="3:10" s="62" customFormat="1" ht="36.75" customHeight="1" thickBot="1" x14ac:dyDescent="0.4">
      <c r="C14" s="61"/>
      <c r="D14" s="61"/>
      <c r="I14" s="63"/>
      <c r="J14" s="63"/>
    </row>
    <row r="15" spans="3:10" ht="20.149999999999999" customHeight="1" thickBot="1" x14ac:dyDescent="0.4">
      <c r="C15" s="11"/>
      <c r="D15" s="11"/>
      <c r="E15" s="15" t="s">
        <v>30</v>
      </c>
      <c r="F15" s="36">
        <v>2025</v>
      </c>
      <c r="I15" s="12"/>
      <c r="J15" s="12"/>
    </row>
    <row r="16" spans="3:10" ht="20.149999999999999" customHeight="1" x14ac:dyDescent="0.35">
      <c r="C16" s="11"/>
      <c r="D16" s="11"/>
      <c r="I16" s="12"/>
      <c r="J16" s="12"/>
    </row>
    <row r="17" spans="3:10" ht="45" customHeight="1" thickBot="1" x14ac:dyDescent="0.4">
      <c r="C17" s="11"/>
      <c r="D17" s="11"/>
      <c r="I17" s="12"/>
      <c r="J17" s="12"/>
    </row>
    <row r="18" spans="3:10" ht="20.149999999999999" customHeight="1" thickBot="1" x14ac:dyDescent="0.4">
      <c r="C18" s="11"/>
      <c r="D18" s="11"/>
      <c r="E18" s="15" t="s">
        <v>31</v>
      </c>
      <c r="F18" s="36" t="s">
        <v>32</v>
      </c>
      <c r="I18" s="12"/>
      <c r="J18" s="12"/>
    </row>
    <row r="19" spans="3:10" ht="20.149999999999999" customHeight="1" x14ac:dyDescent="0.35">
      <c r="C19" s="11"/>
      <c r="D19" s="11"/>
      <c r="E19" s="15"/>
      <c r="I19" s="12"/>
      <c r="J19" s="12"/>
    </row>
    <row r="20" spans="3:10" ht="15" customHeight="1" thickBot="1" x14ac:dyDescent="0.4">
      <c r="C20" s="11"/>
      <c r="D20" s="16"/>
      <c r="E20" s="17"/>
      <c r="F20" s="17"/>
      <c r="G20" s="17"/>
      <c r="H20" s="17"/>
      <c r="I20" s="18"/>
      <c r="J20" s="12"/>
    </row>
    <row r="21" spans="3:10" ht="15" customHeight="1" thickBot="1" x14ac:dyDescent="0.4">
      <c r="C21" s="16"/>
      <c r="D21" s="17"/>
      <c r="E21" s="17"/>
      <c r="F21" s="17"/>
      <c r="G21" s="17"/>
      <c r="H21" s="17"/>
      <c r="I21" s="17"/>
      <c r="J21" s="18"/>
    </row>
  </sheetData>
  <sheetProtection algorithmName="SHA-512" hashValue="S9cihRpcLw0tl1swFbds/vGIseFnoUJFx//22+/R5lJ1vmG0CRhiTDuZGqc+DMhmKnUKnbR/c5JihX6JnxmNSw==" saltValue="+CtU3pbXi233ybxAqp/n2Q==" spinCount="100000" sheet="1" objects="1" scenarios="1"/>
  <pageMargins left="0.7" right="0.7" top="0.75" bottom="0.75" header="0.3" footer="0.3"/>
  <pageSetup paperSize="9" scale="75"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B1:F9"/>
  <sheetViews>
    <sheetView topLeftCell="A6" workbookViewId="0"/>
  </sheetViews>
  <sheetFormatPr defaultColWidth="9.453125" defaultRowHeight="21" customHeight="1" x14ac:dyDescent="0.3"/>
  <cols>
    <col min="1" max="1" width="14.54296875" style="2" customWidth="1"/>
    <col min="2" max="3" width="9.453125" style="2" customWidth="1"/>
    <col min="4" max="4" width="28.453125" style="2" customWidth="1"/>
    <col min="5" max="5" width="50.453125" style="2" customWidth="1"/>
    <col min="6" max="6" width="25" style="2" customWidth="1"/>
    <col min="7" max="93" width="9.453125" style="2" customWidth="1"/>
    <col min="94" max="16384" width="9.453125" style="2"/>
  </cols>
  <sheetData>
    <row r="1" spans="2:6" ht="14" customHeight="1" x14ac:dyDescent="0.3"/>
    <row r="2" spans="2:6" ht="38.25" customHeight="1" thickBot="1" x14ac:dyDescent="0.35"/>
    <row r="3" spans="2:6" ht="62.25" customHeight="1" thickBot="1" x14ac:dyDescent="0.45">
      <c r="B3" s="286" t="s">
        <v>33</v>
      </c>
      <c r="C3" s="287"/>
      <c r="D3" s="287"/>
      <c r="E3" s="287"/>
      <c r="F3" s="288"/>
    </row>
    <row r="4" spans="2:6" ht="23.25" customHeight="1" thickTop="1" x14ac:dyDescent="0.3">
      <c r="B4" s="277" t="s">
        <v>285</v>
      </c>
      <c r="C4" s="278"/>
      <c r="D4" s="278"/>
      <c r="E4" s="278"/>
      <c r="F4" s="279"/>
    </row>
    <row r="5" spans="2:6" ht="23.25" customHeight="1" x14ac:dyDescent="0.3">
      <c r="B5" s="280"/>
      <c r="C5" s="281"/>
      <c r="D5" s="281"/>
      <c r="E5" s="281"/>
      <c r="F5" s="282"/>
    </row>
    <row r="6" spans="2:6" ht="62.25" customHeight="1" x14ac:dyDescent="0.3">
      <c r="B6" s="280"/>
      <c r="C6" s="281"/>
      <c r="D6" s="281"/>
      <c r="E6" s="281"/>
      <c r="F6" s="282"/>
    </row>
    <row r="7" spans="2:6" ht="144.5" customHeight="1" thickBot="1" x14ac:dyDescent="0.35">
      <c r="B7" s="283"/>
      <c r="C7" s="284"/>
      <c r="D7" s="284"/>
      <c r="E7" s="284"/>
      <c r="F7" s="285"/>
    </row>
    <row r="8" spans="2:6" ht="62.25" customHeight="1" x14ac:dyDescent="0.3"/>
    <row r="9" spans="2:6" ht="62.25" customHeight="1" x14ac:dyDescent="0.3"/>
  </sheetData>
  <sheetProtection algorithmName="SHA-512" hashValue="OPYmBmVTXkd03jCnrR73mm6i0oAwoVzBnojT2rjXMqS5agtdMKtsWxQ0ozjDDwUYJHlDJYUfa/98CZoBQCn41A==" saltValue="AfFho+sQK/sMsWMRyEnkFQ==" spinCount="100000" sheet="1" objects="1" scenarios="1"/>
  <mergeCells count="2">
    <mergeCell ref="B4:F7"/>
    <mergeCell ref="B3:F3"/>
  </mergeCells>
  <printOptions verticalCentered="1"/>
  <pageMargins left="0.7" right="0.7" top="0.75" bottom="0.75" header="0.3" footer="0.3"/>
  <pageSetup paperSize="7" scale="80" orientation="landscape"/>
  <colBreaks count="1" manualBreakCount="1">
    <brk id="16" max="1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pageSetUpPr fitToPage="1"/>
  </sheetPr>
  <dimension ref="A1:C38"/>
  <sheetViews>
    <sheetView topLeftCell="A32" workbookViewId="0">
      <selection activeCell="C37" sqref="C37"/>
    </sheetView>
  </sheetViews>
  <sheetFormatPr defaultColWidth="9.453125" defaultRowHeight="14" x14ac:dyDescent="0.3"/>
  <cols>
    <col min="1" max="1" width="11.54296875" style="2" customWidth="1"/>
    <col min="2" max="2" width="38" style="2" customWidth="1"/>
    <col min="3" max="3" width="175.453125" style="2" customWidth="1"/>
    <col min="4" max="4" width="20.453125" style="2" customWidth="1"/>
    <col min="5" max="83" width="9.453125" style="2" customWidth="1"/>
    <col min="84" max="16384" width="9.453125" style="2"/>
  </cols>
  <sheetData>
    <row r="1" spans="1:3" ht="14.5" customHeight="1" thickBot="1" x14ac:dyDescent="0.35"/>
    <row r="2" spans="1:3" ht="14.5" customHeight="1" thickTop="1" x14ac:dyDescent="0.3">
      <c r="A2" s="32"/>
      <c r="B2" s="33"/>
      <c r="C2" s="34"/>
    </row>
    <row r="3" spans="1:3" x14ac:dyDescent="0.3">
      <c r="A3" s="32"/>
      <c r="B3" s="292" t="s">
        <v>26</v>
      </c>
      <c r="C3" s="290"/>
    </row>
    <row r="4" spans="1:3" x14ac:dyDescent="0.3">
      <c r="A4" s="32"/>
      <c r="B4" s="293"/>
      <c r="C4" s="290"/>
    </row>
    <row r="5" spans="1:3" ht="17.5" customHeight="1" x14ac:dyDescent="0.35">
      <c r="A5" s="32"/>
      <c r="B5" s="291" t="str">
        <f>Details!F15&amp;" QUARTER"&amp;" "&amp;Details!F13&amp;" "&amp;"STATISTICS"</f>
        <v>2025 QUARTER 4 STATISTICS</v>
      </c>
      <c r="C5" s="290"/>
    </row>
    <row r="6" spans="1:3" ht="21" customHeight="1" thickBot="1" x14ac:dyDescent="0.5">
      <c r="A6" s="32"/>
      <c r="B6" s="289" t="s">
        <v>34</v>
      </c>
      <c r="C6" s="290"/>
    </row>
    <row r="7" spans="1:3" s="5" customFormat="1" ht="15" customHeight="1" thickTop="1" thickBot="1" x14ac:dyDescent="0.35">
      <c r="A7" s="32"/>
      <c r="B7" s="23" t="s">
        <v>35</v>
      </c>
      <c r="C7" s="24" t="s">
        <v>36</v>
      </c>
    </row>
    <row r="8" spans="1:3" ht="14.5" customHeight="1" thickTop="1" x14ac:dyDescent="0.3">
      <c r="A8" s="32"/>
      <c r="B8" s="79" t="s">
        <v>37</v>
      </c>
      <c r="C8" s="29" t="str">
        <f>_xlfn.CONCAT("SUMMARY OF GENERAL INSURANCE BUSINESS PROFIT &amp; LOSS ACCOUNTS FOR THE PERIOD ENDED"," ",Details!F18)</f>
        <v>SUMMARY OF GENERAL INSURANCE BUSINESS PROFIT &amp; LOSS ACCOUNTS FOR THE PERIOD ENDED 31.12.2025</v>
      </c>
    </row>
    <row r="9" spans="1:3" x14ac:dyDescent="0.3">
      <c r="A9" s="32"/>
      <c r="B9" s="79" t="s">
        <v>38</v>
      </c>
      <c r="C9" s="30" t="str">
        <f>_xlfn.CONCAT("SUMMARY OF LONG TERM INSURANCE BUSINESS PROFIT &amp; LOSS ACCOUNTS  FOR THE PERIOD ENDED"," ",Details!$F$18)</f>
        <v>SUMMARY OF LONG TERM INSURANCE BUSINESS PROFIT &amp; LOSS ACCOUNTS  FOR THE PERIOD ENDED 31.12.2025</v>
      </c>
    </row>
    <row r="10" spans="1:3" x14ac:dyDescent="0.3">
      <c r="A10" s="32"/>
      <c r="B10" s="79" t="s">
        <v>39</v>
      </c>
      <c r="C10" s="30" t="str">
        <f>_xlfn.CONCAT("SUMMARY OF MICRO INSURANCE BUSINESS PROFIT &amp; LOSS ACCOUNTS  FOR THE PERIOD ENDED"," ",Details!$F$18)</f>
        <v>SUMMARY OF MICRO INSURANCE BUSINESS PROFIT &amp; LOSS ACCOUNTS  FOR THE PERIOD ENDED 31.12.2025</v>
      </c>
    </row>
    <row r="11" spans="1:3" x14ac:dyDescent="0.3">
      <c r="B11" s="79" t="s">
        <v>40</v>
      </c>
      <c r="C11" s="30" t="str">
        <f>_xlfn.CONCAT("SUMMARY OF LONG TERM INSURANCE BUSINESS BALANCE SHEETS AS AT"," ",Details!F18)</f>
        <v>SUMMARY OF LONG TERM INSURANCE BUSINESS BALANCE SHEETS AS AT 31.12.2025</v>
      </c>
    </row>
    <row r="12" spans="1:3" x14ac:dyDescent="0.3">
      <c r="B12" s="79" t="s">
        <v>41</v>
      </c>
      <c r="C12" s="30" t="str">
        <f>_xlfn.CONCAT("SUMMARY OF LONG TERM INSURANCE BUSINESS BALANCE SHEETS AS AT"," ",Details!F18)</f>
        <v>SUMMARY OF LONG TERM INSURANCE BUSINESS BALANCE SHEETS AS AT 31.12.2025</v>
      </c>
    </row>
    <row r="13" spans="1:3" x14ac:dyDescent="0.3">
      <c r="B13" s="79" t="s">
        <v>42</v>
      </c>
      <c r="C13" s="30" t="str">
        <f>_xlfn.CONCAT("SUMMARY OF LONG TERM INSURANCE BUSINESS BALANCE SHEETS AS AT"," ",Details!F18)</f>
        <v>SUMMARY OF LONG TERM INSURANCE BUSINESS BALANCE SHEETS AS AT 31.12.2025</v>
      </c>
    </row>
    <row r="14" spans="1:3" x14ac:dyDescent="0.3">
      <c r="B14" s="79" t="s">
        <v>43</v>
      </c>
      <c r="C14" s="30" t="str">
        <f>_xlfn.CONCAT("SUMMARY OF GENERAL INSURANCE BUSINESS BALANCE SHEETS AS AT"," ",Details!F18)</f>
        <v>SUMMARY OF GENERAL INSURANCE BUSINESS BALANCE SHEETS AS AT 31.12.2025</v>
      </c>
    </row>
    <row r="15" spans="1:3" x14ac:dyDescent="0.3">
      <c r="B15" s="79" t="s">
        <v>44</v>
      </c>
      <c r="C15" s="30" t="str">
        <f>_xlfn.CONCAT("SUMMARY OF GENERAL INSURANCE BUSINESS BALANCE SHEETS AS AT"," ",Details!F18)</f>
        <v>SUMMARY OF GENERAL INSURANCE BUSINESS BALANCE SHEETS AS AT 31.12.2025</v>
      </c>
    </row>
    <row r="16" spans="1:3" x14ac:dyDescent="0.3">
      <c r="B16" s="79" t="s">
        <v>45</v>
      </c>
      <c r="C16" s="30" t="str">
        <f>_xlfn.CONCAT("SUMMARY OF GENERAL INSURANCE BUSINESS BALANCE SHEETS AS AT"," ",Details!F18)</f>
        <v>SUMMARY OF GENERAL INSURANCE BUSINESS BALANCE SHEETS AS AT 31.12.2025</v>
      </c>
    </row>
    <row r="17" spans="1:3" x14ac:dyDescent="0.3">
      <c r="B17" s="79" t="s">
        <v>46</v>
      </c>
      <c r="C17" s="30" t="str">
        <f>_xlfn.CONCAT("SUMMARY OF GENERAL INSURANCE BUSINESS BALANCE SHEETS AS AT"," ",Details!F18)</f>
        <v>SUMMARY OF GENERAL INSURANCE BUSINESS BALANCE SHEETS AS AT 31.12.2025</v>
      </c>
    </row>
    <row r="18" spans="1:3" ht="14.5" customHeight="1" x14ac:dyDescent="0.3">
      <c r="B18" s="79" t="s">
        <v>286</v>
      </c>
      <c r="C18" s="30" t="str">
        <f>_xlfn.CONCAT("SUMMARY OF MICRO INSURANCE BUSINESS BALANCE SHEETS AS AT"," ",Details!F18)</f>
        <v>SUMMARY OF MICRO INSURANCE BUSINESS BALANCE SHEETS AS AT 31.12.2025</v>
      </c>
    </row>
    <row r="19" spans="1:3" x14ac:dyDescent="0.3">
      <c r="A19" s="32"/>
      <c r="B19" s="79" t="s">
        <v>47</v>
      </c>
      <c r="C19" s="30" t="str">
        <f>_xlfn.CONCAT("SUMMARY OF LONG TERM INSURANCE BUSINESS GROSS PREMIUM INCOME FOR THE PERIOD ENDED"," ",Details!F18)</f>
        <v>SUMMARY OF LONG TERM INSURANCE BUSINESS GROSS PREMIUM INCOME FOR THE PERIOD ENDED 31.12.2025</v>
      </c>
    </row>
    <row r="20" spans="1:3" x14ac:dyDescent="0.3">
      <c r="A20" s="32"/>
      <c r="B20" s="79" t="s">
        <v>48</v>
      </c>
      <c r="C20" s="30" t="str">
        <f>_xlfn.CONCAT("SUMMARY OF LONG TERM INSURANCE BUSINESS MARKET SHARE PER CLASS FOR THE PERIOD ENDED"," ",Details!F18)</f>
        <v>SUMMARY OF LONG TERM INSURANCE BUSINESS MARKET SHARE PER CLASS FOR THE PERIOD ENDED 31.12.2025</v>
      </c>
    </row>
    <row r="21" spans="1:3" x14ac:dyDescent="0.3">
      <c r="A21" s="32"/>
      <c r="B21" s="79" t="s">
        <v>49</v>
      </c>
      <c r="C21" s="30" t="str">
        <f>_xlfn.CONCAT("SUMMARY OF LIFE ASSURANCE BUSINESS REVENUE ACCOUNTS FOR THE PERIOD ENDED"," ",Details!F18)</f>
        <v>SUMMARY OF LIFE ASSURANCE BUSINESS REVENUE ACCOUNTS FOR THE PERIOD ENDED 31.12.2025</v>
      </c>
    </row>
    <row r="22" spans="1:3" x14ac:dyDescent="0.3">
      <c r="A22" s="32"/>
      <c r="B22" s="79" t="s">
        <v>50</v>
      </c>
      <c r="C22" s="30" t="str">
        <f>_xlfn.CONCAT("SUMMARY OF ANNUITIES BUSINESS REVENUE ACCOUNTS FOR THE PERIOD ENDED"," ",Details!F18)</f>
        <v>SUMMARY OF ANNUITIES BUSINESS REVENUE ACCOUNTS FOR THE PERIOD ENDED 31.12.2025</v>
      </c>
    </row>
    <row r="23" spans="1:3" x14ac:dyDescent="0.3">
      <c r="A23" s="32"/>
      <c r="B23" s="79" t="s">
        <v>51</v>
      </c>
      <c r="C23" s="30" t="str">
        <f>_xlfn.CONCAT("SUMMARY OF GROUP LIFE BUSINESS REVENUE ACCOUNTS FOR THE PERIOD ENDED"," ",Details!F18)</f>
        <v>SUMMARY OF GROUP LIFE BUSINESS REVENUE ACCOUNTS FOR THE PERIOD ENDED 31.12.2025</v>
      </c>
    </row>
    <row r="24" spans="1:3" x14ac:dyDescent="0.3">
      <c r="A24" s="32"/>
      <c r="B24" s="79" t="s">
        <v>52</v>
      </c>
      <c r="C24" s="30" t="str">
        <f>_xlfn.CONCAT("SUMMARY OF GROUP CREDIT BUSINESS REVENUE ACCOUNTS FOR THE PERIOD ENDED"," ",Details!F18)</f>
        <v>SUMMARY OF GROUP CREDIT BUSINESS REVENUE ACCOUNTS FOR THE PERIOD ENDED 31.12.2025</v>
      </c>
    </row>
    <row r="25" spans="1:3" x14ac:dyDescent="0.3">
      <c r="A25" s="32"/>
      <c r="B25" s="79" t="s">
        <v>53</v>
      </c>
      <c r="C25" s="30" t="str">
        <f>_xlfn.CONCAT("SUMMARY OF INVESTMENTS BUSINESS REVENUE ACCOUNTS FOR THE PERIOD ENDED"," ",Details!F18)</f>
        <v>SUMMARY OF INVESTMENTS BUSINESS REVENUE ACCOUNTS FOR THE PERIOD ENDED 31.12.2025</v>
      </c>
    </row>
    <row r="26" spans="1:3" x14ac:dyDescent="0.3">
      <c r="A26" s="32"/>
      <c r="B26" s="79" t="s">
        <v>54</v>
      </c>
      <c r="C26" s="30" t="str">
        <f>_xlfn.CONCAT("SUMMARY OF PERMANENT HEALTH BUSINESS REVENUE ACCOUNTS FOR THE PERIOD ENDED"," ",Details!F18)</f>
        <v>SUMMARY OF PERMANENT HEALTH BUSINESS REVENUE ACCOUNTS FOR THE PERIOD ENDED 31.12.2025</v>
      </c>
    </row>
    <row r="27" spans="1:3" x14ac:dyDescent="0.3">
      <c r="A27" s="32"/>
      <c r="B27" s="79" t="s">
        <v>55</v>
      </c>
      <c r="C27" s="30" t="str">
        <f>_xlfn.CONCAT("SUMMARY OF PERSONAL PENSIONS BUSINESS REVENUE ACCOUNTS FOR THE PERIOD ENDED"," ",Details!F18)</f>
        <v>SUMMARY OF PERSONAL PENSIONS BUSINESS REVENUE ACCOUNTS FOR THE PERIOD ENDED 31.12.2025</v>
      </c>
    </row>
    <row r="28" spans="1:3" x14ac:dyDescent="0.3">
      <c r="A28" s="32"/>
      <c r="B28" s="79" t="s">
        <v>56</v>
      </c>
      <c r="C28" s="30" t="str">
        <f>_xlfn.CONCAT("SUMMARY OF DEPOSIT ADMINISTRATION BUSINESS REVENUE ACCOUNTS FOR THE PERIOD ENDED"," ",Details!F18)</f>
        <v>SUMMARY OF DEPOSIT ADMINISTRATION BUSINESS REVENUE ACCOUNTS FOR THE PERIOD ENDED 31.12.2025</v>
      </c>
    </row>
    <row r="29" spans="1:3" x14ac:dyDescent="0.3">
      <c r="A29" s="32"/>
      <c r="B29" s="79" t="s">
        <v>57</v>
      </c>
      <c r="C29" s="30" t="str">
        <f>_xlfn.CONCAT("SUMMARY OF COMBINED LONG TERM BUSINESS REVENUE ACCOUNTS FOR THE PERIOD ENDED"," ",Details!F18)</f>
        <v>SUMMARY OF COMBINED LONG TERM BUSINESS REVENUE ACCOUNTS FOR THE PERIOD ENDED 31.12.2025</v>
      </c>
    </row>
    <row r="30" spans="1:3" x14ac:dyDescent="0.3">
      <c r="A30" s="32"/>
      <c r="B30" s="79" t="s">
        <v>58</v>
      </c>
      <c r="C30" s="30" t="str">
        <f>_xlfn.CONCAT("SUMMARY OF GROSS  PREMIUM INCOME UNDER GENERAL INSURANCE BUSINESS FOR THE PERIOD ENDED"," ",Details!$F$18)</f>
        <v>SUMMARY OF GROSS  PREMIUM INCOME UNDER GENERAL INSURANCE BUSINESS FOR THE PERIOD ENDED 31.12.2025</v>
      </c>
    </row>
    <row r="31" spans="1:3" x14ac:dyDescent="0.3">
      <c r="A31" s="32"/>
      <c r="B31" s="79" t="s">
        <v>59</v>
      </c>
      <c r="C31" s="30" t="str">
        <f>_xlfn.CONCAT("SUMMARY OF GENERAL INSURANCE BUSINESS MARKET SHARE PER CLASS FOR THE PERIOD ENDED"," ",Details!$F$18)</f>
        <v>SUMMARY OF GENERAL INSURANCE BUSINESS MARKET SHARE PER CLASS FOR THE PERIOD ENDED 31.12.2025</v>
      </c>
    </row>
    <row r="32" spans="1:3" x14ac:dyDescent="0.3">
      <c r="A32" s="32"/>
      <c r="B32" s="79" t="s">
        <v>60</v>
      </c>
      <c r="C32" s="30" t="str">
        <f>_xlfn.CONCAT("SUMMARY OF CLAIMS PAID UNDER GENERAL INSURANCE BUSINESS FOR THE PERIOD ENDED"," ",Details!$F$18)</f>
        <v>SUMMARY OF CLAIMS PAID UNDER GENERAL INSURANCE BUSINESS FOR THE PERIOD ENDED 31.12.2025</v>
      </c>
    </row>
    <row r="33" spans="1:3" x14ac:dyDescent="0.3">
      <c r="A33" s="32"/>
      <c r="B33" s="79" t="s">
        <v>61</v>
      </c>
      <c r="C33" s="30" t="str">
        <f>_xlfn.CONCAT("SUMMARY OF CLAIMS INCURRED UNDER GENERAL INSURANCE BUSINESS FOR THE PERIOD ENDED"," ",Details!$F$18)</f>
        <v>SUMMARY OF CLAIMS INCURRED UNDER GENERAL INSURANCE BUSINESS FOR THE PERIOD ENDED 31.12.2025</v>
      </c>
    </row>
    <row r="34" spans="1:3" x14ac:dyDescent="0.3">
      <c r="A34" s="32"/>
      <c r="B34" s="79" t="s">
        <v>62</v>
      </c>
      <c r="C34" s="30" t="str">
        <f>_xlfn.CONCAT("SUMMARY OF INCURRED CLAIMS RATIOS UNDER GENERAL INSURANCE BUSINESS FOR THE PERIOD ENDED"," ",Details!$F$18)</f>
        <v>SUMMARY OF INCURRED CLAIMS RATIOS UNDER GENERAL INSURANCE BUSINESS FOR THE PERIOD ENDED 31.12.2025</v>
      </c>
    </row>
    <row r="35" spans="1:3" x14ac:dyDescent="0.3">
      <c r="A35" s="32"/>
      <c r="B35" s="79" t="s">
        <v>63</v>
      </c>
      <c r="C35" s="30" t="str">
        <f>_xlfn.CONCAT("SUMMARY OF GENERAL INSURANCE BUSINESS REVENUE ACCOUNTS FOR THE PERIOD ENDED"," ",Details!$F$18)</f>
        <v>SUMMARY OF GENERAL INSURANCE BUSINESS REVENUE ACCOUNTS FOR THE PERIOD ENDED 31.12.2025</v>
      </c>
    </row>
    <row r="36" spans="1:3" x14ac:dyDescent="0.3">
      <c r="A36" s="32"/>
      <c r="B36" s="79" t="s">
        <v>64</v>
      </c>
      <c r="C36" s="30" t="str">
        <f>_xlfn.CONCAT("SUMMARY OF MICROINSURANCE BUSINESS REVENUE ACCOUNTS FOR THE PERIOD ENDED"," ",Details!$F$18)</f>
        <v>SUMMARY OF MICROINSURANCE BUSINESS REVENUE ACCOUNTS FOR THE PERIOD ENDED 31.12.2025</v>
      </c>
    </row>
    <row r="37" spans="1:3" ht="14.5" customHeight="1" thickBot="1" x14ac:dyDescent="0.35">
      <c r="A37" s="32"/>
      <c r="B37" s="79" t="s">
        <v>65</v>
      </c>
      <c r="C37" s="31" t="str">
        <f>_xlfn.CONCAT("SUMMARY OF BUSINESS RESULTS UNDER MICRO INSURANCE BUSINESS FOR THE PERIOD ENDED"," ",Details!$F$18)</f>
        <v>SUMMARY OF BUSINESS RESULTS UNDER MICRO INSURANCE BUSINESS FOR THE PERIOD ENDED 31.12.2025</v>
      </c>
    </row>
    <row r="38" spans="1:3" ht="14.5" customHeight="1" thickTop="1" x14ac:dyDescent="0.3">
      <c r="B38" s="78"/>
    </row>
  </sheetData>
  <sheetProtection algorithmName="SHA-512" hashValue="g3iViCsQCUGygfGOy20jyw5AZy+ODSc/3mpmiiQ4lI+cjCJeiB6wRBzw8PMtBATy0s48Im94aJeQZE8abt9ElA==" saltValue="jIeBV5nPrv7fqUeUqz7XJA==" spinCount="100000" sheet="1" objects="1" scenarios="1"/>
  <mergeCells count="3">
    <mergeCell ref="B6:C6"/>
    <mergeCell ref="B5:C5"/>
    <mergeCell ref="B3:C4"/>
  </mergeCells>
  <hyperlinks>
    <hyperlink ref="B8" location="'APPENDIX 1'!A1" display="APPENDIX 1'" xr:uid="{00000000-0004-0000-0200-000000000000}"/>
    <hyperlink ref="B9" location="'APPENDIX 2'!A1" display="'APPENDIX 2'" xr:uid="{00000000-0004-0000-0200-000001000000}"/>
    <hyperlink ref="B10" location="'APPENDIX 3'!A1" display="'APPENDIX 3'" xr:uid="{00000000-0004-0000-0200-000002000000}"/>
    <hyperlink ref="B11" location="Appendix_4i_Range" display="APPENDIX 4 i" xr:uid="{00000000-0004-0000-0200-000003000000}"/>
    <hyperlink ref="B12" location="Appendix_4ii_Range" display="APPENDIX 4 ii" xr:uid="{00000000-0004-0000-0200-000004000000}"/>
    <hyperlink ref="B13" location="Appendix_4iii_Range" display="APPENDIX 4 iii" xr:uid="{00000000-0004-0000-0200-000005000000}"/>
    <hyperlink ref="B14" location="Appendix_5i_Range" display="APPENDIX 5 i" xr:uid="{00000000-0004-0000-0200-000006000000}"/>
    <hyperlink ref="B15" location="Appendix_5ii_Range" display="APPENDIX 5 ii" xr:uid="{00000000-0004-0000-0200-000007000000}"/>
    <hyperlink ref="B16" location="Appendix_5iii_Range" display="APPENDIX 5 iii" xr:uid="{00000000-0004-0000-0200-000008000000}"/>
    <hyperlink ref="B17" location="Appendix_5iv_Range" display="APPENDIX 5 iv" xr:uid="{00000000-0004-0000-0200-000009000000}"/>
    <hyperlink ref="B18" location="Appendix_6i_Range" display="APPENDIX 6 i" xr:uid="{00000000-0004-0000-0200-00000A000000}"/>
    <hyperlink ref="B19" location="Appendix_7_Range" display="APPENDIX 7" xr:uid="{00000000-0004-0000-0200-00000B000000}"/>
    <hyperlink ref="B20" location="Appendix_8_Range" display="APPENDIX 8" xr:uid="{00000000-0004-0000-0200-00000C000000}"/>
    <hyperlink ref="B21" location="Appendix_9_Range" display="APPENDIX 9" xr:uid="{00000000-0004-0000-0200-00000D000000}"/>
    <hyperlink ref="B22" location="Appendix_10_Range" display="APPENDIX 10" xr:uid="{00000000-0004-0000-0200-00000E000000}"/>
    <hyperlink ref="B23" location="Appendix_11_Range" display="APPENDIX 11" xr:uid="{00000000-0004-0000-0200-00000F000000}"/>
    <hyperlink ref="B24" location="Appendix_12_Range" display="APPENDIX 12" xr:uid="{00000000-0004-0000-0200-000010000000}"/>
    <hyperlink ref="B25" location="Appendix_13_Range" display="APPENDIX 13" xr:uid="{00000000-0004-0000-0200-000011000000}"/>
    <hyperlink ref="B26" location="Appendix_14_Range" display="APPENDIX 14" xr:uid="{00000000-0004-0000-0200-000012000000}"/>
    <hyperlink ref="B27" location="Appendix_15_Range" display="APPENDIX 15" xr:uid="{00000000-0004-0000-0200-000013000000}"/>
    <hyperlink ref="B28" location="Appendix_16_Range" display="APPENDIX 16" xr:uid="{00000000-0004-0000-0200-000014000000}"/>
    <hyperlink ref="B29" location="Appendix_17_Range" display="APPENDIX 17" xr:uid="{00000000-0004-0000-0200-000015000000}"/>
    <hyperlink ref="B30" location="Appendix_18_Range" display="APPENDIX 18" xr:uid="{00000000-0004-0000-0200-000016000000}"/>
    <hyperlink ref="B31" location="Appendix_19_Range" display="APPENDIX 19" xr:uid="{00000000-0004-0000-0200-000017000000}"/>
    <hyperlink ref="B32" location="Appendix_20_Range" display="APPENDIX 20" xr:uid="{00000000-0004-0000-0200-000018000000}"/>
    <hyperlink ref="B33" location="Appendix_21_Range" display="APPENDIX 21" xr:uid="{00000000-0004-0000-0200-000019000000}"/>
    <hyperlink ref="B34" location="Appendix_22_Range" display="APPENDIX 22" xr:uid="{00000000-0004-0000-0200-00001A000000}"/>
    <hyperlink ref="B35" location="'APPENDIX 23'!A1" display="APPENDIX 23" xr:uid="{00000000-0004-0000-0200-00001C000000}"/>
    <hyperlink ref="B37" location="'APPENDIX 24'!A1" display="APPENDIX 24" xr:uid="{00000000-0004-0000-0200-00001D000000}"/>
    <hyperlink ref="B36" location="'APPENDIX 24'!A1" display="APPENDIX 24" xr:uid="{2714A4D4-E503-46E7-8B09-54615202A024}"/>
  </hyperlinks>
  <pageMargins left="0.7" right="0.7" top="0.75" bottom="0.75" header="0.3" footer="0.3"/>
  <pageSetup paperSize="9" scale="5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B3:R52"/>
  <sheetViews>
    <sheetView topLeftCell="A3" workbookViewId="0"/>
  </sheetViews>
  <sheetFormatPr defaultColWidth="9.453125" defaultRowHeight="15.5" x14ac:dyDescent="0.35"/>
  <cols>
    <col min="1" max="1" width="15.54296875" style="76" customWidth="1"/>
    <col min="2" max="2" width="56.54296875" style="76" bestFit="1" customWidth="1"/>
    <col min="3" max="4" width="20.6328125" style="76" bestFit="1" customWidth="1"/>
    <col min="5" max="5" width="19.1796875" style="76" bestFit="1" customWidth="1"/>
    <col min="6" max="6" width="17.08984375" style="76" bestFit="1" customWidth="1"/>
    <col min="7" max="7" width="18.81640625" style="76" bestFit="1" customWidth="1"/>
    <col min="8" max="9" width="17.08984375" style="76" bestFit="1" customWidth="1"/>
    <col min="10" max="10" width="20.08984375" style="76" bestFit="1" customWidth="1"/>
    <col min="11" max="11" width="16.1796875" style="76" bestFit="1" customWidth="1"/>
    <col min="12" max="12" width="14.36328125" style="76" bestFit="1" customWidth="1"/>
    <col min="13" max="13" width="15.1796875" style="76" bestFit="1" customWidth="1"/>
    <col min="14" max="14" width="17.08984375" style="76" bestFit="1" customWidth="1"/>
    <col min="15" max="15" width="21.08984375" style="76" bestFit="1" customWidth="1"/>
    <col min="16" max="17" width="17.08984375" style="76" bestFit="1" customWidth="1"/>
    <col min="18" max="18" width="17.7265625" style="76" bestFit="1" customWidth="1"/>
    <col min="19" max="104" width="9.453125" style="76" customWidth="1"/>
    <col min="105" max="16384" width="9.453125" style="76"/>
  </cols>
  <sheetData>
    <row r="3" spans="2:18" ht="33" customHeight="1" x14ac:dyDescent="0.35">
      <c r="B3" s="296" t="str">
        <f>_xlfn.CONCAT('Table of Contents'!B8,": ",'Table of Contents'!C8)</f>
        <v>APPENDIX 1: SUMMARY OF GENERAL INSURANCE BUSINESS PROFIT &amp; LOSS ACCOUNTS FOR THE PERIOD ENDED 31.12.2025</v>
      </c>
      <c r="C3" s="269"/>
      <c r="D3" s="269"/>
      <c r="E3" s="269"/>
      <c r="F3" s="269"/>
      <c r="G3" s="269"/>
      <c r="H3" s="269"/>
      <c r="I3" s="269"/>
      <c r="J3" s="269"/>
      <c r="K3" s="269"/>
      <c r="L3" s="269"/>
      <c r="M3" s="269"/>
      <c r="N3" s="269"/>
      <c r="O3" s="269"/>
      <c r="P3" s="269"/>
      <c r="Q3" s="269"/>
      <c r="R3" s="270"/>
    </row>
    <row r="4" spans="2:18" s="107" customFormat="1" ht="93" customHeight="1" x14ac:dyDescent="0.35">
      <c r="B4" s="108" t="s">
        <v>0</v>
      </c>
      <c r="C4" s="109" t="s">
        <v>1</v>
      </c>
      <c r="D4" s="109" t="s">
        <v>2</v>
      </c>
      <c r="E4" s="109" t="s">
        <v>3</v>
      </c>
      <c r="F4" s="109" t="s">
        <v>4</v>
      </c>
      <c r="G4" s="110" t="s">
        <v>5</v>
      </c>
      <c r="H4" s="110" t="s">
        <v>6</v>
      </c>
      <c r="I4" s="110" t="s">
        <v>7</v>
      </c>
      <c r="J4" s="110" t="s">
        <v>8</v>
      </c>
      <c r="K4" s="74" t="s">
        <v>9</v>
      </c>
      <c r="L4" s="74" t="s">
        <v>10</v>
      </c>
      <c r="M4" s="74" t="s">
        <v>11</v>
      </c>
      <c r="N4" s="74" t="s">
        <v>12</v>
      </c>
      <c r="O4" s="74" t="s">
        <v>13</v>
      </c>
      <c r="P4" s="74" t="s">
        <v>14</v>
      </c>
      <c r="Q4" s="74" t="s">
        <v>15</v>
      </c>
      <c r="R4" s="74" t="s">
        <v>16</v>
      </c>
    </row>
    <row r="5" spans="2:18" ht="21.5" customHeight="1" x14ac:dyDescent="0.35">
      <c r="B5" s="294" t="s">
        <v>17</v>
      </c>
      <c r="C5" s="269"/>
      <c r="D5" s="269"/>
      <c r="E5" s="269"/>
      <c r="F5" s="269"/>
      <c r="G5" s="269"/>
      <c r="H5" s="269"/>
      <c r="I5" s="269"/>
      <c r="J5" s="269"/>
      <c r="K5" s="269"/>
      <c r="L5" s="269"/>
      <c r="M5" s="269"/>
      <c r="N5" s="269"/>
      <c r="O5" s="269"/>
      <c r="P5" s="269"/>
      <c r="Q5" s="269"/>
      <c r="R5" s="270"/>
    </row>
    <row r="6" spans="2:18" ht="33" customHeight="1" x14ac:dyDescent="0.35">
      <c r="B6" s="111" t="s">
        <v>66</v>
      </c>
      <c r="C6" s="112">
        <v>12309692.792884421</v>
      </c>
      <c r="D6" s="112">
        <v>11767625.786217351</v>
      </c>
      <c r="E6" s="112">
        <v>-32687.526050000179</v>
      </c>
      <c r="F6" s="112">
        <v>574754.53271707043</v>
      </c>
      <c r="G6" s="112">
        <v>738160.63772000012</v>
      </c>
      <c r="H6" s="112">
        <v>0</v>
      </c>
      <c r="I6" s="112">
        <v>0</v>
      </c>
      <c r="J6" s="112">
        <v>738160.63772000012</v>
      </c>
      <c r="K6" s="113">
        <v>0</v>
      </c>
      <c r="L6" s="113">
        <v>11818.482749999999</v>
      </c>
      <c r="M6" s="113">
        <v>13476.897209999999</v>
      </c>
      <c r="N6" s="113">
        <v>593240.67418440082</v>
      </c>
      <c r="O6" s="113">
        <v>0</v>
      </c>
      <c r="P6" s="113">
        <v>718016.08179266972</v>
      </c>
      <c r="Q6" s="113">
        <v>157747.40413000001</v>
      </c>
      <c r="R6" s="114">
        <v>560268.6776626698</v>
      </c>
    </row>
    <row r="7" spans="2:18" ht="28.5" customHeight="1" x14ac:dyDescent="0.35">
      <c r="B7" s="111" t="s">
        <v>67</v>
      </c>
      <c r="C7" s="112">
        <v>3764707.9190461198</v>
      </c>
      <c r="D7" s="112">
        <v>2694540.642507758</v>
      </c>
      <c r="E7" s="112">
        <v>161575.88012838899</v>
      </c>
      <c r="F7" s="112">
        <v>908591.39640997211</v>
      </c>
      <c r="G7" s="112">
        <v>194549.01699999999</v>
      </c>
      <c r="H7" s="112">
        <v>396376.16138631903</v>
      </c>
      <c r="I7" s="112">
        <v>43488.455254134999</v>
      </c>
      <c r="J7" s="112">
        <v>-158338.68913218399</v>
      </c>
      <c r="K7" s="113">
        <v>0</v>
      </c>
      <c r="L7" s="113">
        <v>0</v>
      </c>
      <c r="M7" s="113">
        <v>0</v>
      </c>
      <c r="N7" s="113">
        <v>487085.98624632042</v>
      </c>
      <c r="O7" s="113">
        <v>0</v>
      </c>
      <c r="P7" s="113">
        <v>263166.72103146772</v>
      </c>
      <c r="Q7" s="113">
        <v>37349.673999999999</v>
      </c>
      <c r="R7" s="114">
        <v>225817.04703146761</v>
      </c>
    </row>
    <row r="8" spans="2:18" ht="28.5" customHeight="1" x14ac:dyDescent="0.35">
      <c r="B8" s="111" t="s">
        <v>68</v>
      </c>
      <c r="C8" s="112">
        <v>19029084.49640087</v>
      </c>
      <c r="D8" s="112">
        <v>15588884.165289089</v>
      </c>
      <c r="E8" s="112">
        <v>2803547.43761859</v>
      </c>
      <c r="F8" s="112">
        <v>636652.89349319402</v>
      </c>
      <c r="G8" s="112">
        <v>2056160.743383243</v>
      </c>
      <c r="H8" s="112">
        <v>1264285.1410000001</v>
      </c>
      <c r="I8" s="112">
        <v>489592.52396652108</v>
      </c>
      <c r="J8" s="112">
        <v>1281468.1263497651</v>
      </c>
      <c r="K8" s="113">
        <v>0</v>
      </c>
      <c r="L8" s="113">
        <v>0</v>
      </c>
      <c r="M8" s="113">
        <v>22413.706720062401</v>
      </c>
      <c r="N8" s="113">
        <v>459302.85890868702</v>
      </c>
      <c r="O8" s="113">
        <v>0</v>
      </c>
      <c r="P8" s="113">
        <v>1436404.454214209</v>
      </c>
      <c r="Q8" s="113">
        <v>-70485.352709697792</v>
      </c>
      <c r="R8" s="114">
        <v>1506889.806923907</v>
      </c>
    </row>
    <row r="9" spans="2:18" ht="28.5" customHeight="1" x14ac:dyDescent="0.35">
      <c r="B9" s="111" t="s">
        <v>69</v>
      </c>
      <c r="C9" s="112">
        <v>15255849.133461811</v>
      </c>
      <c r="D9" s="112">
        <v>11545993.659147481</v>
      </c>
      <c r="E9" s="112">
        <v>2779323.6315387469</v>
      </c>
      <c r="F9" s="112">
        <v>930531.84277558699</v>
      </c>
      <c r="G9" s="112">
        <v>1960381.60574</v>
      </c>
      <c r="H9" s="112">
        <v>1205126.3144376629</v>
      </c>
      <c r="I9" s="112">
        <v>511517.36382110772</v>
      </c>
      <c r="J9" s="112">
        <v>1266772.655123445</v>
      </c>
      <c r="K9" s="113">
        <v>0</v>
      </c>
      <c r="L9" s="113">
        <v>35438.194999999992</v>
      </c>
      <c r="M9" s="113">
        <v>33032.756542505587</v>
      </c>
      <c r="N9" s="113">
        <v>398128.38024837791</v>
      </c>
      <c r="O9" s="113">
        <v>0</v>
      </c>
      <c r="P9" s="113">
        <v>1801581.5561081481</v>
      </c>
      <c r="Q9" s="113">
        <v>48.646999999999998</v>
      </c>
      <c r="R9" s="114">
        <v>1801532.909108148</v>
      </c>
    </row>
    <row r="10" spans="2:18" ht="28.5" customHeight="1" x14ac:dyDescent="0.35">
      <c r="B10" s="111" t="s">
        <v>70</v>
      </c>
      <c r="C10" s="112">
        <v>2145748.8539999998</v>
      </c>
      <c r="D10" s="112">
        <v>1981140.361</v>
      </c>
      <c r="E10" s="112">
        <v>453438.60834532522</v>
      </c>
      <c r="F10" s="112">
        <v>-288830.1153453252</v>
      </c>
      <c r="G10" s="112">
        <v>81144.823000000004</v>
      </c>
      <c r="H10" s="112">
        <v>0</v>
      </c>
      <c r="I10" s="112">
        <v>0</v>
      </c>
      <c r="J10" s="112">
        <v>81144.823000000004</v>
      </c>
      <c r="K10" s="113">
        <v>0</v>
      </c>
      <c r="L10" s="113">
        <v>0</v>
      </c>
      <c r="M10" s="113">
        <v>0</v>
      </c>
      <c r="N10" s="113">
        <v>0</v>
      </c>
      <c r="O10" s="113">
        <v>0</v>
      </c>
      <c r="P10" s="113">
        <v>-207685.2923453252</v>
      </c>
      <c r="Q10" s="113">
        <v>-16715.591</v>
      </c>
      <c r="R10" s="114">
        <v>-190969.70134532519</v>
      </c>
    </row>
    <row r="11" spans="2:18" ht="28.5" customHeight="1" x14ac:dyDescent="0.35">
      <c r="B11" s="111" t="s">
        <v>71</v>
      </c>
      <c r="C11" s="112">
        <v>2295386.63982963</v>
      </c>
      <c r="D11" s="112">
        <v>2487102.3578819558</v>
      </c>
      <c r="E11" s="112">
        <v>120052.75354028431</v>
      </c>
      <c r="F11" s="112">
        <v>-311768.47159261041</v>
      </c>
      <c r="G11" s="112">
        <v>498788.08399999997</v>
      </c>
      <c r="H11" s="112">
        <v>120835.3383490135</v>
      </c>
      <c r="I11" s="112">
        <v>71370.870710000105</v>
      </c>
      <c r="J11" s="112">
        <v>449323.61636098661</v>
      </c>
      <c r="K11" s="113">
        <v>0</v>
      </c>
      <c r="L11" s="113">
        <v>0</v>
      </c>
      <c r="M11" s="113">
        <v>0</v>
      </c>
      <c r="N11" s="113">
        <v>214762.87038680009</v>
      </c>
      <c r="O11" s="113">
        <v>0</v>
      </c>
      <c r="P11" s="113">
        <v>-77207.725618423909</v>
      </c>
      <c r="Q11" s="113">
        <v>0</v>
      </c>
      <c r="R11" s="114">
        <v>-77207.725618423894</v>
      </c>
    </row>
    <row r="12" spans="2:18" ht="28.5" customHeight="1" x14ac:dyDescent="0.35">
      <c r="B12" s="64" t="s">
        <v>72</v>
      </c>
      <c r="C12" s="115">
        <v>18891676.636996571</v>
      </c>
      <c r="D12" s="115">
        <v>17351225.316399381</v>
      </c>
      <c r="E12" s="115">
        <v>1047035.514184902</v>
      </c>
      <c r="F12" s="115">
        <v>493415.80641228182</v>
      </c>
      <c r="G12" s="115">
        <v>1301522.62112</v>
      </c>
      <c r="H12" s="115">
        <v>455941.38092180941</v>
      </c>
      <c r="I12" s="115">
        <v>110305.7217382193</v>
      </c>
      <c r="J12" s="115">
        <v>955886.9619364104</v>
      </c>
      <c r="K12" s="115">
        <v>0</v>
      </c>
      <c r="L12" s="115">
        <v>440375.68309000041</v>
      </c>
      <c r="M12" s="115">
        <v>0</v>
      </c>
      <c r="N12" s="115">
        <v>460782.66681000008</v>
      </c>
      <c r="O12" s="115">
        <v>0</v>
      </c>
      <c r="P12" s="115">
        <v>1428895.784628693</v>
      </c>
      <c r="Q12" s="115">
        <v>428668.73538860772</v>
      </c>
      <c r="R12" s="116">
        <v>1000227.0492400849</v>
      </c>
    </row>
    <row r="13" spans="2:18" ht="28.5" customHeight="1" x14ac:dyDescent="0.35">
      <c r="B13" s="111" t="s">
        <v>73</v>
      </c>
      <c r="C13" s="115">
        <v>0</v>
      </c>
      <c r="D13" s="115">
        <v>0</v>
      </c>
      <c r="E13" s="115">
        <v>0</v>
      </c>
      <c r="F13" s="115">
        <v>0</v>
      </c>
      <c r="G13" s="115">
        <v>0</v>
      </c>
      <c r="H13" s="112">
        <v>0</v>
      </c>
      <c r="I13" s="112">
        <v>0</v>
      </c>
      <c r="J13" s="112">
        <v>0</v>
      </c>
      <c r="K13" s="113">
        <v>0</v>
      </c>
      <c r="L13" s="113">
        <v>0</v>
      </c>
      <c r="M13" s="113">
        <v>0</v>
      </c>
      <c r="N13" s="113">
        <v>0</v>
      </c>
      <c r="O13" s="113">
        <v>0</v>
      </c>
      <c r="P13" s="113">
        <v>0</v>
      </c>
      <c r="Q13" s="113">
        <v>0</v>
      </c>
      <c r="R13" s="114">
        <v>0</v>
      </c>
    </row>
    <row r="14" spans="2:18" ht="28.5" customHeight="1" x14ac:dyDescent="0.35">
      <c r="B14" s="111" t="s">
        <v>74</v>
      </c>
      <c r="C14" s="112">
        <v>711439.42500000005</v>
      </c>
      <c r="D14" s="112">
        <v>515701.64399999997</v>
      </c>
      <c r="E14" s="112">
        <v>1493.1690000000001</v>
      </c>
      <c r="F14" s="112">
        <v>194244.61199999999</v>
      </c>
      <c r="G14" s="112">
        <v>0</v>
      </c>
      <c r="H14" s="112">
        <v>0</v>
      </c>
      <c r="I14" s="112">
        <v>0</v>
      </c>
      <c r="J14" s="112">
        <v>0</v>
      </c>
      <c r="K14" s="113">
        <v>0</v>
      </c>
      <c r="L14" s="113">
        <v>0</v>
      </c>
      <c r="M14" s="113">
        <v>0</v>
      </c>
      <c r="N14" s="113">
        <v>540741.68064913177</v>
      </c>
      <c r="O14" s="113">
        <v>0</v>
      </c>
      <c r="P14" s="113">
        <v>-346497.06864913169</v>
      </c>
      <c r="Q14" s="113">
        <v>0</v>
      </c>
      <c r="R14" s="114">
        <v>-346497.06864913169</v>
      </c>
    </row>
    <row r="15" spans="2:18" ht="28.5" customHeight="1" x14ac:dyDescent="0.35">
      <c r="B15" s="111" t="s">
        <v>75</v>
      </c>
      <c r="C15" s="112">
        <v>2891099.69735373</v>
      </c>
      <c r="D15" s="112">
        <v>3220443.1112088962</v>
      </c>
      <c r="E15" s="112">
        <v>61924.504000000001</v>
      </c>
      <c r="F15" s="112">
        <v>-391267.91785516578</v>
      </c>
      <c r="G15" s="112">
        <v>239822.88436</v>
      </c>
      <c r="H15" s="112">
        <v>749755.13197035179</v>
      </c>
      <c r="I15" s="112">
        <v>0</v>
      </c>
      <c r="J15" s="112">
        <v>-509932.24761035183</v>
      </c>
      <c r="K15" s="113">
        <v>0</v>
      </c>
      <c r="L15" s="113">
        <v>0</v>
      </c>
      <c r="M15" s="113">
        <v>0</v>
      </c>
      <c r="N15" s="113">
        <v>28625.34044</v>
      </c>
      <c r="O15" s="113">
        <v>0</v>
      </c>
      <c r="P15" s="113">
        <v>-929825.50590551773</v>
      </c>
      <c r="Q15" s="113">
        <v>0</v>
      </c>
      <c r="R15" s="114">
        <v>-929825.50590551773</v>
      </c>
    </row>
    <row r="16" spans="2:18" ht="28.5" customHeight="1" x14ac:dyDescent="0.35">
      <c r="B16" s="111" t="s">
        <v>76</v>
      </c>
      <c r="C16" s="115">
        <v>1487881.780158482</v>
      </c>
      <c r="D16" s="115">
        <v>1238677.436385026</v>
      </c>
      <c r="E16" s="115">
        <v>64053.308567992113</v>
      </c>
      <c r="F16" s="115">
        <v>185151.03520546359</v>
      </c>
      <c r="G16" s="115">
        <v>140156.94690027469</v>
      </c>
      <c r="H16" s="112">
        <v>0</v>
      </c>
      <c r="I16" s="112">
        <v>0</v>
      </c>
      <c r="J16" s="112">
        <v>140156.94690027469</v>
      </c>
      <c r="K16" s="113">
        <v>0</v>
      </c>
      <c r="L16" s="113">
        <v>0</v>
      </c>
      <c r="M16" s="113">
        <v>0</v>
      </c>
      <c r="N16" s="113">
        <v>125167.1384015505</v>
      </c>
      <c r="O16" s="113">
        <v>0</v>
      </c>
      <c r="P16" s="113">
        <v>200140.84370418781</v>
      </c>
      <c r="Q16" s="113">
        <v>60042.253111256789</v>
      </c>
      <c r="R16" s="114">
        <v>140098.590592931</v>
      </c>
    </row>
    <row r="17" spans="2:18" ht="28.5" customHeight="1" x14ac:dyDescent="0.35">
      <c r="B17" s="111" t="s">
        <v>77</v>
      </c>
      <c r="C17" s="112">
        <v>3734.7279137910209</v>
      </c>
      <c r="D17" s="112">
        <v>7905.4546757648941</v>
      </c>
      <c r="E17" s="112">
        <v>-240.83358392653679</v>
      </c>
      <c r="F17" s="112">
        <v>-3929.8931780473358</v>
      </c>
      <c r="G17" s="112">
        <v>53098.030085792627</v>
      </c>
      <c r="H17" s="112">
        <v>0</v>
      </c>
      <c r="I17" s="112">
        <v>0</v>
      </c>
      <c r="J17" s="112">
        <v>53098.030085792627</v>
      </c>
      <c r="K17" s="113">
        <v>0</v>
      </c>
      <c r="L17" s="113">
        <v>0</v>
      </c>
      <c r="M17" s="113">
        <v>0</v>
      </c>
      <c r="N17" s="113">
        <v>8960.9471571324302</v>
      </c>
      <c r="O17" s="113">
        <v>0</v>
      </c>
      <c r="P17" s="113">
        <v>40207.189750612859</v>
      </c>
      <c r="Q17" s="113">
        <v>12062.156925183899</v>
      </c>
      <c r="R17" s="114">
        <v>28145.03282542896</v>
      </c>
    </row>
    <row r="18" spans="2:18" ht="28.5" customHeight="1" x14ac:dyDescent="0.35">
      <c r="B18" s="111" t="s">
        <v>78</v>
      </c>
      <c r="C18" s="112">
        <v>4659642.2103100009</v>
      </c>
      <c r="D18" s="112">
        <v>3612784.9399926481</v>
      </c>
      <c r="E18" s="112">
        <v>1105287.439234043</v>
      </c>
      <c r="F18" s="112">
        <v>-58430.168916691138</v>
      </c>
      <c r="G18" s="112">
        <v>454800.30205000011</v>
      </c>
      <c r="H18" s="112">
        <v>138673.1465451218</v>
      </c>
      <c r="I18" s="112">
        <v>31553.953095121909</v>
      </c>
      <c r="J18" s="112">
        <v>347681.10860000021</v>
      </c>
      <c r="K18" s="113">
        <v>0</v>
      </c>
      <c r="L18" s="113">
        <v>92009.594169999997</v>
      </c>
      <c r="M18" s="113">
        <v>0</v>
      </c>
      <c r="N18" s="113">
        <v>150305.04</v>
      </c>
      <c r="O18" s="113">
        <v>0</v>
      </c>
      <c r="P18" s="113">
        <v>230955.4938533091</v>
      </c>
      <c r="Q18" s="113">
        <v>0</v>
      </c>
      <c r="R18" s="114">
        <v>230955.49385330899</v>
      </c>
    </row>
    <row r="19" spans="2:18" ht="28.5" customHeight="1" x14ac:dyDescent="0.35">
      <c r="B19" s="111" t="s">
        <v>79</v>
      </c>
      <c r="C19" s="112">
        <v>7285439.0526500009</v>
      </c>
      <c r="D19" s="112">
        <v>6778122.6066800002</v>
      </c>
      <c r="E19" s="112">
        <v>334854.61731999979</v>
      </c>
      <c r="F19" s="112">
        <v>172461.82865000021</v>
      </c>
      <c r="G19" s="112">
        <v>343203.64125769952</v>
      </c>
      <c r="H19" s="112">
        <v>-47595.6</v>
      </c>
      <c r="I19" s="112">
        <v>-39190.413</v>
      </c>
      <c r="J19" s="112">
        <v>351608.8282576995</v>
      </c>
      <c r="K19" s="113">
        <v>0</v>
      </c>
      <c r="L19" s="113">
        <v>71120</v>
      </c>
      <c r="M19" s="113">
        <v>0</v>
      </c>
      <c r="N19" s="113">
        <v>363275.41700000007</v>
      </c>
      <c r="O19" s="113">
        <v>0</v>
      </c>
      <c r="P19" s="113">
        <v>231915.23990769949</v>
      </c>
      <c r="Q19" s="113">
        <v>65057.691000000013</v>
      </c>
      <c r="R19" s="114">
        <v>166857.5489076995</v>
      </c>
    </row>
    <row r="20" spans="2:18" ht="28.5" customHeight="1" x14ac:dyDescent="0.35">
      <c r="B20" s="64" t="s">
        <v>80</v>
      </c>
      <c r="C20" s="115">
        <v>17554723.537999999</v>
      </c>
      <c r="D20" s="115">
        <v>12336709.276000001</v>
      </c>
      <c r="E20" s="115">
        <v>5024921.0949999997</v>
      </c>
      <c r="F20" s="115">
        <v>193093.16699999999</v>
      </c>
      <c r="G20" s="115">
        <v>1660936.602</v>
      </c>
      <c r="H20" s="115">
        <v>0</v>
      </c>
      <c r="I20" s="115">
        <v>0</v>
      </c>
      <c r="J20" s="115">
        <v>1660936.602</v>
      </c>
      <c r="K20" s="115">
        <v>0</v>
      </c>
      <c r="L20" s="115">
        <v>129454.89200000001</v>
      </c>
      <c r="M20" s="115">
        <v>0</v>
      </c>
      <c r="N20" s="115">
        <v>129024.281</v>
      </c>
      <c r="O20" s="115">
        <v>0</v>
      </c>
      <c r="P20" s="115">
        <v>1854460.38</v>
      </c>
      <c r="Q20" s="115">
        <v>463615.09499999997</v>
      </c>
      <c r="R20" s="116">
        <v>1390845.2849999999</v>
      </c>
    </row>
    <row r="21" spans="2:18" ht="28.5" customHeight="1" x14ac:dyDescent="0.35">
      <c r="B21" s="111" t="s">
        <v>81</v>
      </c>
      <c r="C21" s="112">
        <v>5256982.9000000004</v>
      </c>
      <c r="D21" s="112">
        <v>5046512.9989999998</v>
      </c>
      <c r="E21" s="112">
        <v>431335.21899999998</v>
      </c>
      <c r="F21" s="112">
        <v>-220865.318</v>
      </c>
      <c r="G21" s="112">
        <v>328546.17800000001</v>
      </c>
      <c r="H21" s="112">
        <v>310303.94400000002</v>
      </c>
      <c r="I21" s="112">
        <v>36413.139000000003</v>
      </c>
      <c r="J21" s="112">
        <v>54655.373</v>
      </c>
      <c r="K21" s="113">
        <v>0</v>
      </c>
      <c r="L21" s="113">
        <v>61044.351999999999</v>
      </c>
      <c r="M21" s="113">
        <v>8668.0490000000009</v>
      </c>
      <c r="N21" s="113">
        <v>497426.277</v>
      </c>
      <c r="O21" s="113">
        <v>0</v>
      </c>
      <c r="P21" s="113">
        <v>-611259.91899999999</v>
      </c>
      <c r="Q21" s="113">
        <v>0</v>
      </c>
      <c r="R21" s="114">
        <v>-611259.91899999999</v>
      </c>
    </row>
    <row r="22" spans="2:18" ht="28.5" customHeight="1" x14ac:dyDescent="0.35">
      <c r="B22" s="111" t="s">
        <v>82</v>
      </c>
      <c r="C22" s="112">
        <v>8897725.0020000003</v>
      </c>
      <c r="D22" s="112">
        <v>6227733.5719999997</v>
      </c>
      <c r="E22" s="112">
        <v>2962553.38</v>
      </c>
      <c r="F22" s="112">
        <v>-292561.95</v>
      </c>
      <c r="G22" s="112">
        <v>1674985.246</v>
      </c>
      <c r="H22" s="112">
        <v>342623.39799999999</v>
      </c>
      <c r="I22" s="112">
        <v>119677.36599999999</v>
      </c>
      <c r="J22" s="112">
        <v>1452039.2139999999</v>
      </c>
      <c r="K22" s="113">
        <v>0</v>
      </c>
      <c r="L22" s="113">
        <v>0</v>
      </c>
      <c r="M22" s="113">
        <v>0</v>
      </c>
      <c r="N22" s="113">
        <v>148364.89600000001</v>
      </c>
      <c r="O22" s="113">
        <v>0</v>
      </c>
      <c r="P22" s="113">
        <v>1011112.368</v>
      </c>
      <c r="Q22" s="113">
        <v>328611.51899999997</v>
      </c>
      <c r="R22" s="114">
        <v>682500.84900000005</v>
      </c>
    </row>
    <row r="23" spans="2:18" ht="28.5" customHeight="1" x14ac:dyDescent="0.35">
      <c r="B23" s="111" t="s">
        <v>83</v>
      </c>
      <c r="C23" s="112">
        <v>3172125.541915636</v>
      </c>
      <c r="D23" s="112">
        <v>2822708.3071374958</v>
      </c>
      <c r="E23" s="112">
        <v>101077.9433140336</v>
      </c>
      <c r="F23" s="112">
        <v>248339.29146410641</v>
      </c>
      <c r="G23" s="112">
        <v>158862.44975</v>
      </c>
      <c r="H23" s="112">
        <v>93577.964188020007</v>
      </c>
      <c r="I23" s="112">
        <v>21723.351681471999</v>
      </c>
      <c r="J23" s="112">
        <v>87007.837243451999</v>
      </c>
      <c r="K23" s="113">
        <v>0</v>
      </c>
      <c r="L23" s="113">
        <v>0</v>
      </c>
      <c r="M23" s="113">
        <v>0</v>
      </c>
      <c r="N23" s="113">
        <v>159432.66388000001</v>
      </c>
      <c r="O23" s="113">
        <v>0</v>
      </c>
      <c r="P23" s="113">
        <v>175914.46482755849</v>
      </c>
      <c r="Q23" s="113">
        <v>52774.3407570001</v>
      </c>
      <c r="R23" s="114">
        <v>123140.1240705583</v>
      </c>
    </row>
    <row r="24" spans="2:18" ht="28.5" customHeight="1" x14ac:dyDescent="0.35">
      <c r="B24" s="111" t="s">
        <v>84</v>
      </c>
      <c r="C24" s="112">
        <v>16773052.42180744</v>
      </c>
      <c r="D24" s="112">
        <v>16776702.47041928</v>
      </c>
      <c r="E24" s="112">
        <v>128560.4894497299</v>
      </c>
      <c r="F24" s="112">
        <v>-132210.53806156921</v>
      </c>
      <c r="G24" s="112">
        <v>1009009.430362549</v>
      </c>
      <c r="H24" s="112">
        <v>0</v>
      </c>
      <c r="I24" s="112">
        <v>0</v>
      </c>
      <c r="J24" s="112">
        <v>1009009.430362549</v>
      </c>
      <c r="K24" s="113">
        <v>0</v>
      </c>
      <c r="L24" s="113">
        <v>0</v>
      </c>
      <c r="M24" s="113">
        <v>0</v>
      </c>
      <c r="N24" s="113">
        <v>540772.19805332029</v>
      </c>
      <c r="O24" s="113">
        <v>220446.05499999999</v>
      </c>
      <c r="P24" s="113">
        <v>556472.74924765993</v>
      </c>
      <c r="Q24" s="113">
        <v>0</v>
      </c>
      <c r="R24" s="114">
        <v>556472.74924765993</v>
      </c>
    </row>
    <row r="25" spans="2:18" ht="28.5" customHeight="1" x14ac:dyDescent="0.35">
      <c r="B25" s="111" t="s">
        <v>85</v>
      </c>
      <c r="C25" s="112">
        <v>2596997.9268805501</v>
      </c>
      <c r="D25" s="112">
        <v>2125192.39723515</v>
      </c>
      <c r="E25" s="112">
        <v>587671.79848597595</v>
      </c>
      <c r="F25" s="112">
        <v>-115866.26884057801</v>
      </c>
      <c r="G25" s="112">
        <v>629189.994714648</v>
      </c>
      <c r="H25" s="112">
        <v>503895.251073135</v>
      </c>
      <c r="I25" s="112">
        <v>174371.93328487201</v>
      </c>
      <c r="J25" s="112">
        <v>299666.67692638497</v>
      </c>
      <c r="K25" s="113">
        <v>2349.8609999999999</v>
      </c>
      <c r="L25" s="113">
        <v>0</v>
      </c>
      <c r="M25" s="113">
        <v>0</v>
      </c>
      <c r="N25" s="113">
        <v>23997.752</v>
      </c>
      <c r="O25" s="113">
        <v>0</v>
      </c>
      <c r="P25" s="113">
        <v>162152.51708580699</v>
      </c>
      <c r="Q25" s="113">
        <v>48645.754999999997</v>
      </c>
      <c r="R25" s="114">
        <v>113506.762085807</v>
      </c>
    </row>
    <row r="26" spans="2:18" ht="28.5" customHeight="1" x14ac:dyDescent="0.35">
      <c r="B26" s="111" t="s">
        <v>86</v>
      </c>
      <c r="C26" s="112">
        <v>1297752.3189214561</v>
      </c>
      <c r="D26" s="112">
        <v>1064591.025505221</v>
      </c>
      <c r="E26" s="112">
        <v>166462.03685704109</v>
      </c>
      <c r="F26" s="112">
        <v>66699.256559194444</v>
      </c>
      <c r="G26" s="112">
        <v>56111.116189999993</v>
      </c>
      <c r="H26" s="112">
        <v>222868.2893</v>
      </c>
      <c r="I26" s="112">
        <v>0</v>
      </c>
      <c r="J26" s="117">
        <v>-166757.17311</v>
      </c>
      <c r="K26" s="118">
        <v>0</v>
      </c>
      <c r="L26" s="113">
        <v>0</v>
      </c>
      <c r="M26" s="113">
        <v>0</v>
      </c>
      <c r="N26" s="113">
        <v>135964.24262999999</v>
      </c>
      <c r="O26" s="113">
        <v>0</v>
      </c>
      <c r="P26" s="113">
        <v>-236022.15918080561</v>
      </c>
      <c r="Q26" s="113">
        <v>-70806.64775424164</v>
      </c>
      <c r="R26" s="114">
        <v>-165215.5114265639</v>
      </c>
    </row>
    <row r="27" spans="2:18" ht="28.5" customHeight="1" x14ac:dyDescent="0.35">
      <c r="B27" s="111" t="s">
        <v>87</v>
      </c>
      <c r="C27" s="112">
        <v>9433747.9066058341</v>
      </c>
      <c r="D27" s="112">
        <v>8628788.9424928688</v>
      </c>
      <c r="E27" s="112">
        <v>261744.10174265731</v>
      </c>
      <c r="F27" s="112">
        <v>543214.86237030919</v>
      </c>
      <c r="G27" s="112">
        <v>346840.61196000001</v>
      </c>
      <c r="H27" s="112">
        <v>213246.13939425899</v>
      </c>
      <c r="I27" s="112">
        <v>59053.948825928528</v>
      </c>
      <c r="J27" s="112">
        <v>192648.4213916696</v>
      </c>
      <c r="K27" s="113">
        <v>0</v>
      </c>
      <c r="L27" s="113">
        <v>0</v>
      </c>
      <c r="M27" s="113">
        <v>0</v>
      </c>
      <c r="N27" s="113">
        <v>388504.8746220441</v>
      </c>
      <c r="O27" s="113">
        <v>0</v>
      </c>
      <c r="P27" s="113">
        <v>347358.40913993481</v>
      </c>
      <c r="Q27" s="113">
        <v>0</v>
      </c>
      <c r="R27" s="114">
        <v>347358.40913993481</v>
      </c>
    </row>
    <row r="28" spans="2:18" ht="28.5" customHeight="1" x14ac:dyDescent="0.35">
      <c r="B28" s="111" t="s">
        <v>88</v>
      </c>
      <c r="C28" s="112">
        <v>8208285.9160000002</v>
      </c>
      <c r="D28" s="112">
        <v>3818184.321</v>
      </c>
      <c r="E28" s="112">
        <v>2655945.4720000001</v>
      </c>
      <c r="F28" s="112">
        <v>1734156.1229999999</v>
      </c>
      <c r="G28" s="112">
        <v>1009814.46</v>
      </c>
      <c r="H28" s="112">
        <v>5089.4939999999997</v>
      </c>
      <c r="I28" s="112">
        <v>23114.274000000001</v>
      </c>
      <c r="J28" s="112">
        <v>1027839.24</v>
      </c>
      <c r="K28" s="113">
        <v>0</v>
      </c>
      <c r="L28" s="113">
        <v>13124.215</v>
      </c>
      <c r="M28" s="113">
        <v>0</v>
      </c>
      <c r="N28" s="113">
        <v>1117440.173</v>
      </c>
      <c r="O28" s="113">
        <v>0</v>
      </c>
      <c r="P28" s="113">
        <v>1657679.405</v>
      </c>
      <c r="Q28" s="113">
        <v>463319.16</v>
      </c>
      <c r="R28" s="114">
        <v>1194360.2450000001</v>
      </c>
    </row>
    <row r="29" spans="2:18" ht="28.5" customHeight="1" x14ac:dyDescent="0.35">
      <c r="B29" s="111" t="s">
        <v>89</v>
      </c>
      <c r="C29" s="112">
        <v>2175769.7632200001</v>
      </c>
      <c r="D29" s="112">
        <v>1497542.7479999999</v>
      </c>
      <c r="E29" s="112">
        <v>666057.87699999998</v>
      </c>
      <c r="F29" s="112">
        <v>12169.13821999997</v>
      </c>
      <c r="G29" s="112">
        <v>243399.10889</v>
      </c>
      <c r="H29" s="112">
        <v>327632.59600000002</v>
      </c>
      <c r="I29" s="112">
        <v>70966.084000000003</v>
      </c>
      <c r="J29" s="112">
        <v>-13267.40310999999</v>
      </c>
      <c r="K29" s="113">
        <v>0</v>
      </c>
      <c r="L29" s="113">
        <v>-4685.6447500000004</v>
      </c>
      <c r="M29" s="113">
        <v>0</v>
      </c>
      <c r="N29" s="113">
        <v>363228.63544063782</v>
      </c>
      <c r="O29" s="113">
        <v>0</v>
      </c>
      <c r="P29" s="113">
        <v>-369012.54508063779</v>
      </c>
      <c r="Q29" s="113">
        <v>0</v>
      </c>
      <c r="R29" s="114">
        <v>-369012.54508063779</v>
      </c>
    </row>
    <row r="30" spans="2:18" ht="28.5" customHeight="1" x14ac:dyDescent="0.35">
      <c r="B30" s="111" t="s">
        <v>90</v>
      </c>
      <c r="C30" s="112">
        <v>3462528.1138360281</v>
      </c>
      <c r="D30" s="112">
        <v>1916514.5314230879</v>
      </c>
      <c r="E30" s="112">
        <v>1044915.227438536</v>
      </c>
      <c r="F30" s="112">
        <v>501098.35497440462</v>
      </c>
      <c r="G30" s="112">
        <v>298910.85800000001</v>
      </c>
      <c r="H30" s="112">
        <v>225582.4744146695</v>
      </c>
      <c r="I30" s="112">
        <v>134740.12547914451</v>
      </c>
      <c r="J30" s="112">
        <v>208068.50906447499</v>
      </c>
      <c r="K30" s="113">
        <v>0</v>
      </c>
      <c r="L30" s="113">
        <v>0</v>
      </c>
      <c r="M30" s="113">
        <v>0</v>
      </c>
      <c r="N30" s="113">
        <v>415605.74101843609</v>
      </c>
      <c r="O30" s="113">
        <v>0</v>
      </c>
      <c r="P30" s="113">
        <v>293561.12302044348</v>
      </c>
      <c r="Q30" s="113">
        <v>76130.579693930093</v>
      </c>
      <c r="R30" s="114">
        <v>217430.54332651349</v>
      </c>
    </row>
    <row r="31" spans="2:18" ht="28.5" customHeight="1" x14ac:dyDescent="0.35">
      <c r="B31" s="111" t="s">
        <v>91</v>
      </c>
      <c r="C31" s="112">
        <v>1789996.5051516499</v>
      </c>
      <c r="D31" s="112">
        <v>1372095.807307913</v>
      </c>
      <c r="E31" s="112">
        <v>264593.88703588338</v>
      </c>
      <c r="F31" s="112">
        <v>153306.8108078537</v>
      </c>
      <c r="G31" s="112">
        <v>116394.33048</v>
      </c>
      <c r="H31" s="112">
        <v>0</v>
      </c>
      <c r="I31" s="112">
        <v>0</v>
      </c>
      <c r="J31" s="112">
        <v>116394.33048</v>
      </c>
      <c r="K31" s="113">
        <v>0</v>
      </c>
      <c r="L31" s="113">
        <v>1887.6079400000001</v>
      </c>
      <c r="M31" s="113">
        <v>37727.366580000009</v>
      </c>
      <c r="N31" s="113">
        <v>184065.17217500001</v>
      </c>
      <c r="O31" s="113">
        <v>0</v>
      </c>
      <c r="P31" s="113">
        <v>49796.210472853723</v>
      </c>
      <c r="Q31" s="113">
        <v>0</v>
      </c>
      <c r="R31" s="114">
        <v>49796.210472853687</v>
      </c>
    </row>
    <row r="32" spans="2:18" ht="28.5" customHeight="1" x14ac:dyDescent="0.35">
      <c r="B32" s="64" t="s">
        <v>92</v>
      </c>
      <c r="C32" s="112">
        <v>17916489.450230841</v>
      </c>
      <c r="D32" s="112">
        <v>16761801.136595581</v>
      </c>
      <c r="E32" s="112">
        <v>971812.02832055546</v>
      </c>
      <c r="F32" s="112">
        <v>182876.28531470621</v>
      </c>
      <c r="G32" s="112">
        <v>1733730.5764200001</v>
      </c>
      <c r="H32" s="112">
        <v>527304.02256703295</v>
      </c>
      <c r="I32" s="112">
        <v>144919.4095330585</v>
      </c>
      <c r="J32" s="112">
        <v>1351345.963386026</v>
      </c>
      <c r="K32" s="113">
        <v>0</v>
      </c>
      <c r="L32" s="113">
        <v>62403.225020000013</v>
      </c>
      <c r="M32" s="113">
        <v>0</v>
      </c>
      <c r="N32" s="113">
        <v>-17671.018821267149</v>
      </c>
      <c r="O32" s="113">
        <v>0</v>
      </c>
      <c r="P32" s="113">
        <v>1614296.4925419991</v>
      </c>
      <c r="Q32" s="113">
        <v>469851.09203000012</v>
      </c>
      <c r="R32" s="114">
        <v>1144445.4005119989</v>
      </c>
    </row>
    <row r="33" spans="2:18" ht="28.5" customHeight="1" x14ac:dyDescent="0.35">
      <c r="B33" s="111" t="s">
        <v>93</v>
      </c>
      <c r="C33" s="115">
        <v>3384057.1993601648</v>
      </c>
      <c r="D33" s="115">
        <v>3104438.3279303662</v>
      </c>
      <c r="E33" s="115">
        <v>213227.55384123471</v>
      </c>
      <c r="F33" s="115">
        <v>66391.317588564241</v>
      </c>
      <c r="G33" s="115">
        <v>176564.11511000001</v>
      </c>
      <c r="H33" s="115">
        <v>143303.7975806816</v>
      </c>
      <c r="I33" s="115">
        <v>55482.582739754333</v>
      </c>
      <c r="J33" s="115">
        <v>88742.900269072692</v>
      </c>
      <c r="K33" s="115">
        <v>0</v>
      </c>
      <c r="L33" s="115">
        <v>5563.8239999999996</v>
      </c>
      <c r="M33" s="115">
        <v>9107.6043946526788</v>
      </c>
      <c r="N33" s="115">
        <v>0</v>
      </c>
      <c r="O33" s="115">
        <v>0</v>
      </c>
      <c r="P33" s="115">
        <v>151590.43746298429</v>
      </c>
      <c r="Q33" s="115">
        <v>52782.074000000001</v>
      </c>
      <c r="R33" s="116">
        <v>98808.363462984213</v>
      </c>
    </row>
    <row r="34" spans="2:18" ht="28.5" customHeight="1" x14ac:dyDescent="0.35">
      <c r="B34" s="64" t="s">
        <v>94</v>
      </c>
      <c r="C34" s="112">
        <v>2663617.0818897039</v>
      </c>
      <c r="D34" s="112">
        <v>2460955.4029088258</v>
      </c>
      <c r="E34" s="112">
        <v>207563.0683002999</v>
      </c>
      <c r="F34" s="112">
        <v>-4901.3893194215852</v>
      </c>
      <c r="G34" s="112">
        <v>226370.3120000005</v>
      </c>
      <c r="H34" s="112">
        <v>48227.648743961079</v>
      </c>
      <c r="I34" s="112">
        <v>5086.2050631689508</v>
      </c>
      <c r="J34" s="112">
        <v>183228.8683192083</v>
      </c>
      <c r="K34" s="113">
        <v>0</v>
      </c>
      <c r="L34" s="113">
        <v>0</v>
      </c>
      <c r="M34" s="113">
        <v>0</v>
      </c>
      <c r="N34" s="113">
        <v>0</v>
      </c>
      <c r="O34" s="113">
        <v>0</v>
      </c>
      <c r="P34" s="113">
        <v>178327.47899978669</v>
      </c>
      <c r="Q34" s="113">
        <v>53498.24363993603</v>
      </c>
      <c r="R34" s="114">
        <v>124829.2353598507</v>
      </c>
    </row>
    <row r="35" spans="2:18" ht="28.5" customHeight="1" x14ac:dyDescent="0.35">
      <c r="B35" s="111" t="s">
        <v>95</v>
      </c>
      <c r="C35" s="112">
        <v>7953203.3873967892</v>
      </c>
      <c r="D35" s="112">
        <v>5044399.9720508074</v>
      </c>
      <c r="E35" s="112">
        <v>936217.35761181696</v>
      </c>
      <c r="F35" s="112">
        <v>1972586.057734163</v>
      </c>
      <c r="G35" s="112">
        <v>983404.65718300012</v>
      </c>
      <c r="H35" s="112">
        <v>0</v>
      </c>
      <c r="I35" s="112">
        <v>0</v>
      </c>
      <c r="J35" s="112">
        <v>983404.65718300012</v>
      </c>
      <c r="K35" s="113">
        <v>0</v>
      </c>
      <c r="L35" s="113">
        <v>0</v>
      </c>
      <c r="M35" s="113">
        <v>0</v>
      </c>
      <c r="N35" s="113">
        <v>2575642.846594363</v>
      </c>
      <c r="O35" s="113">
        <v>0</v>
      </c>
      <c r="P35" s="113">
        <v>380347.86832280061</v>
      </c>
      <c r="Q35" s="113">
        <v>0</v>
      </c>
      <c r="R35" s="114">
        <v>380347.86832280032</v>
      </c>
    </row>
    <row r="36" spans="2:18" ht="28.5" customHeight="1" x14ac:dyDescent="0.35">
      <c r="B36" s="111" t="s">
        <v>96</v>
      </c>
      <c r="C36" s="112">
        <v>2424701.1641362989</v>
      </c>
      <c r="D36" s="112">
        <v>2130899.488164057</v>
      </c>
      <c r="E36" s="112">
        <v>251013.73783233159</v>
      </c>
      <c r="F36" s="112">
        <v>42787.938139911857</v>
      </c>
      <c r="G36" s="112">
        <v>0</v>
      </c>
      <c r="H36" s="112">
        <v>17825.509600748919</v>
      </c>
      <c r="I36" s="112">
        <v>9567.4335343360017</v>
      </c>
      <c r="J36" s="112">
        <v>-8258.0760664129193</v>
      </c>
      <c r="K36" s="113">
        <v>0</v>
      </c>
      <c r="L36" s="113">
        <v>107996.82776182779</v>
      </c>
      <c r="M36" s="113">
        <v>0</v>
      </c>
      <c r="N36" s="113">
        <v>87039.362647749993</v>
      </c>
      <c r="O36" s="113">
        <v>0</v>
      </c>
      <c r="P36" s="113">
        <v>55487.327187576797</v>
      </c>
      <c r="Q36" s="113">
        <v>0</v>
      </c>
      <c r="R36" s="114">
        <v>55487.327187576797</v>
      </c>
    </row>
    <row r="37" spans="2:18" ht="28.5" customHeight="1" x14ac:dyDescent="0.35">
      <c r="B37" s="111" t="s">
        <v>97</v>
      </c>
      <c r="C37" s="112">
        <v>983038.64903400186</v>
      </c>
      <c r="D37" s="112">
        <v>1024934.717569374</v>
      </c>
      <c r="E37" s="112">
        <v>-33346.401408012913</v>
      </c>
      <c r="F37" s="112">
        <v>-8549.6671273592037</v>
      </c>
      <c r="G37" s="112">
        <v>43819.305</v>
      </c>
      <c r="H37" s="112">
        <v>79355.60396506598</v>
      </c>
      <c r="I37" s="112">
        <v>9869.1795108249989</v>
      </c>
      <c r="J37" s="112">
        <v>-25667.11945424099</v>
      </c>
      <c r="K37" s="113">
        <v>0</v>
      </c>
      <c r="L37" s="113">
        <v>0</v>
      </c>
      <c r="M37" s="113">
        <v>0</v>
      </c>
      <c r="N37" s="113">
        <v>151896.11300000001</v>
      </c>
      <c r="O37" s="113">
        <v>0</v>
      </c>
      <c r="P37" s="113">
        <v>-186112.89958160021</v>
      </c>
      <c r="Q37" s="113">
        <v>0</v>
      </c>
      <c r="R37" s="114">
        <v>-186112.89958160021</v>
      </c>
    </row>
    <row r="38" spans="2:18" ht="28.5" customHeight="1" x14ac:dyDescent="0.35">
      <c r="B38" s="111" t="s">
        <v>98</v>
      </c>
      <c r="C38" s="112">
        <v>2196570.3562883558</v>
      </c>
      <c r="D38" s="112">
        <v>1395573.9232060059</v>
      </c>
      <c r="E38" s="112">
        <v>507892.67968899722</v>
      </c>
      <c r="F38" s="112">
        <v>293103.75339335302</v>
      </c>
      <c r="G38" s="112">
        <v>459256.2594049999</v>
      </c>
      <c r="H38" s="112">
        <v>98117.407508642951</v>
      </c>
      <c r="I38" s="112">
        <v>35863.038714501599</v>
      </c>
      <c r="J38" s="112">
        <v>397001.89061085862</v>
      </c>
      <c r="K38" s="113">
        <v>0</v>
      </c>
      <c r="L38" s="113">
        <v>0</v>
      </c>
      <c r="M38" s="113">
        <v>0</v>
      </c>
      <c r="N38" s="113">
        <v>13991.26449</v>
      </c>
      <c r="O38" s="113">
        <v>0</v>
      </c>
      <c r="P38" s="113">
        <v>676114.37951421167</v>
      </c>
      <c r="Q38" s="113">
        <v>144521.73499999999</v>
      </c>
      <c r="R38" s="114">
        <v>531592.64451421157</v>
      </c>
    </row>
    <row r="39" spans="2:18" ht="28.5" customHeight="1" x14ac:dyDescent="0.35">
      <c r="B39" s="111" t="s">
        <v>99</v>
      </c>
      <c r="C39" s="112">
        <v>8649874.1449999996</v>
      </c>
      <c r="D39" s="112">
        <v>7094525.9780000001</v>
      </c>
      <c r="E39" s="112">
        <v>1153439.142</v>
      </c>
      <c r="F39" s="112">
        <v>401909.02500000002</v>
      </c>
      <c r="G39" s="112">
        <v>1259442.179</v>
      </c>
      <c r="H39" s="112">
        <v>149547.3503550996</v>
      </c>
      <c r="I39" s="112">
        <v>32276.85629426569</v>
      </c>
      <c r="J39" s="112">
        <v>1142171.6849391661</v>
      </c>
      <c r="K39" s="113">
        <v>0</v>
      </c>
      <c r="L39" s="113">
        <v>342278.25909677002</v>
      </c>
      <c r="M39" s="113">
        <v>0</v>
      </c>
      <c r="N39" s="113">
        <v>454789.94199999998</v>
      </c>
      <c r="O39" s="113">
        <v>-71809.014999999999</v>
      </c>
      <c r="P39" s="113">
        <v>1359760.0120359359</v>
      </c>
      <c r="Q39" s="113">
        <v>324314.77903593861</v>
      </c>
      <c r="R39" s="114">
        <v>1035445.232999997</v>
      </c>
    </row>
    <row r="40" spans="2:18" ht="28.5" customHeight="1" x14ac:dyDescent="0.35">
      <c r="B40" s="111" t="s">
        <v>100</v>
      </c>
      <c r="C40" s="112">
        <v>1889624.9150314</v>
      </c>
      <c r="D40" s="112">
        <v>1893979.6182317999</v>
      </c>
      <c r="E40" s="112">
        <v>-42499.332359726213</v>
      </c>
      <c r="F40" s="112">
        <v>38144.629159326243</v>
      </c>
      <c r="G40" s="112">
        <v>40970.822999999997</v>
      </c>
      <c r="H40" s="112">
        <v>8636.8028016000007</v>
      </c>
      <c r="I40" s="112">
        <v>-2716.3812340653608</v>
      </c>
      <c r="J40" s="112">
        <v>29617.638964334648</v>
      </c>
      <c r="K40" s="113">
        <v>0</v>
      </c>
      <c r="L40" s="113">
        <v>10739.419</v>
      </c>
      <c r="M40" s="113">
        <v>33274.911</v>
      </c>
      <c r="N40" s="113">
        <v>222598.41296290961</v>
      </c>
      <c r="O40" s="113">
        <v>0</v>
      </c>
      <c r="P40" s="113">
        <v>-177371.63683924859</v>
      </c>
      <c r="Q40" s="113">
        <v>-53211.491051774603</v>
      </c>
      <c r="R40" s="114">
        <v>-124160.1457874741</v>
      </c>
    </row>
    <row r="41" spans="2:18" ht="28.5" customHeight="1" x14ac:dyDescent="0.35">
      <c r="B41" s="111" t="s">
        <v>101</v>
      </c>
      <c r="C41" s="112">
        <v>0</v>
      </c>
      <c r="D41" s="112">
        <v>0</v>
      </c>
      <c r="E41" s="112">
        <v>0</v>
      </c>
      <c r="F41" s="112">
        <v>0</v>
      </c>
      <c r="G41" s="112">
        <v>0</v>
      </c>
      <c r="H41" s="112">
        <v>0</v>
      </c>
      <c r="I41" s="112">
        <v>0</v>
      </c>
      <c r="J41" s="112">
        <v>0</v>
      </c>
      <c r="K41" s="113">
        <v>0</v>
      </c>
      <c r="L41" s="113">
        <v>0</v>
      </c>
      <c r="M41" s="113">
        <v>0</v>
      </c>
      <c r="N41" s="113">
        <v>0</v>
      </c>
      <c r="O41" s="113">
        <v>0</v>
      </c>
      <c r="P41" s="113">
        <v>0</v>
      </c>
      <c r="Q41" s="113">
        <v>0</v>
      </c>
      <c r="R41" s="114">
        <v>0</v>
      </c>
    </row>
    <row r="42" spans="2:18" ht="28.5" customHeight="1" x14ac:dyDescent="0.35">
      <c r="B42" s="111" t="s">
        <v>102</v>
      </c>
      <c r="C42" s="112">
        <v>0</v>
      </c>
      <c r="D42" s="112">
        <v>0</v>
      </c>
      <c r="E42" s="112">
        <v>0</v>
      </c>
      <c r="F42" s="112">
        <v>0</v>
      </c>
      <c r="G42" s="112">
        <v>0</v>
      </c>
      <c r="H42" s="112">
        <v>0</v>
      </c>
      <c r="I42" s="112">
        <v>0</v>
      </c>
      <c r="J42" s="112">
        <v>0</v>
      </c>
      <c r="K42" s="113">
        <v>0</v>
      </c>
      <c r="L42" s="113">
        <v>0</v>
      </c>
      <c r="M42" s="113">
        <v>0</v>
      </c>
      <c r="N42" s="113">
        <v>0</v>
      </c>
      <c r="O42" s="113">
        <v>0</v>
      </c>
      <c r="P42" s="113">
        <v>0</v>
      </c>
      <c r="Q42" s="113">
        <v>0</v>
      </c>
      <c r="R42" s="114">
        <v>0</v>
      </c>
    </row>
    <row r="43" spans="2:18" s="2" customFormat="1" ht="14" customHeight="1" x14ac:dyDescent="0.3">
      <c r="B43" s="258" t="s">
        <v>24</v>
      </c>
      <c r="C43" s="259">
        <f t="shared" ref="C43:R43" si="0">SUM(C6:C42)</f>
        <v>219412247.56871155</v>
      </c>
      <c r="D43" s="259">
        <f t="shared" si="0"/>
        <v>183334932.44356319</v>
      </c>
      <c r="E43" s="259">
        <f t="shared" si="0"/>
        <v>27360816.864995692</v>
      </c>
      <c r="F43" s="259">
        <f t="shared" si="0"/>
        <v>8716498.260152692</v>
      </c>
      <c r="G43" s="259">
        <f t="shared" si="0"/>
        <v>20518347.950082198</v>
      </c>
      <c r="H43" s="259">
        <f t="shared" si="0"/>
        <v>7600534.7081031967</v>
      </c>
      <c r="I43" s="259">
        <f t="shared" si="0"/>
        <v>2149047.0220123674</v>
      </c>
      <c r="J43" s="259">
        <f t="shared" si="0"/>
        <v>15066860.263991382</v>
      </c>
      <c r="K43" s="259">
        <f t="shared" si="0"/>
        <v>2349.8609999999999</v>
      </c>
      <c r="L43" s="259">
        <f t="shared" si="0"/>
        <v>1380568.9320785983</v>
      </c>
      <c r="M43" s="259">
        <f t="shared" si="0"/>
        <v>157701.29144722066</v>
      </c>
      <c r="N43" s="259">
        <f t="shared" si="0"/>
        <v>11422492.830125596</v>
      </c>
      <c r="O43" s="259">
        <f t="shared" si="0"/>
        <v>148637.03999999998</v>
      </c>
      <c r="P43" s="259">
        <f t="shared" si="0"/>
        <v>13734720.23564986</v>
      </c>
      <c r="Q43" s="259">
        <f t="shared" si="0"/>
        <v>3027821.8521961388</v>
      </c>
      <c r="R43" s="259">
        <f t="shared" si="0"/>
        <v>10706898.383453723</v>
      </c>
    </row>
    <row r="44" spans="2:18" ht="28.5" customHeight="1" x14ac:dyDescent="0.35">
      <c r="B44" s="294" t="s">
        <v>103</v>
      </c>
      <c r="C44" s="269"/>
      <c r="D44" s="269"/>
      <c r="E44" s="269"/>
      <c r="F44" s="269"/>
      <c r="G44" s="269"/>
      <c r="H44" s="269"/>
      <c r="I44" s="269"/>
      <c r="J44" s="269"/>
      <c r="K44" s="269"/>
      <c r="L44" s="269"/>
      <c r="M44" s="269"/>
      <c r="N44" s="269"/>
      <c r="O44" s="269"/>
      <c r="P44" s="269"/>
      <c r="Q44" s="269"/>
      <c r="R44" s="270"/>
    </row>
    <row r="45" spans="2:18" ht="28.5" customHeight="1" x14ac:dyDescent="0.35">
      <c r="B45" s="111" t="s">
        <v>104</v>
      </c>
      <c r="C45" s="121">
        <v>5696641.9539999999</v>
      </c>
      <c r="D45" s="121">
        <v>4668264.4280000003</v>
      </c>
      <c r="E45" s="121">
        <v>526853.57700000005</v>
      </c>
      <c r="F45" s="121">
        <v>501523.94900000002</v>
      </c>
      <c r="G45" s="121">
        <v>240678.69699999999</v>
      </c>
      <c r="H45" s="121">
        <v>642292.70299999998</v>
      </c>
      <c r="I45" s="121">
        <v>266149.18900000001</v>
      </c>
      <c r="J45" s="121">
        <v>-135464.81700000001</v>
      </c>
      <c r="K45" s="121">
        <v>0</v>
      </c>
      <c r="L45" s="121">
        <v>16912.396000000001</v>
      </c>
      <c r="M45" s="121">
        <v>9683.7450000000008</v>
      </c>
      <c r="N45" s="121">
        <v>37924.267</v>
      </c>
      <c r="O45" s="121">
        <v>0</v>
      </c>
      <c r="P45" s="121">
        <v>335363.516</v>
      </c>
      <c r="Q45" s="121">
        <v>100609.05499999999</v>
      </c>
      <c r="R45" s="122">
        <v>234754.46100000001</v>
      </c>
    </row>
    <row r="46" spans="2:18" ht="28.5" customHeight="1" x14ac:dyDescent="0.35">
      <c r="B46" s="111" t="s">
        <v>105</v>
      </c>
      <c r="C46" s="121">
        <v>4478184.3706037058</v>
      </c>
      <c r="D46" s="121">
        <v>3810500.869319485</v>
      </c>
      <c r="E46" s="121">
        <v>519512.65564989531</v>
      </c>
      <c r="F46" s="121">
        <v>148170.84563432509</v>
      </c>
      <c r="G46" s="121">
        <v>672574.00936999975</v>
      </c>
      <c r="H46" s="121">
        <v>122909.46452990051</v>
      </c>
      <c r="I46" s="121">
        <v>23325.910537070791</v>
      </c>
      <c r="J46" s="121">
        <v>572990.45537717012</v>
      </c>
      <c r="K46" s="121">
        <v>0</v>
      </c>
      <c r="L46" s="121">
        <v>0</v>
      </c>
      <c r="M46" s="121">
        <v>0</v>
      </c>
      <c r="N46" s="121">
        <v>91065.75503</v>
      </c>
      <c r="O46" s="121">
        <v>0</v>
      </c>
      <c r="P46" s="121">
        <v>630095.54598149518</v>
      </c>
      <c r="Q46" s="121">
        <v>157151.53597</v>
      </c>
      <c r="R46" s="122">
        <v>472944.01001149521</v>
      </c>
    </row>
    <row r="47" spans="2:18" ht="28.5" customHeight="1" x14ac:dyDescent="0.35">
      <c r="B47" s="111" t="s">
        <v>106</v>
      </c>
      <c r="C47" s="121">
        <v>3800134.4555249731</v>
      </c>
      <c r="D47" s="121">
        <v>3086636.2775083291</v>
      </c>
      <c r="E47" s="121">
        <v>178539.36197102751</v>
      </c>
      <c r="F47" s="121">
        <v>534958.81604561629</v>
      </c>
      <c r="G47" s="121">
        <v>231792.13333000001</v>
      </c>
      <c r="H47" s="121">
        <v>209159.29408815951</v>
      </c>
      <c r="I47" s="121">
        <v>46888.858951979608</v>
      </c>
      <c r="J47" s="121">
        <v>69521.698193820077</v>
      </c>
      <c r="K47" s="121">
        <v>0</v>
      </c>
      <c r="L47" s="121">
        <v>-36.917029999999883</v>
      </c>
      <c r="M47" s="121">
        <v>-29072.82421000001</v>
      </c>
      <c r="N47" s="121">
        <v>150410.7590849995</v>
      </c>
      <c r="O47" s="121">
        <v>0</v>
      </c>
      <c r="P47" s="121">
        <v>483105.6623344369</v>
      </c>
      <c r="Q47" s="121">
        <v>144931.69905299961</v>
      </c>
      <c r="R47" s="122">
        <v>338173.96328143741</v>
      </c>
    </row>
    <row r="48" spans="2:18" ht="28.5" customHeight="1" x14ac:dyDescent="0.35">
      <c r="B48" s="111" t="s">
        <v>107</v>
      </c>
      <c r="C48" s="121">
        <v>11663306.652699949</v>
      </c>
      <c r="D48" s="121">
        <v>10660833.206685569</v>
      </c>
      <c r="E48" s="121">
        <v>1562451.172161724</v>
      </c>
      <c r="F48" s="121">
        <v>-559977.72614734527</v>
      </c>
      <c r="G48" s="121">
        <v>4101738.9259168119</v>
      </c>
      <c r="H48" s="121">
        <v>413898.52323958772</v>
      </c>
      <c r="I48" s="121">
        <v>53882.552925594238</v>
      </c>
      <c r="J48" s="121">
        <v>3741722.9556028191</v>
      </c>
      <c r="K48" s="121">
        <v>0</v>
      </c>
      <c r="L48" s="121">
        <v>315265.36700000003</v>
      </c>
      <c r="M48" s="121">
        <v>102272.734</v>
      </c>
      <c r="N48" s="121">
        <v>1874687.2350000001</v>
      </c>
      <c r="O48" s="121">
        <v>0</v>
      </c>
      <c r="P48" s="121">
        <v>1520050.6274554729</v>
      </c>
      <c r="Q48" s="121">
        <v>455937.70710164</v>
      </c>
      <c r="R48" s="122">
        <v>1064112.9203538329</v>
      </c>
    </row>
    <row r="49" spans="2:18" ht="28.5" customHeight="1" x14ac:dyDescent="0.35">
      <c r="B49" s="111" t="s">
        <v>108</v>
      </c>
      <c r="C49" s="121">
        <v>5306780.4777874704</v>
      </c>
      <c r="D49" s="121">
        <v>4030911.1708098762</v>
      </c>
      <c r="E49" s="121">
        <v>34979.277291248509</v>
      </c>
      <c r="F49" s="121">
        <v>1240890.029686346</v>
      </c>
      <c r="G49" s="121">
        <v>349963.1028799999</v>
      </c>
      <c r="H49" s="121">
        <v>377865.48113995662</v>
      </c>
      <c r="I49" s="121">
        <v>38057.659877546488</v>
      </c>
      <c r="J49" s="121">
        <v>10155.281617589821</v>
      </c>
      <c r="K49" s="121">
        <v>0</v>
      </c>
      <c r="L49" s="121">
        <v>4.5449999999999999</v>
      </c>
      <c r="M49" s="121">
        <v>82988.744000000006</v>
      </c>
      <c r="N49" s="121">
        <v>337861.47300000011</v>
      </c>
      <c r="O49" s="121">
        <v>0</v>
      </c>
      <c r="P49" s="121">
        <v>830199.63930393581</v>
      </c>
      <c r="Q49" s="121">
        <v>228560.83235472901</v>
      </c>
      <c r="R49" s="122">
        <v>601638.80694920674</v>
      </c>
    </row>
    <row r="50" spans="2:18" s="2" customFormat="1" ht="14" customHeight="1" x14ac:dyDescent="0.3">
      <c r="B50" s="258" t="s">
        <v>24</v>
      </c>
      <c r="C50" s="260">
        <f t="shared" ref="C50:R50" si="1">SUM(C45:C49)</f>
        <v>30945047.9106161</v>
      </c>
      <c r="D50" s="260">
        <f t="shared" si="1"/>
        <v>26257145.952323262</v>
      </c>
      <c r="E50" s="260">
        <f t="shared" si="1"/>
        <v>2822336.0440738956</v>
      </c>
      <c r="F50" s="260">
        <f t="shared" si="1"/>
        <v>1865565.9142189419</v>
      </c>
      <c r="G50" s="260">
        <f t="shared" si="1"/>
        <v>5596746.8684968119</v>
      </c>
      <c r="H50" s="260">
        <f t="shared" si="1"/>
        <v>1766125.4659976042</v>
      </c>
      <c r="I50" s="260">
        <f t="shared" si="1"/>
        <v>428304.17129219114</v>
      </c>
      <c r="J50" s="260">
        <f t="shared" si="1"/>
        <v>4258925.5737913996</v>
      </c>
      <c r="K50" s="260">
        <f t="shared" si="1"/>
        <v>0</v>
      </c>
      <c r="L50" s="260">
        <f t="shared" si="1"/>
        <v>332145.39097000001</v>
      </c>
      <c r="M50" s="260">
        <f t="shared" si="1"/>
        <v>165872.39879000001</v>
      </c>
      <c r="N50" s="260">
        <f t="shared" si="1"/>
        <v>2491949.4891149998</v>
      </c>
      <c r="O50" s="260">
        <f t="shared" si="1"/>
        <v>0</v>
      </c>
      <c r="P50" s="260">
        <f t="shared" si="1"/>
        <v>3798814.9910753407</v>
      </c>
      <c r="Q50" s="260">
        <f t="shared" si="1"/>
        <v>1087190.8294793686</v>
      </c>
      <c r="R50" s="260">
        <f t="shared" si="1"/>
        <v>2711624.1615959723</v>
      </c>
    </row>
    <row r="51" spans="2:18" ht="28.5" customHeight="1" x14ac:dyDescent="0.35">
      <c r="B51" s="119" t="s">
        <v>109</v>
      </c>
      <c r="C51" s="123">
        <f t="shared" ref="C51:R51" si="2">C43+C50</f>
        <v>250357295.47932765</v>
      </c>
      <c r="D51" s="123">
        <f t="shared" si="2"/>
        <v>209592078.39588645</v>
      </c>
      <c r="E51" s="123">
        <f t="shared" si="2"/>
        <v>30183152.909069587</v>
      </c>
      <c r="F51" s="123">
        <f t="shared" si="2"/>
        <v>10582064.174371634</v>
      </c>
      <c r="G51" s="123">
        <f t="shared" si="2"/>
        <v>26115094.818579011</v>
      </c>
      <c r="H51" s="123">
        <f t="shared" si="2"/>
        <v>9366660.1741008013</v>
      </c>
      <c r="I51" s="123">
        <f t="shared" si="2"/>
        <v>2577351.1933045583</v>
      </c>
      <c r="J51" s="123">
        <f t="shared" si="2"/>
        <v>19325785.837782782</v>
      </c>
      <c r="K51" s="123">
        <f t="shared" si="2"/>
        <v>2349.8609999999999</v>
      </c>
      <c r="L51" s="123">
        <f t="shared" si="2"/>
        <v>1712714.3230485984</v>
      </c>
      <c r="M51" s="123">
        <f t="shared" si="2"/>
        <v>323573.69023722067</v>
      </c>
      <c r="N51" s="123">
        <f t="shared" si="2"/>
        <v>13914442.319240596</v>
      </c>
      <c r="O51" s="123">
        <f t="shared" si="2"/>
        <v>148637.03999999998</v>
      </c>
      <c r="P51" s="123">
        <f t="shared" si="2"/>
        <v>17533535.226725198</v>
      </c>
      <c r="Q51" s="123">
        <f t="shared" si="2"/>
        <v>4115012.6816755077</v>
      </c>
      <c r="R51" s="123">
        <f t="shared" si="2"/>
        <v>13418522.545049695</v>
      </c>
    </row>
    <row r="52" spans="2:18" ht="28.5" customHeight="1" x14ac:dyDescent="0.35">
      <c r="B52" s="295" t="s">
        <v>25</v>
      </c>
      <c r="C52" s="272"/>
      <c r="D52" s="272"/>
      <c r="E52" s="272"/>
      <c r="F52" s="272"/>
      <c r="G52" s="272"/>
      <c r="H52" s="272"/>
      <c r="I52" s="272"/>
      <c r="J52" s="272"/>
      <c r="K52" s="272"/>
      <c r="L52" s="272"/>
      <c r="M52" s="272"/>
      <c r="N52" s="272"/>
      <c r="O52" s="272"/>
      <c r="P52" s="272"/>
      <c r="Q52" s="272"/>
      <c r="R52" s="272"/>
    </row>
  </sheetData>
  <sheetProtection algorithmName="SHA-512" hashValue="2YKohz034visg3POIbMJzTsjTdfeNtBKB4D4aNMR76hngGyM2EsmlvOKn7udg0g78lOM0HxQ3djNwjOya9oUMw==" saltValue="+ZhjSzxDlmz42gK3ZHeC5g==" spinCount="100000" sheet="1" objects="1" scenarios="1"/>
  <mergeCells count="4">
    <mergeCell ref="B5:R5"/>
    <mergeCell ref="B44:R44"/>
    <mergeCell ref="B52:R52"/>
    <mergeCell ref="B3:R3"/>
  </mergeCells>
  <pageMargins left="0.7" right="0.7" top="0.75" bottom="0.75" header="0.3" footer="0.3"/>
  <pageSetup paperSize="9" scale="4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B3:R50"/>
  <sheetViews>
    <sheetView zoomScale="83" workbookViewId="0"/>
  </sheetViews>
  <sheetFormatPr defaultColWidth="13.54296875" defaultRowHeight="15.5" x14ac:dyDescent="0.35"/>
  <cols>
    <col min="1" max="1" width="15.453125" style="76" customWidth="1"/>
    <col min="2" max="2" width="46.54296875" style="76" customWidth="1"/>
    <col min="3" max="3" width="24" style="76" customWidth="1"/>
    <col min="4" max="9" width="19.453125" style="76" customWidth="1"/>
    <col min="10" max="12" width="17.54296875" style="76" customWidth="1"/>
    <col min="13" max="13" width="19.453125" style="76" customWidth="1"/>
    <col min="14" max="14" width="17.54296875" style="76" customWidth="1"/>
    <col min="15" max="15" width="18.54296875" style="76" customWidth="1"/>
    <col min="16" max="16" width="17.54296875" style="76" customWidth="1"/>
    <col min="17" max="17" width="22.453125" style="76" customWidth="1"/>
    <col min="18" max="18" width="17.54296875" style="76" customWidth="1"/>
    <col min="19" max="104" width="13.54296875" style="76" customWidth="1"/>
    <col min="105" max="16384" width="13.54296875" style="76"/>
  </cols>
  <sheetData>
    <row r="3" spans="2:18" s="124" customFormat="1" ht="26.5" customHeight="1" x14ac:dyDescent="0.35">
      <c r="B3" s="296" t="str">
        <f>_xlfn.CONCAT('Table of Contents'!B9,": ",'Table of Contents'!C9)</f>
        <v>APPENDIX 2: SUMMARY OF LONG TERM INSURANCE BUSINESS PROFIT &amp; LOSS ACCOUNTS  FOR THE PERIOD ENDED 31.12.2025</v>
      </c>
      <c r="C3" s="269"/>
      <c r="D3" s="269"/>
      <c r="E3" s="269"/>
      <c r="F3" s="269"/>
      <c r="G3" s="269"/>
      <c r="H3" s="269"/>
      <c r="I3" s="269"/>
      <c r="J3" s="269"/>
      <c r="K3" s="269"/>
      <c r="L3" s="269"/>
      <c r="M3" s="269"/>
      <c r="N3" s="269"/>
      <c r="O3" s="269"/>
      <c r="P3" s="269"/>
      <c r="Q3" s="269"/>
      <c r="R3" s="270"/>
    </row>
    <row r="4" spans="2:18" s="124" customFormat="1" ht="108.5" customHeight="1" x14ac:dyDescent="0.35">
      <c r="B4" s="108" t="s">
        <v>0</v>
      </c>
      <c r="C4" s="109" t="s">
        <v>1</v>
      </c>
      <c r="D4" s="109" t="s">
        <v>2</v>
      </c>
      <c r="E4" s="109" t="s">
        <v>3</v>
      </c>
      <c r="F4" s="109" t="s">
        <v>4</v>
      </c>
      <c r="G4" s="110" t="s">
        <v>5</v>
      </c>
      <c r="H4" s="110" t="s">
        <v>6</v>
      </c>
      <c r="I4" s="110" t="s">
        <v>7</v>
      </c>
      <c r="J4" s="110" t="s">
        <v>8</v>
      </c>
      <c r="K4" s="74" t="s">
        <v>9</v>
      </c>
      <c r="L4" s="74" t="s">
        <v>10</v>
      </c>
      <c r="M4" s="74" t="s">
        <v>11</v>
      </c>
      <c r="N4" s="74" t="s">
        <v>12</v>
      </c>
      <c r="O4" s="74" t="s">
        <v>13</v>
      </c>
      <c r="P4" s="74" t="s">
        <v>14</v>
      </c>
      <c r="Q4" s="74" t="s">
        <v>15</v>
      </c>
      <c r="R4" s="74" t="s">
        <v>16</v>
      </c>
    </row>
    <row r="5" spans="2:18" s="124" customFormat="1" ht="24.5" customHeight="1" x14ac:dyDescent="0.35">
      <c r="B5" s="294" t="s">
        <v>17</v>
      </c>
      <c r="C5" s="269"/>
      <c r="D5" s="269"/>
      <c r="E5" s="269"/>
      <c r="F5" s="269"/>
      <c r="G5" s="269"/>
      <c r="H5" s="269"/>
      <c r="I5" s="269"/>
      <c r="J5" s="269"/>
      <c r="K5" s="269"/>
      <c r="L5" s="269"/>
      <c r="M5" s="269"/>
      <c r="N5" s="269"/>
      <c r="O5" s="269"/>
      <c r="P5" s="269"/>
      <c r="Q5" s="269"/>
      <c r="R5" s="270"/>
    </row>
    <row r="6" spans="2:18" ht="35.5" customHeight="1" x14ac:dyDescent="0.35">
      <c r="B6" s="111" t="s">
        <v>110</v>
      </c>
      <c r="C6" s="125">
        <v>7999022.0511385379</v>
      </c>
      <c r="D6" s="125">
        <v>7415893.0541847013</v>
      </c>
      <c r="E6" s="125">
        <v>444977.49062612682</v>
      </c>
      <c r="F6" s="125">
        <v>138151.50632770939</v>
      </c>
      <c r="G6" s="125">
        <v>2358873.5137210242</v>
      </c>
      <c r="H6" s="125">
        <v>3911424.1947283992</v>
      </c>
      <c r="I6" s="125">
        <v>52486.124914099993</v>
      </c>
      <c r="J6" s="125">
        <v>-1500064.5560932751</v>
      </c>
      <c r="K6" s="126">
        <v>0</v>
      </c>
      <c r="L6" s="126">
        <v>0</v>
      </c>
      <c r="M6" s="126">
        <v>-32221.010676031619</v>
      </c>
      <c r="N6" s="126">
        <v>194147.19570200011</v>
      </c>
      <c r="O6" s="126">
        <v>0</v>
      </c>
      <c r="P6" s="126">
        <v>-1523839.234791534</v>
      </c>
      <c r="Q6" s="126">
        <v>-523609.26799999998</v>
      </c>
      <c r="R6" s="127">
        <v>-1000229.966791534</v>
      </c>
    </row>
    <row r="7" spans="2:18" ht="35.5" customHeight="1" x14ac:dyDescent="0.35">
      <c r="B7" s="111" t="s">
        <v>111</v>
      </c>
      <c r="C7" s="125">
        <v>4495527.6891411999</v>
      </c>
      <c r="D7" s="125">
        <v>3500961.6816949681</v>
      </c>
      <c r="E7" s="125">
        <v>581574.79490617628</v>
      </c>
      <c r="F7" s="125">
        <v>412991.21254005592</v>
      </c>
      <c r="G7" s="125">
        <v>3050262.0168073298</v>
      </c>
      <c r="H7" s="125">
        <v>2773464.7098562662</v>
      </c>
      <c r="I7" s="125">
        <v>74054.436136918026</v>
      </c>
      <c r="J7" s="125">
        <v>350851.74308798258</v>
      </c>
      <c r="K7" s="126">
        <v>0</v>
      </c>
      <c r="L7" s="126">
        <v>0</v>
      </c>
      <c r="M7" s="126">
        <v>29770.1454151992</v>
      </c>
      <c r="N7" s="126">
        <v>152360.42000000001</v>
      </c>
      <c r="O7" s="126">
        <v>0</v>
      </c>
      <c r="P7" s="126">
        <v>581712.39021283935</v>
      </c>
      <c r="Q7" s="126">
        <v>36154.956857998113</v>
      </c>
      <c r="R7" s="127">
        <v>545557.4333548412</v>
      </c>
    </row>
    <row r="8" spans="2:18" ht="35.5" customHeight="1" x14ac:dyDescent="0.35">
      <c r="B8" s="111" t="s">
        <v>112</v>
      </c>
      <c r="C8" s="125">
        <v>14878231.987</v>
      </c>
      <c r="D8" s="125">
        <v>10799995.726</v>
      </c>
      <c r="E8" s="125">
        <v>1401923.3729699999</v>
      </c>
      <c r="F8" s="125">
        <v>2676312.88803</v>
      </c>
      <c r="G8" s="125">
        <v>27294854.949000001</v>
      </c>
      <c r="H8" s="125">
        <v>26425566.083000001</v>
      </c>
      <c r="I8" s="125">
        <v>146531.34599999999</v>
      </c>
      <c r="J8" s="125">
        <v>1015820.212000001</v>
      </c>
      <c r="K8" s="126">
        <v>0</v>
      </c>
      <c r="L8" s="126">
        <v>-2600.692</v>
      </c>
      <c r="M8" s="126">
        <v>42466.493999999999</v>
      </c>
      <c r="N8" s="126">
        <v>698027.64300000004</v>
      </c>
      <c r="O8" s="126">
        <v>727319.68</v>
      </c>
      <c r="P8" s="126">
        <v>3676357.951030001</v>
      </c>
      <c r="Q8" s="126">
        <v>1102907.385</v>
      </c>
      <c r="R8" s="127">
        <v>2573450.5660299999</v>
      </c>
    </row>
    <row r="9" spans="2:18" ht="35.5" customHeight="1" x14ac:dyDescent="0.35">
      <c r="B9" s="111" t="s">
        <v>113</v>
      </c>
      <c r="C9" s="125">
        <v>481760.74583987473</v>
      </c>
      <c r="D9" s="125">
        <v>487063.29841963312</v>
      </c>
      <c r="E9" s="125">
        <v>88837.333310690592</v>
      </c>
      <c r="F9" s="125">
        <v>-94139.885890449063</v>
      </c>
      <c r="G9" s="125">
        <v>139798.73101999989</v>
      </c>
      <c r="H9" s="125">
        <v>71376.537429728531</v>
      </c>
      <c r="I9" s="125">
        <v>2177.5876972423171</v>
      </c>
      <c r="J9" s="125">
        <v>70599.781287513732</v>
      </c>
      <c r="K9" s="126">
        <v>0</v>
      </c>
      <c r="L9" s="126">
        <v>15747.5</v>
      </c>
      <c r="M9" s="126">
        <v>0</v>
      </c>
      <c r="N9" s="126">
        <v>9819.1656999999996</v>
      </c>
      <c r="O9" s="126">
        <v>0</v>
      </c>
      <c r="P9" s="126">
        <v>-17611.770302935322</v>
      </c>
      <c r="Q9" s="126">
        <v>9316.5619999999999</v>
      </c>
      <c r="R9" s="127">
        <v>-26928.33230293532</v>
      </c>
    </row>
    <row r="10" spans="2:18" ht="35.5" customHeight="1" x14ac:dyDescent="0.35">
      <c r="B10" s="111" t="s">
        <v>114</v>
      </c>
      <c r="C10" s="125">
        <v>1598705.5447228961</v>
      </c>
      <c r="D10" s="125">
        <v>1461270.3611314711</v>
      </c>
      <c r="E10" s="125">
        <v>63833.714</v>
      </c>
      <c r="F10" s="125">
        <v>73601.469591425062</v>
      </c>
      <c r="G10" s="125">
        <v>36741.364000000001</v>
      </c>
      <c r="H10" s="125">
        <v>15177.119000000001</v>
      </c>
      <c r="I10" s="125">
        <v>3105.4360000000001</v>
      </c>
      <c r="J10" s="125">
        <v>24669.681</v>
      </c>
      <c r="K10" s="126">
        <v>0</v>
      </c>
      <c r="L10" s="126">
        <v>-1319.752</v>
      </c>
      <c r="M10" s="126">
        <v>0</v>
      </c>
      <c r="N10" s="126">
        <v>19884.955999999998</v>
      </c>
      <c r="O10" s="126">
        <v>0</v>
      </c>
      <c r="P10" s="126">
        <v>77066.442591425075</v>
      </c>
      <c r="Q10" s="126">
        <v>19981.510999999999</v>
      </c>
      <c r="R10" s="127">
        <v>57084.931591425076</v>
      </c>
    </row>
    <row r="11" spans="2:18" ht="35.5" customHeight="1" x14ac:dyDescent="0.35">
      <c r="B11" s="111" t="s">
        <v>115</v>
      </c>
      <c r="C11" s="125">
        <v>7129652.8868087614</v>
      </c>
      <c r="D11" s="125">
        <v>7126604.4564099535</v>
      </c>
      <c r="E11" s="125">
        <v>-76645.722081286905</v>
      </c>
      <c r="F11" s="125">
        <v>79694.152480094999</v>
      </c>
      <c r="G11" s="125">
        <v>2027539.1448202</v>
      </c>
      <c r="H11" s="125">
        <v>4024946.1394781792</v>
      </c>
      <c r="I11" s="125">
        <v>65029.993555498942</v>
      </c>
      <c r="J11" s="125">
        <v>-1932377.0011024801</v>
      </c>
      <c r="K11" s="126">
        <v>1965631.9973595301</v>
      </c>
      <c r="L11" s="126">
        <v>388686.01747999998</v>
      </c>
      <c r="M11" s="126">
        <v>0</v>
      </c>
      <c r="N11" s="126">
        <v>270315.73001581</v>
      </c>
      <c r="O11" s="126">
        <v>0</v>
      </c>
      <c r="P11" s="126">
        <v>231319.43620133461</v>
      </c>
      <c r="Q11" s="126">
        <v>61751.348056207316</v>
      </c>
      <c r="R11" s="127">
        <v>169568.08814512729</v>
      </c>
    </row>
    <row r="12" spans="2:18" ht="35.5" customHeight="1" x14ac:dyDescent="0.35">
      <c r="B12" s="111" t="s">
        <v>73</v>
      </c>
      <c r="C12" s="125">
        <v>54932.118695104968</v>
      </c>
      <c r="D12" s="125">
        <v>147081.053308</v>
      </c>
      <c r="E12" s="125">
        <v>10265.994215865319</v>
      </c>
      <c r="F12" s="125">
        <v>-102414.9288287604</v>
      </c>
      <c r="G12" s="125">
        <v>8082.8789999999999</v>
      </c>
      <c r="H12" s="125">
        <v>32132.49399699302</v>
      </c>
      <c r="I12" s="125">
        <v>0</v>
      </c>
      <c r="J12" s="125">
        <v>-24049.614996993019</v>
      </c>
      <c r="K12" s="126">
        <v>0</v>
      </c>
      <c r="L12" s="126">
        <v>0</v>
      </c>
      <c r="M12" s="126">
        <v>0</v>
      </c>
      <c r="N12" s="126">
        <v>3446.0658319076501</v>
      </c>
      <c r="O12" s="126">
        <v>0</v>
      </c>
      <c r="P12" s="126">
        <v>-129910.609657661</v>
      </c>
      <c r="Q12" s="126">
        <v>0</v>
      </c>
      <c r="R12" s="127">
        <v>-129910.609657661</v>
      </c>
    </row>
    <row r="13" spans="2:18" ht="35.5" customHeight="1" x14ac:dyDescent="0.35">
      <c r="B13" s="111" t="s">
        <v>116</v>
      </c>
      <c r="C13" s="125">
        <v>2078131.0637010001</v>
      </c>
      <c r="D13" s="125">
        <v>1604240.237178674</v>
      </c>
      <c r="E13" s="125">
        <v>97004.823136630526</v>
      </c>
      <c r="F13" s="125">
        <v>376886.0033856954</v>
      </c>
      <c r="G13" s="125">
        <v>4225722.9990049303</v>
      </c>
      <c r="H13" s="125">
        <v>2676924.8429992199</v>
      </c>
      <c r="I13" s="125">
        <v>39139.573497999998</v>
      </c>
      <c r="J13" s="125">
        <v>1587937.7295037101</v>
      </c>
      <c r="K13" s="126">
        <v>0</v>
      </c>
      <c r="L13" s="126">
        <v>144232.68883718899</v>
      </c>
      <c r="M13" s="126">
        <v>0</v>
      </c>
      <c r="N13" s="126">
        <v>331848.28057379299</v>
      </c>
      <c r="O13" s="126">
        <v>0</v>
      </c>
      <c r="P13" s="126">
        <v>1777208.141152801</v>
      </c>
      <c r="Q13" s="126">
        <v>533162.44234584039</v>
      </c>
      <c r="R13" s="127">
        <v>1244045.6988069611</v>
      </c>
    </row>
    <row r="14" spans="2:18" ht="35.5" customHeight="1" x14ac:dyDescent="0.35">
      <c r="B14" s="111" t="s">
        <v>117</v>
      </c>
      <c r="C14" s="125">
        <v>85531.403999999995</v>
      </c>
      <c r="D14" s="125">
        <v>52896.341162256263</v>
      </c>
      <c r="E14" s="125">
        <v>9336.6319999999996</v>
      </c>
      <c r="F14" s="125">
        <v>23298.430837743741</v>
      </c>
      <c r="G14" s="125">
        <v>7138437.1869999999</v>
      </c>
      <c r="H14" s="125">
        <v>0</v>
      </c>
      <c r="I14" s="125">
        <v>0</v>
      </c>
      <c r="J14" s="125">
        <v>7138437.1869999999</v>
      </c>
      <c r="K14" s="126">
        <v>0</v>
      </c>
      <c r="L14" s="126">
        <v>1082667.608</v>
      </c>
      <c r="M14" s="126">
        <v>771.45299999999997</v>
      </c>
      <c r="N14" s="126">
        <v>227854.60419000001</v>
      </c>
      <c r="O14" s="126">
        <v>0</v>
      </c>
      <c r="P14" s="126">
        <v>8015777.1686477438</v>
      </c>
      <c r="Q14" s="126">
        <v>84.754999999999995</v>
      </c>
      <c r="R14" s="127">
        <v>8015692.4136477439</v>
      </c>
    </row>
    <row r="15" spans="2:18" ht="35.5" customHeight="1" x14ac:dyDescent="0.35">
      <c r="B15" s="111" t="s">
        <v>118</v>
      </c>
      <c r="C15" s="125">
        <v>398161.2966424044</v>
      </c>
      <c r="D15" s="125">
        <v>168922.82249283019</v>
      </c>
      <c r="E15" s="125">
        <v>10843.23652943977</v>
      </c>
      <c r="F15" s="125">
        <v>218395.2376201344</v>
      </c>
      <c r="G15" s="125">
        <v>6146.8950000000004</v>
      </c>
      <c r="H15" s="125">
        <v>-13653.857090683619</v>
      </c>
      <c r="I15" s="125">
        <v>0</v>
      </c>
      <c r="J15" s="125">
        <v>19800.752090683622</v>
      </c>
      <c r="K15" s="126">
        <v>0</v>
      </c>
      <c r="L15" s="126">
        <v>0</v>
      </c>
      <c r="M15" s="126">
        <v>0</v>
      </c>
      <c r="N15" s="126">
        <v>97584.11454107282</v>
      </c>
      <c r="O15" s="126">
        <v>0</v>
      </c>
      <c r="P15" s="126">
        <v>140611.87516974521</v>
      </c>
      <c r="Q15" s="126">
        <v>0</v>
      </c>
      <c r="R15" s="127">
        <v>140611.87516974521</v>
      </c>
    </row>
    <row r="16" spans="2:18" ht="35.5" customHeight="1" x14ac:dyDescent="0.35">
      <c r="B16" s="111" t="s">
        <v>119</v>
      </c>
      <c r="C16" s="125">
        <v>7845134.8554182313</v>
      </c>
      <c r="D16" s="125">
        <v>5629572.8794843862</v>
      </c>
      <c r="E16" s="125">
        <v>106287.18455440619</v>
      </c>
      <c r="F16" s="125">
        <v>2109274.7913794392</v>
      </c>
      <c r="G16" s="125">
        <v>28730284.09285019</v>
      </c>
      <c r="H16" s="125">
        <v>23630715.05313006</v>
      </c>
      <c r="I16" s="125">
        <v>0</v>
      </c>
      <c r="J16" s="125">
        <v>5099569.0397201292</v>
      </c>
      <c r="K16" s="126">
        <v>0</v>
      </c>
      <c r="L16" s="126">
        <v>26819.76125</v>
      </c>
      <c r="M16" s="126">
        <v>0</v>
      </c>
      <c r="N16" s="126">
        <v>683576.31537468417</v>
      </c>
      <c r="O16" s="126">
        <v>0</v>
      </c>
      <c r="P16" s="126">
        <v>6552087.276974882</v>
      </c>
      <c r="Q16" s="126">
        <v>1965612.9827639409</v>
      </c>
      <c r="R16" s="127">
        <v>4586474.2942109425</v>
      </c>
    </row>
    <row r="17" spans="2:18" ht="35.5" customHeight="1" x14ac:dyDescent="0.35">
      <c r="B17" s="111" t="s">
        <v>120</v>
      </c>
      <c r="C17" s="125">
        <v>4273477.1100000003</v>
      </c>
      <c r="D17" s="125">
        <v>3901981.0159999998</v>
      </c>
      <c r="E17" s="125">
        <v>325043.28750734712</v>
      </c>
      <c r="F17" s="125">
        <v>46452.80649265289</v>
      </c>
      <c r="G17" s="125">
        <v>26997518.454981592</v>
      </c>
      <c r="H17" s="125">
        <v>23281143.445999999</v>
      </c>
      <c r="I17" s="125">
        <v>0</v>
      </c>
      <c r="J17" s="125">
        <v>3716375.008981585</v>
      </c>
      <c r="K17" s="126">
        <v>0</v>
      </c>
      <c r="L17" s="126">
        <v>0</v>
      </c>
      <c r="M17" s="126">
        <v>0</v>
      </c>
      <c r="N17" s="126">
        <v>1297577.9713215979</v>
      </c>
      <c r="O17" s="126">
        <v>28321.348728393699</v>
      </c>
      <c r="P17" s="126">
        <v>2493571.1928810328</v>
      </c>
      <c r="Q17" s="126">
        <v>419937.38946074201</v>
      </c>
      <c r="R17" s="127">
        <v>2073633.803420292</v>
      </c>
    </row>
    <row r="18" spans="2:18" ht="35.5" customHeight="1" x14ac:dyDescent="0.35">
      <c r="B18" s="111" t="s">
        <v>121</v>
      </c>
      <c r="C18" s="125">
        <v>2037762.8735499999</v>
      </c>
      <c r="D18" s="125">
        <v>2201193.8879999998</v>
      </c>
      <c r="E18" s="125">
        <v>22219.617216079761</v>
      </c>
      <c r="F18" s="125">
        <v>-185650.63166607969</v>
      </c>
      <c r="G18" s="125">
        <v>14118230.104015909</v>
      </c>
      <c r="H18" s="125">
        <v>12743795.23803998</v>
      </c>
      <c r="I18" s="125">
        <v>0</v>
      </c>
      <c r="J18" s="125">
        <v>1374434.8659759271</v>
      </c>
      <c r="K18" s="126">
        <v>0</v>
      </c>
      <c r="L18" s="126">
        <v>0</v>
      </c>
      <c r="M18" s="126">
        <v>0</v>
      </c>
      <c r="N18" s="126">
        <v>0</v>
      </c>
      <c r="O18" s="126">
        <v>0</v>
      </c>
      <c r="P18" s="126">
        <v>1188784.234309847</v>
      </c>
      <c r="Q18" s="126">
        <v>0</v>
      </c>
      <c r="R18" s="127">
        <v>1188784.234309847</v>
      </c>
    </row>
    <row r="19" spans="2:18" ht="35.5" customHeight="1" x14ac:dyDescent="0.35">
      <c r="B19" s="111" t="s">
        <v>122</v>
      </c>
      <c r="C19" s="125">
        <v>996086.14380469779</v>
      </c>
      <c r="D19" s="125">
        <v>668615.74120176211</v>
      </c>
      <c r="E19" s="125">
        <v>91882.066000000006</v>
      </c>
      <c r="F19" s="125">
        <v>235588.33660293571</v>
      </c>
      <c r="G19" s="125">
        <v>689117.57205250021</v>
      </c>
      <c r="H19" s="125">
        <v>502695.39185208268</v>
      </c>
      <c r="I19" s="125">
        <v>305.32</v>
      </c>
      <c r="J19" s="125">
        <v>186727.50020041739</v>
      </c>
      <c r="K19" s="126">
        <v>0</v>
      </c>
      <c r="L19" s="126">
        <v>36269.34589750001</v>
      </c>
      <c r="M19" s="126">
        <v>0</v>
      </c>
      <c r="N19" s="126">
        <v>251362.48849006</v>
      </c>
      <c r="O19" s="126">
        <v>0</v>
      </c>
      <c r="P19" s="126">
        <v>207222.69421079321</v>
      </c>
      <c r="Q19" s="126">
        <v>49911.703999999998</v>
      </c>
      <c r="R19" s="127">
        <v>157310.99021079321</v>
      </c>
    </row>
    <row r="20" spans="2:18" ht="35.5" customHeight="1" x14ac:dyDescent="0.35">
      <c r="B20" s="111" t="s">
        <v>123</v>
      </c>
      <c r="C20" s="125">
        <v>0</v>
      </c>
      <c r="D20" s="125">
        <v>0</v>
      </c>
      <c r="E20" s="125">
        <v>0</v>
      </c>
      <c r="F20" s="125">
        <v>0</v>
      </c>
      <c r="G20" s="125">
        <v>0</v>
      </c>
      <c r="H20" s="125">
        <v>0</v>
      </c>
      <c r="I20" s="125">
        <v>0</v>
      </c>
      <c r="J20" s="125">
        <v>0</v>
      </c>
      <c r="K20" s="126">
        <v>0</v>
      </c>
      <c r="L20" s="126">
        <v>0</v>
      </c>
      <c r="M20" s="126">
        <v>0</v>
      </c>
      <c r="N20" s="126">
        <v>0</v>
      </c>
      <c r="O20" s="126">
        <v>0</v>
      </c>
      <c r="P20" s="126">
        <v>0</v>
      </c>
      <c r="Q20" s="126">
        <v>0</v>
      </c>
      <c r="R20" s="127">
        <v>0</v>
      </c>
    </row>
    <row r="21" spans="2:18" ht="35.5" customHeight="1" x14ac:dyDescent="0.35">
      <c r="B21" s="111" t="s">
        <v>124</v>
      </c>
      <c r="C21" s="125">
        <v>3233365.011064711</v>
      </c>
      <c r="D21" s="125">
        <v>3057470.1259821821</v>
      </c>
      <c r="E21" s="125">
        <v>98736.227668367384</v>
      </c>
      <c r="F21" s="125">
        <v>77158.657414161687</v>
      </c>
      <c r="G21" s="125">
        <v>2991970.3530000001</v>
      </c>
      <c r="H21" s="125">
        <v>2355629.7110000001</v>
      </c>
      <c r="I21" s="125">
        <v>20692.544999999998</v>
      </c>
      <c r="J21" s="125">
        <v>657033.18700000003</v>
      </c>
      <c r="K21" s="126">
        <v>518707.72700000001</v>
      </c>
      <c r="L21" s="126">
        <v>0</v>
      </c>
      <c r="M21" s="126">
        <v>2052.6210000000001</v>
      </c>
      <c r="N21" s="126">
        <v>922146.625</v>
      </c>
      <c r="O21" s="126">
        <v>-113679.51700000001</v>
      </c>
      <c r="P21" s="126">
        <v>215020.8084141617</v>
      </c>
      <c r="Q21" s="126">
        <v>108487.2629682452</v>
      </c>
      <c r="R21" s="127">
        <v>106533.5454459165</v>
      </c>
    </row>
    <row r="22" spans="2:18" ht="35.5" customHeight="1" x14ac:dyDescent="0.35">
      <c r="B22" s="111" t="s">
        <v>87</v>
      </c>
      <c r="C22" s="125">
        <v>3043554.49</v>
      </c>
      <c r="D22" s="125">
        <v>3023055.0660000001</v>
      </c>
      <c r="E22" s="125">
        <v>-13193.829</v>
      </c>
      <c r="F22" s="125">
        <v>33693.252999999997</v>
      </c>
      <c r="G22" s="125">
        <v>853596.57900000003</v>
      </c>
      <c r="H22" s="125">
        <v>2331491.872</v>
      </c>
      <c r="I22" s="125">
        <v>22791.75</v>
      </c>
      <c r="J22" s="125">
        <v>-1455103.5430000001</v>
      </c>
      <c r="K22" s="126">
        <v>0</v>
      </c>
      <c r="L22" s="126">
        <v>0</v>
      </c>
      <c r="M22" s="126">
        <v>0</v>
      </c>
      <c r="N22" s="126">
        <v>619568.11</v>
      </c>
      <c r="O22" s="126">
        <v>0</v>
      </c>
      <c r="P22" s="126">
        <v>-2040978.4</v>
      </c>
      <c r="Q22" s="126">
        <v>-612293.4</v>
      </c>
      <c r="R22" s="127">
        <v>-1428685</v>
      </c>
    </row>
    <row r="23" spans="2:18" ht="35.5" customHeight="1" x14ac:dyDescent="0.35">
      <c r="B23" s="128" t="s">
        <v>125</v>
      </c>
      <c r="C23" s="125">
        <v>4466607.4534099996</v>
      </c>
      <c r="D23" s="125">
        <v>4521553.3770000003</v>
      </c>
      <c r="E23" s="125">
        <v>-50032.701999999997</v>
      </c>
      <c r="F23" s="125">
        <v>-4913.2215900000037</v>
      </c>
      <c r="G23" s="125">
        <v>4304974.274785406</v>
      </c>
      <c r="H23" s="125">
        <v>3489466.7145799999</v>
      </c>
      <c r="I23" s="125">
        <v>0</v>
      </c>
      <c r="J23" s="125">
        <v>815507.56020540523</v>
      </c>
      <c r="K23" s="126">
        <v>0</v>
      </c>
      <c r="L23" s="126">
        <v>83857.328130000009</v>
      </c>
      <c r="M23" s="126">
        <v>0</v>
      </c>
      <c r="N23" s="126">
        <v>116979.2018899996</v>
      </c>
      <c r="O23" s="126">
        <v>0</v>
      </c>
      <c r="P23" s="126">
        <v>777472.46485540562</v>
      </c>
      <c r="Q23" s="126">
        <v>112395.30884</v>
      </c>
      <c r="R23" s="127">
        <v>665077.15601540555</v>
      </c>
    </row>
    <row r="24" spans="2:18" ht="35.5" customHeight="1" x14ac:dyDescent="0.35">
      <c r="B24" s="111" t="s">
        <v>126</v>
      </c>
      <c r="C24" s="125">
        <v>2171715.614591632</v>
      </c>
      <c r="D24" s="125">
        <v>2238262.3052931451</v>
      </c>
      <c r="E24" s="125">
        <v>-44163.512097566723</v>
      </c>
      <c r="F24" s="125">
        <v>-22383.178603947039</v>
      </c>
      <c r="G24" s="125">
        <v>1964823.1076199999</v>
      </c>
      <c r="H24" s="125">
        <v>1776863.3283653881</v>
      </c>
      <c r="I24" s="125">
        <v>10185.87047698089</v>
      </c>
      <c r="J24" s="125">
        <v>198145.64973159309</v>
      </c>
      <c r="K24" s="126">
        <v>0</v>
      </c>
      <c r="L24" s="126">
        <v>0</v>
      </c>
      <c r="M24" s="126">
        <v>0</v>
      </c>
      <c r="N24" s="126">
        <v>0</v>
      </c>
      <c r="O24" s="126">
        <v>0</v>
      </c>
      <c r="P24" s="126">
        <v>175762.47112764619</v>
      </c>
      <c r="Q24" s="126">
        <v>52728.741338293803</v>
      </c>
      <c r="R24" s="127">
        <v>123033.72978935231</v>
      </c>
    </row>
    <row r="25" spans="2:18" ht="35.5" customHeight="1" x14ac:dyDescent="0.35">
      <c r="B25" s="111" t="s">
        <v>127</v>
      </c>
      <c r="C25" s="125">
        <v>1992203.181458757</v>
      </c>
      <c r="D25" s="125">
        <v>2291059.8219486722</v>
      </c>
      <c r="E25" s="125">
        <v>189988.70966524069</v>
      </c>
      <c r="F25" s="125">
        <v>-488845.35015515529</v>
      </c>
      <c r="G25" s="125">
        <v>0</v>
      </c>
      <c r="H25" s="125">
        <v>-120845.6027019391</v>
      </c>
      <c r="I25" s="125">
        <v>0</v>
      </c>
      <c r="J25" s="125">
        <v>120845.6027019391</v>
      </c>
      <c r="K25" s="126">
        <v>0</v>
      </c>
      <c r="L25" s="126">
        <v>11468.717000000001</v>
      </c>
      <c r="M25" s="126">
        <v>0</v>
      </c>
      <c r="N25" s="126">
        <v>112914.2251567832</v>
      </c>
      <c r="O25" s="126">
        <v>0</v>
      </c>
      <c r="P25" s="126">
        <v>-469445.25560999941</v>
      </c>
      <c r="Q25" s="126">
        <v>35457.16689</v>
      </c>
      <c r="R25" s="127">
        <v>-504902.4224999994</v>
      </c>
    </row>
    <row r="26" spans="2:18" ht="35.5" customHeight="1" x14ac:dyDescent="0.35">
      <c r="B26" s="111" t="s">
        <v>128</v>
      </c>
      <c r="C26" s="125">
        <v>4382899.8887005346</v>
      </c>
      <c r="D26" s="125">
        <v>3210686.644196772</v>
      </c>
      <c r="E26" s="125">
        <v>218779.5189014161</v>
      </c>
      <c r="F26" s="125">
        <v>953433.72560234857</v>
      </c>
      <c r="G26" s="125">
        <v>4050122.7471500002</v>
      </c>
      <c r="H26" s="125">
        <v>3880545.3509107069</v>
      </c>
      <c r="I26" s="125">
        <v>-7291.1323014162244</v>
      </c>
      <c r="J26" s="125">
        <v>162286.26393787671</v>
      </c>
      <c r="K26" s="126">
        <v>0</v>
      </c>
      <c r="L26" s="126">
        <v>329318.08145</v>
      </c>
      <c r="M26" s="126">
        <v>0</v>
      </c>
      <c r="N26" s="126">
        <v>84226.84779</v>
      </c>
      <c r="O26" s="126">
        <v>0</v>
      </c>
      <c r="P26" s="126">
        <v>1360811.223200225</v>
      </c>
      <c r="Q26" s="126">
        <v>432689.03854447819</v>
      </c>
      <c r="R26" s="127">
        <v>928122.18465574726</v>
      </c>
    </row>
    <row r="27" spans="2:18" ht="35.5" customHeight="1" x14ac:dyDescent="0.35">
      <c r="B27" s="111" t="s">
        <v>129</v>
      </c>
      <c r="C27" s="125">
        <v>253581.2985</v>
      </c>
      <c r="D27" s="125">
        <v>206513.73811643149</v>
      </c>
      <c r="E27" s="125">
        <v>694.00765939288158</v>
      </c>
      <c r="F27" s="125">
        <v>46373.552724175614</v>
      </c>
      <c r="G27" s="125">
        <v>0</v>
      </c>
      <c r="H27" s="125">
        <v>918.53825049474892</v>
      </c>
      <c r="I27" s="125">
        <v>4.0614011493453486</v>
      </c>
      <c r="J27" s="125">
        <v>-914.47684934540359</v>
      </c>
      <c r="K27" s="126">
        <v>0</v>
      </c>
      <c r="L27" s="126">
        <v>4048.2278460000002</v>
      </c>
      <c r="M27" s="126">
        <v>0</v>
      </c>
      <c r="N27" s="126">
        <v>0</v>
      </c>
      <c r="O27" s="126">
        <v>0</v>
      </c>
      <c r="P27" s="126">
        <v>49507.303720830219</v>
      </c>
      <c r="Q27" s="126">
        <v>0</v>
      </c>
      <c r="R27" s="127">
        <v>49507.303720830219</v>
      </c>
    </row>
    <row r="28" spans="2:18" ht="35.5" customHeight="1" x14ac:dyDescent="0.35">
      <c r="B28" s="111" t="s">
        <v>130</v>
      </c>
      <c r="C28" s="125">
        <v>481017.58134802303</v>
      </c>
      <c r="D28" s="125">
        <v>396195.02184303501</v>
      </c>
      <c r="E28" s="125">
        <v>62216.093881340501</v>
      </c>
      <c r="F28" s="125">
        <v>22606.465623648299</v>
      </c>
      <c r="G28" s="125">
        <v>95898.966979577905</v>
      </c>
      <c r="H28" s="125">
        <v>107791.61446769</v>
      </c>
      <c r="I28" s="125">
        <v>15089.6571385879</v>
      </c>
      <c r="J28" s="125">
        <v>3197.0096504755802</v>
      </c>
      <c r="K28" s="126">
        <v>0</v>
      </c>
      <c r="L28" s="126">
        <v>0</v>
      </c>
      <c r="M28" s="126">
        <v>0</v>
      </c>
      <c r="N28" s="126">
        <v>555203.65077913995</v>
      </c>
      <c r="O28" s="126">
        <v>0</v>
      </c>
      <c r="P28" s="126">
        <v>-529400.175505016</v>
      </c>
      <c r="Q28" s="126">
        <v>0</v>
      </c>
      <c r="R28" s="127">
        <v>-529400.175505016</v>
      </c>
    </row>
    <row r="29" spans="2:18" ht="35.5" customHeight="1" x14ac:dyDescent="0.35">
      <c r="B29" s="111" t="s">
        <v>131</v>
      </c>
      <c r="C29" s="125">
        <v>0</v>
      </c>
      <c r="D29" s="125">
        <v>0</v>
      </c>
      <c r="E29" s="125">
        <v>0</v>
      </c>
      <c r="F29" s="125">
        <v>0</v>
      </c>
      <c r="G29" s="125">
        <v>0</v>
      </c>
      <c r="H29" s="125">
        <v>0</v>
      </c>
      <c r="I29" s="125">
        <v>0</v>
      </c>
      <c r="J29" s="125">
        <v>0</v>
      </c>
      <c r="K29" s="126">
        <v>0</v>
      </c>
      <c r="L29" s="126">
        <v>0</v>
      </c>
      <c r="M29" s="126">
        <v>0</v>
      </c>
      <c r="N29" s="126">
        <v>0</v>
      </c>
      <c r="O29" s="126">
        <v>0</v>
      </c>
      <c r="P29" s="126">
        <v>0</v>
      </c>
      <c r="Q29" s="126">
        <v>0</v>
      </c>
      <c r="R29" s="127">
        <v>0</v>
      </c>
    </row>
    <row r="30" spans="2:18" s="130" customFormat="1" ht="35.5" customHeight="1" x14ac:dyDescent="0.35">
      <c r="B30" s="119" t="s">
        <v>24</v>
      </c>
      <c r="C30" s="129">
        <f t="shared" ref="C30:R30" si="0">SUM(C6:C29)</f>
        <v>74377062.289536357</v>
      </c>
      <c r="D30" s="129">
        <f t="shared" si="0"/>
        <v>64111088.657048874</v>
      </c>
      <c r="E30" s="129">
        <f t="shared" si="0"/>
        <v>3640408.3395696669</v>
      </c>
      <c r="F30" s="129">
        <f t="shared" si="0"/>
        <v>6625565.2929178271</v>
      </c>
      <c r="G30" s="129">
        <f t="shared" si="0"/>
        <v>131082995.93180867</v>
      </c>
      <c r="H30" s="129">
        <f t="shared" si="0"/>
        <v>113897568.91929257</v>
      </c>
      <c r="I30" s="129">
        <f t="shared" si="0"/>
        <v>444302.56951706111</v>
      </c>
      <c r="J30" s="129">
        <f t="shared" si="0"/>
        <v>17629729.582033146</v>
      </c>
      <c r="K30" s="129">
        <f t="shared" si="0"/>
        <v>2484339.72435953</v>
      </c>
      <c r="L30" s="129">
        <f t="shared" si="0"/>
        <v>2119194.8318906887</v>
      </c>
      <c r="M30" s="129">
        <f t="shared" si="0"/>
        <v>42839.70273916758</v>
      </c>
      <c r="N30" s="129">
        <f t="shared" si="0"/>
        <v>6648843.6113568489</v>
      </c>
      <c r="O30" s="129">
        <f t="shared" si="0"/>
        <v>641961.51172839373</v>
      </c>
      <c r="P30" s="129">
        <f t="shared" si="0"/>
        <v>22809107.628833573</v>
      </c>
      <c r="Q30" s="129">
        <f t="shared" si="0"/>
        <v>3804675.8870657459</v>
      </c>
      <c r="R30" s="129">
        <f t="shared" si="0"/>
        <v>19004431.741767831</v>
      </c>
    </row>
    <row r="31" spans="2:18" s="130" customFormat="1" ht="35.5" customHeight="1" x14ac:dyDescent="0.35">
      <c r="B31" s="294" t="s">
        <v>103</v>
      </c>
      <c r="C31" s="269"/>
      <c r="D31" s="269"/>
      <c r="E31" s="269"/>
      <c r="F31" s="269"/>
      <c r="G31" s="269"/>
      <c r="H31" s="269"/>
      <c r="I31" s="269"/>
      <c r="J31" s="269"/>
      <c r="K31" s="269"/>
      <c r="L31" s="269"/>
      <c r="M31" s="269"/>
      <c r="N31" s="269"/>
      <c r="O31" s="269"/>
      <c r="P31" s="269"/>
      <c r="Q31" s="269"/>
      <c r="R31" s="270"/>
    </row>
    <row r="32" spans="2:18" s="124" customFormat="1" ht="35.5" customHeight="1" x14ac:dyDescent="0.35">
      <c r="B32" s="111" t="s">
        <v>104</v>
      </c>
      <c r="C32" s="125">
        <v>36272.798999999999</v>
      </c>
      <c r="D32" s="125">
        <v>103392.751</v>
      </c>
      <c r="E32" s="125">
        <v>-3476.8470000000002</v>
      </c>
      <c r="F32" s="125">
        <v>-63643.105000000003</v>
      </c>
      <c r="G32" s="125">
        <v>68066.016000000003</v>
      </c>
      <c r="H32" s="125">
        <v>5608.0240000000003</v>
      </c>
      <c r="I32" s="125">
        <v>626.98400000000004</v>
      </c>
      <c r="J32" s="125">
        <v>63084.976000000002</v>
      </c>
      <c r="K32" s="125">
        <v>0</v>
      </c>
      <c r="L32" s="125">
        <v>1.2E-2</v>
      </c>
      <c r="M32" s="125">
        <v>2016.5060000000001</v>
      </c>
      <c r="N32" s="125">
        <v>940.40099999999995</v>
      </c>
      <c r="O32" s="125">
        <v>0</v>
      </c>
      <c r="P32" s="125">
        <v>-3515.0239999999999</v>
      </c>
      <c r="Q32" s="125">
        <v>1054.5070000000001</v>
      </c>
      <c r="R32" s="131">
        <v>-2460.5169999999998</v>
      </c>
    </row>
    <row r="33" spans="2:18" s="124" customFormat="1" ht="35.5" customHeight="1" x14ac:dyDescent="0.35">
      <c r="B33" s="111" t="s">
        <v>105</v>
      </c>
      <c r="C33" s="125">
        <v>1334886.1720976289</v>
      </c>
      <c r="D33" s="125">
        <v>1085660.3067700979</v>
      </c>
      <c r="E33" s="125">
        <v>91040.993078577536</v>
      </c>
      <c r="F33" s="125">
        <v>158184.87224895359</v>
      </c>
      <c r="G33" s="125">
        <v>267767.59013999999</v>
      </c>
      <c r="H33" s="125">
        <v>22343.51660881759</v>
      </c>
      <c r="I33" s="125">
        <v>5362.2191798703452</v>
      </c>
      <c r="J33" s="125">
        <v>250786.29271105281</v>
      </c>
      <c r="K33" s="125">
        <v>0</v>
      </c>
      <c r="L33" s="125">
        <v>0</v>
      </c>
      <c r="M33" s="125">
        <v>0</v>
      </c>
      <c r="N33" s="125">
        <v>14366.241588000001</v>
      </c>
      <c r="O33" s="125">
        <v>0</v>
      </c>
      <c r="P33" s="125">
        <v>394604.92337200628</v>
      </c>
      <c r="Q33" s="125">
        <v>-127899.5579643658</v>
      </c>
      <c r="R33" s="131">
        <v>266705.36540764052</v>
      </c>
    </row>
    <row r="34" spans="2:18" s="124" customFormat="1" ht="35.5" customHeight="1" x14ac:dyDescent="0.35">
      <c r="B34" s="111" t="s">
        <v>107</v>
      </c>
      <c r="C34" s="125">
        <v>2918918.1062768139</v>
      </c>
      <c r="D34" s="125">
        <v>3197289.1215031901</v>
      </c>
      <c r="E34" s="125">
        <v>-65951.856492138351</v>
      </c>
      <c r="F34" s="125">
        <v>-212419.1587342378</v>
      </c>
      <c r="G34" s="125">
        <v>1020339.1310000001</v>
      </c>
      <c r="H34" s="125">
        <v>109322.3451446441</v>
      </c>
      <c r="I34" s="125">
        <v>-1280.88065025998</v>
      </c>
      <c r="J34" s="125">
        <v>909735.905205096</v>
      </c>
      <c r="K34" s="125">
        <v>0</v>
      </c>
      <c r="L34" s="125">
        <v>0</v>
      </c>
      <c r="M34" s="125">
        <v>-2.9929999999999999</v>
      </c>
      <c r="N34" s="125">
        <v>102691.126</v>
      </c>
      <c r="O34" s="125">
        <v>0</v>
      </c>
      <c r="P34" s="125">
        <v>594628.61347085808</v>
      </c>
      <c r="Q34" s="125">
        <v>-178388.704</v>
      </c>
      <c r="R34" s="131">
        <v>416239.90947085823</v>
      </c>
    </row>
    <row r="35" spans="2:18" s="261" customFormat="1" ht="17" customHeight="1" x14ac:dyDescent="0.3">
      <c r="B35" s="262" t="s">
        <v>24</v>
      </c>
      <c r="C35" s="263">
        <f t="shared" ref="C35:R35" si="1">SUM(C32:C34)</f>
        <v>4290077.0773744434</v>
      </c>
      <c r="D35" s="263">
        <f t="shared" si="1"/>
        <v>4386342.1792732878</v>
      </c>
      <c r="E35" s="263">
        <f t="shared" si="1"/>
        <v>21612.28958643919</v>
      </c>
      <c r="F35" s="263">
        <f t="shared" si="1"/>
        <v>-117877.39148528423</v>
      </c>
      <c r="G35" s="263">
        <f t="shared" si="1"/>
        <v>1356172.7371400001</v>
      </c>
      <c r="H35" s="263">
        <f t="shared" si="1"/>
        <v>137273.88575346168</v>
      </c>
      <c r="I35" s="263">
        <f t="shared" si="1"/>
        <v>4708.3225296103656</v>
      </c>
      <c r="J35" s="263">
        <f t="shared" si="1"/>
        <v>1223607.173916149</v>
      </c>
      <c r="K35" s="263">
        <f t="shared" si="1"/>
        <v>0</v>
      </c>
      <c r="L35" s="263">
        <f t="shared" si="1"/>
        <v>1.2E-2</v>
      </c>
      <c r="M35" s="263">
        <f t="shared" si="1"/>
        <v>2013.5130000000001</v>
      </c>
      <c r="N35" s="263">
        <f t="shared" si="1"/>
        <v>117997.76858800001</v>
      </c>
      <c r="O35" s="263">
        <f t="shared" si="1"/>
        <v>0</v>
      </c>
      <c r="P35" s="263">
        <f t="shared" si="1"/>
        <v>985718.51284286438</v>
      </c>
      <c r="Q35" s="263">
        <f t="shared" si="1"/>
        <v>-305233.7549643658</v>
      </c>
      <c r="R35" s="263">
        <f t="shared" si="1"/>
        <v>680484.75787849876</v>
      </c>
    </row>
    <row r="36" spans="2:18" s="124" customFormat="1" ht="35.5" customHeight="1" x14ac:dyDescent="0.35">
      <c r="B36" s="119" t="s">
        <v>109</v>
      </c>
      <c r="C36" s="132">
        <f t="shared" ref="C36:R36" si="2">C35+C30</f>
        <v>78667139.3669108</v>
      </c>
      <c r="D36" s="132">
        <f t="shared" si="2"/>
        <v>68497430.836322159</v>
      </c>
      <c r="E36" s="132">
        <f t="shared" si="2"/>
        <v>3662020.6291561062</v>
      </c>
      <c r="F36" s="132">
        <f t="shared" si="2"/>
        <v>6507687.9014325431</v>
      </c>
      <c r="G36" s="132">
        <f t="shared" si="2"/>
        <v>132439168.66894867</v>
      </c>
      <c r="H36" s="132">
        <f t="shared" si="2"/>
        <v>114034842.80504604</v>
      </c>
      <c r="I36" s="132">
        <f t="shared" si="2"/>
        <v>449010.89204667148</v>
      </c>
      <c r="J36" s="132">
        <f t="shared" si="2"/>
        <v>18853336.755949296</v>
      </c>
      <c r="K36" s="132">
        <f t="shared" si="2"/>
        <v>2484339.72435953</v>
      </c>
      <c r="L36" s="132">
        <f t="shared" si="2"/>
        <v>2119194.8438906888</v>
      </c>
      <c r="M36" s="132">
        <f t="shared" si="2"/>
        <v>44853.215739167579</v>
      </c>
      <c r="N36" s="132">
        <f t="shared" si="2"/>
        <v>6766841.3799448488</v>
      </c>
      <c r="O36" s="132">
        <f t="shared" si="2"/>
        <v>641961.51172839373</v>
      </c>
      <c r="P36" s="132">
        <f t="shared" si="2"/>
        <v>23794826.141676437</v>
      </c>
      <c r="Q36" s="132">
        <f t="shared" si="2"/>
        <v>3499442.1321013803</v>
      </c>
      <c r="R36" s="132">
        <f t="shared" si="2"/>
        <v>19684916.499646328</v>
      </c>
    </row>
    <row r="37" spans="2:18" ht="35.5" customHeight="1" x14ac:dyDescent="0.35">
      <c r="B37" s="297" t="s">
        <v>25</v>
      </c>
      <c r="C37" s="272"/>
      <c r="D37" s="272"/>
      <c r="E37" s="272"/>
      <c r="F37" s="272"/>
      <c r="G37" s="272"/>
      <c r="H37" s="272"/>
      <c r="I37" s="272"/>
      <c r="J37" s="272"/>
      <c r="K37" s="272"/>
      <c r="L37" s="272"/>
      <c r="M37" s="272"/>
      <c r="N37" s="272"/>
      <c r="O37" s="272"/>
      <c r="P37" s="272"/>
      <c r="Q37" s="272"/>
      <c r="R37" s="272"/>
    </row>
    <row r="38" spans="2:18" x14ac:dyDescent="0.35">
      <c r="I38" s="133"/>
    </row>
    <row r="39" spans="2:18" x14ac:dyDescent="0.35">
      <c r="I39" s="133"/>
    </row>
    <row r="40" spans="2:18" x14ac:dyDescent="0.35">
      <c r="I40" s="133"/>
    </row>
    <row r="41" spans="2:18" x14ac:dyDescent="0.35">
      <c r="I41" s="133"/>
    </row>
    <row r="42" spans="2:18" x14ac:dyDescent="0.35">
      <c r="I42" s="133"/>
    </row>
    <row r="43" spans="2:18" x14ac:dyDescent="0.35">
      <c r="I43" s="133"/>
    </row>
    <row r="44" spans="2:18" x14ac:dyDescent="0.35">
      <c r="I44" s="133"/>
    </row>
    <row r="45" spans="2:18" x14ac:dyDescent="0.35">
      <c r="I45" s="133"/>
    </row>
    <row r="46" spans="2:18" x14ac:dyDescent="0.35">
      <c r="I46" s="133"/>
    </row>
    <row r="47" spans="2:18" x14ac:dyDescent="0.35">
      <c r="I47" s="133"/>
    </row>
    <row r="48" spans="2:18" x14ac:dyDescent="0.35">
      <c r="I48" s="133"/>
    </row>
    <row r="49" spans="9:9" x14ac:dyDescent="0.35">
      <c r="I49" s="133"/>
    </row>
    <row r="50" spans="9:9" x14ac:dyDescent="0.35">
      <c r="I50" s="133"/>
    </row>
  </sheetData>
  <sheetProtection algorithmName="SHA-512" hashValue="RzygWbD84eIHaYl97mnefDG9oMCFEH8/E22w55Nlhi/dPg92r6x/dXk4B7i1UxDPOCdgZATcvVvR4yQcvP8mjQ==" saltValue="tQPE3YObnAhafFI2gjBg8A==" spinCount="100000" sheet="1" objects="1" scenarios="1"/>
  <mergeCells count="4">
    <mergeCell ref="B5:R5"/>
    <mergeCell ref="B37:R37"/>
    <mergeCell ref="B31:R31"/>
    <mergeCell ref="B3:R3"/>
  </mergeCells>
  <pageMargins left="0.7" right="0.7" top="0.75" bottom="0.75" header="0.3" footer="0.3"/>
  <pageSetup paperSize="9" scale="37"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tabColor rgb="FF92D050"/>
  </sheetPr>
  <dimension ref="B3:R13"/>
  <sheetViews>
    <sheetView topLeftCell="A6" workbookViewId="0">
      <selection activeCell="B3" sqref="B3:R12"/>
    </sheetView>
  </sheetViews>
  <sheetFormatPr defaultRowHeight="15.5" x14ac:dyDescent="0.35"/>
  <cols>
    <col min="1" max="1" width="8.7265625" style="134" customWidth="1"/>
    <col min="2" max="2" width="46.26953125" style="134" bestFit="1" customWidth="1"/>
    <col min="3" max="18" width="20.36328125" style="134" customWidth="1"/>
    <col min="19" max="46" width="8.7265625" style="134" customWidth="1"/>
    <col min="47" max="16384" width="8.7265625" style="134"/>
  </cols>
  <sheetData>
    <row r="3" spans="2:18" ht="26" customHeight="1" x14ac:dyDescent="0.35">
      <c r="B3" s="296" t="str">
        <f>_xlfn.CONCAT('Table of Contents'!B10,": ",'Table of Contents'!C10)</f>
        <v>APPENDIX 3: SUMMARY OF MICRO INSURANCE BUSINESS PROFIT &amp; LOSS ACCOUNTS  FOR THE PERIOD ENDED 31.12.2025</v>
      </c>
      <c r="C3" s="269"/>
      <c r="D3" s="269"/>
      <c r="E3" s="269"/>
      <c r="F3" s="269"/>
      <c r="G3" s="269"/>
      <c r="H3" s="269"/>
      <c r="I3" s="269"/>
      <c r="J3" s="269"/>
      <c r="K3" s="269"/>
      <c r="L3" s="269"/>
      <c r="M3" s="269"/>
      <c r="N3" s="269"/>
      <c r="O3" s="269"/>
      <c r="P3" s="269"/>
      <c r="Q3" s="269"/>
      <c r="R3" s="270"/>
    </row>
    <row r="4" spans="2:18" ht="84" customHeight="1" x14ac:dyDescent="0.35">
      <c r="B4" s="108" t="s">
        <v>0</v>
      </c>
      <c r="C4" s="109" t="s">
        <v>1</v>
      </c>
      <c r="D4" s="109" t="s">
        <v>2</v>
      </c>
      <c r="E4" s="109" t="s">
        <v>3</v>
      </c>
      <c r="F4" s="109" t="s">
        <v>4</v>
      </c>
      <c r="G4" s="110" t="s">
        <v>5</v>
      </c>
      <c r="H4" s="110" t="s">
        <v>6</v>
      </c>
      <c r="I4" s="110" t="s">
        <v>7</v>
      </c>
      <c r="J4" s="110" t="s">
        <v>8</v>
      </c>
      <c r="K4" s="74" t="s">
        <v>9</v>
      </c>
      <c r="L4" s="74" t="s">
        <v>10</v>
      </c>
      <c r="M4" s="74" t="s">
        <v>11</v>
      </c>
      <c r="N4" s="74" t="s">
        <v>12</v>
      </c>
      <c r="O4" s="74" t="s">
        <v>13</v>
      </c>
      <c r="P4" s="74" t="s">
        <v>14</v>
      </c>
      <c r="Q4" s="74" t="s">
        <v>15</v>
      </c>
      <c r="R4" s="74" t="s">
        <v>16</v>
      </c>
    </row>
    <row r="5" spans="2:18" x14ac:dyDescent="0.35">
      <c r="B5" s="294" t="s">
        <v>17</v>
      </c>
      <c r="C5" s="269"/>
      <c r="D5" s="269"/>
      <c r="E5" s="269"/>
      <c r="F5" s="269"/>
      <c r="G5" s="269"/>
      <c r="H5" s="269"/>
      <c r="I5" s="269"/>
      <c r="J5" s="269"/>
      <c r="K5" s="269"/>
      <c r="L5" s="269"/>
      <c r="M5" s="269"/>
      <c r="N5" s="269"/>
      <c r="O5" s="269"/>
      <c r="P5" s="269"/>
      <c r="Q5" s="269"/>
      <c r="R5" s="270"/>
    </row>
    <row r="6" spans="2:18" ht="29" customHeight="1" x14ac:dyDescent="0.35">
      <c r="B6" s="111" t="s">
        <v>18</v>
      </c>
      <c r="C6" s="112">
        <v>0</v>
      </c>
      <c r="D6" s="112">
        <v>0</v>
      </c>
      <c r="E6" s="112">
        <v>0</v>
      </c>
      <c r="F6" s="112">
        <v>0</v>
      </c>
      <c r="G6" s="112">
        <v>0</v>
      </c>
      <c r="H6" s="112">
        <v>0</v>
      </c>
      <c r="I6" s="112">
        <v>0</v>
      </c>
      <c r="J6" s="112">
        <v>0</v>
      </c>
      <c r="K6" s="113">
        <v>0</v>
      </c>
      <c r="L6" s="113">
        <v>0</v>
      </c>
      <c r="M6" s="113">
        <v>0</v>
      </c>
      <c r="N6" s="113">
        <v>0</v>
      </c>
      <c r="O6" s="113">
        <v>0</v>
      </c>
      <c r="P6" s="113">
        <v>0</v>
      </c>
      <c r="Q6" s="113">
        <v>0</v>
      </c>
      <c r="R6" s="114">
        <v>0</v>
      </c>
    </row>
    <row r="7" spans="2:18" ht="29" customHeight="1" x14ac:dyDescent="0.35">
      <c r="B7" s="111" t="s">
        <v>19</v>
      </c>
      <c r="C7" s="112">
        <v>5620.9535956373329</v>
      </c>
      <c r="D7" s="112">
        <v>39396.987830549602</v>
      </c>
      <c r="E7" s="112">
        <v>345.44319476845158</v>
      </c>
      <c r="F7" s="112">
        <v>-34121.47742968073</v>
      </c>
      <c r="G7" s="112">
        <v>0</v>
      </c>
      <c r="H7" s="112">
        <v>0</v>
      </c>
      <c r="I7" s="112">
        <v>0</v>
      </c>
      <c r="J7" s="112">
        <v>0</v>
      </c>
      <c r="K7" s="113">
        <v>0</v>
      </c>
      <c r="L7" s="113">
        <v>0</v>
      </c>
      <c r="M7" s="113">
        <v>0</v>
      </c>
      <c r="N7" s="113">
        <v>0</v>
      </c>
      <c r="O7" s="113">
        <v>0</v>
      </c>
      <c r="P7" s="113">
        <v>-34121.47742968073</v>
      </c>
      <c r="Q7" s="113">
        <v>0</v>
      </c>
      <c r="R7" s="114">
        <v>-34121.47742968073</v>
      </c>
    </row>
    <row r="8" spans="2:18" ht="29" customHeight="1" x14ac:dyDescent="0.35">
      <c r="B8" s="111" t="s">
        <v>20</v>
      </c>
      <c r="C8" s="112">
        <v>1090229.463002702</v>
      </c>
      <c r="D8" s="112">
        <v>1010963.580609548</v>
      </c>
      <c r="E8" s="112">
        <v>39922.420821985877</v>
      </c>
      <c r="F8" s="112">
        <v>39343.46157116814</v>
      </c>
      <c r="G8" s="112">
        <v>47074.09057</v>
      </c>
      <c r="H8" s="112">
        <v>43598.520758702951</v>
      </c>
      <c r="I8" s="112">
        <v>92.071560340515603</v>
      </c>
      <c r="J8" s="112">
        <v>3567.6413716375669</v>
      </c>
      <c r="K8" s="113">
        <v>0</v>
      </c>
      <c r="L8" s="113">
        <v>7093.274260000001</v>
      </c>
      <c r="M8" s="113">
        <v>5284.9803999999986</v>
      </c>
      <c r="N8" s="113">
        <v>67954.174599999998</v>
      </c>
      <c r="O8" s="113">
        <v>0</v>
      </c>
      <c r="P8" s="113">
        <v>-23234.777797194289</v>
      </c>
      <c r="Q8" s="113">
        <v>0</v>
      </c>
      <c r="R8" s="114">
        <v>-23234.777797194289</v>
      </c>
    </row>
    <row r="9" spans="2:18" ht="29" customHeight="1" x14ac:dyDescent="0.35">
      <c r="B9" s="111" t="s">
        <v>21</v>
      </c>
      <c r="C9" s="112">
        <v>2447.5646912699999</v>
      </c>
      <c r="D9" s="112">
        <v>12589.964686322</v>
      </c>
      <c r="E9" s="112">
        <v>118.1451546213666</v>
      </c>
      <c r="F9" s="112">
        <v>-10260.54514967336</v>
      </c>
      <c r="G9" s="112">
        <v>2383.7417503000001</v>
      </c>
      <c r="H9" s="112">
        <v>0</v>
      </c>
      <c r="I9" s="112">
        <v>0</v>
      </c>
      <c r="J9" s="112">
        <v>2383.7417503000001</v>
      </c>
      <c r="K9" s="113">
        <v>0</v>
      </c>
      <c r="L9" s="113">
        <v>55.06189978204501</v>
      </c>
      <c r="M9" s="113">
        <v>0</v>
      </c>
      <c r="N9" s="113">
        <v>9754.6580210000011</v>
      </c>
      <c r="O9" s="113">
        <v>0</v>
      </c>
      <c r="P9" s="113">
        <v>-17576.39952059132</v>
      </c>
      <c r="Q9" s="113">
        <v>0</v>
      </c>
      <c r="R9" s="114">
        <v>-17576.39952059132</v>
      </c>
    </row>
    <row r="10" spans="2:18" ht="29" customHeight="1" x14ac:dyDescent="0.35">
      <c r="B10" s="111" t="s">
        <v>22</v>
      </c>
      <c r="C10" s="112"/>
      <c r="D10" s="112"/>
      <c r="E10" s="112"/>
      <c r="F10" s="112"/>
      <c r="G10" s="112"/>
      <c r="H10" s="112"/>
      <c r="I10" s="112"/>
      <c r="J10" s="112"/>
      <c r="K10" s="113"/>
      <c r="L10" s="113"/>
      <c r="M10" s="113"/>
      <c r="N10" s="113"/>
      <c r="O10" s="113"/>
      <c r="P10" s="113"/>
      <c r="Q10" s="113"/>
      <c r="R10" s="114"/>
    </row>
    <row r="11" spans="2:18" ht="29" customHeight="1" x14ac:dyDescent="0.35">
      <c r="B11" s="111" t="s">
        <v>23</v>
      </c>
      <c r="C11" s="112">
        <v>466714.82400000002</v>
      </c>
      <c r="D11" s="112">
        <v>374676.63908790081</v>
      </c>
      <c r="E11" s="112">
        <v>47250.138136367677</v>
      </c>
      <c r="F11" s="112">
        <v>44788.046775731556</v>
      </c>
      <c r="G11" s="112">
        <v>11045.68534</v>
      </c>
      <c r="H11" s="112">
        <v>0</v>
      </c>
      <c r="I11" s="112">
        <v>0</v>
      </c>
      <c r="J11" s="112">
        <v>11045.68534</v>
      </c>
      <c r="K11" s="113">
        <v>0</v>
      </c>
      <c r="L11" s="113">
        <v>0</v>
      </c>
      <c r="M11" s="113">
        <v>0</v>
      </c>
      <c r="N11" s="113">
        <v>0</v>
      </c>
      <c r="O11" s="113">
        <v>0</v>
      </c>
      <c r="P11" s="113">
        <v>55833.732115731567</v>
      </c>
      <c r="Q11" s="113">
        <v>0</v>
      </c>
      <c r="R11" s="114">
        <v>55833.732115731567</v>
      </c>
    </row>
    <row r="12" spans="2:18" ht="29" customHeight="1" x14ac:dyDescent="0.35">
      <c r="B12" s="119" t="s">
        <v>24</v>
      </c>
      <c r="C12" s="120">
        <f t="shared" ref="C12:R12" si="0">SUM(C6:C11)</f>
        <v>1565012.8052896094</v>
      </c>
      <c r="D12" s="120">
        <f t="shared" si="0"/>
        <v>1437627.1722143204</v>
      </c>
      <c r="E12" s="120">
        <f t="shared" si="0"/>
        <v>87636.147307743377</v>
      </c>
      <c r="F12" s="120">
        <f t="shared" si="0"/>
        <v>39749.485767545608</v>
      </c>
      <c r="G12" s="120">
        <f t="shared" si="0"/>
        <v>60503.5176603</v>
      </c>
      <c r="H12" s="120">
        <f t="shared" si="0"/>
        <v>43598.520758702951</v>
      </c>
      <c r="I12" s="120">
        <f t="shared" si="0"/>
        <v>92.071560340515603</v>
      </c>
      <c r="J12" s="120">
        <f t="shared" si="0"/>
        <v>16997.068461937568</v>
      </c>
      <c r="K12" s="120">
        <f t="shared" si="0"/>
        <v>0</v>
      </c>
      <c r="L12" s="120">
        <f t="shared" si="0"/>
        <v>7148.3361597820458</v>
      </c>
      <c r="M12" s="120">
        <f t="shared" si="0"/>
        <v>5284.9803999999986</v>
      </c>
      <c r="N12" s="120">
        <f t="shared" si="0"/>
        <v>77708.832620999994</v>
      </c>
      <c r="O12" s="120">
        <f t="shared" si="0"/>
        <v>0</v>
      </c>
      <c r="P12" s="120">
        <f t="shared" si="0"/>
        <v>-19098.922631734771</v>
      </c>
      <c r="Q12" s="120">
        <f t="shared" si="0"/>
        <v>0</v>
      </c>
      <c r="R12" s="120">
        <f t="shared" si="0"/>
        <v>-19098.922631734771</v>
      </c>
    </row>
    <row r="13" spans="2:18" ht="29" customHeight="1" x14ac:dyDescent="0.35">
      <c r="B13" s="298" t="s">
        <v>25</v>
      </c>
      <c r="C13" s="299"/>
      <c r="D13" s="299"/>
      <c r="E13" s="299"/>
      <c r="F13" s="299"/>
      <c r="G13" s="299"/>
      <c r="H13" s="299"/>
      <c r="I13" s="299"/>
      <c r="J13" s="299"/>
      <c r="K13" s="299"/>
      <c r="L13" s="299"/>
      <c r="M13" s="299"/>
      <c r="N13" s="299"/>
      <c r="O13" s="299"/>
      <c r="P13" s="299"/>
      <c r="Q13" s="299"/>
      <c r="R13" s="299"/>
    </row>
  </sheetData>
  <sheetProtection algorithmName="SHA-512" hashValue="Z2Jkl4/gPYrFShye9XVC4rkj9YCUTtBkebs6pNT57PSmiuQCYSAALhu4LGpWia+EUIHQaXGPt8ViLAN/dulA/g==" saltValue="5s0ROapv+1nrkvPlDMBCxA==" spinCount="100000" sheet="1" objects="1" scenarios="1"/>
  <mergeCells count="3">
    <mergeCell ref="B5:R5"/>
    <mergeCell ref="B13:R13"/>
    <mergeCell ref="B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tabColor rgb="FF92D050"/>
    <pageSetUpPr fitToPage="1"/>
  </sheetPr>
  <dimension ref="B4:O46"/>
  <sheetViews>
    <sheetView workbookViewId="0"/>
  </sheetViews>
  <sheetFormatPr defaultColWidth="21.36328125" defaultRowHeight="15.5" x14ac:dyDescent="0.35"/>
  <cols>
    <col min="1" max="1" width="21.36328125" style="76" customWidth="1"/>
    <col min="2" max="2" width="33.08984375" style="76" bestFit="1" customWidth="1"/>
    <col min="3" max="11" width="19.90625" style="76" customWidth="1"/>
    <col min="12" max="14" width="21.36328125" style="134" customWidth="1"/>
    <col min="15" max="42" width="21.36328125" style="76" customWidth="1"/>
    <col min="43" max="16384" width="21.36328125" style="76"/>
  </cols>
  <sheetData>
    <row r="4" spans="2:15" ht="16" customHeight="1" x14ac:dyDescent="0.35">
      <c r="B4" s="300" t="str">
        <f>_xlfn.CONCAT('Table of Contents'!B11,": ",'Table of Contents'!C11)</f>
        <v>APPENDIX 4 i: SUMMARY OF LONG TERM INSURANCE BUSINESS BALANCE SHEETS AS AT 31.12.2025</v>
      </c>
      <c r="C4" s="269"/>
      <c r="D4" s="269"/>
      <c r="E4" s="269"/>
      <c r="F4" s="269"/>
      <c r="G4" s="269"/>
      <c r="H4" s="269"/>
      <c r="I4" s="269"/>
      <c r="J4" s="269"/>
      <c r="K4" s="270"/>
    </row>
    <row r="5" spans="2:15" ht="46.5" x14ac:dyDescent="0.35">
      <c r="B5" s="218" t="s">
        <v>0</v>
      </c>
      <c r="C5" s="219" t="s">
        <v>110</v>
      </c>
      <c r="D5" s="219" t="s">
        <v>111</v>
      </c>
      <c r="E5" s="219" t="s">
        <v>112</v>
      </c>
      <c r="F5" s="219" t="s">
        <v>113</v>
      </c>
      <c r="G5" s="219" t="s">
        <v>114</v>
      </c>
      <c r="H5" s="219" t="s">
        <v>115</v>
      </c>
      <c r="I5" s="219" t="s">
        <v>104</v>
      </c>
      <c r="J5" s="219" t="s">
        <v>73</v>
      </c>
      <c r="K5" s="219" t="s">
        <v>105</v>
      </c>
      <c r="O5" s="219"/>
    </row>
    <row r="6" spans="2:15" ht="16" customHeight="1" x14ac:dyDescent="0.35">
      <c r="B6" s="220" t="s">
        <v>132</v>
      </c>
      <c r="C6" s="221">
        <v>699000</v>
      </c>
      <c r="D6" s="221">
        <v>1100000</v>
      </c>
      <c r="E6" s="221">
        <v>1200000</v>
      </c>
      <c r="F6" s="221">
        <v>416725.76799999998</v>
      </c>
      <c r="G6" s="221">
        <v>400000</v>
      </c>
      <c r="H6" s="221">
        <v>800000</v>
      </c>
      <c r="I6" s="221">
        <v>500000</v>
      </c>
      <c r="J6" s="221">
        <v>200000</v>
      </c>
      <c r="K6" s="221">
        <v>500000</v>
      </c>
    </row>
    <row r="7" spans="2:15" ht="16" customHeight="1" x14ac:dyDescent="0.35">
      <c r="B7" s="220" t="s">
        <v>133</v>
      </c>
      <c r="C7" s="221">
        <v>0</v>
      </c>
      <c r="D7" s="221">
        <v>0</v>
      </c>
      <c r="E7" s="221">
        <v>0</v>
      </c>
      <c r="F7" s="221">
        <v>491067.64799999999</v>
      </c>
      <c r="G7" s="221">
        <v>0</v>
      </c>
      <c r="H7" s="221">
        <v>0</v>
      </c>
      <c r="I7" s="221">
        <v>0</v>
      </c>
      <c r="J7" s="221">
        <v>0</v>
      </c>
      <c r="K7" s="221">
        <v>0</v>
      </c>
    </row>
    <row r="8" spans="2:15" ht="16" customHeight="1" x14ac:dyDescent="0.35">
      <c r="B8" s="220" t="s">
        <v>134</v>
      </c>
      <c r="C8" s="221">
        <v>0</v>
      </c>
      <c r="D8" s="221">
        <v>0</v>
      </c>
      <c r="E8" s="221">
        <v>0</v>
      </c>
      <c r="F8" s="221">
        <v>2500</v>
      </c>
      <c r="G8" s="221">
        <v>2072.9090000000001</v>
      </c>
      <c r="H8" s="221">
        <v>0</v>
      </c>
      <c r="I8" s="221">
        <v>0</v>
      </c>
      <c r="J8" s="221">
        <v>-8100</v>
      </c>
      <c r="K8" s="221">
        <v>0</v>
      </c>
    </row>
    <row r="9" spans="2:15" ht="16" customHeight="1" x14ac:dyDescent="0.35">
      <c r="B9" s="220" t="s">
        <v>135</v>
      </c>
      <c r="C9" s="221">
        <v>778220.09900000005</v>
      </c>
      <c r="D9" s="221">
        <v>-113765.053</v>
      </c>
      <c r="E9" s="221">
        <v>16650413.60721915</v>
      </c>
      <c r="F9" s="221">
        <v>0</v>
      </c>
      <c r="G9" s="221">
        <v>1120.164</v>
      </c>
      <c r="H9" s="221">
        <v>2248532.0382061512</v>
      </c>
      <c r="I9" s="221">
        <v>0</v>
      </c>
      <c r="J9" s="221">
        <v>0</v>
      </c>
      <c r="K9" s="221">
        <v>0</v>
      </c>
    </row>
    <row r="10" spans="2:15" ht="16" customHeight="1" x14ac:dyDescent="0.35">
      <c r="B10" s="220" t="s">
        <v>136</v>
      </c>
      <c r="C10" s="221">
        <v>1000000</v>
      </c>
      <c r="D10" s="221">
        <v>0</v>
      </c>
      <c r="E10" s="221">
        <v>0</v>
      </c>
      <c r="F10" s="221">
        <v>404206.58217000001</v>
      </c>
      <c r="G10" s="221">
        <v>0</v>
      </c>
      <c r="H10" s="221">
        <v>588924.66783999989</v>
      </c>
      <c r="I10" s="221">
        <v>-1E-3</v>
      </c>
      <c r="J10" s="221">
        <v>0</v>
      </c>
      <c r="K10" s="221">
        <v>0</v>
      </c>
    </row>
    <row r="11" spans="2:15" ht="16" customHeight="1" x14ac:dyDescent="0.35">
      <c r="B11" s="220" t="s">
        <v>137</v>
      </c>
      <c r="C11" s="221">
        <v>-1000230.236583068</v>
      </c>
      <c r="D11" s="221">
        <v>790348.24352532986</v>
      </c>
      <c r="E11" s="221">
        <v>75000</v>
      </c>
      <c r="F11" s="221">
        <v>-1248907.137965634</v>
      </c>
      <c r="G11" s="221">
        <v>284659.28659142507</v>
      </c>
      <c r="H11" s="221">
        <v>4.7946691513061532E-5</v>
      </c>
      <c r="I11" s="221">
        <v>-2461.168272361725</v>
      </c>
      <c r="J11" s="221">
        <v>-295693.97546426061</v>
      </c>
      <c r="K11" s="221">
        <v>1322979.4759882281</v>
      </c>
    </row>
    <row r="12" spans="2:15" ht="16" customHeight="1" x14ac:dyDescent="0.35">
      <c r="B12" s="220" t="s">
        <v>138</v>
      </c>
      <c r="C12" s="221">
        <v>0</v>
      </c>
      <c r="D12" s="221">
        <v>122330.96524233599</v>
      </c>
      <c r="E12" s="221">
        <v>0</v>
      </c>
      <c r="F12" s="221">
        <v>518154.63468000002</v>
      </c>
      <c r="G12" s="221">
        <v>0</v>
      </c>
      <c r="H12" s="221">
        <v>0</v>
      </c>
      <c r="I12" s="221">
        <v>0</v>
      </c>
      <c r="J12" s="221">
        <v>-205203</v>
      </c>
      <c r="K12" s="221">
        <v>0</v>
      </c>
    </row>
    <row r="13" spans="2:15" ht="16" customHeight="1" thickBot="1" x14ac:dyDescent="0.4">
      <c r="B13" s="222" t="s">
        <v>139</v>
      </c>
      <c r="C13" s="223">
        <v>1476989.8624169319</v>
      </c>
      <c r="D13" s="223">
        <v>1898914.1557676659</v>
      </c>
      <c r="E13" s="223">
        <v>17925413.607219148</v>
      </c>
      <c r="F13" s="223">
        <v>583747.49488436582</v>
      </c>
      <c r="G13" s="223">
        <v>687852.35959142505</v>
      </c>
      <c r="H13" s="223">
        <v>3637456.7060940969</v>
      </c>
      <c r="I13" s="223">
        <v>497538.83072763833</v>
      </c>
      <c r="J13" s="223">
        <v>-308996.97546426061</v>
      </c>
      <c r="K13" s="223">
        <v>1822979.4759882281</v>
      </c>
    </row>
    <row r="14" spans="2:15" ht="16" customHeight="1" thickTop="1" x14ac:dyDescent="0.35">
      <c r="B14" s="224" t="s">
        <v>140</v>
      </c>
      <c r="C14" s="221">
        <v>0</v>
      </c>
      <c r="D14" s="221">
        <v>290376.26899999997</v>
      </c>
      <c r="E14" s="221">
        <v>0</v>
      </c>
      <c r="F14" s="221">
        <v>0</v>
      </c>
      <c r="G14" s="221">
        <v>17360.133999999998</v>
      </c>
      <c r="H14" s="221">
        <v>98924.319174361648</v>
      </c>
      <c r="I14" s="221">
        <v>0</v>
      </c>
      <c r="J14" s="221">
        <v>0</v>
      </c>
      <c r="K14" s="221">
        <v>0</v>
      </c>
    </row>
    <row r="15" spans="2:15" ht="16" customHeight="1" x14ac:dyDescent="0.35">
      <c r="B15" s="225" t="s">
        <v>141</v>
      </c>
      <c r="C15" s="221">
        <v>19163545.097538639</v>
      </c>
      <c r="D15" s="221">
        <v>25685136.85239112</v>
      </c>
      <c r="E15" s="221">
        <v>174268250.8821784</v>
      </c>
      <c r="F15" s="221">
        <v>804549.27777276607</v>
      </c>
      <c r="G15" s="221">
        <v>1316385.21793452</v>
      </c>
      <c r="H15" s="221">
        <v>37157329.65213719</v>
      </c>
      <c r="I15" s="221">
        <v>83563.37</v>
      </c>
      <c r="J15" s="221">
        <v>947009.00675942039</v>
      </c>
      <c r="K15" s="221">
        <v>750944.86242804804</v>
      </c>
    </row>
    <row r="16" spans="2:15" ht="16" customHeight="1" x14ac:dyDescent="0.35">
      <c r="B16" s="225" t="s">
        <v>142</v>
      </c>
      <c r="C16" s="221">
        <v>0</v>
      </c>
      <c r="D16" s="221">
        <v>0</v>
      </c>
      <c r="E16" s="221">
        <v>3217.346</v>
      </c>
      <c r="F16" s="221">
        <v>0</v>
      </c>
      <c r="G16" s="221">
        <v>60826.292999999998</v>
      </c>
      <c r="H16" s="221">
        <v>0</v>
      </c>
      <c r="I16" s="221">
        <v>5985.7190000000001</v>
      </c>
      <c r="J16" s="221">
        <v>0</v>
      </c>
      <c r="K16" s="221">
        <v>99143.934890000004</v>
      </c>
    </row>
    <row r="17" spans="2:11" ht="16" customHeight="1" x14ac:dyDescent="0.35">
      <c r="B17" s="225" t="s">
        <v>143</v>
      </c>
      <c r="C17" s="221">
        <v>0</v>
      </c>
      <c r="D17" s="221">
        <v>0</v>
      </c>
      <c r="E17" s="221">
        <v>7135891.7665714296</v>
      </c>
      <c r="F17" s="221">
        <v>0</v>
      </c>
      <c r="G17" s="221">
        <v>0</v>
      </c>
      <c r="H17" s="221">
        <v>1034704.583555136</v>
      </c>
      <c r="I17" s="221">
        <v>70315.084000000003</v>
      </c>
      <c r="J17" s="221">
        <v>0</v>
      </c>
      <c r="K17" s="221">
        <v>566991.11800000002</v>
      </c>
    </row>
    <row r="18" spans="2:11" ht="16" customHeight="1" x14ac:dyDescent="0.35">
      <c r="B18" s="225" t="s">
        <v>144</v>
      </c>
      <c r="C18" s="221">
        <v>405666.32</v>
      </c>
      <c r="D18" s="221">
        <v>171916.875</v>
      </c>
      <c r="E18" s="221">
        <v>1516168.96</v>
      </c>
      <c r="F18" s="221">
        <v>116808.41486999999</v>
      </c>
      <c r="G18" s="221">
        <v>1832.7840000000001</v>
      </c>
      <c r="H18" s="221">
        <v>912470.96862842864</v>
      </c>
      <c r="I18" s="221">
        <v>12239.213</v>
      </c>
      <c r="J18" s="221">
        <v>120616.517236</v>
      </c>
      <c r="K18" s="221">
        <v>7497.3530000000001</v>
      </c>
    </row>
    <row r="19" spans="2:11" ht="16" customHeight="1" x14ac:dyDescent="0.35">
      <c r="B19" s="225" t="s">
        <v>145</v>
      </c>
      <c r="C19" s="221">
        <v>376488.93390081788</v>
      </c>
      <c r="D19" s="221">
        <v>300641.38091673661</v>
      </c>
      <c r="E19" s="221">
        <v>1249452.7145891241</v>
      </c>
      <c r="F19" s="221">
        <v>240327.04887999999</v>
      </c>
      <c r="G19" s="221">
        <v>64854.487999999998</v>
      </c>
      <c r="H19" s="221">
        <v>160934.8060581577</v>
      </c>
      <c r="I19" s="221">
        <v>60137.716999999997</v>
      </c>
      <c r="J19" s="221">
        <v>22467.175000000028</v>
      </c>
      <c r="K19" s="221">
        <v>0</v>
      </c>
    </row>
    <row r="20" spans="2:11" ht="16" customHeight="1" thickBot="1" x14ac:dyDescent="0.4">
      <c r="B20" s="226" t="s">
        <v>146</v>
      </c>
      <c r="C20" s="227">
        <v>21422690.21385638</v>
      </c>
      <c r="D20" s="227">
        <v>28346985.533075519</v>
      </c>
      <c r="E20" s="227">
        <v>202098395.2765581</v>
      </c>
      <c r="F20" s="227">
        <v>1745432.2364071319</v>
      </c>
      <c r="G20" s="227">
        <v>2149111.2765259449</v>
      </c>
      <c r="H20" s="227">
        <v>43001821.03564737</v>
      </c>
      <c r="I20" s="227">
        <v>729779.93372763821</v>
      </c>
      <c r="J20" s="227">
        <v>781095.72353115992</v>
      </c>
      <c r="K20" s="227">
        <v>3247556.744306277</v>
      </c>
    </row>
    <row r="21" spans="2:11" ht="16" customHeight="1" thickTop="1" x14ac:dyDescent="0.35">
      <c r="B21" s="228" t="s">
        <v>147</v>
      </c>
      <c r="C21" s="221">
        <v>28272.253209999999</v>
      </c>
      <c r="D21" s="221">
        <v>9542.125</v>
      </c>
      <c r="E21" s="221">
        <v>229295.00881999999</v>
      </c>
      <c r="F21" s="221">
        <v>978.16</v>
      </c>
      <c r="G21" s="221">
        <v>15943.662</v>
      </c>
      <c r="H21" s="221">
        <v>84322.390280000021</v>
      </c>
      <c r="I21" s="221">
        <v>0</v>
      </c>
      <c r="J21" s="221">
        <v>630.5092400000002</v>
      </c>
      <c r="K21" s="221">
        <v>0.1</v>
      </c>
    </row>
    <row r="22" spans="2:11" ht="16" customHeight="1" x14ac:dyDescent="0.35">
      <c r="B22" s="225" t="s">
        <v>148</v>
      </c>
      <c r="C22" s="221">
        <v>0</v>
      </c>
      <c r="D22" s="221">
        <v>155000</v>
      </c>
      <c r="E22" s="221">
        <v>373181.37912</v>
      </c>
      <c r="F22" s="221">
        <v>92500</v>
      </c>
      <c r="G22" s="221">
        <v>0</v>
      </c>
      <c r="H22" s="221">
        <v>0</v>
      </c>
      <c r="I22" s="221">
        <v>0</v>
      </c>
      <c r="J22" s="221">
        <v>713255.4</v>
      </c>
      <c r="K22" s="221">
        <v>0</v>
      </c>
    </row>
    <row r="23" spans="2:11" ht="16" customHeight="1" x14ac:dyDescent="0.35">
      <c r="B23" s="225" t="s">
        <v>149</v>
      </c>
      <c r="C23" s="221">
        <v>0</v>
      </c>
      <c r="D23" s="221">
        <v>0</v>
      </c>
      <c r="E23" s="221">
        <v>16654914.77138</v>
      </c>
      <c r="F23" s="221">
        <v>994050</v>
      </c>
      <c r="G23" s="221">
        <v>540000</v>
      </c>
      <c r="H23" s="221">
        <v>2181875.00025</v>
      </c>
      <c r="I23" s="221">
        <v>0</v>
      </c>
      <c r="J23" s="221">
        <v>0</v>
      </c>
      <c r="K23" s="221">
        <v>0</v>
      </c>
    </row>
    <row r="24" spans="2:11" ht="16" customHeight="1" x14ac:dyDescent="0.35">
      <c r="B24" s="225" t="s">
        <v>150</v>
      </c>
      <c r="C24" s="221">
        <v>46959.950200000007</v>
      </c>
      <c r="D24" s="221">
        <v>13161.73986836208</v>
      </c>
      <c r="E24" s="221">
        <v>100705.03728000091</v>
      </c>
      <c r="F24" s="221">
        <v>848.52291023900364</v>
      </c>
      <c r="G24" s="221">
        <v>24312.303500000002</v>
      </c>
      <c r="H24" s="221">
        <v>56013.204420000016</v>
      </c>
      <c r="I24" s="221">
        <v>0</v>
      </c>
      <c r="J24" s="221">
        <v>527.43853000000001</v>
      </c>
      <c r="K24" s="221">
        <v>0</v>
      </c>
    </row>
    <row r="25" spans="2:11" ht="16" customHeight="1" x14ac:dyDescent="0.35">
      <c r="B25" s="225" t="s">
        <v>151</v>
      </c>
      <c r="C25" s="221">
        <v>17956640.894077338</v>
      </c>
      <c r="D25" s="221">
        <v>23657464.316581231</v>
      </c>
      <c r="E25" s="221">
        <v>143834506.61728001</v>
      </c>
      <c r="F25" s="221">
        <v>468740.98954751599</v>
      </c>
      <c r="G25" s="221">
        <v>120277.89320091229</v>
      </c>
      <c r="H25" s="221">
        <v>28971154.813500021</v>
      </c>
      <c r="I25" s="221">
        <v>565115.41799999995</v>
      </c>
      <c r="J25" s="221">
        <v>26756.425999999999</v>
      </c>
      <c r="K25" s="221">
        <v>1373057.28</v>
      </c>
    </row>
    <row r="26" spans="2:11" ht="16" customHeight="1" x14ac:dyDescent="0.35">
      <c r="B26" s="225" t="s">
        <v>152</v>
      </c>
      <c r="C26" s="221">
        <v>0</v>
      </c>
      <c r="D26" s="221">
        <v>92087.606549999997</v>
      </c>
      <c r="E26" s="221">
        <v>20899126.117059998</v>
      </c>
      <c r="F26" s="221">
        <v>0</v>
      </c>
      <c r="G26" s="221">
        <v>0</v>
      </c>
      <c r="H26" s="221">
        <v>358098.33545000001</v>
      </c>
      <c r="I26" s="221">
        <v>0</v>
      </c>
      <c r="J26" s="221">
        <v>0</v>
      </c>
      <c r="K26" s="221">
        <v>0</v>
      </c>
    </row>
    <row r="27" spans="2:11" ht="16" customHeight="1" x14ac:dyDescent="0.35">
      <c r="B27" s="225" t="s">
        <v>153</v>
      </c>
      <c r="C27" s="221">
        <v>0</v>
      </c>
      <c r="D27" s="221">
        <v>0</v>
      </c>
      <c r="E27" s="221">
        <v>9100991.1929700002</v>
      </c>
      <c r="F27" s="221">
        <v>0</v>
      </c>
      <c r="G27" s="221">
        <v>0</v>
      </c>
      <c r="H27" s="221">
        <v>0</v>
      </c>
      <c r="I27" s="221">
        <v>0</v>
      </c>
      <c r="J27" s="221">
        <v>0</v>
      </c>
      <c r="K27" s="221">
        <v>0</v>
      </c>
    </row>
    <row r="28" spans="2:11" ht="16" customHeight="1" x14ac:dyDescent="0.35">
      <c r="B28" s="225" t="s">
        <v>154</v>
      </c>
      <c r="C28" s="221">
        <v>0</v>
      </c>
      <c r="D28" s="221">
        <v>2066582.423</v>
      </c>
      <c r="E28" s="221">
        <v>582.029</v>
      </c>
      <c r="F28" s="221">
        <v>0</v>
      </c>
      <c r="G28" s="221">
        <v>0</v>
      </c>
      <c r="H28" s="221">
        <v>184874.72034</v>
      </c>
      <c r="I28" s="221">
        <v>0</v>
      </c>
      <c r="J28" s="221">
        <v>0</v>
      </c>
      <c r="K28" s="221">
        <v>200847</v>
      </c>
    </row>
    <row r="29" spans="2:11" ht="16" customHeight="1" x14ac:dyDescent="0.35">
      <c r="B29" s="225" t="s">
        <v>155</v>
      </c>
      <c r="C29" s="221">
        <v>0</v>
      </c>
      <c r="D29" s="221">
        <v>72470.136629999994</v>
      </c>
      <c r="E29" s="221">
        <v>0</v>
      </c>
      <c r="F29" s="221">
        <v>0</v>
      </c>
      <c r="G29" s="221">
        <v>0</v>
      </c>
      <c r="H29" s="221">
        <v>0</v>
      </c>
      <c r="I29" s="221">
        <v>0</v>
      </c>
      <c r="J29" s="221">
        <v>0</v>
      </c>
      <c r="K29" s="221">
        <v>0</v>
      </c>
    </row>
    <row r="30" spans="2:11" ht="16" customHeight="1" x14ac:dyDescent="0.35">
      <c r="B30" s="225" t="s">
        <v>156</v>
      </c>
      <c r="C30" s="221">
        <v>0</v>
      </c>
      <c r="D30" s="221">
        <v>0</v>
      </c>
      <c r="E30" s="221">
        <v>0</v>
      </c>
      <c r="F30" s="221">
        <v>0</v>
      </c>
      <c r="G30" s="221">
        <v>0</v>
      </c>
      <c r="H30" s="221">
        <v>0</v>
      </c>
      <c r="I30" s="221">
        <v>0</v>
      </c>
      <c r="J30" s="221">
        <v>0</v>
      </c>
      <c r="K30" s="221">
        <v>0</v>
      </c>
    </row>
    <row r="31" spans="2:11" ht="16" customHeight="1" x14ac:dyDescent="0.35">
      <c r="B31" s="225" t="s">
        <v>157</v>
      </c>
      <c r="C31" s="221">
        <v>0</v>
      </c>
      <c r="D31" s="221">
        <v>608897.73699</v>
      </c>
      <c r="E31" s="221">
        <v>3802142.5720000011</v>
      </c>
      <c r="F31" s="221">
        <v>0</v>
      </c>
      <c r="G31" s="221">
        <v>1.56</v>
      </c>
      <c r="H31" s="221">
        <v>1554013.6817900001</v>
      </c>
      <c r="I31" s="221">
        <v>0</v>
      </c>
      <c r="J31" s="221">
        <v>0</v>
      </c>
      <c r="K31" s="221">
        <v>14464.879000000001</v>
      </c>
    </row>
    <row r="32" spans="2:11" ht="16" customHeight="1" x14ac:dyDescent="0.35">
      <c r="B32" s="225" t="s">
        <v>158</v>
      </c>
      <c r="C32" s="221">
        <v>0</v>
      </c>
      <c r="D32" s="221">
        <v>10161.451206420041</v>
      </c>
      <c r="E32" s="221">
        <v>846257.71360700647</v>
      </c>
      <c r="F32" s="221">
        <v>211.64</v>
      </c>
      <c r="G32" s="221">
        <v>0</v>
      </c>
      <c r="H32" s="221">
        <v>0</v>
      </c>
      <c r="I32" s="221">
        <v>0</v>
      </c>
      <c r="J32" s="221">
        <v>1770.231</v>
      </c>
      <c r="K32" s="221">
        <v>0</v>
      </c>
    </row>
    <row r="33" spans="2:11" ht="16" customHeight="1" x14ac:dyDescent="0.35">
      <c r="B33" s="225" t="s">
        <v>159</v>
      </c>
      <c r="C33" s="221">
        <v>0</v>
      </c>
      <c r="D33" s="221">
        <v>0</v>
      </c>
      <c r="E33" s="221">
        <v>0</v>
      </c>
      <c r="F33" s="221">
        <v>0</v>
      </c>
      <c r="G33" s="221">
        <v>0</v>
      </c>
      <c r="H33" s="221">
        <v>0</v>
      </c>
      <c r="I33" s="221">
        <v>0</v>
      </c>
      <c r="J33" s="221">
        <v>0</v>
      </c>
      <c r="K33" s="221">
        <v>0</v>
      </c>
    </row>
    <row r="34" spans="2:11" ht="16" customHeight="1" x14ac:dyDescent="0.35">
      <c r="B34" s="225" t="s">
        <v>160</v>
      </c>
      <c r="C34" s="221">
        <v>0</v>
      </c>
      <c r="D34" s="221">
        <v>0</v>
      </c>
      <c r="E34" s="221">
        <v>0</v>
      </c>
      <c r="F34" s="221">
        <v>0</v>
      </c>
      <c r="G34" s="221">
        <v>0</v>
      </c>
      <c r="H34" s="221">
        <v>0</v>
      </c>
      <c r="I34" s="221">
        <v>0</v>
      </c>
      <c r="J34" s="221">
        <v>0</v>
      </c>
      <c r="K34" s="221">
        <v>0</v>
      </c>
    </row>
    <row r="35" spans="2:11" ht="16" customHeight="1" x14ac:dyDescent="0.35">
      <c r="B35" s="225" t="s">
        <v>161</v>
      </c>
      <c r="C35" s="221">
        <v>0</v>
      </c>
      <c r="D35" s="221">
        <v>57875.781599999988</v>
      </c>
      <c r="E35" s="221">
        <v>50596.088000000003</v>
      </c>
      <c r="F35" s="221">
        <v>0</v>
      </c>
      <c r="G35" s="221">
        <v>0</v>
      </c>
      <c r="H35" s="221">
        <v>558141.28967000009</v>
      </c>
      <c r="I35" s="221">
        <v>0</v>
      </c>
      <c r="J35" s="221">
        <v>6692.2557839660976</v>
      </c>
      <c r="K35" s="221">
        <v>0</v>
      </c>
    </row>
    <row r="36" spans="2:11" ht="16" customHeight="1" x14ac:dyDescent="0.35">
      <c r="B36" s="225" t="s">
        <v>162</v>
      </c>
      <c r="C36" s="221">
        <v>0</v>
      </c>
      <c r="D36" s="221">
        <v>0</v>
      </c>
      <c r="E36" s="221">
        <v>791880.47593999864</v>
      </c>
      <c r="F36" s="221">
        <v>0</v>
      </c>
      <c r="G36" s="221">
        <v>0</v>
      </c>
      <c r="H36" s="221">
        <v>0</v>
      </c>
      <c r="I36" s="221">
        <v>0</v>
      </c>
      <c r="J36" s="221">
        <v>0</v>
      </c>
      <c r="K36" s="221">
        <v>0</v>
      </c>
    </row>
    <row r="37" spans="2:11" ht="16" customHeight="1" x14ac:dyDescent="0.35">
      <c r="B37" s="225" t="s">
        <v>163</v>
      </c>
      <c r="C37" s="221">
        <v>602573.53113999986</v>
      </c>
      <c r="D37" s="221">
        <v>919964.39257046347</v>
      </c>
      <c r="E37" s="221">
        <v>32188.33325</v>
      </c>
      <c r="F37" s="221">
        <v>55786.325429726043</v>
      </c>
      <c r="G37" s="221">
        <v>70745.004630136988</v>
      </c>
      <c r="H37" s="221">
        <v>6184625.4867000021</v>
      </c>
      <c r="I37" s="221">
        <v>155034.0915639601</v>
      </c>
      <c r="J37" s="221">
        <v>0</v>
      </c>
      <c r="K37" s="221">
        <v>958644.20928287168</v>
      </c>
    </row>
    <row r="38" spans="2:11" ht="16" customHeight="1" x14ac:dyDescent="0.35">
      <c r="B38" s="225" t="s">
        <v>164</v>
      </c>
      <c r="C38" s="221">
        <v>506885.42697999999</v>
      </c>
      <c r="D38" s="221">
        <v>27036.816019999991</v>
      </c>
      <c r="E38" s="221">
        <v>2310823.4289099989</v>
      </c>
      <c r="F38" s="221">
        <v>19215.043949999999</v>
      </c>
      <c r="G38" s="221">
        <v>318780.23700000002</v>
      </c>
      <c r="H38" s="221">
        <v>276019.386</v>
      </c>
      <c r="I38" s="221">
        <v>1689.1054455000001</v>
      </c>
      <c r="J38" s="221">
        <v>8148.5876441100427</v>
      </c>
      <c r="K38" s="221">
        <v>187756.90100000001</v>
      </c>
    </row>
    <row r="39" spans="2:11" ht="16" customHeight="1" x14ac:dyDescent="0.35">
      <c r="B39" s="225" t="s">
        <v>165</v>
      </c>
      <c r="C39" s="221">
        <v>0</v>
      </c>
      <c r="D39" s="221">
        <v>0</v>
      </c>
      <c r="E39" s="221">
        <v>0</v>
      </c>
      <c r="F39" s="221">
        <v>0</v>
      </c>
      <c r="G39" s="221">
        <v>495661.82799999998</v>
      </c>
      <c r="H39" s="221">
        <v>0</v>
      </c>
      <c r="I39" s="221">
        <v>0</v>
      </c>
      <c r="J39" s="221">
        <v>10899.279096643349</v>
      </c>
      <c r="K39" s="221">
        <v>278170.51899999997</v>
      </c>
    </row>
    <row r="40" spans="2:11" ht="16" customHeight="1" x14ac:dyDescent="0.35">
      <c r="B40" s="225" t="s">
        <v>166</v>
      </c>
      <c r="C40" s="221">
        <v>946436.25155466807</v>
      </c>
      <c r="D40" s="221">
        <v>561331.8657881507</v>
      </c>
      <c r="E40" s="221">
        <v>762575.12399981974</v>
      </c>
      <c r="F40" s="221">
        <v>54771.379215706038</v>
      </c>
      <c r="G40" s="221">
        <v>257182.06</v>
      </c>
      <c r="H40" s="221">
        <v>1586275.540577369</v>
      </c>
      <c r="I40" s="221">
        <v>7127.1790000000001</v>
      </c>
      <c r="J40" s="221">
        <v>0</v>
      </c>
      <c r="K40" s="221">
        <v>155817.4259034048</v>
      </c>
    </row>
    <row r="41" spans="2:11" ht="16" customHeight="1" x14ac:dyDescent="0.35">
      <c r="B41" s="225" t="s">
        <v>167</v>
      </c>
      <c r="C41" s="221">
        <v>0</v>
      </c>
      <c r="D41" s="221">
        <v>22089.501830000001</v>
      </c>
      <c r="E41" s="221">
        <v>2007226.731618372</v>
      </c>
      <c r="F41" s="221">
        <v>6056.2939999999999</v>
      </c>
      <c r="G41" s="221">
        <v>0</v>
      </c>
      <c r="H41" s="221">
        <v>857788.89067000197</v>
      </c>
      <c r="I41" s="221">
        <v>814.14</v>
      </c>
      <c r="J41" s="221">
        <v>12415.59623644032</v>
      </c>
      <c r="K41" s="221">
        <v>78798.430120000005</v>
      </c>
    </row>
    <row r="42" spans="2:11" ht="16" customHeight="1" x14ac:dyDescent="0.35">
      <c r="B42" s="225" t="s">
        <v>168</v>
      </c>
      <c r="C42" s="221">
        <v>1334921.9064100001</v>
      </c>
      <c r="D42" s="221">
        <v>73319.6398278696</v>
      </c>
      <c r="E42" s="221">
        <v>301402.65686374123</v>
      </c>
      <c r="F42" s="221">
        <v>52273.881000000001</v>
      </c>
      <c r="G42" s="221">
        <v>306206.72899999999</v>
      </c>
      <c r="H42" s="221">
        <v>148618.296</v>
      </c>
      <c r="I42" s="221">
        <v>0</v>
      </c>
      <c r="J42" s="221">
        <v>0</v>
      </c>
      <c r="K42" s="221">
        <v>0</v>
      </c>
    </row>
    <row r="43" spans="2:11" ht="16" customHeight="1" thickBot="1" x14ac:dyDescent="0.4">
      <c r="B43" s="226" t="s">
        <v>169</v>
      </c>
      <c r="C43" s="227">
        <v>21422690.21357201</v>
      </c>
      <c r="D43" s="227">
        <v>28346985.53346251</v>
      </c>
      <c r="E43" s="227">
        <v>202098395.27709889</v>
      </c>
      <c r="F43" s="227">
        <v>1745432.2360531869</v>
      </c>
      <c r="G43" s="227">
        <v>2149111.2773310491</v>
      </c>
      <c r="H43" s="227">
        <v>43001821.035647377</v>
      </c>
      <c r="I43" s="227">
        <v>729779.93400946003</v>
      </c>
      <c r="J43" s="227">
        <v>781095.72353115992</v>
      </c>
      <c r="K43" s="227">
        <v>3247556.744306277</v>
      </c>
    </row>
    <row r="44" spans="2:11" ht="16" customHeight="1" thickTop="1" x14ac:dyDescent="0.35">
      <c r="B44" s="303" t="s">
        <v>170</v>
      </c>
      <c r="C44" s="304"/>
      <c r="D44" s="304"/>
      <c r="E44" s="304"/>
      <c r="F44" s="304"/>
      <c r="G44" s="304"/>
      <c r="H44" s="304"/>
      <c r="I44" s="304"/>
      <c r="J44" s="301" t="s">
        <v>171</v>
      </c>
      <c r="K44" s="302"/>
    </row>
    <row r="46" spans="2:11" x14ac:dyDescent="0.35">
      <c r="C46" s="229"/>
      <c r="D46" s="229"/>
      <c r="E46" s="229"/>
      <c r="F46" s="229"/>
      <c r="G46" s="229"/>
      <c r="H46" s="229"/>
      <c r="I46" s="229"/>
      <c r="J46" s="229"/>
      <c r="K46" s="229"/>
    </row>
  </sheetData>
  <sheetProtection algorithmName="SHA-512" hashValue="tYcdRgiwMNYHKjBYZQahZNEsYE9qX+DNKU7aoPN8TaVwOrSEps+/+yNGvCOe3kcpur/fFJNdvnaobczLlL472w==" saltValue="vfJsDsOorY6f/ZUa9QKgiA==" spinCount="100000" sheet="1" objects="1" scenarios="1"/>
  <mergeCells count="3">
    <mergeCell ref="B4:K4"/>
    <mergeCell ref="J44:K44"/>
    <mergeCell ref="B44:I44"/>
  </mergeCells>
  <pageMargins left="0.70866141732283472" right="0.70866141732283472" top="0.74803149606299213" bottom="0.74803149606299213" header="0.31496062992125978" footer="0.31496062992125978"/>
  <pageSetup paperSize="9" scale="41"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tabColor rgb="FF92D050"/>
    <pageSetUpPr fitToPage="1"/>
  </sheetPr>
  <dimension ref="B3:L46"/>
  <sheetViews>
    <sheetView zoomScale="77" workbookViewId="0"/>
  </sheetViews>
  <sheetFormatPr defaultColWidth="19.453125" defaultRowHeight="15.5" x14ac:dyDescent="0.35"/>
  <cols>
    <col min="1" max="1" width="18.453125" style="231" customWidth="1"/>
    <col min="2" max="2" width="33.08984375" style="231" bestFit="1" customWidth="1"/>
    <col min="3" max="5" width="20.81640625" style="76" customWidth="1"/>
    <col min="6" max="11" width="20.81640625" style="231" customWidth="1"/>
    <col min="12" max="12" width="19.453125" style="134" customWidth="1"/>
    <col min="13" max="97" width="19.453125" style="231" customWidth="1"/>
    <col min="98" max="16384" width="19.453125" style="231"/>
  </cols>
  <sheetData>
    <row r="3" spans="2:11" ht="16" customHeight="1" x14ac:dyDescent="0.35">
      <c r="B3" s="230" t="s">
        <v>172</v>
      </c>
    </row>
    <row r="4" spans="2:11" ht="16" customHeight="1" x14ac:dyDescent="0.35">
      <c r="B4" s="305" t="str">
        <f>_xlfn.CONCAT('Table of Contents'!B12,": ",'Table of Contents'!C12)</f>
        <v>APPENDIX 4 ii: SUMMARY OF LONG TERM INSURANCE BUSINESS BALANCE SHEETS AS AT 31.12.2025</v>
      </c>
      <c r="C4" s="269"/>
      <c r="D4" s="269"/>
      <c r="E4" s="269"/>
      <c r="F4" s="269"/>
      <c r="G4" s="269"/>
      <c r="H4" s="269"/>
      <c r="I4" s="269"/>
      <c r="J4" s="269"/>
      <c r="K4" s="270"/>
    </row>
    <row r="5" spans="2:11" ht="62" x14ac:dyDescent="0.35">
      <c r="B5" s="218" t="s">
        <v>0</v>
      </c>
      <c r="C5" s="219" t="s">
        <v>116</v>
      </c>
      <c r="D5" s="219" t="s">
        <v>117</v>
      </c>
      <c r="E5" s="219" t="s">
        <v>118</v>
      </c>
      <c r="F5" s="219" t="s">
        <v>119</v>
      </c>
      <c r="G5" s="219" t="s">
        <v>120</v>
      </c>
      <c r="H5" s="219" t="s">
        <v>121</v>
      </c>
      <c r="I5" s="219" t="s">
        <v>122</v>
      </c>
      <c r="J5" s="219" t="s">
        <v>107</v>
      </c>
      <c r="K5" s="219" t="s">
        <v>123</v>
      </c>
    </row>
    <row r="6" spans="2:11" ht="16" customHeight="1" x14ac:dyDescent="0.35">
      <c r="B6" s="220" t="s">
        <v>132</v>
      </c>
      <c r="C6" s="221">
        <v>420000</v>
      </c>
      <c r="D6" s="221">
        <v>400000</v>
      </c>
      <c r="E6" s="221">
        <v>458093.67894999997</v>
      </c>
      <c r="F6" s="221">
        <v>1125000</v>
      </c>
      <c r="G6" s="221">
        <v>500000</v>
      </c>
      <c r="H6" s="221">
        <v>900000</v>
      </c>
      <c r="I6" s="221">
        <v>313000</v>
      </c>
      <c r="J6" s="221">
        <v>500000</v>
      </c>
      <c r="K6" s="221">
        <v>0</v>
      </c>
    </row>
    <row r="7" spans="2:11" ht="16" customHeight="1" x14ac:dyDescent="0.35">
      <c r="B7" s="220" t="s">
        <v>133</v>
      </c>
      <c r="C7" s="221">
        <v>180000</v>
      </c>
      <c r="D7" s="221">
        <v>0</v>
      </c>
      <c r="E7" s="221">
        <v>0</v>
      </c>
      <c r="F7" s="221">
        <v>1125000</v>
      </c>
      <c r="G7" s="221">
        <v>0</v>
      </c>
      <c r="H7" s="221">
        <v>1000000</v>
      </c>
      <c r="I7" s="221">
        <v>0</v>
      </c>
      <c r="J7" s="221">
        <v>0</v>
      </c>
      <c r="K7" s="221">
        <v>0</v>
      </c>
    </row>
    <row r="8" spans="2:11" ht="16" customHeight="1" x14ac:dyDescent="0.35">
      <c r="B8" s="220" t="s">
        <v>134</v>
      </c>
      <c r="C8" s="221">
        <v>0</v>
      </c>
      <c r="D8" s="221">
        <v>0</v>
      </c>
      <c r="E8" s="221">
        <v>0</v>
      </c>
      <c r="F8" s="221">
        <v>0</v>
      </c>
      <c r="G8" s="221">
        <v>0</v>
      </c>
      <c r="H8" s="221">
        <v>-536.59</v>
      </c>
      <c r="I8" s="221">
        <v>0</v>
      </c>
      <c r="J8" s="221">
        <v>0</v>
      </c>
      <c r="K8" s="221">
        <v>0</v>
      </c>
    </row>
    <row r="9" spans="2:11" ht="16" customHeight="1" x14ac:dyDescent="0.35">
      <c r="B9" s="220" t="s">
        <v>135</v>
      </c>
      <c r="C9" s="221">
        <v>0</v>
      </c>
      <c r="D9" s="221">
        <v>9749606.1689999998</v>
      </c>
      <c r="E9" s="221">
        <v>316902.99955000001</v>
      </c>
      <c r="F9" s="221">
        <v>18510139</v>
      </c>
      <c r="G9" s="221">
        <v>0</v>
      </c>
      <c r="H9" s="221">
        <v>0</v>
      </c>
      <c r="I9" s="221">
        <v>228861.748857903</v>
      </c>
      <c r="J9" s="221">
        <v>0</v>
      </c>
      <c r="K9" s="221">
        <v>0</v>
      </c>
    </row>
    <row r="10" spans="2:11" ht="16" customHeight="1" x14ac:dyDescent="0.35">
      <c r="B10" s="220" t="s">
        <v>136</v>
      </c>
      <c r="C10" s="221">
        <v>0</v>
      </c>
      <c r="D10" s="221">
        <v>0</v>
      </c>
      <c r="E10" s="221">
        <v>0</v>
      </c>
      <c r="F10" s="221">
        <v>1015000</v>
      </c>
      <c r="G10" s="221">
        <v>0</v>
      </c>
      <c r="H10" s="221">
        <v>0</v>
      </c>
      <c r="I10" s="221">
        <v>0</v>
      </c>
      <c r="J10" s="221">
        <v>0</v>
      </c>
      <c r="K10" s="221">
        <v>0</v>
      </c>
    </row>
    <row r="11" spans="2:11" ht="16" customHeight="1" x14ac:dyDescent="0.35">
      <c r="B11" s="220" t="s">
        <v>137</v>
      </c>
      <c r="C11" s="221">
        <v>3445095.527806961</v>
      </c>
      <c r="D11" s="221">
        <v>70798.781647744181</v>
      </c>
      <c r="E11" s="221">
        <v>404024.88684248069</v>
      </c>
      <c r="F11" s="221">
        <v>5232443.2101239413</v>
      </c>
      <c r="G11" s="221">
        <v>8190483.3033195436</v>
      </c>
      <c r="H11" s="221">
        <v>2450187.5048026969</v>
      </c>
      <c r="I11" s="221">
        <v>87724.448697135085</v>
      </c>
      <c r="J11" s="221">
        <v>10773758.395044049</v>
      </c>
      <c r="K11" s="221">
        <v>0</v>
      </c>
    </row>
    <row r="12" spans="2:11" ht="16" customHeight="1" x14ac:dyDescent="0.35">
      <c r="B12" s="220" t="s">
        <v>138</v>
      </c>
      <c r="C12" s="221">
        <v>4020853.200308539</v>
      </c>
      <c r="D12" s="221">
        <v>0</v>
      </c>
      <c r="E12" s="221">
        <v>0</v>
      </c>
      <c r="F12" s="221">
        <v>0</v>
      </c>
      <c r="G12" s="221">
        <v>3067746.1673923889</v>
      </c>
      <c r="H12" s="221">
        <v>2384092.6583098471</v>
      </c>
      <c r="I12" s="221">
        <v>0</v>
      </c>
      <c r="J12" s="221">
        <v>0</v>
      </c>
      <c r="K12" s="221">
        <v>0</v>
      </c>
    </row>
    <row r="13" spans="2:11" ht="16" customHeight="1" thickBot="1" x14ac:dyDescent="0.4">
      <c r="B13" s="222" t="s">
        <v>139</v>
      </c>
      <c r="C13" s="223">
        <v>8065948.7281155</v>
      </c>
      <c r="D13" s="223">
        <v>10220404.95064774</v>
      </c>
      <c r="E13" s="223">
        <v>1179021.565342481</v>
      </c>
      <c r="F13" s="223">
        <v>27007582.210123941</v>
      </c>
      <c r="G13" s="223">
        <v>11758229.47071193</v>
      </c>
      <c r="H13" s="223">
        <v>6733743.5731125437</v>
      </c>
      <c r="I13" s="223">
        <v>629586.19755503815</v>
      </c>
      <c r="J13" s="223">
        <v>11273758.395044049</v>
      </c>
      <c r="K13" s="223">
        <v>0</v>
      </c>
    </row>
    <row r="14" spans="2:11" ht="16" customHeight="1" thickTop="1" x14ac:dyDescent="0.35">
      <c r="B14" s="224" t="s">
        <v>140</v>
      </c>
      <c r="C14" s="221">
        <v>0</v>
      </c>
      <c r="D14" s="221">
        <v>48577386.071000002</v>
      </c>
      <c r="E14" s="221">
        <v>1257322.499717518</v>
      </c>
      <c r="F14" s="221">
        <v>0</v>
      </c>
      <c r="G14" s="221">
        <v>0</v>
      </c>
      <c r="H14" s="221">
        <v>0</v>
      </c>
      <c r="I14" s="221">
        <v>2081460.0829</v>
      </c>
      <c r="J14" s="221">
        <v>0</v>
      </c>
      <c r="K14" s="221">
        <v>0</v>
      </c>
    </row>
    <row r="15" spans="2:11" ht="16" customHeight="1" x14ac:dyDescent="0.35">
      <c r="B15" s="225" t="s">
        <v>141</v>
      </c>
      <c r="C15" s="221">
        <v>25000415.666525379</v>
      </c>
      <c r="D15" s="221">
        <v>41755.416162256253</v>
      </c>
      <c r="E15" s="221">
        <v>1546154.3051400001</v>
      </c>
      <c r="F15" s="221">
        <v>182002299.9256326</v>
      </c>
      <c r="G15" s="221">
        <v>166245292.06365821</v>
      </c>
      <c r="H15" s="221">
        <v>107797825.7084163</v>
      </c>
      <c r="I15" s="221">
        <v>3098899.7551893452</v>
      </c>
      <c r="J15" s="221">
        <v>2133750.7856703</v>
      </c>
      <c r="K15" s="221">
        <v>0</v>
      </c>
    </row>
    <row r="16" spans="2:11" ht="16" customHeight="1" x14ac:dyDescent="0.35">
      <c r="B16" s="225" t="s">
        <v>142</v>
      </c>
      <c r="C16" s="221">
        <v>0</v>
      </c>
      <c r="D16" s="221">
        <v>0</v>
      </c>
      <c r="E16" s="221">
        <v>0</v>
      </c>
      <c r="F16" s="221">
        <v>0</v>
      </c>
      <c r="G16" s="221">
        <v>0</v>
      </c>
      <c r="H16" s="221">
        <v>23126.82949</v>
      </c>
      <c r="I16" s="221">
        <v>0</v>
      </c>
      <c r="J16" s="221">
        <v>0</v>
      </c>
      <c r="K16" s="221">
        <v>0</v>
      </c>
    </row>
    <row r="17" spans="2:11" ht="16" customHeight="1" x14ac:dyDescent="0.35">
      <c r="B17" s="225" t="s">
        <v>143</v>
      </c>
      <c r="C17" s="221">
        <v>1328750.3977000001</v>
      </c>
      <c r="D17" s="221">
        <v>0</v>
      </c>
      <c r="E17" s="221">
        <v>58439.677000000003</v>
      </c>
      <c r="F17" s="221">
        <v>5520156</v>
      </c>
      <c r="G17" s="221">
        <v>1378255</v>
      </c>
      <c r="H17" s="221">
        <v>1021648.412</v>
      </c>
      <c r="I17" s="221">
        <v>131859.10023565049</v>
      </c>
      <c r="J17" s="221">
        <v>0</v>
      </c>
      <c r="K17" s="221">
        <v>0</v>
      </c>
    </row>
    <row r="18" spans="2:11" ht="16" customHeight="1" x14ac:dyDescent="0.35">
      <c r="B18" s="225" t="s">
        <v>144</v>
      </c>
      <c r="C18" s="221">
        <v>19939.655439999999</v>
      </c>
      <c r="D18" s="221">
        <v>73574.487829999998</v>
      </c>
      <c r="E18" s="221">
        <v>39888.157300000013</v>
      </c>
      <c r="F18" s="221">
        <v>0</v>
      </c>
      <c r="G18" s="221">
        <v>1627453.7292140471</v>
      </c>
      <c r="H18" s="221">
        <v>615865.55000000005</v>
      </c>
      <c r="I18" s="221">
        <v>21962.955000000002</v>
      </c>
      <c r="J18" s="221">
        <v>0</v>
      </c>
      <c r="K18" s="221">
        <v>0</v>
      </c>
    </row>
    <row r="19" spans="2:11" ht="16" customHeight="1" x14ac:dyDescent="0.35">
      <c r="B19" s="225" t="s">
        <v>145</v>
      </c>
      <c r="C19" s="221">
        <v>1534709.6513099971</v>
      </c>
      <c r="D19" s="221">
        <v>4496127.237470001</v>
      </c>
      <c r="E19" s="221">
        <v>70762.898320000168</v>
      </c>
      <c r="F19" s="221">
        <v>1400187.879866882</v>
      </c>
      <c r="G19" s="221">
        <v>301559.9997011447</v>
      </c>
      <c r="H19" s="221">
        <v>21058.726000005481</v>
      </c>
      <c r="I19" s="221">
        <v>933.04170041751865</v>
      </c>
      <c r="J19" s="221">
        <v>196862.23031561991</v>
      </c>
      <c r="K19" s="221">
        <v>0</v>
      </c>
    </row>
    <row r="20" spans="2:11" ht="16" customHeight="1" thickBot="1" x14ac:dyDescent="0.4">
      <c r="B20" s="226" t="s">
        <v>146</v>
      </c>
      <c r="C20" s="227">
        <v>35949764.099090867</v>
      </c>
      <c r="D20" s="227">
        <v>63409248.163110003</v>
      </c>
      <c r="E20" s="227">
        <v>4151589.1028199992</v>
      </c>
      <c r="F20" s="227">
        <v>215930226.01562339</v>
      </c>
      <c r="G20" s="227">
        <v>181310790.26328531</v>
      </c>
      <c r="H20" s="227">
        <v>116213268.7990188</v>
      </c>
      <c r="I20" s="227">
        <v>5964701.1325804517</v>
      </c>
      <c r="J20" s="227">
        <v>13604371.41102997</v>
      </c>
      <c r="K20" s="227">
        <v>0</v>
      </c>
    </row>
    <row r="21" spans="2:11" ht="16" customHeight="1" thickTop="1" x14ac:dyDescent="0.35">
      <c r="B21" s="228" t="s">
        <v>147</v>
      </c>
      <c r="C21" s="221">
        <v>312819.96724999999</v>
      </c>
      <c r="D21" s="221">
        <v>7.6330100000000023</v>
      </c>
      <c r="E21" s="221">
        <v>3861.8700800000001</v>
      </c>
      <c r="F21" s="221">
        <v>78155.591</v>
      </c>
      <c r="G21" s="221">
        <v>38163.110229999991</v>
      </c>
      <c r="H21" s="221">
        <v>1593.6579999999999</v>
      </c>
      <c r="I21" s="221">
        <v>4913.7979999999998</v>
      </c>
      <c r="J21" s="221">
        <v>0</v>
      </c>
      <c r="K21" s="221">
        <v>0</v>
      </c>
    </row>
    <row r="22" spans="2:11" ht="16" customHeight="1" x14ac:dyDescent="0.35">
      <c r="B22" s="225" t="s">
        <v>148</v>
      </c>
      <c r="C22" s="221">
        <v>0</v>
      </c>
      <c r="D22" s="221">
        <v>0</v>
      </c>
      <c r="E22" s="221">
        <v>0</v>
      </c>
      <c r="F22" s="221">
        <v>0</v>
      </c>
      <c r="G22" s="221">
        <v>0</v>
      </c>
      <c r="H22" s="221">
        <v>815297.81868085114</v>
      </c>
      <c r="I22" s="221">
        <v>0</v>
      </c>
      <c r="J22" s="221">
        <v>0</v>
      </c>
      <c r="K22" s="221">
        <v>0</v>
      </c>
    </row>
    <row r="23" spans="2:11" ht="16" customHeight="1" x14ac:dyDescent="0.35">
      <c r="B23" s="225" t="s">
        <v>149</v>
      </c>
      <c r="C23" s="221">
        <v>0</v>
      </c>
      <c r="D23" s="221">
        <v>1443598.5249999999</v>
      </c>
      <c r="E23" s="221">
        <v>74000</v>
      </c>
      <c r="F23" s="221">
        <v>10541407.453</v>
      </c>
      <c r="G23" s="221">
        <v>3496391.8149999999</v>
      </c>
      <c r="H23" s="221">
        <v>2060400</v>
      </c>
      <c r="I23" s="221">
        <v>560000</v>
      </c>
      <c r="J23" s="221">
        <v>1923507.727</v>
      </c>
      <c r="K23" s="221">
        <v>0</v>
      </c>
    </row>
    <row r="24" spans="2:11" ht="16" customHeight="1" x14ac:dyDescent="0.35">
      <c r="B24" s="225" t="s">
        <v>150</v>
      </c>
      <c r="C24" s="221">
        <v>6179.5469099999991</v>
      </c>
      <c r="D24" s="221">
        <v>1382.49252</v>
      </c>
      <c r="E24" s="221">
        <v>14628.65432</v>
      </c>
      <c r="F24" s="221">
        <v>240609.51650000011</v>
      </c>
      <c r="G24" s="221">
        <v>237720.4835700001</v>
      </c>
      <c r="H24" s="221">
        <v>49016.980677500003</v>
      </c>
      <c r="I24" s="221">
        <v>1946.526999999993</v>
      </c>
      <c r="J24" s="221">
        <v>0</v>
      </c>
      <c r="K24" s="221">
        <v>0</v>
      </c>
    </row>
    <row r="25" spans="2:11" ht="16" customHeight="1" x14ac:dyDescent="0.35">
      <c r="B25" s="225" t="s">
        <v>151</v>
      </c>
      <c r="C25" s="221">
        <v>27465434.21242464</v>
      </c>
      <c r="D25" s="221">
        <v>61570443.812816821</v>
      </c>
      <c r="E25" s="221">
        <v>1965372.5456299989</v>
      </c>
      <c r="F25" s="221">
        <v>142188262.02560979</v>
      </c>
      <c r="G25" s="221">
        <v>154697628.34735629</v>
      </c>
      <c r="H25" s="221">
        <v>106044958.41125</v>
      </c>
      <c r="I25" s="221">
        <v>4101314.5713900002</v>
      </c>
      <c r="J25" s="221">
        <v>7193531.0460000001</v>
      </c>
      <c r="K25" s="221">
        <v>0</v>
      </c>
    </row>
    <row r="26" spans="2:11" ht="16" customHeight="1" x14ac:dyDescent="0.35">
      <c r="B26" s="225" t="s">
        <v>152</v>
      </c>
      <c r="C26" s="221">
        <v>0</v>
      </c>
      <c r="D26" s="221">
        <v>1528.298</v>
      </c>
      <c r="E26" s="221">
        <v>0</v>
      </c>
      <c r="F26" s="221">
        <v>535590.66436000005</v>
      </c>
      <c r="G26" s="221">
        <v>0</v>
      </c>
      <c r="H26" s="221">
        <v>0</v>
      </c>
      <c r="I26" s="221">
        <v>159972.2479757971</v>
      </c>
      <c r="J26" s="221">
        <v>0</v>
      </c>
      <c r="K26" s="221">
        <v>0</v>
      </c>
    </row>
    <row r="27" spans="2:11" ht="16" customHeight="1" x14ac:dyDescent="0.35">
      <c r="B27" s="225" t="s">
        <v>153</v>
      </c>
      <c r="C27" s="221">
        <v>0</v>
      </c>
      <c r="D27" s="221">
        <v>0</v>
      </c>
      <c r="E27" s="221">
        <v>0</v>
      </c>
      <c r="F27" s="221">
        <v>747113.95218000002</v>
      </c>
      <c r="G27" s="221">
        <v>2372407.7209999999</v>
      </c>
      <c r="H27" s="221">
        <v>0</v>
      </c>
      <c r="I27" s="221">
        <v>0</v>
      </c>
      <c r="J27" s="221">
        <v>0</v>
      </c>
      <c r="K27" s="221">
        <v>0</v>
      </c>
    </row>
    <row r="28" spans="2:11" ht="16" customHeight="1" x14ac:dyDescent="0.35">
      <c r="B28" s="225" t="s">
        <v>154</v>
      </c>
      <c r="C28" s="221">
        <v>12749.730562363769</v>
      </c>
      <c r="D28" s="221">
        <v>0</v>
      </c>
      <c r="E28" s="221">
        <v>5496.5020000000004</v>
      </c>
      <c r="F28" s="221">
        <v>1156631</v>
      </c>
      <c r="G28" s="221">
        <v>204467.6725934828</v>
      </c>
      <c r="H28" s="221">
        <v>0</v>
      </c>
      <c r="I28" s="221">
        <v>138170.24806000001</v>
      </c>
      <c r="J28" s="221">
        <v>180732</v>
      </c>
      <c r="K28" s="221">
        <v>0</v>
      </c>
    </row>
    <row r="29" spans="2:11" ht="16" customHeight="1" x14ac:dyDescent="0.35">
      <c r="B29" s="225" t="s">
        <v>155</v>
      </c>
      <c r="C29" s="221">
        <v>0</v>
      </c>
      <c r="D29" s="221">
        <v>0</v>
      </c>
      <c r="E29" s="221">
        <v>0</v>
      </c>
      <c r="F29" s="221">
        <v>0</v>
      </c>
      <c r="G29" s="221">
        <v>0</v>
      </c>
      <c r="H29" s="221">
        <v>0</v>
      </c>
      <c r="I29" s="221">
        <v>0</v>
      </c>
      <c r="J29" s="221">
        <v>0</v>
      </c>
      <c r="K29" s="221">
        <v>0</v>
      </c>
    </row>
    <row r="30" spans="2:11" ht="16" customHeight="1" x14ac:dyDescent="0.35">
      <c r="B30" s="225" t="s">
        <v>156</v>
      </c>
      <c r="C30" s="221">
        <v>0</v>
      </c>
      <c r="D30" s="221">
        <v>0</v>
      </c>
      <c r="E30" s="221">
        <v>0</v>
      </c>
      <c r="F30" s="221">
        <v>0</v>
      </c>
      <c r="G30" s="221">
        <v>0</v>
      </c>
      <c r="H30" s="221">
        <v>0</v>
      </c>
      <c r="I30" s="221">
        <v>0</v>
      </c>
      <c r="J30" s="221">
        <v>0</v>
      </c>
      <c r="K30" s="221">
        <v>0</v>
      </c>
    </row>
    <row r="31" spans="2:11" ht="16" customHeight="1" x14ac:dyDescent="0.35">
      <c r="B31" s="225" t="s">
        <v>157</v>
      </c>
      <c r="C31" s="221">
        <v>2975738.7639500001</v>
      </c>
      <c r="D31" s="221">
        <v>98548.528000000006</v>
      </c>
      <c r="E31" s="221">
        <v>49992.138669999993</v>
      </c>
      <c r="F31" s="221">
        <v>11764325.87029</v>
      </c>
      <c r="G31" s="221">
        <v>7870343.3938817792</v>
      </c>
      <c r="H31" s="221">
        <v>1333064.9799899999</v>
      </c>
      <c r="I31" s="221">
        <v>0</v>
      </c>
      <c r="J31" s="221">
        <v>320192</v>
      </c>
      <c r="K31" s="221">
        <v>0</v>
      </c>
    </row>
    <row r="32" spans="2:11" ht="16" customHeight="1" x14ac:dyDescent="0.35">
      <c r="B32" s="225" t="s">
        <v>158</v>
      </c>
      <c r="C32" s="221">
        <v>0</v>
      </c>
      <c r="D32" s="221">
        <v>0</v>
      </c>
      <c r="E32" s="221">
        <v>0</v>
      </c>
      <c r="F32" s="221">
        <v>15724.8</v>
      </c>
      <c r="G32" s="221">
        <v>5815118.7949999999</v>
      </c>
      <c r="H32" s="221">
        <v>31.898720000000001</v>
      </c>
      <c r="I32" s="221">
        <v>636154.19999999995</v>
      </c>
      <c r="J32" s="221">
        <v>0</v>
      </c>
      <c r="K32" s="221">
        <v>0</v>
      </c>
    </row>
    <row r="33" spans="2:11" ht="16" customHeight="1" x14ac:dyDescent="0.35">
      <c r="B33" s="225" t="s">
        <v>159</v>
      </c>
      <c r="C33" s="221">
        <v>0</v>
      </c>
      <c r="D33" s="221">
        <v>0</v>
      </c>
      <c r="E33" s="221">
        <v>0</v>
      </c>
      <c r="F33" s="221">
        <v>1222.5619999999999</v>
      </c>
      <c r="G33" s="221">
        <v>0</v>
      </c>
      <c r="H33" s="221">
        <v>0</v>
      </c>
      <c r="I33" s="221">
        <v>0</v>
      </c>
      <c r="J33" s="221">
        <v>0</v>
      </c>
      <c r="K33" s="221">
        <v>0</v>
      </c>
    </row>
    <row r="34" spans="2:11" ht="16" customHeight="1" x14ac:dyDescent="0.35">
      <c r="B34" s="225" t="s">
        <v>160</v>
      </c>
      <c r="C34" s="221">
        <v>0</v>
      </c>
      <c r="D34" s="221">
        <v>0</v>
      </c>
      <c r="E34" s="221">
        <v>0</v>
      </c>
      <c r="F34" s="221">
        <v>0</v>
      </c>
      <c r="G34" s="221">
        <v>1193883.0290000001</v>
      </c>
      <c r="H34" s="221">
        <v>0</v>
      </c>
      <c r="I34" s="221">
        <v>0</v>
      </c>
      <c r="J34" s="221">
        <v>0</v>
      </c>
      <c r="K34" s="221">
        <v>0</v>
      </c>
    </row>
    <row r="35" spans="2:11" ht="16" customHeight="1" x14ac:dyDescent="0.35">
      <c r="B35" s="225" t="s">
        <v>161</v>
      </c>
      <c r="C35" s="221">
        <v>0</v>
      </c>
      <c r="D35" s="221">
        <v>1255.8530000000001</v>
      </c>
      <c r="E35" s="221">
        <v>18145.819630000002</v>
      </c>
      <c r="F35" s="221">
        <v>161319.75943000001</v>
      </c>
      <c r="G35" s="221">
        <v>0</v>
      </c>
      <c r="H35" s="221">
        <v>107105.102</v>
      </c>
      <c r="I35" s="221">
        <v>6957.5959999999995</v>
      </c>
      <c r="J35" s="221">
        <v>0</v>
      </c>
      <c r="K35" s="221">
        <v>0</v>
      </c>
    </row>
    <row r="36" spans="2:11" ht="16" customHeight="1" x14ac:dyDescent="0.35">
      <c r="B36" s="225" t="s">
        <v>162</v>
      </c>
      <c r="C36" s="221">
        <v>0</v>
      </c>
      <c r="D36" s="221">
        <v>0</v>
      </c>
      <c r="E36" s="221">
        <v>0</v>
      </c>
      <c r="F36" s="221">
        <v>621019.06968999992</v>
      </c>
      <c r="G36" s="221">
        <v>0</v>
      </c>
      <c r="H36" s="221">
        <v>0</v>
      </c>
      <c r="I36" s="221">
        <v>0</v>
      </c>
      <c r="J36" s="221">
        <v>0</v>
      </c>
      <c r="K36" s="221">
        <v>0</v>
      </c>
    </row>
    <row r="37" spans="2:11" ht="16" customHeight="1" x14ac:dyDescent="0.35">
      <c r="B37" s="225" t="s">
        <v>163</v>
      </c>
      <c r="C37" s="221">
        <v>1432650.7430362001</v>
      </c>
      <c r="D37" s="221">
        <v>228220.85136999999</v>
      </c>
      <c r="E37" s="221">
        <v>795110.92245000007</v>
      </c>
      <c r="F37" s="221">
        <v>44745529.478200004</v>
      </c>
      <c r="G37" s="221">
        <v>2569051.6271944512</v>
      </c>
      <c r="H37" s="221">
        <v>5333219.7881300002</v>
      </c>
      <c r="I37" s="221">
        <v>329549.89808999997</v>
      </c>
      <c r="J37" s="221">
        <v>3836808.6189999999</v>
      </c>
      <c r="K37" s="221">
        <v>0</v>
      </c>
    </row>
    <row r="38" spans="2:11" ht="16" customHeight="1" x14ac:dyDescent="0.35">
      <c r="B38" s="225" t="s">
        <v>164</v>
      </c>
      <c r="C38" s="221">
        <v>1088797.0944699999</v>
      </c>
      <c r="D38" s="221">
        <v>7576.9255999999996</v>
      </c>
      <c r="E38" s="221">
        <v>232019.43689000001</v>
      </c>
      <c r="F38" s="221">
        <v>1286718.2053400001</v>
      </c>
      <c r="G38" s="221">
        <v>898147.60340999963</v>
      </c>
      <c r="H38" s="221">
        <v>278889.84600000002</v>
      </c>
      <c r="I38" s="221">
        <v>4579.5505400000402</v>
      </c>
      <c r="J38" s="221">
        <v>20.401</v>
      </c>
      <c r="K38" s="221">
        <v>0</v>
      </c>
    </row>
    <row r="39" spans="2:11" ht="16" customHeight="1" x14ac:dyDescent="0.35">
      <c r="B39" s="225" t="s">
        <v>165</v>
      </c>
      <c r="C39" s="221">
        <v>0</v>
      </c>
      <c r="D39" s="221">
        <v>0</v>
      </c>
      <c r="E39" s="221">
        <v>0</v>
      </c>
      <c r="F39" s="221">
        <v>0</v>
      </c>
      <c r="G39" s="221">
        <v>0</v>
      </c>
      <c r="H39" s="221">
        <v>0</v>
      </c>
      <c r="I39" s="221">
        <v>0</v>
      </c>
      <c r="J39" s="221">
        <v>0</v>
      </c>
      <c r="K39" s="221">
        <v>0</v>
      </c>
    </row>
    <row r="40" spans="2:11" ht="16" customHeight="1" x14ac:dyDescent="0.35">
      <c r="B40" s="225" t="s">
        <v>166</v>
      </c>
      <c r="C40" s="221">
        <v>1670090.8108135301</v>
      </c>
      <c r="D40" s="221">
        <v>39679.538</v>
      </c>
      <c r="E40" s="221">
        <v>365884.80769999989</v>
      </c>
      <c r="F40" s="221">
        <v>132110.8802525138</v>
      </c>
      <c r="G40" s="221">
        <v>614859.79363923194</v>
      </c>
      <c r="H40" s="221">
        <v>69279.367000990227</v>
      </c>
      <c r="I40" s="221">
        <v>8029.8289999999924</v>
      </c>
      <c r="J40" s="221">
        <v>149579.618471878</v>
      </c>
      <c r="K40" s="221">
        <v>0</v>
      </c>
    </row>
    <row r="41" spans="2:11" ht="16" customHeight="1" x14ac:dyDescent="0.35">
      <c r="B41" s="225" t="s">
        <v>167</v>
      </c>
      <c r="C41" s="221">
        <v>549107.81414999999</v>
      </c>
      <c r="D41" s="221">
        <v>0</v>
      </c>
      <c r="E41" s="221">
        <v>452858.91034</v>
      </c>
      <c r="F41" s="221">
        <v>-14921.56314</v>
      </c>
      <c r="G41" s="221">
        <v>813828.8274200001</v>
      </c>
      <c r="H41" s="221">
        <v>22136.797999999999</v>
      </c>
      <c r="I41" s="221">
        <v>0</v>
      </c>
      <c r="J41" s="221">
        <v>0</v>
      </c>
      <c r="K41" s="221">
        <v>0</v>
      </c>
    </row>
    <row r="42" spans="2:11" ht="16" customHeight="1" x14ac:dyDescent="0.35">
      <c r="B42" s="225" t="s">
        <v>168</v>
      </c>
      <c r="C42" s="221">
        <v>436195.41567000002</v>
      </c>
      <c r="D42" s="221">
        <v>17005.705999999998</v>
      </c>
      <c r="E42" s="221">
        <v>174217.49510999999</v>
      </c>
      <c r="F42" s="221">
        <v>1729406.7510110759</v>
      </c>
      <c r="G42" s="221">
        <v>488778.04398999998</v>
      </c>
      <c r="H42" s="221">
        <v>98274.150999999998</v>
      </c>
      <c r="I42" s="221">
        <v>13112.66671602428</v>
      </c>
      <c r="J42" s="221">
        <v>0</v>
      </c>
      <c r="K42" s="221">
        <v>0</v>
      </c>
    </row>
    <row r="43" spans="2:11" ht="16" customHeight="1" thickBot="1" x14ac:dyDescent="0.4">
      <c r="B43" s="226" t="s">
        <v>169</v>
      </c>
      <c r="C43" s="227">
        <v>35949764.099236727</v>
      </c>
      <c r="D43" s="227">
        <v>63409248.163316824</v>
      </c>
      <c r="E43" s="227">
        <v>4151589.1028199992</v>
      </c>
      <c r="F43" s="227">
        <v>215930226.01572329</v>
      </c>
      <c r="G43" s="227">
        <v>181310790.26328531</v>
      </c>
      <c r="H43" s="227">
        <v>116213268.7994494</v>
      </c>
      <c r="I43" s="227">
        <v>5964701.1327718208</v>
      </c>
      <c r="J43" s="227">
        <v>13604371.411471879</v>
      </c>
      <c r="K43" s="227">
        <v>0</v>
      </c>
    </row>
    <row r="44" spans="2:11" ht="16" customHeight="1" thickTop="1" x14ac:dyDescent="0.35">
      <c r="B44" s="306" t="s">
        <v>170</v>
      </c>
      <c r="C44" s="304"/>
      <c r="D44" s="304"/>
      <c r="E44" s="304"/>
      <c r="F44" s="307"/>
      <c r="G44" s="307"/>
      <c r="H44" s="307"/>
      <c r="I44" s="307"/>
      <c r="J44" s="301" t="s">
        <v>171</v>
      </c>
      <c r="K44" s="302"/>
    </row>
    <row r="46" spans="2:11" x14ac:dyDescent="0.35">
      <c r="C46" s="229"/>
      <c r="D46" s="229"/>
      <c r="E46" s="229"/>
    </row>
  </sheetData>
  <sheetProtection algorithmName="SHA-512" hashValue="3zFhgWgeOX9qkNCNgVlh4l1okvMOhV8LSq9lD4RwUQAE7chFtcCPsAr9TQXXktBc4uCqtJ0OLNfna/evxhleZw==" saltValue="Pw+xmhYpmev+9b5NGLTN3g==" spinCount="100000" sheet="1" objects="1" scenarios="1"/>
  <mergeCells count="3">
    <mergeCell ref="B4:K4"/>
    <mergeCell ref="J44:K44"/>
    <mergeCell ref="B44:I44"/>
  </mergeCells>
  <pageMargins left="0.7" right="0.7" top="0.75" bottom="0.75" header="0.3" footer="0.3"/>
  <pageSetup paperSize="9" scale="44"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3">
    <tabColor rgb="FF92D050"/>
    <pageSetUpPr fitToPage="1"/>
  </sheetPr>
  <dimension ref="A3:V52"/>
  <sheetViews>
    <sheetView topLeftCell="A15" zoomScale="80" workbookViewId="0">
      <selection activeCell="M1" sqref="M1:S1048576"/>
    </sheetView>
  </sheetViews>
  <sheetFormatPr defaultColWidth="9.453125" defaultRowHeight="15.5" x14ac:dyDescent="0.35"/>
  <cols>
    <col min="1" max="1" width="12.453125" style="76" customWidth="1"/>
    <col min="2" max="2" width="33.08984375" style="76" bestFit="1" customWidth="1"/>
    <col min="3" max="3" width="21.08984375" style="231" customWidth="1"/>
    <col min="4" max="4" width="21.08984375" style="236" customWidth="1"/>
    <col min="5" max="11" width="21.08984375" style="76" customWidth="1"/>
    <col min="12" max="12" width="21.08984375" style="140" customWidth="1"/>
    <col min="13" max="13" width="14" style="2" hidden="1" customWidth="1"/>
    <col min="14" max="14" width="18" style="2" hidden="1" customWidth="1"/>
    <col min="15" max="15" width="14.54296875" style="2" hidden="1" customWidth="1"/>
    <col min="16" max="16" width="15.08984375" style="2" hidden="1" customWidth="1"/>
    <col min="17" max="17" width="18" style="2" hidden="1" customWidth="1"/>
    <col min="18" max="18" width="17.1796875" style="2" hidden="1" customWidth="1"/>
    <col min="19" max="19" width="18" style="2" hidden="1" customWidth="1"/>
    <col min="20" max="20" width="13.81640625" style="2" customWidth="1"/>
    <col min="21" max="21" width="17" style="2" customWidth="1"/>
    <col min="22" max="22" width="3.90625" style="2" customWidth="1"/>
    <col min="23" max="23" width="7" style="76" customWidth="1"/>
    <col min="24" max="24" width="5" style="76" customWidth="1"/>
    <col min="25" max="25" width="6.453125" style="76" customWidth="1"/>
    <col min="26" max="26" width="3.453125" style="76" customWidth="1"/>
    <col min="27" max="27" width="12.54296875" style="76" customWidth="1"/>
    <col min="28" max="28" width="8" style="76" customWidth="1"/>
    <col min="29" max="30" width="8.54296875" style="76" customWidth="1"/>
    <col min="31" max="31" width="10.54296875" style="76" customWidth="1"/>
    <col min="32" max="32" width="15.453125" style="76" customWidth="1"/>
    <col min="33" max="33" width="12" style="76" customWidth="1"/>
    <col min="34" max="34" width="13.54296875" style="76" customWidth="1"/>
    <col min="35" max="35" width="11.453125" style="76" customWidth="1"/>
    <col min="36" max="122" width="9.453125" style="76" customWidth="1"/>
    <col min="123" max="16384" width="9.453125" style="76"/>
  </cols>
  <sheetData>
    <row r="3" spans="1:22" ht="16" customHeight="1" x14ac:dyDescent="0.4">
      <c r="A3" s="77"/>
      <c r="B3" s="232" t="s">
        <v>172</v>
      </c>
      <c r="D3" s="233"/>
      <c r="E3" s="232"/>
      <c r="F3" s="232"/>
      <c r="G3" s="232"/>
      <c r="H3" s="232"/>
      <c r="I3" s="232"/>
      <c r="J3" s="232"/>
      <c r="K3" s="232"/>
      <c r="L3" s="234"/>
    </row>
    <row r="4" spans="1:22" ht="16" customHeight="1" x14ac:dyDescent="0.35">
      <c r="B4" s="300" t="str">
        <f>_xlfn.CONCAT('Table of Contents'!B13,": ",'Table of Contents'!C13)</f>
        <v>APPENDIX 4 iii: SUMMARY OF LONG TERM INSURANCE BUSINESS BALANCE SHEETS AS AT 31.12.2025</v>
      </c>
      <c r="C4" s="269"/>
      <c r="D4" s="269"/>
      <c r="E4" s="269"/>
      <c r="F4" s="269"/>
      <c r="G4" s="269"/>
      <c r="H4" s="269"/>
      <c r="I4" s="269"/>
      <c r="J4" s="269"/>
      <c r="K4" s="269"/>
      <c r="L4" s="270"/>
      <c r="Q4" s="311" t="s">
        <v>173</v>
      </c>
      <c r="R4" s="312"/>
      <c r="S4" s="312"/>
    </row>
    <row r="5" spans="1:22" ht="62" x14ac:dyDescent="0.35">
      <c r="B5" s="218" t="s">
        <v>0</v>
      </c>
      <c r="C5" s="219" t="s">
        <v>124</v>
      </c>
      <c r="D5" s="219" t="s">
        <v>87</v>
      </c>
      <c r="E5" s="219" t="s">
        <v>125</v>
      </c>
      <c r="F5" s="219" t="s">
        <v>126</v>
      </c>
      <c r="G5" s="219" t="s">
        <v>127</v>
      </c>
      <c r="H5" s="219" t="s">
        <v>128</v>
      </c>
      <c r="I5" s="219" t="s">
        <v>129</v>
      </c>
      <c r="J5" s="219" t="s">
        <v>130</v>
      </c>
      <c r="K5" s="219" t="s">
        <v>131</v>
      </c>
      <c r="L5" s="219" t="s">
        <v>24</v>
      </c>
      <c r="N5" s="249" t="s">
        <v>174</v>
      </c>
      <c r="O5" s="249" t="s">
        <v>175</v>
      </c>
      <c r="Q5" s="249" t="s">
        <v>174</v>
      </c>
      <c r="R5" s="249" t="s">
        <v>175</v>
      </c>
      <c r="S5" s="249" t="s">
        <v>176</v>
      </c>
    </row>
    <row r="6" spans="1:22" ht="16" customHeight="1" x14ac:dyDescent="0.35">
      <c r="B6" s="220" t="s">
        <v>132</v>
      </c>
      <c r="C6" s="221">
        <v>742340</v>
      </c>
      <c r="D6" s="221">
        <v>450000</v>
      </c>
      <c r="E6" s="221">
        <v>2946667.35</v>
      </c>
      <c r="F6" s="221">
        <v>400000</v>
      </c>
      <c r="G6" s="221">
        <v>425698.08</v>
      </c>
      <c r="H6" s="221">
        <v>843138.54299999995</v>
      </c>
      <c r="I6" s="221">
        <v>400000</v>
      </c>
      <c r="J6" s="221">
        <v>510000</v>
      </c>
      <c r="K6" s="221">
        <v>0</v>
      </c>
      <c r="L6" s="221">
        <v>17149663.419950001</v>
      </c>
      <c r="N6" s="250">
        <f>SUMIFS('APPENDIX 4 iii'!$B6:$L6,'APPENDIX 4 iii'!$B$5:$L$5,"*total*")-O6</f>
        <v>15649663.419950001</v>
      </c>
      <c r="O6" s="250">
        <f>SUMIFS('APPENDIX 4 i'!$B6:$K6,'APPENDIX 4 i'!$B$5:$K$5,"*reinsurance*")+
SUMIFS('APPENDIX 4 ii'!$B6:$K6,'APPENDIX 4 ii'!$B$5:$K$5,"*reinsurance*")+
SUMIFS('APPENDIX 4 iii'!$B6:$K6,'APPENDIX 4 iii'!$B$5:$K$5,"*reinsurance*")</f>
        <v>1500000</v>
      </c>
      <c r="Q6" s="250">
        <f>N6+_xlfn.XLOOKUP($B6,'APPENDIX  5 iv'!$B:$B,'APPENDIX  5 iv'!P:P,0,0)+_xlfn.XLOOKUP($B6,'APPENDIX 6'!$B:$B,'APPENDIX 6'!I:I,0,0)</f>
        <v>54329466.498909995</v>
      </c>
      <c r="R6" s="250">
        <f>O6+_xlfn.XLOOKUP($B6,'APPENDIX  5 iv'!$B:$B,'APPENDIX  5 iv'!Q:Q,0,0)+_xlfn.XLOOKUP($B6,'APPENDIX 6'!$B:$B,'APPENDIX 6'!J:J,0,0)</f>
        <v>19101531.359999999</v>
      </c>
      <c r="S6" s="250">
        <f t="shared" ref="S6:S43" si="0">SUM(Q6:R6)</f>
        <v>73430997.858909994</v>
      </c>
      <c r="V6" s="76"/>
    </row>
    <row r="7" spans="1:22" ht="16" customHeight="1" x14ac:dyDescent="0.35">
      <c r="B7" s="220" t="s">
        <v>133</v>
      </c>
      <c r="C7" s="221">
        <v>0</v>
      </c>
      <c r="D7" s="221">
        <v>0</v>
      </c>
      <c r="E7" s="221">
        <v>1160475.7084600001</v>
      </c>
      <c r="F7" s="221">
        <v>0</v>
      </c>
      <c r="G7" s="221">
        <v>3768621.5819999999</v>
      </c>
      <c r="H7" s="221">
        <v>30260</v>
      </c>
      <c r="I7" s="221">
        <v>0</v>
      </c>
      <c r="J7" s="221">
        <v>0</v>
      </c>
      <c r="K7" s="221">
        <v>0</v>
      </c>
      <c r="L7" s="221">
        <v>7755424.9384599999</v>
      </c>
      <c r="N7" s="250">
        <f>SUMIFS('APPENDIX 4 iii'!$B7:$L7,'APPENDIX 4 iii'!$B$5:$L$5,"*total*")-O7</f>
        <v>7755424.9384599999</v>
      </c>
      <c r="O7" s="250">
        <f>SUMIFS('APPENDIX 4 i'!$B7:$K7,'APPENDIX 4 i'!$B$5:$K$5,"*reinsurance*")+
SUMIFS('APPENDIX 4 ii'!$B7:$K7,'APPENDIX 4 ii'!$B$5:$K$5,"*reinsurance*")+
SUMIFS('APPENDIX 4 iii'!$B7:$K7,'APPENDIX 4 iii'!$B$5:$K$5,"*reinsurance*")</f>
        <v>0</v>
      </c>
      <c r="Q7" s="250">
        <f>N7+_xlfn.XLOOKUP($B7,'APPENDIX  5 iv'!$B:$B,'APPENDIX  5 iv'!P:P,0,0)+_xlfn.XLOOKUP($B7,'APPENDIX 6'!$B:$B,'APPENDIX 6'!I:I,0,0)</f>
        <v>9564516.1634599995</v>
      </c>
      <c r="R7" s="250">
        <f>O7+_xlfn.XLOOKUP($B7,'APPENDIX  5 iv'!$B:$B,'APPENDIX  5 iv'!Q:Q,0,0)+_xlfn.XLOOKUP($B7,'APPENDIX 6'!$B:$B,'APPENDIX 6'!J:J,0,0)</f>
        <v>10871.242</v>
      </c>
      <c r="S7" s="250">
        <f t="shared" si="0"/>
        <v>9575387.40546</v>
      </c>
      <c r="V7" s="76"/>
    </row>
    <row r="8" spans="1:22" ht="16" customHeight="1" x14ac:dyDescent="0.35">
      <c r="B8" s="220" t="s">
        <v>134</v>
      </c>
      <c r="C8" s="221">
        <v>384946.36200000002</v>
      </c>
      <c r="D8" s="221">
        <v>19341</v>
      </c>
      <c r="E8" s="221">
        <v>0</v>
      </c>
      <c r="F8" s="221">
        <v>0</v>
      </c>
      <c r="G8" s="221">
        <v>0</v>
      </c>
      <c r="H8" s="221">
        <v>0</v>
      </c>
      <c r="I8" s="221">
        <v>0</v>
      </c>
      <c r="J8" s="221">
        <v>0</v>
      </c>
      <c r="K8" s="221">
        <v>0</v>
      </c>
      <c r="L8" s="221">
        <v>400223.68099999998</v>
      </c>
      <c r="N8" s="250">
        <f>SUMIFS('APPENDIX 4 iii'!$B8:$L8,'APPENDIX 4 iii'!$B$5:$L$5,"*total*")-O8</f>
        <v>400223.68099999998</v>
      </c>
      <c r="O8" s="250">
        <f>SUMIFS('APPENDIX 4 i'!$B8:$K8,'APPENDIX 4 i'!$B$5:$K$5,"*reinsurance*")+
SUMIFS('APPENDIX 4 ii'!$B8:$K8,'APPENDIX 4 ii'!$B$5:$K$5,"*reinsurance*")+
SUMIFS('APPENDIX 4 iii'!$B8:$K8,'APPENDIX 4 iii'!$B$5:$K$5,"*reinsurance*")</f>
        <v>0</v>
      </c>
      <c r="Q8" s="250">
        <f>N8+_xlfn.XLOOKUP($B8,'APPENDIX  5 iv'!$B:$B,'APPENDIX  5 iv'!P:P,0,0)+_xlfn.XLOOKUP($B8,'APPENDIX 6'!$B:$B,'APPENDIX 6'!I:I,0,0)</f>
        <v>3241322.375042846</v>
      </c>
      <c r="R8" s="250">
        <f>O8+_xlfn.XLOOKUP($B8,'APPENDIX  5 iv'!$B:$B,'APPENDIX  5 iv'!Q:Q,0,0)+_xlfn.XLOOKUP($B8,'APPENDIX 6'!$B:$B,'APPENDIX 6'!J:J,0,0)</f>
        <v>258456.29787000001</v>
      </c>
      <c r="S8" s="250">
        <f t="shared" si="0"/>
        <v>3499778.6729128459</v>
      </c>
      <c r="V8" s="76"/>
    </row>
    <row r="9" spans="1:22" ht="16" customHeight="1" x14ac:dyDescent="0.35">
      <c r="B9" s="220" t="s">
        <v>135</v>
      </c>
      <c r="C9" s="221">
        <v>2071905.541445917</v>
      </c>
      <c r="D9" s="221">
        <v>0</v>
      </c>
      <c r="E9" s="221">
        <v>131486.30427476589</v>
      </c>
      <c r="F9" s="221">
        <v>232406.32800000001</v>
      </c>
      <c r="G9" s="221">
        <v>0</v>
      </c>
      <c r="H9" s="221">
        <v>3288226.868915976</v>
      </c>
      <c r="I9" s="221">
        <v>0</v>
      </c>
      <c r="J9" s="221">
        <v>0</v>
      </c>
      <c r="K9" s="221">
        <v>0</v>
      </c>
      <c r="L9" s="221">
        <v>54094055.815469861</v>
      </c>
      <c r="N9" s="250">
        <f>SUMIFS('APPENDIX 4 iii'!$B9:$L9,'APPENDIX 4 iii'!$B$5:$L$5,"*total*")-O9</f>
        <v>54094055.815469861</v>
      </c>
      <c r="O9" s="250">
        <f>SUMIFS('APPENDIX 4 i'!$B9:$K9,'APPENDIX 4 i'!$B$5:$K$5,"*reinsurance*")+
SUMIFS('APPENDIX 4 ii'!$B9:$K9,'APPENDIX 4 ii'!$B$5:$K$5,"*reinsurance*")+
SUMIFS('APPENDIX 4 iii'!$B9:$K9,'APPENDIX 4 iii'!$B$5:$K$5,"*reinsurance*")</f>
        <v>0</v>
      </c>
      <c r="Q9" s="250">
        <f>N9+_xlfn.XLOOKUP($B9,'APPENDIX  5 iv'!$B:$B,'APPENDIX  5 iv'!P:P,0,0)+_xlfn.XLOOKUP($B9,'APPENDIX 6'!$B:$B,'APPENDIX 6'!I:I,0,0)</f>
        <v>54094055.815469861</v>
      </c>
      <c r="R9" s="250">
        <f>O9+_xlfn.XLOOKUP($B9,'APPENDIX  5 iv'!$B:$B,'APPENDIX  5 iv'!Q:Q,0,0)+_xlfn.XLOOKUP($B9,'APPENDIX 6'!$B:$B,'APPENDIX 6'!J:J,0,0)</f>
        <v>0</v>
      </c>
      <c r="S9" s="250">
        <f t="shared" si="0"/>
        <v>54094055.815469861</v>
      </c>
      <c r="V9" s="76"/>
    </row>
    <row r="10" spans="1:22" ht="16" customHeight="1" x14ac:dyDescent="0.35">
      <c r="B10" s="220" t="s">
        <v>136</v>
      </c>
      <c r="C10" s="221">
        <v>600000</v>
      </c>
      <c r="D10" s="221">
        <v>2050000</v>
      </c>
      <c r="E10" s="221">
        <v>0</v>
      </c>
      <c r="F10" s="221">
        <v>0</v>
      </c>
      <c r="G10" s="221">
        <v>0</v>
      </c>
      <c r="H10" s="221">
        <v>0</v>
      </c>
      <c r="I10" s="221">
        <v>0</v>
      </c>
      <c r="J10" s="221">
        <v>0</v>
      </c>
      <c r="K10" s="221">
        <v>0</v>
      </c>
      <c r="L10" s="221">
        <v>5658131.2490100004</v>
      </c>
      <c r="N10" s="250">
        <f>SUMIFS('APPENDIX 4 iii'!$B10:$L10,'APPENDIX 4 iii'!$B$5:$L$5,"*total*")-O10</f>
        <v>5658131.2500100005</v>
      </c>
      <c r="O10" s="250">
        <f>SUMIFS('APPENDIX 4 i'!$B10:$K10,'APPENDIX 4 i'!$B$5:$K$5,"*reinsurance*")+
SUMIFS('APPENDIX 4 ii'!$B10:$K10,'APPENDIX 4 ii'!$B$5:$K$5,"*reinsurance*")+
SUMIFS('APPENDIX 4 iii'!$B10:$K10,'APPENDIX 4 iii'!$B$5:$K$5,"*reinsurance*")</f>
        <v>-1E-3</v>
      </c>
      <c r="Q10" s="250">
        <f>N10+_xlfn.XLOOKUP($B10,'APPENDIX  5 iv'!$B:$B,'APPENDIX  5 iv'!P:P,0,0)+_xlfn.XLOOKUP($B10,'APPENDIX 6'!$B:$B,'APPENDIX 6'!I:I,0,0)</f>
        <v>9294304.1165300012</v>
      </c>
      <c r="R10" s="250">
        <f>O10+_xlfn.XLOOKUP($B10,'APPENDIX  5 iv'!$B:$B,'APPENDIX  5 iv'!Q:Q,0,0)+_xlfn.XLOOKUP($B10,'APPENDIX 6'!$B:$B,'APPENDIX 6'!J:J,0,0)</f>
        <v>627494.56699999992</v>
      </c>
      <c r="S10" s="250">
        <f t="shared" si="0"/>
        <v>9921798.683530001</v>
      </c>
      <c r="V10" s="76"/>
    </row>
    <row r="11" spans="1:22" ht="16" customHeight="1" x14ac:dyDescent="0.35">
      <c r="B11" s="220" t="s">
        <v>137</v>
      </c>
      <c r="C11" s="221">
        <v>-304169.8999999995</v>
      </c>
      <c r="D11" s="221">
        <v>62000</v>
      </c>
      <c r="E11" s="221">
        <v>-413300.98380936013</v>
      </c>
      <c r="F11" s="221">
        <v>371258.92975016631</v>
      </c>
      <c r="G11" s="221">
        <v>-3475210.8187459498</v>
      </c>
      <c r="H11" s="221">
        <v>235067.34852175621</v>
      </c>
      <c r="I11" s="221">
        <v>305693.33572083019</v>
      </c>
      <c r="J11" s="221">
        <v>-630249.63450501591</v>
      </c>
      <c r="K11" s="221">
        <v>0</v>
      </c>
      <c r="L11" s="221">
        <v>26731298.823084589</v>
      </c>
      <c r="N11" s="250">
        <f>SUMIFS('APPENDIX 4 iii'!$B11:$L11,'APPENDIX 4 iii'!$B$5:$L$5,"*total*")-O11</f>
        <v>14637022.120324673</v>
      </c>
      <c r="O11" s="250">
        <f>SUMIFS('APPENDIX 4 i'!$B11:$K11,'APPENDIX 4 i'!$B$5:$K$5,"*reinsurance*")+
SUMIFS('APPENDIX 4 ii'!$B11:$K11,'APPENDIX 4 ii'!$B$5:$K$5,"*reinsurance*")+
SUMIFS('APPENDIX 4 iii'!$B11:$K11,'APPENDIX 4 iii'!$B$5:$K$5,"*reinsurance*")</f>
        <v>12094276.702759916</v>
      </c>
      <c r="Q11" s="250">
        <f>N11+_xlfn.XLOOKUP($B11,'APPENDIX  5 iv'!$B:$B,'APPENDIX  5 iv'!P:P,0,0)+_xlfn.XLOOKUP($B11,'APPENDIX 6'!$B:$B,'APPENDIX 6'!I:I,0,0)</f>
        <v>60479169.302376442</v>
      </c>
      <c r="R11" s="250">
        <f>O11+_xlfn.XLOOKUP($B11,'APPENDIX  5 iv'!$B:$B,'APPENDIX  5 iv'!Q:Q,0,0)+_xlfn.XLOOKUP($B11,'APPENDIX 6'!$B:$B,'APPENDIX 6'!J:J,0,0)</f>
        <v>45743195.198194452</v>
      </c>
      <c r="S11" s="250">
        <f t="shared" si="0"/>
        <v>106222364.50057089</v>
      </c>
      <c r="V11" s="76"/>
    </row>
    <row r="12" spans="1:22" ht="16" customHeight="1" x14ac:dyDescent="0.35">
      <c r="B12" s="220" t="s">
        <v>138</v>
      </c>
      <c r="C12" s="221">
        <v>0</v>
      </c>
      <c r="D12" s="221">
        <v>-4263247</v>
      </c>
      <c r="E12" s="221">
        <v>27533.633999999998</v>
      </c>
      <c r="F12" s="221">
        <v>0</v>
      </c>
      <c r="G12" s="221">
        <v>0</v>
      </c>
      <c r="H12" s="221">
        <v>0</v>
      </c>
      <c r="I12" s="221">
        <v>0</v>
      </c>
      <c r="J12" s="221">
        <v>0</v>
      </c>
      <c r="K12" s="221">
        <v>0</v>
      </c>
      <c r="L12" s="221">
        <v>5672261.2599331103</v>
      </c>
      <c r="N12" s="250">
        <f>SUMIFS('APPENDIX 4 iii'!$B12:$L12,'APPENDIX 4 iii'!$B$5:$L$5,"*total*")-O12</f>
        <v>5672261.2599331103</v>
      </c>
      <c r="O12" s="250">
        <f>SUMIFS('APPENDIX 4 i'!$B12:$K12,'APPENDIX 4 i'!$B$5:$K$5,"*reinsurance*")+
SUMIFS('APPENDIX 4 ii'!$B12:$K12,'APPENDIX 4 ii'!$B$5:$K$5,"*reinsurance*")+
SUMIFS('APPENDIX 4 iii'!$B12:$K12,'APPENDIX 4 iii'!$B$5:$K$5,"*reinsurance*")</f>
        <v>0</v>
      </c>
      <c r="Q12" s="250">
        <f>N12+_xlfn.XLOOKUP($B12,'APPENDIX  5 iv'!$B:$B,'APPENDIX  5 iv'!P:P,0,0)+_xlfn.XLOOKUP($B12,'APPENDIX 6'!$B:$B,'APPENDIX 6'!I:I,0,0)</f>
        <v>8286005.1726831105</v>
      </c>
      <c r="R12" s="250">
        <f>O12+_xlfn.XLOOKUP($B12,'APPENDIX  5 iv'!$B:$B,'APPENDIX  5 iv'!Q:Q,0,0)+_xlfn.XLOOKUP($B12,'APPENDIX 6'!$B:$B,'APPENDIX 6'!J:J,0,0)</f>
        <v>1421695.5560000001</v>
      </c>
      <c r="S12" s="250">
        <f t="shared" si="0"/>
        <v>9707700.7286831103</v>
      </c>
    </row>
    <row r="13" spans="1:22" ht="16" customHeight="1" thickBot="1" x14ac:dyDescent="0.4">
      <c r="B13" s="222" t="s">
        <v>139</v>
      </c>
      <c r="C13" s="223">
        <v>3495022.0034459168</v>
      </c>
      <c r="D13" s="223">
        <v>-1681906</v>
      </c>
      <c r="E13" s="223">
        <v>3852862.012925406</v>
      </c>
      <c r="F13" s="223">
        <v>1003665.257750166</v>
      </c>
      <c r="G13" s="223">
        <v>719108.84325404977</v>
      </c>
      <c r="H13" s="223">
        <v>4396692.7604377316</v>
      </c>
      <c r="I13" s="223">
        <v>705693.33572083025</v>
      </c>
      <c r="J13" s="223">
        <v>-120249.634505016</v>
      </c>
      <c r="K13" s="223">
        <v>0</v>
      </c>
      <c r="L13" s="223">
        <v>117461059.1869076</v>
      </c>
      <c r="N13" s="251">
        <f>SUMIFS('APPENDIX 4 iii'!$B13:$L13,'APPENDIX 4 iii'!$B$5:$L$5,"*total*")-O13</f>
        <v>103866782.48514768</v>
      </c>
      <c r="O13" s="251">
        <f>SUMIFS('APPENDIX 4 i'!$B13:$K13,'APPENDIX 4 i'!$B$5:$K$5,"*reinsurance*")+
SUMIFS('APPENDIX 4 ii'!$B13:$K13,'APPENDIX 4 ii'!$B$5:$K$5,"*reinsurance*")+
SUMIFS('APPENDIX 4 iii'!$B13:$K13,'APPENDIX 4 iii'!$B$5:$K$5,"*reinsurance*")</f>
        <v>13594276.701759916</v>
      </c>
      <c r="Q13" s="251">
        <f>N13+_xlfn.XLOOKUP($B13,'APPENDIX  5 iv'!$B:$B,'APPENDIX  5 iv'!P:P,0,0)+_xlfn.XLOOKUP($B13,'APPENDIX 6'!$B:$B,'APPENDIX 6'!I:I,0,0)</f>
        <v>198906843.56140593</v>
      </c>
      <c r="R13" s="251">
        <f>O13+_xlfn.XLOOKUP($B13,'APPENDIX  5 iv'!$B:$B,'APPENDIX  5 iv'!Q:Q,0,0)+_xlfn.XLOOKUP($B13,'APPENDIX 6'!$B:$B,'APPENDIX 6'!J:J,0,0)</f>
        <v>67163244.221064463</v>
      </c>
      <c r="S13" s="251">
        <f t="shared" si="0"/>
        <v>266070087.78247041</v>
      </c>
    </row>
    <row r="14" spans="1:22" ht="16" customHeight="1" thickTop="1" x14ac:dyDescent="0.35">
      <c r="B14" s="224" t="s">
        <v>140</v>
      </c>
      <c r="C14" s="235">
        <v>12442207.592</v>
      </c>
      <c r="D14" s="235">
        <v>0</v>
      </c>
      <c r="E14" s="235">
        <v>707847.44667459512</v>
      </c>
      <c r="F14" s="235">
        <v>0</v>
      </c>
      <c r="G14" s="235">
        <v>0</v>
      </c>
      <c r="H14" s="235">
        <v>0</v>
      </c>
      <c r="I14" s="235">
        <v>0</v>
      </c>
      <c r="J14" s="235">
        <v>4775158.0020000003</v>
      </c>
      <c r="K14" s="235">
        <v>0</v>
      </c>
      <c r="L14" s="235">
        <v>70248042.416466475</v>
      </c>
      <c r="N14" s="250">
        <f>SUMIFS('APPENDIX 4 iii'!$B14:$L14,'APPENDIX 4 iii'!$B$5:$L$5,"*total*")-O14</f>
        <v>70248042.416466475</v>
      </c>
      <c r="O14" s="250">
        <f>SUMIFS('APPENDIX 4 i'!$B14:$K14,'APPENDIX 4 i'!$B$5:$K$5,"*reinsurance*")+
SUMIFS('APPENDIX 4 ii'!$B14:$K14,'APPENDIX 4 ii'!$B$5:$K$5,"*reinsurance*")+
SUMIFS('APPENDIX 4 iii'!$B14:$K14,'APPENDIX 4 iii'!$B$5:$K$5,"*reinsurance*")</f>
        <v>0</v>
      </c>
      <c r="Q14" s="250">
        <f>N14+_xlfn.XLOOKUP($B14,'APPENDIX  5 iv'!$B:$B,'APPENDIX  5 iv'!P:P,0,0)+_xlfn.XLOOKUP($B14,'APPENDIX 6'!$B:$B,'APPENDIX 6'!I:I,0,0)</f>
        <v>70248042.416466475</v>
      </c>
      <c r="R14" s="250">
        <f>O14+_xlfn.XLOOKUP($B14,'APPENDIX  5 iv'!$B:$B,'APPENDIX  5 iv'!Q:Q,0,0)+_xlfn.XLOOKUP($B14,'APPENDIX 6'!$B:$B,'APPENDIX 6'!J:J,0,0)</f>
        <v>0</v>
      </c>
      <c r="S14" s="250">
        <f t="shared" si="0"/>
        <v>70248042.416466475</v>
      </c>
    </row>
    <row r="15" spans="1:22" ht="16" customHeight="1" x14ac:dyDescent="0.35">
      <c r="B15" s="225" t="s">
        <v>141</v>
      </c>
      <c r="C15" s="221">
        <v>14605242.077201121</v>
      </c>
      <c r="D15" s="221">
        <v>21460799.752999999</v>
      </c>
      <c r="E15" s="221">
        <v>23719671.432</v>
      </c>
      <c r="F15" s="221">
        <v>18032422.039261911</v>
      </c>
      <c r="G15" s="221">
        <v>6137082.7286377782</v>
      </c>
      <c r="H15" s="221">
        <v>30420932.728924438</v>
      </c>
      <c r="I15" s="221">
        <v>174105.21548943091</v>
      </c>
      <c r="J15" s="221">
        <v>911842.74600000004</v>
      </c>
      <c r="K15" s="221">
        <v>0</v>
      </c>
      <c r="L15" s="221">
        <v>863505206.56604898</v>
      </c>
      <c r="N15" s="250">
        <f>SUMIFS('APPENDIX 4 iii'!$B15:$L15,'APPENDIX 4 iii'!$B$5:$L$5,"*total*")-O15</f>
        <v>860536947.54795063</v>
      </c>
      <c r="O15" s="250">
        <f>SUMIFS('APPENDIX 4 i'!$B15:$K15,'APPENDIX 4 i'!$B$5:$K$5,"*reinsurance*")+
SUMIFS('APPENDIX 4 ii'!$B15:$K15,'APPENDIX 4 ii'!$B$5:$K$5,"*reinsurance*")+
SUMIFS('APPENDIX 4 iii'!$B15:$K15,'APPENDIX 4 iii'!$B$5:$K$5,"*reinsurance*")</f>
        <v>2968259.0180983478</v>
      </c>
      <c r="Q15" s="250">
        <f>N15+_xlfn.XLOOKUP($B15,'APPENDIX  5 iv'!$B:$B,'APPENDIX  5 iv'!P:P,0,0)+_xlfn.XLOOKUP($B15,'APPENDIX 6'!$B:$B,'APPENDIX 6'!I:I,0,0)</f>
        <v>1029107849.2209133</v>
      </c>
      <c r="R15" s="250">
        <f>O15+_xlfn.XLOOKUP($B15,'APPENDIX  5 iv'!$B:$B,'APPENDIX  5 iv'!Q:Q,0,0)+_xlfn.XLOOKUP($B15,'APPENDIX 6'!$B:$B,'APPENDIX 6'!J:J,0,0)</f>
        <v>26080713.472564377</v>
      </c>
      <c r="S15" s="250">
        <f t="shared" si="0"/>
        <v>1055188562.6934776</v>
      </c>
    </row>
    <row r="16" spans="1:22" ht="16" customHeight="1" x14ac:dyDescent="0.35">
      <c r="B16" s="225" t="s">
        <v>142</v>
      </c>
      <c r="C16" s="221">
        <v>0</v>
      </c>
      <c r="D16" s="221">
        <v>228776.00099999999</v>
      </c>
      <c r="E16" s="221">
        <v>0</v>
      </c>
      <c r="F16" s="221">
        <v>0</v>
      </c>
      <c r="G16" s="221">
        <v>0</v>
      </c>
      <c r="H16" s="221">
        <v>0</v>
      </c>
      <c r="I16" s="221">
        <v>0</v>
      </c>
      <c r="J16" s="221">
        <v>0</v>
      </c>
      <c r="K16" s="221">
        <v>0</v>
      </c>
      <c r="L16" s="221">
        <v>421076.12338</v>
      </c>
      <c r="N16" s="250">
        <f>SUMIFS('APPENDIX 4 iii'!$B16:$L16,'APPENDIX 4 iii'!$B$5:$L$5,"*total*")-O16</f>
        <v>315946.46948999999</v>
      </c>
      <c r="O16" s="250">
        <f>SUMIFS('APPENDIX 4 i'!$B16:$K16,'APPENDIX 4 i'!$B$5:$K$5,"*reinsurance*")+
SUMIFS('APPENDIX 4 ii'!$B16:$K16,'APPENDIX 4 ii'!$B$5:$K$5,"*reinsurance*")+
SUMIFS('APPENDIX 4 iii'!$B16:$K16,'APPENDIX 4 iii'!$B$5:$K$5,"*reinsurance*")</f>
        <v>105129.65389</v>
      </c>
      <c r="Q16" s="250">
        <f>N16+_xlfn.XLOOKUP($B16,'APPENDIX  5 iv'!$B:$B,'APPENDIX  5 iv'!P:P,0,0)+_xlfn.XLOOKUP($B16,'APPENDIX 6'!$B:$B,'APPENDIX 6'!I:I,0,0)</f>
        <v>3806417.7518308661</v>
      </c>
      <c r="R16" s="250">
        <f>O16+_xlfn.XLOOKUP($B16,'APPENDIX  5 iv'!$B:$B,'APPENDIX  5 iv'!Q:Q,0,0)+_xlfn.XLOOKUP($B16,'APPENDIX 6'!$B:$B,'APPENDIX 6'!J:J,0,0)</f>
        <v>1754720.0427850697</v>
      </c>
      <c r="S16" s="250">
        <f t="shared" si="0"/>
        <v>5561137.7946159355</v>
      </c>
    </row>
    <row r="17" spans="2:19" ht="16" customHeight="1" x14ac:dyDescent="0.35">
      <c r="B17" s="225" t="s">
        <v>143</v>
      </c>
      <c r="C17" s="221">
        <v>1052931.638</v>
      </c>
      <c r="D17" s="221">
        <v>0</v>
      </c>
      <c r="E17" s="221">
        <v>0</v>
      </c>
      <c r="F17" s="221">
        <v>103666.281</v>
      </c>
      <c r="G17" s="221">
        <v>0</v>
      </c>
      <c r="H17" s="221">
        <v>1409654.3319308639</v>
      </c>
      <c r="I17" s="221">
        <v>0</v>
      </c>
      <c r="J17" s="221">
        <v>0</v>
      </c>
      <c r="K17" s="221">
        <v>0</v>
      </c>
      <c r="L17" s="221">
        <v>20813263.389993079</v>
      </c>
      <c r="N17" s="250">
        <f>SUMIFS('APPENDIX 4 iii'!$B17:$L17,'APPENDIX 4 iii'!$B$5:$L$5,"*total*")-O17</f>
        <v>20175957.187993079</v>
      </c>
      <c r="O17" s="250">
        <f>SUMIFS('APPENDIX 4 i'!$B17:$K17,'APPENDIX 4 i'!$B$5:$K$5,"*reinsurance*")+
SUMIFS('APPENDIX 4 ii'!$B17:$K17,'APPENDIX 4 ii'!$B$5:$K$5,"*reinsurance*")+
SUMIFS('APPENDIX 4 iii'!$B17:$K17,'APPENDIX 4 iii'!$B$5:$K$5,"*reinsurance*")</f>
        <v>637306.20200000005</v>
      </c>
      <c r="Q17" s="250">
        <f>N17+_xlfn.XLOOKUP($B17,'APPENDIX  5 iv'!$B:$B,'APPENDIX  5 iv'!P:P,0,0)+_xlfn.XLOOKUP($B17,'APPENDIX 6'!$B:$B,'APPENDIX 6'!I:I,0,0)</f>
        <v>21720981.024041619</v>
      </c>
      <c r="R17" s="250">
        <f>O17+_xlfn.XLOOKUP($B17,'APPENDIX  5 iv'!$B:$B,'APPENDIX  5 iv'!Q:Q,0,0)+_xlfn.XLOOKUP($B17,'APPENDIX 6'!$B:$B,'APPENDIX 6'!J:J,0,0)</f>
        <v>2056840.6270000001</v>
      </c>
      <c r="S17" s="250">
        <f t="shared" si="0"/>
        <v>23777821.651041619</v>
      </c>
    </row>
    <row r="18" spans="2:19" ht="16" customHeight="1" x14ac:dyDescent="0.35">
      <c r="B18" s="225" t="s">
        <v>144</v>
      </c>
      <c r="C18" s="221">
        <v>628244.505</v>
      </c>
      <c r="D18" s="221">
        <v>450661.07799999998</v>
      </c>
      <c r="E18" s="221">
        <v>1208047.514759999</v>
      </c>
      <c r="F18" s="221">
        <v>270118.36900000001</v>
      </c>
      <c r="G18" s="221">
        <v>0</v>
      </c>
      <c r="H18" s="221">
        <v>698330.77665999986</v>
      </c>
      <c r="I18" s="221">
        <v>10041.157999999999</v>
      </c>
      <c r="J18" s="221">
        <v>43308.432000000001</v>
      </c>
      <c r="K18" s="221">
        <v>0</v>
      </c>
      <c r="L18" s="221">
        <v>8972653.7739384733</v>
      </c>
      <c r="N18" s="250">
        <f>SUMIFS('APPENDIX 4 iii'!$B18:$L18,'APPENDIX 4 iii'!$B$5:$L$5,"*total*")-O18</f>
        <v>8952917.2079384737</v>
      </c>
      <c r="O18" s="250">
        <f>SUMIFS('APPENDIX 4 i'!$B18:$K18,'APPENDIX 4 i'!$B$5:$K$5,"*reinsurance*")+
SUMIFS('APPENDIX 4 ii'!$B18:$K18,'APPENDIX 4 ii'!$B$5:$K$5,"*reinsurance*")+
SUMIFS('APPENDIX 4 iii'!$B18:$K18,'APPENDIX 4 iii'!$B$5:$K$5,"*reinsurance*")</f>
        <v>19736.565999999999</v>
      </c>
      <c r="Q18" s="250">
        <f>N18+_xlfn.XLOOKUP($B18,'APPENDIX  5 iv'!$B:$B,'APPENDIX  5 iv'!P:P,0,0)+_xlfn.XLOOKUP($B18,'APPENDIX 6'!$B:$B,'APPENDIX 6'!I:I,0,0)</f>
        <v>24072791.242018729</v>
      </c>
      <c r="R18" s="250">
        <f>O18+_xlfn.XLOOKUP($B18,'APPENDIX  5 iv'!$B:$B,'APPENDIX  5 iv'!Q:Q,0,0)+_xlfn.XLOOKUP($B18,'APPENDIX 6'!$B:$B,'APPENDIX 6'!J:J,0,0)</f>
        <v>1531523.1428057388</v>
      </c>
      <c r="S18" s="250">
        <f t="shared" si="0"/>
        <v>25604314.38482447</v>
      </c>
    </row>
    <row r="19" spans="2:19" ht="16" customHeight="1" x14ac:dyDescent="0.35">
      <c r="B19" s="225" t="s">
        <v>145</v>
      </c>
      <c r="C19" s="221">
        <v>165494.4574951687</v>
      </c>
      <c r="D19" s="221">
        <v>92438.168279998776</v>
      </c>
      <c r="E19" s="221">
        <v>416554.95310999989</v>
      </c>
      <c r="F19" s="221">
        <v>101925.3617999992</v>
      </c>
      <c r="G19" s="221">
        <v>470681.41509930039</v>
      </c>
      <c r="H19" s="221">
        <v>314878.23337023403</v>
      </c>
      <c r="I19" s="221">
        <v>3725.4589999999998</v>
      </c>
      <c r="J19" s="221">
        <v>0</v>
      </c>
      <c r="K19" s="221">
        <v>0</v>
      </c>
      <c r="L19" s="221">
        <v>12063203.977183601</v>
      </c>
      <c r="N19" s="250">
        <f>SUMIFS('APPENDIX 4 iii'!$B19:$L19,'APPENDIX 4 iii'!$B$5:$L$5,"*total*")-O19</f>
        <v>11806204.029867981</v>
      </c>
      <c r="O19" s="250">
        <f>SUMIFS('APPENDIX 4 i'!$B19:$K19,'APPENDIX 4 i'!$B$5:$K$5,"*reinsurance*")+
SUMIFS('APPENDIX 4 ii'!$B19:$K19,'APPENDIX 4 ii'!$B$5:$K$5,"*reinsurance*")+
SUMIFS('APPENDIX 4 iii'!$B19:$K19,'APPENDIX 4 iii'!$B$5:$K$5,"*reinsurance*")</f>
        <v>256999.94731561991</v>
      </c>
      <c r="Q19" s="250">
        <f>N19+_xlfn.XLOOKUP($B19,'APPENDIX  5 iv'!$B:$B,'APPENDIX  5 iv'!P:P,0,0)+_xlfn.XLOOKUP($B19,'APPENDIX 6'!$B:$B,'APPENDIX 6'!I:I,0,0)</f>
        <v>19433785.40034603</v>
      </c>
      <c r="R19" s="250">
        <f>O19+_xlfn.XLOOKUP($B19,'APPENDIX  5 iv'!$B:$B,'APPENDIX  5 iv'!Q:Q,0,0)+_xlfn.XLOOKUP($B19,'APPENDIX 6'!$B:$B,'APPENDIX 6'!J:J,0,0)</f>
        <v>815488.94355561864</v>
      </c>
      <c r="S19" s="250">
        <f t="shared" si="0"/>
        <v>20249274.343901649</v>
      </c>
    </row>
    <row r="20" spans="2:19" ht="16" customHeight="1" thickBot="1" x14ac:dyDescent="0.4">
      <c r="B20" s="226" t="s">
        <v>146</v>
      </c>
      <c r="C20" s="227">
        <v>32389142.2731422</v>
      </c>
      <c r="D20" s="227">
        <v>20550769.00028</v>
      </c>
      <c r="E20" s="227">
        <v>29904983.359469999</v>
      </c>
      <c r="F20" s="227">
        <v>19511797.308812071</v>
      </c>
      <c r="G20" s="227">
        <v>7326872.9869911289</v>
      </c>
      <c r="H20" s="227">
        <v>37240488.831323273</v>
      </c>
      <c r="I20" s="227">
        <v>893565.16821026115</v>
      </c>
      <c r="J20" s="227">
        <v>5610059.5454949802</v>
      </c>
      <c r="K20" s="227">
        <v>0</v>
      </c>
      <c r="L20" s="227">
        <v>1093484505.433918</v>
      </c>
      <c r="N20" s="252">
        <f>SUMIFS('APPENDIX 4 iii'!$B20:$L20,'APPENDIX 4 iii'!$B$5:$L$5,"*total*")-O20</f>
        <v>1075902797.3448541</v>
      </c>
      <c r="O20" s="252">
        <f>SUMIFS('APPENDIX 4 i'!$B20:$K20,'APPENDIX 4 i'!$B$5:$K$5,"*reinsurance*")+
SUMIFS('APPENDIX 4 ii'!$B20:$K20,'APPENDIX 4 ii'!$B$5:$K$5,"*reinsurance*")+
SUMIFS('APPENDIX 4 iii'!$B20:$K20,'APPENDIX 4 iii'!$B$5:$K$5,"*reinsurance*")</f>
        <v>17581708.089063887</v>
      </c>
      <c r="Q20" s="252">
        <f>N20+_xlfn.XLOOKUP($B20,'APPENDIX  5 iv'!$B:$B,'APPENDIX  5 iv'!P:P,0,0)+_xlfn.XLOOKUP($B20,'APPENDIX 6'!$B:$B,'APPENDIX 6'!I:I,0,0)</f>
        <v>1367678706.5000892</v>
      </c>
      <c r="R20" s="252">
        <f>O20+_xlfn.XLOOKUP($B20,'APPENDIX  5 iv'!$B:$B,'APPENDIX  5 iv'!Q:Q,0,0)+_xlfn.XLOOKUP($B20,'APPENDIX 6'!$B:$B,'APPENDIX 6'!J:J,0,0)</f>
        <v>99402530.449775279</v>
      </c>
      <c r="S20" s="252">
        <f t="shared" si="0"/>
        <v>1467081236.9498644</v>
      </c>
    </row>
    <row r="21" spans="2:19" ht="16" customHeight="1" thickTop="1" x14ac:dyDescent="0.35">
      <c r="B21" s="228" t="s">
        <v>147</v>
      </c>
      <c r="C21" s="235">
        <v>80580.623999999996</v>
      </c>
      <c r="D21" s="235">
        <v>32890</v>
      </c>
      <c r="E21" s="235">
        <v>88644.86904000002</v>
      </c>
      <c r="F21" s="235">
        <v>14211.18</v>
      </c>
      <c r="G21" s="235">
        <v>18101.412089999991</v>
      </c>
      <c r="H21" s="235">
        <v>0</v>
      </c>
      <c r="I21" s="235">
        <v>6861.7290000000003</v>
      </c>
      <c r="J21" s="235">
        <v>0</v>
      </c>
      <c r="K21" s="235">
        <v>0</v>
      </c>
      <c r="L21" s="235">
        <v>1049789.6502499999</v>
      </c>
      <c r="N21" s="250">
        <f>SUMIFS('APPENDIX 4 iii'!$B21:$L21,'APPENDIX 4 iii'!$B$5:$L$5,"*total*")-O21</f>
        <v>1049789.5502499999</v>
      </c>
      <c r="O21" s="250">
        <f>SUMIFS('APPENDIX 4 i'!$B21:$K21,'APPENDIX 4 i'!$B$5:$K$5,"*reinsurance*")+
SUMIFS('APPENDIX 4 ii'!$B21:$K21,'APPENDIX 4 ii'!$B$5:$K$5,"*reinsurance*")+
SUMIFS('APPENDIX 4 iii'!$B21:$K21,'APPENDIX 4 iii'!$B$5:$K$5,"*reinsurance*")</f>
        <v>0.1</v>
      </c>
      <c r="Q21" s="250">
        <f>N21+_xlfn.XLOOKUP($B21,'APPENDIX  5 iv'!$B:$B,'APPENDIX  5 iv'!P:P,0,0)+_xlfn.XLOOKUP($B21,'APPENDIX 6'!$B:$B,'APPENDIX 6'!I:I,0,0)</f>
        <v>2308012.1732560419</v>
      </c>
      <c r="R21" s="250">
        <f>O21+_xlfn.XLOOKUP($B21,'APPENDIX  5 iv'!$B:$B,'APPENDIX  5 iv'!Q:Q,0,0)+_xlfn.XLOOKUP($B21,'APPENDIX 6'!$B:$B,'APPENDIX 6'!J:J,0,0)</f>
        <v>83216.557000000001</v>
      </c>
      <c r="S21" s="250">
        <f t="shared" si="0"/>
        <v>2391228.730256042</v>
      </c>
    </row>
    <row r="22" spans="2:19" ht="16" customHeight="1" x14ac:dyDescent="0.35">
      <c r="B22" s="225" t="s">
        <v>148</v>
      </c>
      <c r="C22" s="221">
        <v>770786.86399999994</v>
      </c>
      <c r="D22" s="221">
        <v>263398.36126999999</v>
      </c>
      <c r="E22" s="221">
        <v>0</v>
      </c>
      <c r="F22" s="221">
        <v>0</v>
      </c>
      <c r="G22" s="221">
        <v>0</v>
      </c>
      <c r="H22" s="221">
        <v>0</v>
      </c>
      <c r="I22" s="221">
        <v>0</v>
      </c>
      <c r="J22" s="221">
        <v>712750</v>
      </c>
      <c r="K22" s="221">
        <v>0</v>
      </c>
      <c r="L22" s="221">
        <v>3896169.8230708512</v>
      </c>
      <c r="N22" s="250">
        <f>SUMIFS('APPENDIX 4 iii'!$B22:$L22,'APPENDIX 4 iii'!$B$5:$L$5,"*total*")-O22</f>
        <v>3896169.8230708512</v>
      </c>
      <c r="O22" s="250">
        <f>SUMIFS('APPENDIX 4 i'!$B22:$K22,'APPENDIX 4 i'!$B$5:$K$5,"*reinsurance*")+
SUMIFS('APPENDIX 4 ii'!$B22:$K22,'APPENDIX 4 ii'!$B$5:$K$5,"*reinsurance*")+
SUMIFS('APPENDIX 4 iii'!$B22:$K22,'APPENDIX 4 iii'!$B$5:$K$5,"*reinsurance*")</f>
        <v>0</v>
      </c>
      <c r="Q22" s="250">
        <f>N22+_xlfn.XLOOKUP($B22,'APPENDIX  5 iv'!$B:$B,'APPENDIX  5 iv'!P:P,0,0)+_xlfn.XLOOKUP($B22,'APPENDIX 6'!$B:$B,'APPENDIX 6'!I:I,0,0)</f>
        <v>9583583.5504708514</v>
      </c>
      <c r="R22" s="250">
        <f>O22+_xlfn.XLOOKUP($B22,'APPENDIX  5 iv'!$B:$B,'APPENDIX  5 iv'!Q:Q,0,0)+_xlfn.XLOOKUP($B22,'APPENDIX 6'!$B:$B,'APPENDIX 6'!J:J,0,0)</f>
        <v>382247.059052</v>
      </c>
      <c r="S22" s="250">
        <f t="shared" si="0"/>
        <v>9965830.6095228512</v>
      </c>
    </row>
    <row r="23" spans="2:19" ht="16" customHeight="1" x14ac:dyDescent="0.35">
      <c r="B23" s="225" t="s">
        <v>149</v>
      </c>
      <c r="C23" s="221">
        <v>445213.136</v>
      </c>
      <c r="D23" s="221">
        <v>7145397.3930000002</v>
      </c>
      <c r="E23" s="221">
        <v>2362000</v>
      </c>
      <c r="F23" s="221">
        <v>1706200</v>
      </c>
      <c r="G23" s="221">
        <v>0</v>
      </c>
      <c r="H23" s="221">
        <v>2825000</v>
      </c>
      <c r="I23" s="221">
        <v>0</v>
      </c>
      <c r="J23" s="221">
        <v>2235250</v>
      </c>
      <c r="K23" s="221">
        <v>0</v>
      </c>
      <c r="L23" s="221">
        <v>57189205.820629992</v>
      </c>
      <c r="N23" s="250">
        <f>SUMIFS('APPENDIX 4 iii'!$B23:$L23,'APPENDIX 4 iii'!$B$5:$L$5,"*total*")-O23</f>
        <v>55265698.093629993</v>
      </c>
      <c r="O23" s="250">
        <f>SUMIFS('APPENDIX 4 i'!$B23:$K23,'APPENDIX 4 i'!$B$5:$K$5,"*reinsurance*")+
SUMIFS('APPENDIX 4 ii'!$B23:$K23,'APPENDIX 4 ii'!$B$5:$K$5,"*reinsurance*")+
SUMIFS('APPENDIX 4 iii'!$B23:$K23,'APPENDIX 4 iii'!$B$5:$K$5,"*reinsurance*")</f>
        <v>1923507.727</v>
      </c>
      <c r="Q23" s="250">
        <f>N23+_xlfn.XLOOKUP($B23,'APPENDIX  5 iv'!$B:$B,'APPENDIX  5 iv'!P:P,0,0)+_xlfn.XLOOKUP($B23,'APPENDIX 6'!$B:$B,'APPENDIX 6'!I:I,0,0)</f>
        <v>78347606.67620115</v>
      </c>
      <c r="R23" s="250">
        <f>O23+_xlfn.XLOOKUP($B23,'APPENDIX  5 iv'!$B:$B,'APPENDIX  5 iv'!Q:Q,0,0)+_xlfn.XLOOKUP($B23,'APPENDIX 6'!$B:$B,'APPENDIX 6'!J:J,0,0)</f>
        <v>13850016.970000001</v>
      </c>
      <c r="S23" s="250">
        <f t="shared" si="0"/>
        <v>92197623.646201149</v>
      </c>
    </row>
    <row r="24" spans="2:19" ht="16" customHeight="1" x14ac:dyDescent="0.35">
      <c r="B24" s="225" t="s">
        <v>150</v>
      </c>
      <c r="C24" s="221">
        <v>72726.883000000002</v>
      </c>
      <c r="D24" s="221">
        <v>29759.819044999469</v>
      </c>
      <c r="E24" s="221">
        <v>32991.724589999969</v>
      </c>
      <c r="F24" s="221">
        <v>38354.520686304131</v>
      </c>
      <c r="G24" s="221">
        <v>31893.794910000001</v>
      </c>
      <c r="H24" s="221">
        <v>83068.210930000001</v>
      </c>
      <c r="I24" s="221">
        <v>2064.768610000001</v>
      </c>
      <c r="J24" s="221">
        <v>5586.1580000000004</v>
      </c>
      <c r="K24" s="221">
        <v>0</v>
      </c>
      <c r="L24" s="221">
        <v>1090458.277977406</v>
      </c>
      <c r="N24" s="250">
        <f>SUMIFS('APPENDIX 4 iii'!$B24:$L24,'APPENDIX 4 iii'!$B$5:$L$5,"*total*")-O24</f>
        <v>1090458.277977406</v>
      </c>
      <c r="O24" s="250">
        <f>SUMIFS('APPENDIX 4 i'!$B24:$K24,'APPENDIX 4 i'!$B$5:$K$5,"*reinsurance*")+
SUMIFS('APPENDIX 4 ii'!$B24:$K24,'APPENDIX 4 ii'!$B$5:$K$5,"*reinsurance*")+
SUMIFS('APPENDIX 4 iii'!$B24:$K24,'APPENDIX 4 iii'!$B$5:$K$5,"*reinsurance*")</f>
        <v>0</v>
      </c>
      <c r="Q24" s="250">
        <f>N24+_xlfn.XLOOKUP($B24,'APPENDIX  5 iv'!$B:$B,'APPENDIX  5 iv'!P:P,0,0)+_xlfn.XLOOKUP($B24,'APPENDIX 6'!$B:$B,'APPENDIX 6'!I:I,0,0)</f>
        <v>2934352.8096583788</v>
      </c>
      <c r="R24" s="250">
        <f>O24+_xlfn.XLOOKUP($B24,'APPENDIX  5 iv'!$B:$B,'APPENDIX  5 iv'!Q:Q,0,0)+_xlfn.XLOOKUP($B24,'APPENDIX 6'!$B:$B,'APPENDIX 6'!J:J,0,0)</f>
        <v>133345.64175129481</v>
      </c>
      <c r="S24" s="250">
        <f t="shared" si="0"/>
        <v>3067698.4514096738</v>
      </c>
    </row>
    <row r="25" spans="2:19" ht="16" customHeight="1" x14ac:dyDescent="0.35">
      <c r="B25" s="225" t="s">
        <v>151</v>
      </c>
      <c r="C25" s="221">
        <v>21352088.03614977</v>
      </c>
      <c r="D25" s="221">
        <v>3913304.733</v>
      </c>
      <c r="E25" s="221">
        <v>16839602.58289</v>
      </c>
      <c r="F25" s="221">
        <v>10348037.72816588</v>
      </c>
      <c r="G25" s="221">
        <v>6317681.9196887054</v>
      </c>
      <c r="H25" s="221">
        <v>31902208.342659641</v>
      </c>
      <c r="I25" s="221">
        <v>3272.6419999999998</v>
      </c>
      <c r="J25" s="221">
        <v>431000</v>
      </c>
      <c r="K25" s="221">
        <v>0</v>
      </c>
      <c r="L25" s="221">
        <v>813307855.60521853</v>
      </c>
      <c r="N25" s="250">
        <f>SUMIFS('APPENDIX 4 iii'!$B25:$L25,'APPENDIX 4 iii'!$B$5:$L$5,"*total*")-O25</f>
        <v>804176151.86121857</v>
      </c>
      <c r="O25" s="250">
        <f>SUMIFS('APPENDIX 4 i'!$B25:$K25,'APPENDIX 4 i'!$B$5:$K$5,"*reinsurance*")+
SUMIFS('APPENDIX 4 ii'!$B25:$K25,'APPENDIX 4 ii'!$B$5:$K$5,"*reinsurance*")+
SUMIFS('APPENDIX 4 iii'!$B25:$K25,'APPENDIX 4 iii'!$B$5:$K$5,"*reinsurance*")</f>
        <v>9131703.743999999</v>
      </c>
      <c r="Q25" s="250">
        <f>N25+_xlfn.XLOOKUP($B25,'APPENDIX  5 iv'!$B:$B,'APPENDIX  5 iv'!P:P,0,0)+_xlfn.XLOOKUP($B25,'APPENDIX 6'!$B:$B,'APPENDIX 6'!I:I,0,0)</f>
        <v>917906964.79689074</v>
      </c>
      <c r="R25" s="250">
        <f>O25+_xlfn.XLOOKUP($B25,'APPENDIX  5 iv'!$B:$B,'APPENDIX  5 iv'!Q:Q,0,0)+_xlfn.XLOOKUP($B25,'APPENDIX 6'!$B:$B,'APPENDIX 6'!J:J,0,0)</f>
        <v>36608211.8043589</v>
      </c>
      <c r="S25" s="250">
        <f t="shared" si="0"/>
        <v>954515176.60124969</v>
      </c>
    </row>
    <row r="26" spans="2:19" ht="16" customHeight="1" x14ac:dyDescent="0.35">
      <c r="B26" s="225" t="s">
        <v>152</v>
      </c>
      <c r="C26" s="221">
        <v>1138827.3799999999</v>
      </c>
      <c r="D26" s="221">
        <v>34910</v>
      </c>
      <c r="E26" s="221">
        <v>2322978.4297699998</v>
      </c>
      <c r="F26" s="221">
        <v>0</v>
      </c>
      <c r="G26" s="221">
        <v>0</v>
      </c>
      <c r="H26" s="221">
        <v>0</v>
      </c>
      <c r="I26" s="221">
        <v>0</v>
      </c>
      <c r="J26" s="221">
        <v>0</v>
      </c>
      <c r="K26" s="221">
        <v>0</v>
      </c>
      <c r="L26" s="221">
        <v>25543119.079165801</v>
      </c>
      <c r="N26" s="250">
        <f>SUMIFS('APPENDIX 4 iii'!$B26:$L26,'APPENDIX 4 iii'!$B$5:$L$5,"*total*")-O26</f>
        <v>25543119.079165801</v>
      </c>
      <c r="O26" s="250">
        <f>SUMIFS('APPENDIX 4 i'!$B26:$K26,'APPENDIX 4 i'!$B$5:$K$5,"*reinsurance*")+
SUMIFS('APPENDIX 4 ii'!$B26:$K26,'APPENDIX 4 ii'!$B$5:$K$5,"*reinsurance*")+
SUMIFS('APPENDIX 4 iii'!$B26:$K26,'APPENDIX 4 iii'!$B$5:$K$5,"*reinsurance*")</f>
        <v>0</v>
      </c>
      <c r="Q26" s="250">
        <f>N26+_xlfn.XLOOKUP($B26,'APPENDIX  5 iv'!$B:$B,'APPENDIX  5 iv'!P:P,0,0)+_xlfn.XLOOKUP($B26,'APPENDIX 6'!$B:$B,'APPENDIX 6'!I:I,0,0)</f>
        <v>27126933.702371877</v>
      </c>
      <c r="R26" s="250">
        <f>O26+_xlfn.XLOOKUP($B26,'APPENDIX  5 iv'!$B:$B,'APPENDIX  5 iv'!Q:Q,0,0)+_xlfn.XLOOKUP($B26,'APPENDIX 6'!$B:$B,'APPENDIX 6'!J:J,0,0)</f>
        <v>1020288.0403091784</v>
      </c>
      <c r="S26" s="250">
        <f t="shared" si="0"/>
        <v>28147221.742681056</v>
      </c>
    </row>
    <row r="27" spans="2:19" ht="16" customHeight="1" x14ac:dyDescent="0.35">
      <c r="B27" s="225" t="s">
        <v>153</v>
      </c>
      <c r="C27" s="221">
        <v>0</v>
      </c>
      <c r="D27" s="221">
        <v>0</v>
      </c>
      <c r="E27" s="221">
        <v>0</v>
      </c>
      <c r="F27" s="221">
        <v>0</v>
      </c>
      <c r="G27" s="221">
        <v>0</v>
      </c>
      <c r="H27" s="221">
        <v>0</v>
      </c>
      <c r="I27" s="221">
        <v>0</v>
      </c>
      <c r="J27" s="221">
        <v>0</v>
      </c>
      <c r="K27" s="221">
        <v>0</v>
      </c>
      <c r="L27" s="221">
        <v>12220512.866149999</v>
      </c>
      <c r="N27" s="250">
        <f>SUMIFS('APPENDIX 4 iii'!$B27:$L27,'APPENDIX 4 iii'!$B$5:$L$5,"*total*")-O27</f>
        <v>12220512.866149999</v>
      </c>
      <c r="O27" s="250">
        <f>SUMIFS('APPENDIX 4 i'!$B27:$K27,'APPENDIX 4 i'!$B$5:$K$5,"*reinsurance*")+
SUMIFS('APPENDIX 4 ii'!$B27:$K27,'APPENDIX 4 ii'!$B$5:$K$5,"*reinsurance*")+
SUMIFS('APPENDIX 4 iii'!$B27:$K27,'APPENDIX 4 iii'!$B$5:$K$5,"*reinsurance*")</f>
        <v>0</v>
      </c>
      <c r="Q27" s="250">
        <f>N27+_xlfn.XLOOKUP($B27,'APPENDIX  5 iv'!$B:$B,'APPENDIX  5 iv'!P:P,0,0)+_xlfn.XLOOKUP($B27,'APPENDIX 6'!$B:$B,'APPENDIX 6'!I:I,0,0)</f>
        <v>19443709.048450008</v>
      </c>
      <c r="R27" s="250">
        <f>O27+_xlfn.XLOOKUP($B27,'APPENDIX  5 iv'!$B:$B,'APPENDIX  5 iv'!Q:Q,0,0)+_xlfn.XLOOKUP($B27,'APPENDIX 6'!$B:$B,'APPENDIX 6'!J:J,0,0)</f>
        <v>12434671.963091951</v>
      </c>
      <c r="S27" s="250">
        <f t="shared" si="0"/>
        <v>31878381.011541959</v>
      </c>
    </row>
    <row r="28" spans="2:19" ht="16" customHeight="1" x14ac:dyDescent="0.35">
      <c r="B28" s="225" t="s">
        <v>154</v>
      </c>
      <c r="C28" s="221">
        <v>0</v>
      </c>
      <c r="D28" s="221">
        <v>0</v>
      </c>
      <c r="E28" s="221">
        <v>0</v>
      </c>
      <c r="F28" s="221">
        <v>0</v>
      </c>
      <c r="G28" s="221">
        <v>0</v>
      </c>
      <c r="H28" s="221">
        <v>0</v>
      </c>
      <c r="I28" s="221">
        <v>0</v>
      </c>
      <c r="J28" s="221">
        <v>0</v>
      </c>
      <c r="K28" s="221">
        <v>0</v>
      </c>
      <c r="L28" s="221">
        <v>4151133.325555847</v>
      </c>
      <c r="N28" s="250">
        <f>SUMIFS('APPENDIX 4 iii'!$B28:$L28,'APPENDIX 4 iii'!$B$5:$L$5,"*total*")-O28</f>
        <v>3769554.325555847</v>
      </c>
      <c r="O28" s="250">
        <f>SUMIFS('APPENDIX 4 i'!$B28:$K28,'APPENDIX 4 i'!$B$5:$K$5,"*reinsurance*")+
SUMIFS('APPENDIX 4 ii'!$B28:$K28,'APPENDIX 4 ii'!$B$5:$K$5,"*reinsurance*")+
SUMIFS('APPENDIX 4 iii'!$B28:$K28,'APPENDIX 4 iii'!$B$5:$K$5,"*reinsurance*")</f>
        <v>381579</v>
      </c>
      <c r="Q28" s="250">
        <f>N28+_xlfn.XLOOKUP($B28,'APPENDIX  5 iv'!$B:$B,'APPENDIX  5 iv'!P:P,0,0)+_xlfn.XLOOKUP($B28,'APPENDIX 6'!$B:$B,'APPENDIX 6'!I:I,0,0)</f>
        <v>4938227.6982712364</v>
      </c>
      <c r="R28" s="250">
        <f>O28+_xlfn.XLOOKUP($B28,'APPENDIX  5 iv'!$B:$B,'APPENDIX  5 iv'!Q:Q,0,0)+_xlfn.XLOOKUP($B28,'APPENDIX 6'!$B:$B,'APPENDIX 6'!J:J,0,0)</f>
        <v>769077.82805785781</v>
      </c>
      <c r="S28" s="250">
        <f t="shared" si="0"/>
        <v>5707305.5263290945</v>
      </c>
    </row>
    <row r="29" spans="2:19" ht="16" customHeight="1" x14ac:dyDescent="0.35">
      <c r="B29" s="225" t="s">
        <v>155</v>
      </c>
      <c r="C29" s="221">
        <v>0</v>
      </c>
      <c r="D29" s="221">
        <v>0</v>
      </c>
      <c r="E29" s="221">
        <v>0</v>
      </c>
      <c r="F29" s="221">
        <v>0</v>
      </c>
      <c r="G29" s="221">
        <v>0</v>
      </c>
      <c r="H29" s="221">
        <v>0</v>
      </c>
      <c r="I29" s="221">
        <v>0</v>
      </c>
      <c r="J29" s="221">
        <v>0</v>
      </c>
      <c r="K29" s="221">
        <v>0</v>
      </c>
      <c r="L29" s="221">
        <v>72470.136629999994</v>
      </c>
      <c r="N29" s="250">
        <f>SUMIFS('APPENDIX 4 iii'!$B29:$L29,'APPENDIX 4 iii'!$B$5:$L$5,"*total*")-O29</f>
        <v>72470.136629999994</v>
      </c>
      <c r="O29" s="250">
        <f>SUMIFS('APPENDIX 4 i'!$B29:$K29,'APPENDIX 4 i'!$B$5:$K$5,"*reinsurance*")+
SUMIFS('APPENDIX 4 ii'!$B29:$K29,'APPENDIX 4 ii'!$B$5:$K$5,"*reinsurance*")+
SUMIFS('APPENDIX 4 iii'!$B29:$K29,'APPENDIX 4 iii'!$B$5:$K$5,"*reinsurance*")</f>
        <v>0</v>
      </c>
      <c r="Q29" s="250">
        <f>N29+_xlfn.XLOOKUP($B29,'APPENDIX  5 iv'!$B:$B,'APPENDIX  5 iv'!P:P,0,0)+_xlfn.XLOOKUP($B29,'APPENDIX 6'!$B:$B,'APPENDIX 6'!I:I,0,0)</f>
        <v>564771.69595616998</v>
      </c>
      <c r="R29" s="250">
        <f>O29+_xlfn.XLOOKUP($B29,'APPENDIX  5 iv'!$B:$B,'APPENDIX  5 iv'!Q:Q,0,0)+_xlfn.XLOOKUP($B29,'APPENDIX 6'!$B:$B,'APPENDIX 6'!J:J,0,0)</f>
        <v>0</v>
      </c>
      <c r="S29" s="250">
        <f t="shared" si="0"/>
        <v>564771.69595616998</v>
      </c>
    </row>
    <row r="30" spans="2:19" ht="16" customHeight="1" x14ac:dyDescent="0.35">
      <c r="B30" s="225" t="s">
        <v>156</v>
      </c>
      <c r="C30" s="221">
        <v>0</v>
      </c>
      <c r="D30" s="221">
        <v>0</v>
      </c>
      <c r="E30" s="221">
        <v>0</v>
      </c>
      <c r="F30" s="221">
        <v>0</v>
      </c>
      <c r="G30" s="221">
        <v>0</v>
      </c>
      <c r="H30" s="221">
        <v>0</v>
      </c>
      <c r="I30" s="221">
        <v>0</v>
      </c>
      <c r="J30" s="221">
        <v>0</v>
      </c>
      <c r="K30" s="221">
        <v>0</v>
      </c>
      <c r="L30" s="221">
        <v>0</v>
      </c>
      <c r="N30" s="250">
        <f>SUMIFS('APPENDIX 4 iii'!$B30:$L30,'APPENDIX 4 iii'!$B$5:$L$5,"*total*")-O30</f>
        <v>0</v>
      </c>
      <c r="O30" s="250">
        <f>SUMIFS('APPENDIX 4 i'!$B30:$K30,'APPENDIX 4 i'!$B$5:$K$5,"*reinsurance*")+
SUMIFS('APPENDIX 4 ii'!$B30:$K30,'APPENDIX 4 ii'!$B$5:$K$5,"*reinsurance*")+
SUMIFS('APPENDIX 4 iii'!$B30:$K30,'APPENDIX 4 iii'!$B$5:$K$5,"*reinsurance*")</f>
        <v>0</v>
      </c>
      <c r="Q30" s="250">
        <f>N30+_xlfn.XLOOKUP($B30,'APPENDIX  5 iv'!$B:$B,'APPENDIX  5 iv'!P:P,0,0)+_xlfn.XLOOKUP($B30,'APPENDIX 6'!$B:$B,'APPENDIX 6'!I:I,0,0)</f>
        <v>357021.46899999998</v>
      </c>
      <c r="R30" s="250">
        <f>O30+_xlfn.XLOOKUP($B30,'APPENDIX  5 iv'!$B:$B,'APPENDIX  5 iv'!Q:Q,0,0)+_xlfn.XLOOKUP($B30,'APPENDIX 6'!$B:$B,'APPENDIX 6'!J:J,0,0)</f>
        <v>0</v>
      </c>
      <c r="S30" s="250">
        <f t="shared" si="0"/>
        <v>357021.46899999998</v>
      </c>
    </row>
    <row r="31" spans="2:19" ht="16" customHeight="1" x14ac:dyDescent="0.35">
      <c r="B31" s="225" t="s">
        <v>157</v>
      </c>
      <c r="C31" s="221">
        <v>2224090.4814499998</v>
      </c>
      <c r="D31" s="221">
        <v>204474.375</v>
      </c>
      <c r="E31" s="221">
        <v>954925.56969999999</v>
      </c>
      <c r="F31" s="221">
        <v>1093653.6656200001</v>
      </c>
      <c r="G31" s="221">
        <v>0</v>
      </c>
      <c r="H31" s="221">
        <v>0</v>
      </c>
      <c r="I31" s="221">
        <v>0</v>
      </c>
      <c r="J31" s="221">
        <v>0</v>
      </c>
      <c r="K31" s="221">
        <v>0</v>
      </c>
      <c r="L31" s="221">
        <v>34868870.196331777</v>
      </c>
      <c r="N31" s="250">
        <f>SUMIFS('APPENDIX 4 iii'!$B31:$L31,'APPENDIX 4 iii'!$B$5:$L$5,"*total*")-O31</f>
        <v>34534213.317331776</v>
      </c>
      <c r="O31" s="250">
        <f>SUMIFS('APPENDIX 4 i'!$B31:$K31,'APPENDIX 4 i'!$B$5:$K$5,"*reinsurance*")+
SUMIFS('APPENDIX 4 ii'!$B31:$K31,'APPENDIX 4 ii'!$B$5:$K$5,"*reinsurance*")+
SUMIFS('APPENDIX 4 iii'!$B31:$K31,'APPENDIX 4 iii'!$B$5:$K$5,"*reinsurance*")</f>
        <v>334656.87900000002</v>
      </c>
      <c r="Q31" s="250">
        <f>N31+_xlfn.XLOOKUP($B31,'APPENDIX  5 iv'!$B:$B,'APPENDIX  5 iv'!P:P,0,0)+_xlfn.XLOOKUP($B31,'APPENDIX 6'!$B:$B,'APPENDIX 6'!I:I,0,0)</f>
        <v>39005555.883823887</v>
      </c>
      <c r="R31" s="250">
        <f>O31+_xlfn.XLOOKUP($B31,'APPENDIX  5 iv'!$B:$B,'APPENDIX  5 iv'!Q:Q,0,0)+_xlfn.XLOOKUP($B31,'APPENDIX 6'!$B:$B,'APPENDIX 6'!J:J,0,0)</f>
        <v>2098616.0490000001</v>
      </c>
      <c r="S31" s="250">
        <f t="shared" si="0"/>
        <v>41104171.932823889</v>
      </c>
    </row>
    <row r="32" spans="2:19" ht="16" customHeight="1" x14ac:dyDescent="0.35">
      <c r="B32" s="225" t="s">
        <v>158</v>
      </c>
      <c r="C32" s="221">
        <v>219326.82194363419</v>
      </c>
      <c r="D32" s="221">
        <v>2051511.5759999999</v>
      </c>
      <c r="E32" s="221">
        <v>692318.01447999978</v>
      </c>
      <c r="F32" s="221">
        <v>273066.78960000002</v>
      </c>
      <c r="G32" s="221">
        <v>0</v>
      </c>
      <c r="H32" s="221">
        <v>0</v>
      </c>
      <c r="I32" s="221">
        <v>0</v>
      </c>
      <c r="J32" s="221">
        <v>0</v>
      </c>
      <c r="K32" s="221">
        <v>0</v>
      </c>
      <c r="L32" s="221">
        <v>10561653.931557059</v>
      </c>
      <c r="N32" s="250">
        <f>SUMIFS('APPENDIX 4 iii'!$B32:$L32,'APPENDIX 4 iii'!$B$5:$L$5,"*total*")-O32</f>
        <v>10561653.931557059</v>
      </c>
      <c r="O32" s="250">
        <f>SUMIFS('APPENDIX 4 i'!$B32:$K32,'APPENDIX 4 i'!$B$5:$K$5,"*reinsurance*")+
SUMIFS('APPENDIX 4 ii'!$B32:$K32,'APPENDIX 4 ii'!$B$5:$K$5,"*reinsurance*")+
SUMIFS('APPENDIX 4 iii'!$B32:$K32,'APPENDIX 4 iii'!$B$5:$K$5,"*reinsurance*")</f>
        <v>0</v>
      </c>
      <c r="Q32" s="250">
        <f>N32+_xlfn.XLOOKUP($B32,'APPENDIX  5 iv'!$B:$B,'APPENDIX  5 iv'!P:P,0,0)+_xlfn.XLOOKUP($B32,'APPENDIX 6'!$B:$B,'APPENDIX 6'!I:I,0,0)</f>
        <v>12973815.900476731</v>
      </c>
      <c r="R32" s="250">
        <f>O32+_xlfn.XLOOKUP($B32,'APPENDIX  5 iv'!$B:$B,'APPENDIX  5 iv'!Q:Q,0,0)+_xlfn.XLOOKUP($B32,'APPENDIX 6'!$B:$B,'APPENDIX 6'!J:J,0,0)</f>
        <v>812582.48</v>
      </c>
      <c r="S32" s="250">
        <f t="shared" si="0"/>
        <v>13786398.380476732</v>
      </c>
    </row>
    <row r="33" spans="2:21" ht="16" customHeight="1" x14ac:dyDescent="0.35">
      <c r="B33" s="225" t="s">
        <v>159</v>
      </c>
      <c r="C33" s="221">
        <v>0</v>
      </c>
      <c r="D33" s="221">
        <v>0</v>
      </c>
      <c r="E33" s="221">
        <v>0</v>
      </c>
      <c r="F33" s="221">
        <v>0</v>
      </c>
      <c r="G33" s="221">
        <v>0</v>
      </c>
      <c r="H33" s="221">
        <v>0</v>
      </c>
      <c r="I33" s="221">
        <v>0</v>
      </c>
      <c r="J33" s="221">
        <v>0</v>
      </c>
      <c r="K33" s="221">
        <v>0</v>
      </c>
      <c r="L33" s="221">
        <v>1222.5619999999999</v>
      </c>
      <c r="N33" s="250">
        <f>SUMIFS('APPENDIX 4 iii'!$B33:$L33,'APPENDIX 4 iii'!$B$5:$L$5,"*total*")-O33</f>
        <v>1222.5619999999999</v>
      </c>
      <c r="O33" s="250">
        <f>SUMIFS('APPENDIX 4 i'!$B33:$K33,'APPENDIX 4 i'!$B$5:$K$5,"*reinsurance*")+
SUMIFS('APPENDIX 4 ii'!$B33:$K33,'APPENDIX 4 ii'!$B$5:$K$5,"*reinsurance*")+
SUMIFS('APPENDIX 4 iii'!$B33:$K33,'APPENDIX 4 iii'!$B$5:$K$5,"*reinsurance*")</f>
        <v>0</v>
      </c>
      <c r="Q33" s="250">
        <f>N33+_xlfn.XLOOKUP($B33,'APPENDIX  5 iv'!$B:$B,'APPENDIX  5 iv'!P:P,0,0)+_xlfn.XLOOKUP($B33,'APPENDIX 6'!$B:$B,'APPENDIX 6'!I:I,0,0)</f>
        <v>1624.6619999999998</v>
      </c>
      <c r="R33" s="250">
        <f>O33+_xlfn.XLOOKUP($B33,'APPENDIX  5 iv'!$B:$B,'APPENDIX  5 iv'!Q:Q,0,0)+_xlfn.XLOOKUP($B33,'APPENDIX 6'!$B:$B,'APPENDIX 6'!J:J,0,0)</f>
        <v>80.78</v>
      </c>
      <c r="S33" s="250">
        <f t="shared" si="0"/>
        <v>1705.4419999999998</v>
      </c>
    </row>
    <row r="34" spans="2:21" ht="16" customHeight="1" x14ac:dyDescent="0.35">
      <c r="B34" s="225" t="s">
        <v>160</v>
      </c>
      <c r="C34" s="221">
        <v>0</v>
      </c>
      <c r="D34" s="221">
        <v>0</v>
      </c>
      <c r="E34" s="221">
        <v>0</v>
      </c>
      <c r="F34" s="221">
        <v>0</v>
      </c>
      <c r="G34" s="221">
        <v>0</v>
      </c>
      <c r="H34" s="221">
        <v>0</v>
      </c>
      <c r="I34" s="221">
        <v>0</v>
      </c>
      <c r="J34" s="221">
        <v>0</v>
      </c>
      <c r="K34" s="221">
        <v>0</v>
      </c>
      <c r="L34" s="221">
        <v>1193883.0290000001</v>
      </c>
      <c r="N34" s="250">
        <f>SUMIFS('APPENDIX 4 iii'!$B34:$L34,'APPENDIX 4 iii'!$B$5:$L$5,"*total*")-O34</f>
        <v>1193883.0290000001</v>
      </c>
      <c r="O34" s="250">
        <f>SUMIFS('APPENDIX 4 i'!$B34:$K34,'APPENDIX 4 i'!$B$5:$K$5,"*reinsurance*")+
SUMIFS('APPENDIX 4 ii'!$B34:$K34,'APPENDIX 4 ii'!$B$5:$K$5,"*reinsurance*")+
SUMIFS('APPENDIX 4 iii'!$B34:$K34,'APPENDIX 4 iii'!$B$5:$K$5,"*reinsurance*")</f>
        <v>0</v>
      </c>
      <c r="Q34" s="250">
        <f>N34+_xlfn.XLOOKUP($B34,'APPENDIX  5 iv'!$B:$B,'APPENDIX  5 iv'!P:P,0,0)+_xlfn.XLOOKUP($B34,'APPENDIX 6'!$B:$B,'APPENDIX 6'!I:I,0,0)</f>
        <v>1193883.0290000001</v>
      </c>
      <c r="R34" s="250">
        <f>O34+_xlfn.XLOOKUP($B34,'APPENDIX  5 iv'!$B:$B,'APPENDIX  5 iv'!Q:Q,0,0)+_xlfn.XLOOKUP($B34,'APPENDIX 6'!$B:$B,'APPENDIX 6'!J:J,0,0)</f>
        <v>0</v>
      </c>
      <c r="S34" s="250">
        <f t="shared" si="0"/>
        <v>1193883.0290000001</v>
      </c>
    </row>
    <row r="35" spans="2:21" ht="16" customHeight="1" x14ac:dyDescent="0.35">
      <c r="B35" s="225" t="s">
        <v>161</v>
      </c>
      <c r="C35" s="221">
        <v>22734.198</v>
      </c>
      <c r="D35" s="221">
        <v>978151.5216887648</v>
      </c>
      <c r="E35" s="221">
        <v>47113.733778922113</v>
      </c>
      <c r="F35" s="221">
        <v>451129.75099999999</v>
      </c>
      <c r="G35" s="221">
        <v>4834.8327800000006</v>
      </c>
      <c r="H35" s="221">
        <v>0</v>
      </c>
      <c r="I35" s="221">
        <v>0</v>
      </c>
      <c r="J35" s="221">
        <v>0</v>
      </c>
      <c r="K35" s="221">
        <v>0</v>
      </c>
      <c r="L35" s="221">
        <v>2472053.582361653</v>
      </c>
      <c r="N35" s="250">
        <f>SUMIFS('APPENDIX 4 iii'!$B35:$L35,'APPENDIX 4 iii'!$B$5:$L$5,"*total*")-O35</f>
        <v>2472053.582361653</v>
      </c>
      <c r="O35" s="250">
        <f>SUMIFS('APPENDIX 4 i'!$B35:$K35,'APPENDIX 4 i'!$B$5:$K$5,"*reinsurance*")+
SUMIFS('APPENDIX 4 ii'!$B35:$K35,'APPENDIX 4 ii'!$B$5:$K$5,"*reinsurance*")+
SUMIFS('APPENDIX 4 iii'!$B35:$K35,'APPENDIX 4 iii'!$B$5:$K$5,"*reinsurance*")</f>
        <v>0</v>
      </c>
      <c r="Q35" s="250">
        <f>N35+_xlfn.XLOOKUP($B35,'APPENDIX  5 iv'!$B:$B,'APPENDIX  5 iv'!P:P,0,0)+_xlfn.XLOOKUP($B35,'APPENDIX 6'!$B:$B,'APPENDIX 6'!I:I,0,0)</f>
        <v>5132703.8710956555</v>
      </c>
      <c r="R35" s="250">
        <f>O35+_xlfn.XLOOKUP($B35,'APPENDIX  5 iv'!$B:$B,'APPENDIX  5 iv'!Q:Q,0,0)+_xlfn.XLOOKUP($B35,'APPENDIX 6'!$B:$B,'APPENDIX 6'!J:J,0,0)</f>
        <v>43744.759700000002</v>
      </c>
      <c r="S35" s="250">
        <f t="shared" si="0"/>
        <v>5176448.6307956558</v>
      </c>
    </row>
    <row r="36" spans="2:21" ht="16" customHeight="1" x14ac:dyDescent="0.35">
      <c r="B36" s="225" t="s">
        <v>162</v>
      </c>
      <c r="C36" s="221">
        <v>309742.42659078882</v>
      </c>
      <c r="D36" s="221">
        <v>121146.003</v>
      </c>
      <c r="E36" s="221">
        <v>0</v>
      </c>
      <c r="F36" s="221">
        <v>0</v>
      </c>
      <c r="G36" s="221">
        <v>0</v>
      </c>
      <c r="H36" s="221">
        <v>53105.746399999982</v>
      </c>
      <c r="I36" s="221">
        <v>0</v>
      </c>
      <c r="J36" s="221">
        <v>0</v>
      </c>
      <c r="K36" s="221">
        <v>0</v>
      </c>
      <c r="L36" s="221">
        <v>1896893.7216207869</v>
      </c>
      <c r="N36" s="250">
        <f>SUMIFS('APPENDIX 4 iii'!$B36:$L36,'APPENDIX 4 iii'!$B$5:$L$5,"*total*")-O36</f>
        <v>1896893.7216207869</v>
      </c>
      <c r="O36" s="250">
        <f>SUMIFS('APPENDIX 4 i'!$B36:$K36,'APPENDIX 4 i'!$B$5:$K$5,"*reinsurance*")+
SUMIFS('APPENDIX 4 ii'!$B36:$K36,'APPENDIX 4 ii'!$B$5:$K$5,"*reinsurance*")+
SUMIFS('APPENDIX 4 iii'!$B36:$K36,'APPENDIX 4 iii'!$B$5:$K$5,"*reinsurance*")</f>
        <v>0</v>
      </c>
      <c r="Q36" s="250">
        <f>N36+_xlfn.XLOOKUP($B36,'APPENDIX  5 iv'!$B:$B,'APPENDIX  5 iv'!P:P,0,0)+_xlfn.XLOOKUP($B36,'APPENDIX 6'!$B:$B,'APPENDIX 6'!I:I,0,0)</f>
        <v>2198362.6968507869</v>
      </c>
      <c r="R36" s="250">
        <f>O36+_xlfn.XLOOKUP($B36,'APPENDIX  5 iv'!$B:$B,'APPENDIX  5 iv'!Q:Q,0,0)+_xlfn.XLOOKUP($B36,'APPENDIX 6'!$B:$B,'APPENDIX 6'!J:J,0,0)</f>
        <v>1002052.0903918</v>
      </c>
      <c r="S36" s="250">
        <f t="shared" si="0"/>
        <v>3200414.7872425867</v>
      </c>
    </row>
    <row r="37" spans="2:21" ht="16" customHeight="1" x14ac:dyDescent="0.35">
      <c r="B37" s="225" t="s">
        <v>163</v>
      </c>
      <c r="C37" s="221">
        <v>4236663.6491099987</v>
      </c>
      <c r="D37" s="221">
        <v>2689196.3770243842</v>
      </c>
      <c r="E37" s="221">
        <v>3283545.5766699989</v>
      </c>
      <c r="F37" s="221">
        <v>2014776.833022313</v>
      </c>
      <c r="G37" s="221">
        <v>503034.69301755133</v>
      </c>
      <c r="H37" s="221">
        <v>505577.35121009109</v>
      </c>
      <c r="I37" s="221">
        <v>0</v>
      </c>
      <c r="J37" s="221">
        <v>139210.15100000001</v>
      </c>
      <c r="K37" s="221">
        <v>0</v>
      </c>
      <c r="L37" s="221">
        <v>81621707.933092147</v>
      </c>
      <c r="N37" s="250">
        <f>SUMIFS('APPENDIX 4 iii'!$B37:$L37,'APPENDIX 4 iii'!$B$5:$L$5,"*total*")-O37</f>
        <v>76671221.013245314</v>
      </c>
      <c r="O37" s="250">
        <f>SUMIFS('APPENDIX 4 i'!$B37:$K37,'APPENDIX 4 i'!$B$5:$K$5,"*reinsurance*")+
SUMIFS('APPENDIX 4 ii'!$B37:$K37,'APPENDIX 4 ii'!$B$5:$K$5,"*reinsurance*")+
SUMIFS('APPENDIX 4 iii'!$B37:$K37,'APPENDIX 4 iii'!$B$5:$K$5,"*reinsurance*")</f>
        <v>4950486.9198468318</v>
      </c>
      <c r="Q37" s="250">
        <f>N37+_xlfn.XLOOKUP($B37,'APPENDIX  5 iv'!$B:$B,'APPENDIX  5 iv'!P:P,0,0)+_xlfn.XLOOKUP($B37,'APPENDIX 6'!$B:$B,'APPENDIX 6'!I:I,0,0)</f>
        <v>110876211.22715084</v>
      </c>
      <c r="R37" s="250">
        <f>O37+_xlfn.XLOOKUP($B37,'APPENDIX  5 iv'!$B:$B,'APPENDIX  5 iv'!Q:Q,0,0)+_xlfn.XLOOKUP($B37,'APPENDIX 6'!$B:$B,'APPENDIX 6'!J:J,0,0)</f>
        <v>16560902.734385855</v>
      </c>
      <c r="S37" s="250">
        <f t="shared" si="0"/>
        <v>127437113.96153671</v>
      </c>
    </row>
    <row r="38" spans="2:21" ht="16" customHeight="1" x14ac:dyDescent="0.35">
      <c r="B38" s="225" t="s">
        <v>164</v>
      </c>
      <c r="C38" s="221">
        <v>969890.52500000002</v>
      </c>
      <c r="D38" s="221">
        <v>270822</v>
      </c>
      <c r="E38" s="221">
        <v>771811.96280999982</v>
      </c>
      <c r="F38" s="221">
        <v>42368.618999999999</v>
      </c>
      <c r="G38" s="221">
        <v>84127.838799999998</v>
      </c>
      <c r="H38" s="221">
        <v>1144449.4560700001</v>
      </c>
      <c r="I38" s="221">
        <v>86334.778000000006</v>
      </c>
      <c r="J38" s="221">
        <v>8619.6355500000009</v>
      </c>
      <c r="K38" s="221">
        <v>0</v>
      </c>
      <c r="L38" s="221">
        <v>10831528.81142961</v>
      </c>
      <c r="N38" s="250">
        <f>SUMIFS('APPENDIX 4 iii'!$B38:$L38,'APPENDIX 4 iii'!$B$5:$L$5,"*total*")-O38</f>
        <v>10642062.403984111</v>
      </c>
      <c r="O38" s="250">
        <f>SUMIFS('APPENDIX 4 i'!$B38:$K38,'APPENDIX 4 i'!$B$5:$K$5,"*reinsurance*")+
SUMIFS('APPENDIX 4 ii'!$B38:$K38,'APPENDIX 4 ii'!$B$5:$K$5,"*reinsurance*")+
SUMIFS('APPENDIX 4 iii'!$B38:$K38,'APPENDIX 4 iii'!$B$5:$K$5,"*reinsurance*")</f>
        <v>189466.40744550002</v>
      </c>
      <c r="Q38" s="250">
        <f>N38+_xlfn.XLOOKUP($B38,'APPENDIX  5 iv'!$B:$B,'APPENDIX  5 iv'!P:P,0,0)+_xlfn.XLOOKUP($B38,'APPENDIX 6'!$B:$B,'APPENDIX 6'!I:I,0,0)</f>
        <v>19265311.62109616</v>
      </c>
      <c r="R38" s="250">
        <f>O38+_xlfn.XLOOKUP($B38,'APPENDIX  5 iv'!$B:$B,'APPENDIX  5 iv'!Q:Q,0,0)+_xlfn.XLOOKUP($B38,'APPENDIX 6'!$B:$B,'APPENDIX 6'!J:J,0,0)</f>
        <v>965422.65364549996</v>
      </c>
      <c r="S38" s="250">
        <f t="shared" si="0"/>
        <v>20230734.274741661</v>
      </c>
    </row>
    <row r="39" spans="2:21" ht="16" customHeight="1" x14ac:dyDescent="0.35">
      <c r="B39" s="225" t="s">
        <v>165</v>
      </c>
      <c r="C39" s="221">
        <v>0</v>
      </c>
      <c r="D39" s="221">
        <v>0</v>
      </c>
      <c r="E39" s="221">
        <v>0</v>
      </c>
      <c r="F39" s="221">
        <v>0</v>
      </c>
      <c r="G39" s="221">
        <v>165533.9664274652</v>
      </c>
      <c r="H39" s="221">
        <v>0</v>
      </c>
      <c r="I39" s="221">
        <v>0</v>
      </c>
      <c r="J39" s="221">
        <v>0</v>
      </c>
      <c r="K39" s="221">
        <v>0</v>
      </c>
      <c r="L39" s="221">
        <v>950265.59252410848</v>
      </c>
      <c r="N39" s="250">
        <f>SUMIFS('APPENDIX 4 iii'!$B39:$L39,'APPENDIX 4 iii'!$B$5:$L$5,"*total*")-O39</f>
        <v>672095.07352410851</v>
      </c>
      <c r="O39" s="250">
        <f>SUMIFS('APPENDIX 4 i'!$B39:$K39,'APPENDIX 4 i'!$B$5:$K$5,"*reinsurance*")+
SUMIFS('APPENDIX 4 ii'!$B39:$K39,'APPENDIX 4 ii'!$B$5:$K$5,"*reinsurance*")+
SUMIFS('APPENDIX 4 iii'!$B39:$K39,'APPENDIX 4 iii'!$B$5:$K$5,"*reinsurance*")</f>
        <v>278170.51899999997</v>
      </c>
      <c r="Q39" s="250">
        <f>N39+_xlfn.XLOOKUP($B39,'APPENDIX  5 iv'!$B:$B,'APPENDIX  5 iv'!P:P,0,0)+_xlfn.XLOOKUP($B39,'APPENDIX 6'!$B:$B,'APPENDIX 6'!I:I,0,0)</f>
        <v>6365581.9291765802</v>
      </c>
      <c r="R39" s="250">
        <f>O39+_xlfn.XLOOKUP($B39,'APPENDIX  5 iv'!$B:$B,'APPENDIX  5 iv'!Q:Q,0,0)+_xlfn.XLOOKUP($B39,'APPENDIX 6'!$B:$B,'APPENDIX 6'!J:J,0,0)</f>
        <v>1822530.6243008873</v>
      </c>
      <c r="S39" s="250">
        <f t="shared" si="0"/>
        <v>8188112.553477468</v>
      </c>
    </row>
    <row r="40" spans="2:21" ht="16" customHeight="1" x14ac:dyDescent="0.35">
      <c r="B40" s="225" t="s">
        <v>166</v>
      </c>
      <c r="C40" s="221">
        <v>238786.85099636621</v>
      </c>
      <c r="D40" s="221">
        <v>644766.00100000005</v>
      </c>
      <c r="E40" s="221">
        <v>1245614.625</v>
      </c>
      <c r="F40" s="221">
        <v>220650.50794395281</v>
      </c>
      <c r="G40" s="221">
        <v>82174.801677406635</v>
      </c>
      <c r="H40" s="221">
        <v>558543.41929495148</v>
      </c>
      <c r="I40" s="221">
        <v>-212.24243336938551</v>
      </c>
      <c r="J40" s="221">
        <v>129332.377988234</v>
      </c>
      <c r="K40" s="221">
        <v>0</v>
      </c>
      <c r="L40" s="221">
        <v>10500687.812384799</v>
      </c>
      <c r="N40" s="250">
        <f>SUMIFS('APPENDIX 4 iii'!$B40:$L40,'APPENDIX 4 iii'!$B$5:$L$5,"*total*")-O40</f>
        <v>10188163.589009516</v>
      </c>
      <c r="O40" s="250">
        <f>SUMIFS('APPENDIX 4 i'!$B40:$K40,'APPENDIX 4 i'!$B$5:$K$5,"*reinsurance*")+
SUMIFS('APPENDIX 4 ii'!$B40:$K40,'APPENDIX 4 ii'!$B$5:$K$5,"*reinsurance*")+
SUMIFS('APPENDIX 4 iii'!$B40:$K40,'APPENDIX 4 iii'!$B$5:$K$5,"*reinsurance*")</f>
        <v>312524.22337528283</v>
      </c>
      <c r="Q40" s="250">
        <f>N40+_xlfn.XLOOKUP($B40,'APPENDIX  5 iv'!$B:$B,'APPENDIX  5 iv'!P:P,0,0)+_xlfn.XLOOKUP($B40,'APPENDIX 6'!$B:$B,'APPENDIX 6'!I:I,0,0)</f>
        <v>63829978.766944669</v>
      </c>
      <c r="R40" s="250">
        <f>O40+_xlfn.XLOOKUP($B40,'APPENDIX  5 iv'!$B:$B,'APPENDIX  5 iv'!Q:Q,0,0)+_xlfn.XLOOKUP($B40,'APPENDIX 6'!$B:$B,'APPENDIX 6'!J:J,0,0)</f>
        <v>5177625.9570878725</v>
      </c>
      <c r="S40" s="250">
        <f t="shared" si="0"/>
        <v>69007604.724032536</v>
      </c>
    </row>
    <row r="41" spans="2:21" ht="16" customHeight="1" x14ac:dyDescent="0.35">
      <c r="B41" s="225" t="s">
        <v>167</v>
      </c>
      <c r="C41" s="221">
        <v>121274.11500000001</v>
      </c>
      <c r="D41" s="221">
        <v>167300.27854585991</v>
      </c>
      <c r="E41" s="221">
        <v>31703.779709999999</v>
      </c>
      <c r="F41" s="221">
        <v>19100.011999999999</v>
      </c>
      <c r="G41" s="221">
        <v>0</v>
      </c>
      <c r="H41" s="221">
        <v>130574.08878000001</v>
      </c>
      <c r="I41" s="221">
        <v>791916.14774000004</v>
      </c>
      <c r="J41" s="221">
        <v>0</v>
      </c>
      <c r="K41" s="221">
        <v>0</v>
      </c>
      <c r="L41" s="221">
        <v>6070068.7930206759</v>
      </c>
      <c r="N41" s="250">
        <f>SUMIFS('APPENDIX 4 iii'!$B41:$L41,'APPENDIX 4 iii'!$B$5:$L$5,"*total*")-O41</f>
        <v>5990456.2229006756</v>
      </c>
      <c r="O41" s="250">
        <f>SUMIFS('APPENDIX 4 i'!$B41:$K41,'APPENDIX 4 i'!$B$5:$K$5,"*reinsurance*")+
SUMIFS('APPENDIX 4 ii'!$B41:$K41,'APPENDIX 4 ii'!$B$5:$K$5,"*reinsurance*")+
SUMIFS('APPENDIX 4 iii'!$B41:$K41,'APPENDIX 4 iii'!$B$5:$K$5,"*reinsurance*")</f>
        <v>79612.570120000004</v>
      </c>
      <c r="Q41" s="250">
        <f>N41+_xlfn.XLOOKUP($B41,'APPENDIX  5 iv'!$B:$B,'APPENDIX  5 iv'!P:P,0,0)+_xlfn.XLOOKUP($B41,'APPENDIX 6'!$B:$B,'APPENDIX 6'!I:I,0,0)</f>
        <v>11505580.020169636</v>
      </c>
      <c r="R41" s="250">
        <f>O41+_xlfn.XLOOKUP($B41,'APPENDIX  5 iv'!$B:$B,'APPENDIX  5 iv'!Q:Q,0,0)+_xlfn.XLOOKUP($B41,'APPENDIX 6'!$B:$B,'APPENDIX 6'!J:J,0,0)</f>
        <v>1700105.651160154</v>
      </c>
      <c r="S41" s="250">
        <f t="shared" si="0"/>
        <v>13205685.671329791</v>
      </c>
    </row>
    <row r="42" spans="2:21" ht="16" customHeight="1" x14ac:dyDescent="0.35">
      <c r="B42" s="225" t="s">
        <v>168</v>
      </c>
      <c r="C42" s="221">
        <v>186410.2817094645</v>
      </c>
      <c r="D42" s="221">
        <v>2003740.5613599999</v>
      </c>
      <c r="E42" s="221">
        <v>1231732.4910310779</v>
      </c>
      <c r="F42" s="221">
        <v>3290247.702115362</v>
      </c>
      <c r="G42" s="221">
        <v>119489.7276</v>
      </c>
      <c r="H42" s="221">
        <v>37962.215269999979</v>
      </c>
      <c r="I42" s="221">
        <v>3327.3449999999998</v>
      </c>
      <c r="J42" s="221">
        <v>1948311.2229567501</v>
      </c>
      <c r="K42" s="221">
        <v>0</v>
      </c>
      <c r="L42" s="221">
        <v>13994954.88564137</v>
      </c>
      <c r="N42" s="250">
        <f>SUMIFS('APPENDIX 4 iii'!$B42:$L42,'APPENDIX 4 iii'!$B$5:$L$5,"*total*")-O42</f>
        <v>13994954.88564137</v>
      </c>
      <c r="O42" s="250">
        <f>SUMIFS('APPENDIX 4 i'!$B42:$K42,'APPENDIX 4 i'!$B$5:$K$5,"*reinsurance*")+
SUMIFS('APPENDIX 4 ii'!$B42:$K42,'APPENDIX 4 ii'!$B$5:$K$5,"*reinsurance*")+
SUMIFS('APPENDIX 4 iii'!$B42:$K42,'APPENDIX 4 iii'!$B$5:$K$5,"*reinsurance*")</f>
        <v>0</v>
      </c>
      <c r="Q42" s="250">
        <f>N42+_xlfn.XLOOKUP($B42,'APPENDIX  5 iv'!$B:$B,'APPENDIX  5 iv'!P:P,0,0)+_xlfn.XLOOKUP($B42,'APPENDIX 6'!$B:$B,'APPENDIX 6'!I:I,0,0)</f>
        <v>31818913.271720298</v>
      </c>
      <c r="R42" s="250">
        <f>O42+_xlfn.XLOOKUP($B42,'APPENDIX  5 iv'!$B:$B,'APPENDIX  5 iv'!Q:Q,0,0)+_xlfn.XLOOKUP($B42,'APPENDIX 6'!$B:$B,'APPENDIX 6'!J:J,0,0)</f>
        <v>3937864.6419497649</v>
      </c>
      <c r="S42" s="250">
        <f t="shared" si="0"/>
        <v>35756777.913670063</v>
      </c>
    </row>
    <row r="43" spans="2:21" ht="16" customHeight="1" thickBot="1" x14ac:dyDescent="0.4">
      <c r="B43" s="226" t="s">
        <v>169</v>
      </c>
      <c r="C43" s="227">
        <v>32389142.27295002</v>
      </c>
      <c r="D43" s="227">
        <v>20550768.99993401</v>
      </c>
      <c r="E43" s="227">
        <v>29904983.359469999</v>
      </c>
      <c r="F43" s="227">
        <v>19511797.30915381</v>
      </c>
      <c r="G43" s="227">
        <v>7326872.9869911289</v>
      </c>
      <c r="H43" s="227">
        <v>37240488.830614693</v>
      </c>
      <c r="I43" s="227">
        <v>893565.16791663063</v>
      </c>
      <c r="J43" s="227">
        <v>5610059.5454949802</v>
      </c>
      <c r="K43" s="227">
        <v>0</v>
      </c>
      <c r="L43" s="227">
        <v>1093484505.435612</v>
      </c>
      <c r="N43" s="253">
        <f>SUMIFS('APPENDIX 4 iii'!$B43:$L43,'APPENDIX 4 iii'!$B$5:$L$5,"*total*")-O43</f>
        <v>1075902797.3458242</v>
      </c>
      <c r="O43" s="253">
        <f>SUMIFS('APPENDIX 4 i'!$B43:$K43,'APPENDIX 4 i'!$B$5:$K$5,"*reinsurance*")+
SUMIFS('APPENDIX 4 ii'!$B43:$K43,'APPENDIX 4 ii'!$B$5:$K$5,"*reinsurance*")+
SUMIFS('APPENDIX 4 iii'!$B43:$K43,'APPENDIX 4 iii'!$B$5:$K$5,"*reinsurance*")</f>
        <v>17581708.089787617</v>
      </c>
      <c r="Q43" s="253">
        <f>N43+_xlfn.XLOOKUP($B43,'APPENDIX  5 iv'!$B:$B,'APPENDIX  5 iv'!P:P,0,0)+_xlfn.XLOOKUP($B43,'APPENDIX 6'!$B:$B,'APPENDIX 6'!I:I,0,0)</f>
        <v>1367678706.5000312</v>
      </c>
      <c r="R43" s="253">
        <f>O43+_xlfn.XLOOKUP($B43,'APPENDIX  5 iv'!$B:$B,'APPENDIX  5 iv'!Q:Q,0,0)+_xlfn.XLOOKUP($B43,'APPENDIX 6'!$B:$B,'APPENDIX 6'!J:J,0,0)</f>
        <v>99402604.285243019</v>
      </c>
      <c r="S43" s="253">
        <f t="shared" si="0"/>
        <v>1467081310.7852743</v>
      </c>
    </row>
    <row r="44" spans="2:21" ht="16" customHeight="1" thickTop="1" x14ac:dyDescent="0.35">
      <c r="B44" s="303" t="s">
        <v>170</v>
      </c>
      <c r="C44" s="307"/>
      <c r="D44" s="309"/>
      <c r="E44" s="304"/>
      <c r="F44" s="304"/>
      <c r="G44" s="304"/>
      <c r="H44" s="304"/>
      <c r="I44" s="304"/>
      <c r="J44" s="304"/>
      <c r="K44" s="304"/>
      <c r="L44" s="310"/>
      <c r="Q44" s="95"/>
      <c r="R44" s="95"/>
      <c r="S44" s="95"/>
    </row>
    <row r="45" spans="2:21" ht="34" customHeight="1" x14ac:dyDescent="0.35">
      <c r="E45" s="236"/>
      <c r="F45" s="236"/>
      <c r="G45" s="236"/>
      <c r="H45" s="236"/>
      <c r="I45" s="236"/>
      <c r="J45" s="236"/>
      <c r="K45" s="236"/>
      <c r="L45" s="236"/>
      <c r="N45" s="95"/>
      <c r="O45" s="95"/>
      <c r="Q45" s="95"/>
      <c r="R45" s="95"/>
      <c r="S45" s="95"/>
    </row>
    <row r="46" spans="2:21" ht="34" customHeight="1" x14ac:dyDescent="0.35"/>
    <row r="47" spans="2:21" x14ac:dyDescent="0.35">
      <c r="L47" s="237"/>
      <c r="N47" s="254">
        <f>N43-N40-N39-N41-N42-N38-N24-N21-N22</f>
        <v>1028378647.5194663</v>
      </c>
      <c r="O47" s="254">
        <f>O43-O40-O39-O41-O42-O38-O24-O21-O22</f>
        <v>16721934.269846834</v>
      </c>
      <c r="Q47" s="254">
        <f>Q43-Q40-Q39-Q41-Q42-Q38-Q24-Q21-Q22</f>
        <v>1220067392.3575385</v>
      </c>
      <c r="R47" s="254">
        <f>R43-R40-R39-R41-R42-R38-R24-R21-R22</f>
        <v>85200245.499295563</v>
      </c>
      <c r="S47" s="254">
        <f>S43-S40-S39-S41-S42-S38-S24-S21-S22</f>
        <v>1305267637.8568342</v>
      </c>
    </row>
    <row r="48" spans="2:21" x14ac:dyDescent="0.35">
      <c r="N48" s="308" t="s">
        <v>177</v>
      </c>
      <c r="O48" s="281"/>
      <c r="P48" s="308" t="s">
        <v>178</v>
      </c>
      <c r="Q48" s="281"/>
      <c r="R48" s="255" t="s">
        <v>179</v>
      </c>
      <c r="S48" s="308" t="s">
        <v>173</v>
      </c>
      <c r="T48" s="281"/>
      <c r="U48" s="281"/>
    </row>
    <row r="49" spans="13:22" x14ac:dyDescent="0.35">
      <c r="N49" s="256" t="s">
        <v>174</v>
      </c>
      <c r="O49" s="256" t="s">
        <v>175</v>
      </c>
      <c r="P49" s="256" t="s">
        <v>174</v>
      </c>
      <c r="Q49" s="256" t="s">
        <v>175</v>
      </c>
      <c r="R49" s="256" t="s">
        <v>180</v>
      </c>
      <c r="S49" s="256" t="s">
        <v>174</v>
      </c>
      <c r="T49" s="256" t="s">
        <v>175</v>
      </c>
      <c r="U49" s="256" t="s">
        <v>176</v>
      </c>
    </row>
    <row r="50" spans="13:22" x14ac:dyDescent="0.35">
      <c r="M50" s="5" t="s">
        <v>181</v>
      </c>
      <c r="N50" s="95">
        <f>N13</f>
        <v>103866782.48514768</v>
      </c>
      <c r="O50" s="95">
        <f>O13</f>
        <v>13594276.701759916</v>
      </c>
      <c r="P50" s="257">
        <f>'[1]APPENDIX 5 iv'!P12</f>
        <v>90922729.063192606</v>
      </c>
      <c r="Q50" s="257">
        <f>'[1]APPENDIX 5 iv'!Q12</f>
        <v>53446420.529503793</v>
      </c>
      <c r="R50" s="257">
        <f>'[1]APPENDIX 6 i'!I12</f>
        <v>305551.66345971148</v>
      </c>
      <c r="S50" s="95">
        <f>Q13</f>
        <v>198906843.56140593</v>
      </c>
      <c r="T50" s="95">
        <f>R13</f>
        <v>67163244.221064463</v>
      </c>
      <c r="U50" s="95">
        <f>S13</f>
        <v>266070087.78247041</v>
      </c>
      <c r="V50" s="2" t="str">
        <f>IF(AND(SUM(N50:R50)=SUM(S50:T50),SUM(S50:T50)=U50),"Ok","Check")</f>
        <v>Check</v>
      </c>
    </row>
    <row r="51" spans="13:22" x14ac:dyDescent="0.35">
      <c r="M51" s="5" t="s">
        <v>182</v>
      </c>
      <c r="N51" s="95">
        <f>N43</f>
        <v>1075902797.3458242</v>
      </c>
      <c r="O51" s="95">
        <f>O43</f>
        <v>17581708.089787617</v>
      </c>
      <c r="P51" s="257">
        <f>'[1]APPENDIX 5 iv'!P41</f>
        <v>302997317.63184988</v>
      </c>
      <c r="Q51" s="257">
        <f>'[1]APPENDIX 5 iv'!Q41</f>
        <v>80549341.408765644</v>
      </c>
      <c r="R51" s="257">
        <f>'[1]APPENDIX 6 i'!I41</f>
        <v>995719.76927409822</v>
      </c>
      <c r="S51" s="95">
        <f>Q43</f>
        <v>1367678706.5000312</v>
      </c>
      <c r="T51" s="95">
        <f>R43</f>
        <v>99402604.285243019</v>
      </c>
      <c r="U51" s="95">
        <f>S43</f>
        <v>1467081310.7852743</v>
      </c>
      <c r="V51" s="2" t="str">
        <f>IF(AND(SUM(N51:R51)=SUM(S51:T51),SUM(S51:T51)=U51),"Ok","Check")</f>
        <v>Check</v>
      </c>
    </row>
    <row r="52" spans="13:22" x14ac:dyDescent="0.35">
      <c r="M52" s="5" t="s">
        <v>183</v>
      </c>
      <c r="N52" s="95">
        <f>SUM(N23,N25:N37)</f>
        <v>1028378647.519467</v>
      </c>
      <c r="O52" s="95">
        <f>SUM(O23,O25:O37)</f>
        <v>16721934.269846831</v>
      </c>
      <c r="P52" s="257">
        <f>SUM('[1]APPENDIX 5 iv'!P21,'[1]APPENDIX 5 iv'!P23:P35)</f>
        <v>191705230.90863901</v>
      </c>
      <c r="Q52" s="257">
        <f>SUM('[1]APPENDIX 5 iv'!Q21,'[1]APPENDIX 5 iv'!Q23:Q35)</f>
        <v>67454378.258514017</v>
      </c>
      <c r="R52" s="257">
        <f>SUM('[1]APPENDIX 6 i'!I21,'[1]APPENDIX 6 i'!I23:I35)</f>
        <v>600634.43873164384</v>
      </c>
      <c r="S52" s="95">
        <f>SUM(Q23,Q25:Q37)</f>
        <v>1220067392.3575389</v>
      </c>
      <c r="T52" s="95">
        <f>SUM(R23,R25:R37)</f>
        <v>85200245.499295533</v>
      </c>
      <c r="U52" s="95">
        <f>SUM(S23,S25:S37)</f>
        <v>1305267637.8568347</v>
      </c>
      <c r="V52" s="2" t="str">
        <f>IF(AND(SUM(N52:R52)=SUM(S52:T52),SUM(S52:T52)=U52),"Ok","Check")</f>
        <v>Check</v>
      </c>
    </row>
  </sheetData>
  <sheetProtection algorithmName="SHA-512" hashValue="ed7U+N1j0LdlkF6JWeNgAsJic5jOafjbD4ZnEIloVmy/glK/4Octf4HB+BAlz9+W0LCMpu4Ic5oG3ckZBpPdIg==" saltValue="6Z/isRc38o46C/QpRcvnuA==" spinCount="100000" sheet="1" objects="1" scenarios="1"/>
  <mergeCells count="6">
    <mergeCell ref="B4:L4"/>
    <mergeCell ref="P48:Q48"/>
    <mergeCell ref="B44:L44"/>
    <mergeCell ref="Q4:S4"/>
    <mergeCell ref="S48:U48"/>
    <mergeCell ref="N48:O48"/>
  </mergeCells>
  <conditionalFormatting sqref="V50:V52">
    <cfRule type="containsText" dxfId="1" priority="1" operator="containsText" text="Ok">
      <formula>NOT(ISERROR(SEARCH("Ok",V50)))</formula>
    </cfRule>
    <cfRule type="containsText" dxfId="0" priority="2" operator="containsText" text="Check">
      <formula>NOT(ISERROR(SEARCH("Check",V50)))</formula>
    </cfRule>
  </conditionalFormatting>
  <pageMargins left="0.7" right="0.7" top="0.75" bottom="0.75" header="0.3" footer="0.3"/>
  <pageSetup paperSize="9" scale="4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2">
    <tabColor rgb="FF92D050"/>
    <pageSetUpPr fitToPage="1"/>
  </sheetPr>
  <dimension ref="B4:L44"/>
  <sheetViews>
    <sheetView zoomScale="80" workbookViewId="0">
      <selection activeCell="A26" sqref="A26:XFD26"/>
    </sheetView>
  </sheetViews>
  <sheetFormatPr defaultColWidth="9.453125" defaultRowHeight="15.5" x14ac:dyDescent="0.35"/>
  <cols>
    <col min="1" max="1" width="16.453125" style="76" customWidth="1"/>
    <col min="2" max="2" width="36.54296875" style="76" customWidth="1"/>
    <col min="3" max="11" width="23.54296875" style="76" customWidth="1"/>
    <col min="12" max="12" width="22" style="76" customWidth="1"/>
    <col min="13" max="99" width="9.453125" style="76" customWidth="1"/>
    <col min="100" max="16384" width="9.453125" style="76"/>
  </cols>
  <sheetData>
    <row r="4" spans="2:12" ht="16" customHeight="1" x14ac:dyDescent="0.35">
      <c r="B4" s="300" t="str">
        <f>_xlfn.CONCAT('Table of Contents'!B14,": ",'Table of Contents'!C14)</f>
        <v>APPENDIX 5 i: SUMMARY OF GENERAL INSURANCE BUSINESS BALANCE SHEETS AS AT 31.12.2025</v>
      </c>
      <c r="C4" s="269"/>
      <c r="D4" s="269"/>
      <c r="E4" s="269"/>
      <c r="F4" s="269"/>
      <c r="G4" s="269"/>
      <c r="H4" s="269"/>
      <c r="I4" s="269"/>
      <c r="J4" s="269"/>
      <c r="K4" s="269"/>
      <c r="L4" s="270"/>
    </row>
    <row r="5" spans="2:12" ht="46.5" x14ac:dyDescent="0.35">
      <c r="B5" s="238" t="s">
        <v>184</v>
      </c>
      <c r="C5" s="239" t="s">
        <v>66</v>
      </c>
      <c r="D5" s="239" t="s">
        <v>67</v>
      </c>
      <c r="E5" s="239" t="s">
        <v>68</v>
      </c>
      <c r="F5" s="239" t="s">
        <v>69</v>
      </c>
      <c r="G5" s="239" t="s">
        <v>70</v>
      </c>
      <c r="H5" s="239" t="s">
        <v>71</v>
      </c>
      <c r="I5" s="239" t="s">
        <v>72</v>
      </c>
      <c r="J5" s="239" t="s">
        <v>104</v>
      </c>
      <c r="K5" s="239" t="s">
        <v>73</v>
      </c>
      <c r="L5" s="239" t="s">
        <v>74</v>
      </c>
    </row>
    <row r="6" spans="2:12" ht="16" customHeight="1" x14ac:dyDescent="0.35">
      <c r="B6" s="240" t="s">
        <v>132</v>
      </c>
      <c r="C6" s="125">
        <v>1017626.572</v>
      </c>
      <c r="D6" s="125">
        <v>987386</v>
      </c>
      <c r="E6" s="125">
        <v>1250000</v>
      </c>
      <c r="F6" s="125">
        <v>2668000</v>
      </c>
      <c r="G6" s="125">
        <v>1086683.148</v>
      </c>
      <c r="H6" s="125">
        <v>453960.46</v>
      </c>
      <c r="I6" s="125">
        <v>1700000</v>
      </c>
      <c r="J6" s="125">
        <v>1000000</v>
      </c>
      <c r="K6" s="125">
        <v>0</v>
      </c>
      <c r="L6" s="125">
        <v>711518.66</v>
      </c>
    </row>
    <row r="7" spans="2:12" ht="16" customHeight="1" x14ac:dyDescent="0.35">
      <c r="B7" s="240" t="s">
        <v>185</v>
      </c>
      <c r="C7" s="125">
        <v>460523</v>
      </c>
      <c r="D7" s="125">
        <v>0</v>
      </c>
      <c r="E7" s="125">
        <v>0</v>
      </c>
      <c r="F7" s="125">
        <v>0</v>
      </c>
      <c r="G7" s="125">
        <v>0</v>
      </c>
      <c r="H7" s="125">
        <v>583039.52</v>
      </c>
      <c r="I7" s="125">
        <v>0</v>
      </c>
      <c r="J7" s="125">
        <v>0</v>
      </c>
      <c r="K7" s="125">
        <v>0</v>
      </c>
      <c r="L7" s="125">
        <v>0</v>
      </c>
    </row>
    <row r="8" spans="2:12" ht="16" customHeight="1" x14ac:dyDescent="0.35">
      <c r="B8" s="240" t="s">
        <v>186</v>
      </c>
      <c r="C8" s="125">
        <v>0</v>
      </c>
      <c r="D8" s="125">
        <v>0</v>
      </c>
      <c r="E8" s="125">
        <v>234618.5733968264</v>
      </c>
      <c r="F8" s="125">
        <v>0</v>
      </c>
      <c r="G8" s="125">
        <v>0</v>
      </c>
      <c r="H8" s="125">
        <v>74345</v>
      </c>
      <c r="I8" s="125">
        <v>0</v>
      </c>
      <c r="J8" s="125">
        <v>0</v>
      </c>
      <c r="K8" s="125">
        <v>0</v>
      </c>
      <c r="L8" s="125">
        <v>0</v>
      </c>
    </row>
    <row r="9" spans="2:12" ht="16" customHeight="1" x14ac:dyDescent="0.35">
      <c r="B9" s="240" t="s">
        <v>136</v>
      </c>
      <c r="C9" s="125">
        <v>0</v>
      </c>
      <c r="D9" s="125">
        <v>26469.27908</v>
      </c>
      <c r="E9" s="125">
        <v>0</v>
      </c>
      <c r="F9" s="125">
        <v>0</v>
      </c>
      <c r="G9" s="125">
        <v>0</v>
      </c>
      <c r="H9" s="125">
        <v>-86582</v>
      </c>
      <c r="I9" s="125">
        <v>261491.19310999999</v>
      </c>
      <c r="J9" s="125">
        <v>705.55600000000004</v>
      </c>
      <c r="K9" s="125">
        <v>0</v>
      </c>
      <c r="L9" s="125">
        <v>0</v>
      </c>
    </row>
    <row r="10" spans="2:12" ht="16" customHeight="1" x14ac:dyDescent="0.35">
      <c r="B10" s="240" t="s">
        <v>137</v>
      </c>
      <c r="C10" s="125">
        <v>1220426.28766267</v>
      </c>
      <c r="D10" s="125">
        <v>397365.51958625211</v>
      </c>
      <c r="E10" s="125">
        <v>5902178.2847942375</v>
      </c>
      <c r="F10" s="125">
        <v>5744747.6970612472</v>
      </c>
      <c r="G10" s="125">
        <v>-213218.5943453252</v>
      </c>
      <c r="H10" s="125">
        <v>-229587.65115109261</v>
      </c>
      <c r="I10" s="125">
        <v>4458007.7170960279</v>
      </c>
      <c r="J10" s="125">
        <v>2067774.46</v>
      </c>
      <c r="K10" s="125">
        <v>0</v>
      </c>
      <c r="L10" s="125">
        <v>-346497.06864913169</v>
      </c>
    </row>
    <row r="11" spans="2:12" ht="16" customHeight="1" x14ac:dyDescent="0.35">
      <c r="B11" s="240" t="s">
        <v>138</v>
      </c>
      <c r="C11" s="125">
        <v>0</v>
      </c>
      <c r="D11" s="125">
        <v>0</v>
      </c>
      <c r="E11" s="125">
        <v>0</v>
      </c>
      <c r="F11" s="125">
        <v>0</v>
      </c>
      <c r="G11" s="125">
        <v>0</v>
      </c>
      <c r="H11" s="125">
        <v>0</v>
      </c>
      <c r="I11" s="125">
        <v>0</v>
      </c>
      <c r="J11" s="125">
        <v>-92125.444000000003</v>
      </c>
      <c r="K11" s="125">
        <v>0</v>
      </c>
      <c r="L11" s="125">
        <v>0</v>
      </c>
    </row>
    <row r="12" spans="2:12" ht="16" customHeight="1" thickBot="1" x14ac:dyDescent="0.4">
      <c r="B12" s="222" t="s">
        <v>139</v>
      </c>
      <c r="C12" s="241">
        <v>2698575.8596626702</v>
      </c>
      <c r="D12" s="241">
        <v>1411220.7986662521</v>
      </c>
      <c r="E12" s="241">
        <v>7386796.8581910627</v>
      </c>
      <c r="F12" s="241">
        <v>8412747.6970612463</v>
      </c>
      <c r="G12" s="241">
        <v>873464.55365467479</v>
      </c>
      <c r="H12" s="241">
        <v>795175.32884890737</v>
      </c>
      <c r="I12" s="241">
        <v>6419498.9102060283</v>
      </c>
      <c r="J12" s="241">
        <v>2976354.5720000002</v>
      </c>
      <c r="K12" s="241">
        <v>0</v>
      </c>
      <c r="L12" s="241">
        <v>365021.59135086823</v>
      </c>
    </row>
    <row r="13" spans="2:12" ht="16" customHeight="1" thickTop="1" x14ac:dyDescent="0.35">
      <c r="B13" s="242" t="s">
        <v>141</v>
      </c>
      <c r="C13" s="125">
        <v>4967299.7540473146</v>
      </c>
      <c r="D13" s="125">
        <v>2468260.7597180349</v>
      </c>
      <c r="E13" s="125">
        <v>11099375.384437449</v>
      </c>
      <c r="F13" s="125">
        <v>11546881.68839049</v>
      </c>
      <c r="G13" s="125">
        <v>1870579.088</v>
      </c>
      <c r="H13" s="125">
        <v>2668764.118784186</v>
      </c>
      <c r="I13" s="125">
        <v>12135575.10543976</v>
      </c>
      <c r="J13" s="125">
        <v>5160618.3669999996</v>
      </c>
      <c r="K13" s="125">
        <v>0</v>
      </c>
      <c r="L13" s="125">
        <v>812680.598</v>
      </c>
    </row>
    <row r="14" spans="2:12" ht="16" customHeight="1" x14ac:dyDescent="0.35">
      <c r="B14" s="240" t="s">
        <v>142</v>
      </c>
      <c r="C14" s="125">
        <v>0</v>
      </c>
      <c r="D14" s="125">
        <v>0</v>
      </c>
      <c r="E14" s="125">
        <v>0</v>
      </c>
      <c r="F14" s="125">
        <v>22449.23452064686</v>
      </c>
      <c r="G14" s="125">
        <v>0</v>
      </c>
      <c r="H14" s="125">
        <v>0</v>
      </c>
      <c r="I14" s="125">
        <v>0</v>
      </c>
      <c r="J14" s="125">
        <v>24374.61657583831</v>
      </c>
      <c r="K14" s="125">
        <v>0</v>
      </c>
      <c r="L14" s="125">
        <v>0</v>
      </c>
    </row>
    <row r="15" spans="2:12" ht="16" customHeight="1" x14ac:dyDescent="0.35">
      <c r="B15" s="240" t="s">
        <v>143</v>
      </c>
      <c r="C15" s="125">
        <v>0</v>
      </c>
      <c r="D15" s="125">
        <v>0</v>
      </c>
      <c r="E15" s="125">
        <v>0</v>
      </c>
      <c r="F15" s="125">
        <v>0</v>
      </c>
      <c r="G15" s="125">
        <v>0</v>
      </c>
      <c r="H15" s="125">
        <v>84201.965198543694</v>
      </c>
      <c r="I15" s="125">
        <v>0</v>
      </c>
      <c r="J15" s="125">
        <v>0</v>
      </c>
      <c r="K15" s="125">
        <v>0</v>
      </c>
      <c r="L15" s="125">
        <v>0</v>
      </c>
    </row>
    <row r="16" spans="2:12" ht="16" customHeight="1" x14ac:dyDescent="0.35">
      <c r="B16" s="240" t="s">
        <v>144</v>
      </c>
      <c r="C16" s="125">
        <v>283965.24127001851</v>
      </c>
      <c r="D16" s="125">
        <v>246833.467</v>
      </c>
      <c r="E16" s="125">
        <v>921953.02754999988</v>
      </c>
      <c r="F16" s="125">
        <v>561630.12454228534</v>
      </c>
      <c r="G16" s="125">
        <v>39113.9</v>
      </c>
      <c r="H16" s="125">
        <v>479149.375</v>
      </c>
      <c r="I16" s="125">
        <v>602357.58194543805</v>
      </c>
      <c r="J16" s="125">
        <v>0</v>
      </c>
      <c r="K16" s="125">
        <v>0</v>
      </c>
      <c r="L16" s="125">
        <v>22810.555</v>
      </c>
    </row>
    <row r="17" spans="2:12" ht="16" customHeight="1" x14ac:dyDescent="0.35">
      <c r="B17" s="240" t="s">
        <v>145</v>
      </c>
      <c r="C17" s="125">
        <v>370865.21643000038</v>
      </c>
      <c r="D17" s="125">
        <v>101052.91019730621</v>
      </c>
      <c r="E17" s="125">
        <v>171376.45708999949</v>
      </c>
      <c r="F17" s="125">
        <v>714347.32912867249</v>
      </c>
      <c r="G17" s="125">
        <v>855354.92200000002</v>
      </c>
      <c r="H17" s="125">
        <v>30741.774999999881</v>
      </c>
      <c r="I17" s="125">
        <v>63774.409597231272</v>
      </c>
      <c r="J17" s="125">
        <v>178786.59899999981</v>
      </c>
      <c r="K17" s="125">
        <v>0</v>
      </c>
      <c r="L17" s="125">
        <v>111870.014205129</v>
      </c>
    </row>
    <row r="18" spans="2:12" ht="16" customHeight="1" thickBot="1" x14ac:dyDescent="0.4">
      <c r="B18" s="243" t="s">
        <v>146</v>
      </c>
      <c r="C18" s="244">
        <v>8320706.071410004</v>
      </c>
      <c r="D18" s="244">
        <v>4227367.9355815938</v>
      </c>
      <c r="E18" s="244">
        <v>19579501.727268521</v>
      </c>
      <c r="F18" s="244">
        <v>21258056.073643342</v>
      </c>
      <c r="G18" s="244">
        <v>3638512.4636546751</v>
      </c>
      <c r="H18" s="244">
        <v>4058032.562831637</v>
      </c>
      <c r="I18" s="244">
        <v>19221206.007188462</v>
      </c>
      <c r="J18" s="244">
        <v>8340134.1545758378</v>
      </c>
      <c r="K18" s="244">
        <v>0</v>
      </c>
      <c r="L18" s="244">
        <v>1312382.7585559969</v>
      </c>
    </row>
    <row r="19" spans="2:12" ht="16" customHeight="1" thickTop="1" x14ac:dyDescent="0.35">
      <c r="B19" s="242" t="s">
        <v>147</v>
      </c>
      <c r="C19" s="245">
        <v>7085.8050300000014</v>
      </c>
      <c r="D19" s="245">
        <v>58545.811000000002</v>
      </c>
      <c r="E19" s="245">
        <v>3073.7401399999858</v>
      </c>
      <c r="F19" s="245">
        <v>85190.008239999937</v>
      </c>
      <c r="G19" s="245">
        <v>0</v>
      </c>
      <c r="H19" s="245">
        <v>8864.4459999999999</v>
      </c>
      <c r="I19" s="245">
        <v>20301.008200000011</v>
      </c>
      <c r="J19" s="245">
        <v>0</v>
      </c>
      <c r="K19" s="245">
        <v>0</v>
      </c>
      <c r="L19" s="245">
        <v>22638.52186666667</v>
      </c>
    </row>
    <row r="20" spans="2:12" ht="16" customHeight="1" x14ac:dyDescent="0.35">
      <c r="B20" s="240" t="s">
        <v>148</v>
      </c>
      <c r="C20" s="245">
        <v>0</v>
      </c>
      <c r="D20" s="245">
        <v>913523.02</v>
      </c>
      <c r="E20" s="245">
        <v>0</v>
      </c>
      <c r="F20" s="245">
        <v>0</v>
      </c>
      <c r="G20" s="245">
        <v>0</v>
      </c>
      <c r="H20" s="245">
        <v>92500</v>
      </c>
      <c r="I20" s="245">
        <v>228150</v>
      </c>
      <c r="J20" s="245">
        <v>0</v>
      </c>
      <c r="K20" s="245">
        <v>0</v>
      </c>
      <c r="L20" s="245">
        <v>0</v>
      </c>
    </row>
    <row r="21" spans="2:12" ht="16" customHeight="1" x14ac:dyDescent="0.35">
      <c r="B21" s="240" t="s">
        <v>149</v>
      </c>
      <c r="C21" s="245">
        <v>0</v>
      </c>
      <c r="D21" s="245">
        <v>563000</v>
      </c>
      <c r="E21" s="245">
        <v>1070000</v>
      </c>
      <c r="F21" s="245">
        <v>0</v>
      </c>
      <c r="G21" s="245">
        <v>0</v>
      </c>
      <c r="H21" s="245">
        <v>850631.06796116498</v>
      </c>
      <c r="I21" s="245">
        <v>1602000</v>
      </c>
      <c r="J21" s="245">
        <v>0</v>
      </c>
      <c r="K21" s="245">
        <v>0</v>
      </c>
      <c r="L21" s="245">
        <v>0</v>
      </c>
    </row>
    <row r="22" spans="2:12" ht="16" customHeight="1" x14ac:dyDescent="0.35">
      <c r="B22" s="240" t="s">
        <v>150</v>
      </c>
      <c r="C22" s="245">
        <v>59628.044649999989</v>
      </c>
      <c r="D22" s="245">
        <v>77525.301000000007</v>
      </c>
      <c r="E22" s="245">
        <v>48820.455450000001</v>
      </c>
      <c r="F22" s="245">
        <v>110909.7754799996</v>
      </c>
      <c r="G22" s="245">
        <v>279.25799999999998</v>
      </c>
      <c r="H22" s="245">
        <v>6122.1647537463014</v>
      </c>
      <c r="I22" s="245">
        <v>130988.75969500749</v>
      </c>
      <c r="J22" s="245">
        <v>32967.754000000008</v>
      </c>
      <c r="K22" s="245">
        <v>0</v>
      </c>
      <c r="L22" s="245">
        <v>37707.613693604158</v>
      </c>
    </row>
    <row r="23" spans="2:12" ht="16" customHeight="1" x14ac:dyDescent="0.35">
      <c r="B23" s="240" t="s">
        <v>151</v>
      </c>
      <c r="C23" s="245">
        <v>3937892.34546</v>
      </c>
      <c r="D23" s="245">
        <v>1310538.9997999989</v>
      </c>
      <c r="E23" s="245">
        <v>9527225.9225846101</v>
      </c>
      <c r="F23" s="245">
        <v>14262848.845960001</v>
      </c>
      <c r="G23" s="245">
        <v>852431.11899999995</v>
      </c>
      <c r="H23" s="245">
        <v>263397.8891879876</v>
      </c>
      <c r="I23" s="245">
        <v>6850842.6855997453</v>
      </c>
      <c r="J23" s="245">
        <v>2191057.2749999999</v>
      </c>
      <c r="K23" s="245">
        <v>0</v>
      </c>
      <c r="L23" s="245">
        <v>105100</v>
      </c>
    </row>
    <row r="24" spans="2:12" ht="16" customHeight="1" x14ac:dyDescent="0.35">
      <c r="B24" s="240" t="s">
        <v>152</v>
      </c>
      <c r="C24" s="245">
        <v>0</v>
      </c>
      <c r="D24" s="245">
        <v>0</v>
      </c>
      <c r="E24" s="245">
        <v>105204.03994</v>
      </c>
      <c r="F24" s="245">
        <v>0</v>
      </c>
      <c r="G24" s="245">
        <v>0</v>
      </c>
      <c r="H24" s="245">
        <v>0</v>
      </c>
      <c r="I24" s="245">
        <v>518133.63226607599</v>
      </c>
      <c r="J24" s="245">
        <v>0</v>
      </c>
      <c r="K24" s="245">
        <v>0</v>
      </c>
      <c r="L24" s="245">
        <v>30000</v>
      </c>
    </row>
    <row r="25" spans="2:12" ht="16" customHeight="1" x14ac:dyDescent="0.35">
      <c r="B25" s="240" t="s">
        <v>153</v>
      </c>
      <c r="C25" s="245">
        <v>542626.57200000004</v>
      </c>
      <c r="D25" s="245">
        <v>0</v>
      </c>
      <c r="E25" s="245">
        <v>383072.23752000002</v>
      </c>
      <c r="F25" s="245">
        <v>150000</v>
      </c>
      <c r="G25" s="245">
        <v>0</v>
      </c>
      <c r="H25" s="245">
        <v>17359.101999999999</v>
      </c>
      <c r="I25" s="245">
        <v>0</v>
      </c>
      <c r="J25" s="245">
        <v>0</v>
      </c>
      <c r="K25" s="245">
        <v>0</v>
      </c>
      <c r="L25" s="245">
        <v>0</v>
      </c>
    </row>
    <row r="26" spans="2:12" ht="16" customHeight="1" x14ac:dyDescent="0.35">
      <c r="B26" s="240" t="s">
        <v>154</v>
      </c>
      <c r="C26" s="245">
        <v>0</v>
      </c>
      <c r="D26" s="245">
        <v>0</v>
      </c>
      <c r="E26" s="245">
        <v>828155.06304538879</v>
      </c>
      <c r="F26" s="245">
        <v>0</v>
      </c>
      <c r="G26" s="245">
        <v>0</v>
      </c>
      <c r="H26" s="245">
        <v>0</v>
      </c>
      <c r="I26" s="245">
        <v>4233.8103700000001</v>
      </c>
      <c r="J26" s="245">
        <v>0</v>
      </c>
      <c r="K26" s="245">
        <v>0</v>
      </c>
      <c r="L26" s="245">
        <v>0</v>
      </c>
    </row>
    <row r="27" spans="2:12" ht="16" customHeight="1" x14ac:dyDescent="0.35">
      <c r="B27" s="240" t="s">
        <v>155</v>
      </c>
      <c r="C27" s="245">
        <v>0</v>
      </c>
      <c r="D27" s="245">
        <v>0</v>
      </c>
      <c r="E27" s="245">
        <v>0</v>
      </c>
      <c r="F27" s="245">
        <v>0</v>
      </c>
      <c r="G27" s="245">
        <v>0</v>
      </c>
      <c r="H27" s="245">
        <v>0</v>
      </c>
      <c r="I27" s="245">
        <v>0</v>
      </c>
      <c r="J27" s="245">
        <v>0</v>
      </c>
      <c r="K27" s="245">
        <v>0</v>
      </c>
      <c r="L27" s="245">
        <v>0</v>
      </c>
    </row>
    <row r="28" spans="2:12" ht="16" customHeight="1" x14ac:dyDescent="0.35">
      <c r="B28" s="240" t="s">
        <v>156</v>
      </c>
      <c r="C28" s="245">
        <v>0</v>
      </c>
      <c r="D28" s="245">
        <v>0</v>
      </c>
      <c r="E28" s="245">
        <v>0</v>
      </c>
      <c r="F28" s="245">
        <v>0</v>
      </c>
      <c r="G28" s="245">
        <v>0</v>
      </c>
      <c r="H28" s="245">
        <v>0</v>
      </c>
      <c r="I28" s="245">
        <v>0</v>
      </c>
      <c r="J28" s="245">
        <v>0</v>
      </c>
      <c r="K28" s="245">
        <v>0</v>
      </c>
      <c r="L28" s="245">
        <v>0</v>
      </c>
    </row>
    <row r="29" spans="2:12" ht="16" customHeight="1" x14ac:dyDescent="0.35">
      <c r="B29" s="240" t="s">
        <v>157</v>
      </c>
      <c r="C29" s="245">
        <v>0</v>
      </c>
      <c r="D29" s="245">
        <v>2278.0749999999998</v>
      </c>
      <c r="E29" s="245">
        <v>1142557.8334900001</v>
      </c>
      <c r="F29" s="245">
        <v>0</v>
      </c>
      <c r="G29" s="245">
        <v>0</v>
      </c>
      <c r="H29" s="245">
        <v>0</v>
      </c>
      <c r="I29" s="245">
        <v>440742.02425000002</v>
      </c>
      <c r="J29" s="245">
        <v>0</v>
      </c>
      <c r="K29" s="245">
        <v>0</v>
      </c>
      <c r="L29" s="245">
        <v>0</v>
      </c>
    </row>
    <row r="30" spans="2:12" ht="16" customHeight="1" x14ac:dyDescent="0.35">
      <c r="B30" s="240" t="s">
        <v>158</v>
      </c>
      <c r="C30" s="245">
        <v>0</v>
      </c>
      <c r="D30" s="245">
        <v>0</v>
      </c>
      <c r="E30" s="245">
        <v>17689.757699999998</v>
      </c>
      <c r="F30" s="245">
        <v>0</v>
      </c>
      <c r="G30" s="245">
        <v>0</v>
      </c>
      <c r="H30" s="245">
        <v>1437.932</v>
      </c>
      <c r="I30" s="245">
        <v>18957.818599999999</v>
      </c>
      <c r="J30" s="245">
        <v>0</v>
      </c>
      <c r="K30" s="245">
        <v>0</v>
      </c>
      <c r="L30" s="245">
        <v>0</v>
      </c>
    </row>
    <row r="31" spans="2:12" ht="16" customHeight="1" x14ac:dyDescent="0.35">
      <c r="B31" s="240" t="s">
        <v>159</v>
      </c>
      <c r="C31" s="245">
        <v>0</v>
      </c>
      <c r="D31" s="245">
        <v>0</v>
      </c>
      <c r="E31" s="245">
        <v>0</v>
      </c>
      <c r="F31" s="245">
        <v>0</v>
      </c>
      <c r="G31" s="245">
        <v>0</v>
      </c>
      <c r="H31" s="245">
        <v>0</v>
      </c>
      <c r="I31" s="245">
        <v>0</v>
      </c>
      <c r="J31" s="245">
        <v>0</v>
      </c>
      <c r="K31" s="245">
        <v>0</v>
      </c>
      <c r="L31" s="245">
        <v>0</v>
      </c>
    </row>
    <row r="32" spans="2:12" ht="16" customHeight="1" x14ac:dyDescent="0.35">
      <c r="B32" s="240" t="s">
        <v>160</v>
      </c>
      <c r="C32" s="245">
        <v>0</v>
      </c>
      <c r="D32" s="245">
        <v>0</v>
      </c>
      <c r="E32" s="245">
        <v>0</v>
      </c>
      <c r="F32" s="245">
        <v>0</v>
      </c>
      <c r="G32" s="245">
        <v>0</v>
      </c>
      <c r="H32" s="245">
        <v>0</v>
      </c>
      <c r="I32" s="245">
        <v>0</v>
      </c>
      <c r="J32" s="245">
        <v>0</v>
      </c>
      <c r="K32" s="245">
        <v>0</v>
      </c>
      <c r="L32" s="245">
        <v>0</v>
      </c>
    </row>
    <row r="33" spans="2:12" ht="16" customHeight="1" x14ac:dyDescent="0.35">
      <c r="B33" s="240" t="s">
        <v>161</v>
      </c>
      <c r="C33" s="245">
        <v>0</v>
      </c>
      <c r="D33" s="245">
        <v>7085.7905000000001</v>
      </c>
      <c r="E33" s="245">
        <v>30886.14444</v>
      </c>
      <c r="F33" s="245">
        <v>0</v>
      </c>
      <c r="G33" s="245">
        <v>0</v>
      </c>
      <c r="H33" s="245">
        <v>188743.06400000001</v>
      </c>
      <c r="I33" s="245">
        <v>0</v>
      </c>
      <c r="J33" s="245">
        <v>5328.0119999999997</v>
      </c>
      <c r="K33" s="245">
        <v>0</v>
      </c>
      <c r="L33" s="245">
        <v>0</v>
      </c>
    </row>
    <row r="34" spans="2:12" ht="16" customHeight="1" x14ac:dyDescent="0.35">
      <c r="B34" s="240" t="s">
        <v>162</v>
      </c>
      <c r="C34" s="245">
        <v>0</v>
      </c>
      <c r="D34" s="245">
        <v>0</v>
      </c>
      <c r="E34" s="245">
        <v>0</v>
      </c>
      <c r="F34" s="245">
        <v>0</v>
      </c>
      <c r="G34" s="245">
        <v>0</v>
      </c>
      <c r="H34" s="245">
        <v>12951.96011</v>
      </c>
      <c r="I34" s="245">
        <v>25007.031510000001</v>
      </c>
      <c r="J34" s="245">
        <v>0</v>
      </c>
      <c r="K34" s="245">
        <v>0</v>
      </c>
      <c r="L34" s="245">
        <v>0</v>
      </c>
    </row>
    <row r="35" spans="2:12" ht="16" customHeight="1" x14ac:dyDescent="0.35">
      <c r="B35" s="240" t="s">
        <v>163</v>
      </c>
      <c r="C35" s="245">
        <v>1298140.562915781</v>
      </c>
      <c r="D35" s="245">
        <v>98666.452593271344</v>
      </c>
      <c r="E35" s="245">
        <v>2262862.3312575868</v>
      </c>
      <c r="F35" s="245">
        <v>484454.34973999992</v>
      </c>
      <c r="G35" s="245">
        <v>0</v>
      </c>
      <c r="H35" s="245">
        <v>576235.58773038909</v>
      </c>
      <c r="I35" s="245">
        <v>5508650.6060800012</v>
      </c>
      <c r="J35" s="245">
        <v>685928.57799999998</v>
      </c>
      <c r="K35" s="245">
        <v>0</v>
      </c>
      <c r="L35" s="245">
        <v>290421.44801058818</v>
      </c>
    </row>
    <row r="36" spans="2:12" ht="16" customHeight="1" x14ac:dyDescent="0.35">
      <c r="B36" s="240" t="s">
        <v>164</v>
      </c>
      <c r="C36" s="245">
        <v>858343.52823999978</v>
      </c>
      <c r="D36" s="245">
        <v>246088.20688999919</v>
      </c>
      <c r="E36" s="245">
        <v>366463.85249403247</v>
      </c>
      <c r="F36" s="245">
        <v>437639.92549000011</v>
      </c>
      <c r="G36" s="245">
        <v>538668.81499999994</v>
      </c>
      <c r="H36" s="245">
        <v>-2679.9664599998159</v>
      </c>
      <c r="I36" s="245">
        <v>231529.49737999999</v>
      </c>
      <c r="J36" s="245">
        <v>56657.996519999957</v>
      </c>
      <c r="K36" s="245">
        <v>0</v>
      </c>
      <c r="L36" s="245">
        <v>604397.76100000006</v>
      </c>
    </row>
    <row r="37" spans="2:12" ht="16" customHeight="1" x14ac:dyDescent="0.35">
      <c r="B37" s="240" t="s">
        <v>165</v>
      </c>
      <c r="C37" s="245">
        <v>0</v>
      </c>
      <c r="D37" s="245">
        <v>89990.713552856061</v>
      </c>
      <c r="E37" s="245">
        <v>0</v>
      </c>
      <c r="F37" s="245">
        <v>0</v>
      </c>
      <c r="G37" s="245">
        <v>0</v>
      </c>
      <c r="H37" s="245">
        <v>0</v>
      </c>
      <c r="I37" s="245">
        <v>0</v>
      </c>
      <c r="J37" s="245">
        <v>429999.85600000003</v>
      </c>
      <c r="K37" s="245">
        <v>0</v>
      </c>
      <c r="L37" s="245">
        <v>0</v>
      </c>
    </row>
    <row r="38" spans="2:12" ht="16" customHeight="1" x14ac:dyDescent="0.35">
      <c r="B38" s="240" t="s">
        <v>166</v>
      </c>
      <c r="C38" s="245">
        <v>1122052.4757499991</v>
      </c>
      <c r="D38" s="245">
        <v>416972.28724546701</v>
      </c>
      <c r="E38" s="245">
        <v>2965441.9948970978</v>
      </c>
      <c r="F38" s="245">
        <v>3774111.5566646759</v>
      </c>
      <c r="G38" s="245">
        <v>2092643.7779999999</v>
      </c>
      <c r="H38" s="245">
        <v>1086627.312414082</v>
      </c>
      <c r="I38" s="245">
        <v>2279694.129377631</v>
      </c>
      <c r="J38" s="245">
        <v>3002691.091</v>
      </c>
      <c r="K38" s="245">
        <v>0</v>
      </c>
      <c r="L38" s="245">
        <v>100410.288</v>
      </c>
    </row>
    <row r="39" spans="2:12" ht="16" customHeight="1" x14ac:dyDescent="0.35">
      <c r="B39" s="240" t="s">
        <v>167</v>
      </c>
      <c r="C39" s="245">
        <v>74803.632060000004</v>
      </c>
      <c r="D39" s="245">
        <v>36120.654999999999</v>
      </c>
      <c r="E39" s="245">
        <v>140868.82674707481</v>
      </c>
      <c r="F39" s="245">
        <v>658719.76323000004</v>
      </c>
      <c r="G39" s="245">
        <v>81814.352941176476</v>
      </c>
      <c r="H39" s="245">
        <v>43705.561040000001</v>
      </c>
      <c r="I39" s="245">
        <v>809743.36541000009</v>
      </c>
      <c r="J39" s="245">
        <v>752428.88</v>
      </c>
      <c r="K39" s="245">
        <v>0</v>
      </c>
      <c r="L39" s="245">
        <v>0</v>
      </c>
    </row>
    <row r="40" spans="2:12" ht="16" customHeight="1" x14ac:dyDescent="0.35">
      <c r="B40" s="240" t="s">
        <v>168</v>
      </c>
      <c r="C40" s="245">
        <v>420133.10492999997</v>
      </c>
      <c r="D40" s="245">
        <v>407032.62300000002</v>
      </c>
      <c r="E40" s="245">
        <v>687179.52756272315</v>
      </c>
      <c r="F40" s="245">
        <v>1294181.848811534</v>
      </c>
      <c r="G40" s="245">
        <v>72675.141000000003</v>
      </c>
      <c r="H40" s="245">
        <v>912136.44195999985</v>
      </c>
      <c r="I40" s="245">
        <v>552231.63844999997</v>
      </c>
      <c r="J40" s="245">
        <v>1183074.7120000001</v>
      </c>
      <c r="K40" s="245">
        <v>0</v>
      </c>
      <c r="L40" s="245">
        <v>121707.1260369495</v>
      </c>
    </row>
    <row r="41" spans="2:12" ht="16" customHeight="1" thickBot="1" x14ac:dyDescent="0.4">
      <c r="B41" s="243" t="s">
        <v>169</v>
      </c>
      <c r="C41" s="244">
        <v>8320706.0710357772</v>
      </c>
      <c r="D41" s="244">
        <v>4227367.9355815938</v>
      </c>
      <c r="E41" s="244">
        <v>19579501.727268521</v>
      </c>
      <c r="F41" s="244">
        <v>21258056.07361621</v>
      </c>
      <c r="G41" s="244">
        <v>3638512.463941176</v>
      </c>
      <c r="H41" s="244">
        <v>4058032.562697371</v>
      </c>
      <c r="I41" s="244">
        <v>19221206.007188462</v>
      </c>
      <c r="J41" s="244">
        <v>8340134.1545199994</v>
      </c>
      <c r="K41" s="244">
        <v>0</v>
      </c>
      <c r="L41" s="244">
        <v>1312382.758607809</v>
      </c>
    </row>
    <row r="42" spans="2:12" ht="16" customHeight="1" thickTop="1" x14ac:dyDescent="0.35">
      <c r="B42" s="303" t="s">
        <v>187</v>
      </c>
      <c r="C42" s="304"/>
      <c r="D42" s="304"/>
      <c r="E42" s="304"/>
      <c r="F42" s="304"/>
      <c r="G42" s="304"/>
      <c r="H42" s="304"/>
      <c r="I42" s="304"/>
      <c r="J42" s="304"/>
      <c r="K42" s="301" t="s">
        <v>171</v>
      </c>
      <c r="L42" s="302"/>
    </row>
    <row r="43" spans="2:12" x14ac:dyDescent="0.35">
      <c r="C43" s="134"/>
      <c r="D43" s="134"/>
      <c r="E43" s="134"/>
      <c r="F43" s="134"/>
      <c r="G43" s="134"/>
      <c r="H43" s="134"/>
      <c r="I43" s="134"/>
      <c r="J43" s="134"/>
      <c r="K43" s="134"/>
      <c r="L43" s="134"/>
    </row>
    <row r="44" spans="2:12" x14ac:dyDescent="0.35">
      <c r="C44" s="133"/>
      <c r="D44" s="133"/>
      <c r="E44" s="133"/>
      <c r="F44" s="133"/>
      <c r="G44" s="133"/>
      <c r="H44" s="133"/>
      <c r="I44" s="133"/>
      <c r="J44" s="133"/>
      <c r="K44" s="133"/>
      <c r="L44" s="133"/>
    </row>
  </sheetData>
  <sheetProtection algorithmName="SHA-512" hashValue="NIg6nxHat4vdPv67kBxl6OyODH2qvknFPJzJz5EZgYEcdm3JJ3gjuwtO39W6FmQsFWdykjKPPJbGGe8Zy9CeiQ==" saltValue="06x6GXYovmKVqRBztBqHlg==" spinCount="100000" sheet="1" objects="1" scenarios="1"/>
  <mergeCells count="3">
    <mergeCell ref="B4:L4"/>
    <mergeCell ref="B42:J42"/>
    <mergeCell ref="K42:L42"/>
  </mergeCells>
  <pageMargins left="0.7" right="0.7" top="0.75" bottom="0.75" header="0.3" footer="0.3"/>
  <pageSetup paperSize="9" scale="43"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3">
    <tabColor rgb="FF92D050"/>
    <pageSetUpPr fitToPage="1"/>
  </sheetPr>
  <dimension ref="B3:L44"/>
  <sheetViews>
    <sheetView topLeftCell="A3" zoomScale="85" workbookViewId="0">
      <selection activeCell="A26" sqref="A26:XFD26"/>
    </sheetView>
  </sheetViews>
  <sheetFormatPr defaultColWidth="9.453125" defaultRowHeight="15.5" x14ac:dyDescent="0.35"/>
  <cols>
    <col min="1" max="1" width="16.453125" style="76" customWidth="1"/>
    <col min="2" max="2" width="39.7265625" style="76" bestFit="1" customWidth="1"/>
    <col min="3" max="12" width="21.54296875" style="76" customWidth="1"/>
    <col min="13" max="13" width="12.6328125" style="76" customWidth="1"/>
    <col min="14" max="100" width="9.453125" style="76" customWidth="1"/>
    <col min="101" max="16384" width="9.453125" style="76"/>
  </cols>
  <sheetData>
    <row r="3" spans="2:12" ht="16" customHeight="1" x14ac:dyDescent="0.35">
      <c r="B3" s="313" t="s">
        <v>172</v>
      </c>
      <c r="C3" s="312"/>
      <c r="D3" s="312"/>
      <c r="E3" s="312"/>
      <c r="F3" s="312"/>
      <c r="G3" s="312"/>
      <c r="H3" s="312"/>
      <c r="I3" s="312"/>
      <c r="J3" s="312"/>
      <c r="K3" s="312"/>
      <c r="L3" s="312"/>
    </row>
    <row r="4" spans="2:12" ht="16" customHeight="1" x14ac:dyDescent="0.35">
      <c r="B4" s="300" t="str">
        <f>_xlfn.CONCAT('Table of Contents'!B15,": ",'Table of Contents'!C15)</f>
        <v>APPENDIX 5 ii: SUMMARY OF GENERAL INSURANCE BUSINESS BALANCE SHEETS AS AT 31.12.2025</v>
      </c>
      <c r="C4" s="269"/>
      <c r="D4" s="269"/>
      <c r="E4" s="269"/>
      <c r="F4" s="269"/>
      <c r="G4" s="269"/>
      <c r="H4" s="269"/>
      <c r="I4" s="269"/>
      <c r="J4" s="269"/>
      <c r="K4" s="269"/>
      <c r="L4" s="270"/>
    </row>
    <row r="5" spans="2:12" ht="62" x14ac:dyDescent="0.35">
      <c r="B5" s="238" t="s">
        <v>184</v>
      </c>
      <c r="C5" s="239" t="s">
        <v>75</v>
      </c>
      <c r="D5" s="239" t="s">
        <v>105</v>
      </c>
      <c r="E5" s="239" t="s">
        <v>76</v>
      </c>
      <c r="F5" s="239" t="s">
        <v>77</v>
      </c>
      <c r="G5" s="239" t="s">
        <v>78</v>
      </c>
      <c r="H5" s="239" t="s">
        <v>79</v>
      </c>
      <c r="I5" s="239" t="s">
        <v>80</v>
      </c>
      <c r="J5" s="239" t="s">
        <v>81</v>
      </c>
      <c r="K5" s="239" t="s">
        <v>106</v>
      </c>
      <c r="L5" s="239" t="s">
        <v>82</v>
      </c>
    </row>
    <row r="6" spans="2:12" ht="16" customHeight="1" x14ac:dyDescent="0.35">
      <c r="B6" s="240" t="s">
        <v>132</v>
      </c>
      <c r="C6" s="125">
        <v>300000</v>
      </c>
      <c r="D6" s="125">
        <v>1000000</v>
      </c>
      <c r="E6" s="125">
        <v>600000</v>
      </c>
      <c r="F6" s="125">
        <v>600000</v>
      </c>
      <c r="G6" s="125">
        <v>600000</v>
      </c>
      <c r="H6" s="125">
        <v>810000</v>
      </c>
      <c r="I6" s="125">
        <v>1500000</v>
      </c>
      <c r="J6" s="125">
        <v>1006250</v>
      </c>
      <c r="K6" s="125">
        <v>1000000</v>
      </c>
      <c r="L6" s="125">
        <v>1000000</v>
      </c>
    </row>
    <row r="7" spans="2:12" ht="16" customHeight="1" x14ac:dyDescent="0.35">
      <c r="B7" s="240" t="s">
        <v>185</v>
      </c>
      <c r="C7" s="125">
        <v>0</v>
      </c>
      <c r="D7" s="125">
        <v>0</v>
      </c>
      <c r="E7" s="125">
        <v>0</v>
      </c>
      <c r="F7" s="125">
        <v>0</v>
      </c>
      <c r="G7" s="125">
        <v>0</v>
      </c>
      <c r="H7" s="125">
        <v>512138.51</v>
      </c>
      <c r="I7" s="125">
        <v>0</v>
      </c>
      <c r="J7" s="125">
        <v>0</v>
      </c>
      <c r="K7" s="125">
        <v>10871.242</v>
      </c>
      <c r="L7" s="125">
        <v>0</v>
      </c>
    </row>
    <row r="8" spans="2:12" ht="16" customHeight="1" x14ac:dyDescent="0.35">
      <c r="B8" s="240" t="s">
        <v>186</v>
      </c>
      <c r="C8" s="125">
        <v>15447.290466919419</v>
      </c>
      <c r="D8" s="125">
        <v>221544.98787000001</v>
      </c>
      <c r="E8" s="125">
        <v>0</v>
      </c>
      <c r="F8" s="125">
        <v>0</v>
      </c>
      <c r="G8" s="125">
        <v>100140.55714249999</v>
      </c>
      <c r="H8" s="125">
        <v>339179.18900000001</v>
      </c>
      <c r="I8" s="125">
        <v>904878.73800000001</v>
      </c>
      <c r="J8" s="125">
        <v>0</v>
      </c>
      <c r="K8" s="125">
        <v>0</v>
      </c>
      <c r="L8" s="125">
        <v>22567.994999999999</v>
      </c>
    </row>
    <row r="9" spans="2:12" ht="16" customHeight="1" x14ac:dyDescent="0.35">
      <c r="B9" s="240" t="s">
        <v>136</v>
      </c>
      <c r="C9" s="125">
        <v>0</v>
      </c>
      <c r="D9" s="125">
        <v>0</v>
      </c>
      <c r="E9" s="125">
        <v>0</v>
      </c>
      <c r="F9" s="125">
        <v>0</v>
      </c>
      <c r="G9" s="125">
        <v>0</v>
      </c>
      <c r="H9" s="125">
        <v>0</v>
      </c>
      <c r="I9" s="125">
        <v>-750000</v>
      </c>
      <c r="J9" s="125">
        <v>-11810.995999999999</v>
      </c>
      <c r="K9" s="125">
        <v>0</v>
      </c>
      <c r="L9" s="125">
        <v>400000</v>
      </c>
    </row>
    <row r="10" spans="2:12" ht="16" customHeight="1" x14ac:dyDescent="0.35">
      <c r="B10" s="240" t="s">
        <v>137</v>
      </c>
      <c r="C10" s="125">
        <v>-2739567.4589055181</v>
      </c>
      <c r="D10" s="125">
        <v>4913251.3590114946</v>
      </c>
      <c r="E10" s="125">
        <v>196224.68459293101</v>
      </c>
      <c r="F10" s="125">
        <v>28145.03282542896</v>
      </c>
      <c r="G10" s="125">
        <v>678092.83160217339</v>
      </c>
      <c r="H10" s="125">
        <v>296670.5489279438</v>
      </c>
      <c r="I10" s="125">
        <v>7597100.7470000004</v>
      </c>
      <c r="J10" s="125">
        <v>165833.06359616839</v>
      </c>
      <c r="K10" s="125">
        <v>1300553.2681200069</v>
      </c>
      <c r="L10" s="125">
        <v>7341621.3619999997</v>
      </c>
    </row>
    <row r="11" spans="2:12" ht="16" customHeight="1" x14ac:dyDescent="0.35">
      <c r="B11" s="240" t="s">
        <v>138</v>
      </c>
      <c r="C11" s="125">
        <v>0</v>
      </c>
      <c r="D11" s="125">
        <v>0</v>
      </c>
      <c r="E11" s="125">
        <v>0</v>
      </c>
      <c r="F11" s="125">
        <v>0</v>
      </c>
      <c r="G11" s="125">
        <v>0</v>
      </c>
      <c r="H11" s="125">
        <v>0</v>
      </c>
      <c r="I11" s="125">
        <v>873227.87600000005</v>
      </c>
      <c r="J11" s="125">
        <v>47953.118000000002</v>
      </c>
      <c r="K11" s="125">
        <v>0</v>
      </c>
      <c r="L11" s="125">
        <v>0</v>
      </c>
    </row>
    <row r="12" spans="2:12" ht="16" customHeight="1" thickBot="1" x14ac:dyDescent="0.4">
      <c r="B12" s="222" t="s">
        <v>139</v>
      </c>
      <c r="C12" s="241">
        <v>-2424120.168438598</v>
      </c>
      <c r="D12" s="241">
        <v>6134796.3468814958</v>
      </c>
      <c r="E12" s="241">
        <v>796224.68459293107</v>
      </c>
      <c r="F12" s="241">
        <v>628145.03282542899</v>
      </c>
      <c r="G12" s="241">
        <v>1378233.388744673</v>
      </c>
      <c r="H12" s="241">
        <v>1957988.2479279439</v>
      </c>
      <c r="I12" s="241">
        <v>10125207.361</v>
      </c>
      <c r="J12" s="241">
        <v>1208225.185596169</v>
      </c>
      <c r="K12" s="241">
        <v>2311424.5101200072</v>
      </c>
      <c r="L12" s="241">
        <v>8764189.3570000008</v>
      </c>
    </row>
    <row r="13" spans="2:12" ht="16" customHeight="1" thickTop="1" x14ac:dyDescent="0.35">
      <c r="B13" s="242" t="s">
        <v>141</v>
      </c>
      <c r="C13" s="125">
        <v>9520265.6766610704</v>
      </c>
      <c r="D13" s="125">
        <v>3115873.654108983</v>
      </c>
      <c r="E13" s="125">
        <v>540350.38388228277</v>
      </c>
      <c r="F13" s="125">
        <v>18559.36321193551</v>
      </c>
      <c r="G13" s="125">
        <v>5296684.5060000001</v>
      </c>
      <c r="H13" s="125">
        <v>5180952.0833648909</v>
      </c>
      <c r="I13" s="125">
        <v>13603087.135</v>
      </c>
      <c r="J13" s="125">
        <v>5132874.1440000003</v>
      </c>
      <c r="K13" s="125">
        <v>1202000.5313494829</v>
      </c>
      <c r="L13" s="125">
        <v>7175065.915</v>
      </c>
    </row>
    <row r="14" spans="2:12" ht="16" customHeight="1" x14ac:dyDescent="0.35">
      <c r="B14" s="240" t="s">
        <v>142</v>
      </c>
      <c r="C14" s="125">
        <v>0</v>
      </c>
      <c r="D14" s="125">
        <v>111006.34600000001</v>
      </c>
      <c r="E14" s="125">
        <v>0</v>
      </c>
      <c r="F14" s="125">
        <v>0</v>
      </c>
      <c r="G14" s="125">
        <v>0</v>
      </c>
      <c r="H14" s="125">
        <v>0</v>
      </c>
      <c r="I14" s="125">
        <v>2056755.6569999999</v>
      </c>
      <c r="J14" s="125">
        <v>0</v>
      </c>
      <c r="K14" s="125">
        <v>0</v>
      </c>
      <c r="L14" s="125">
        <v>239516.28899999999</v>
      </c>
    </row>
    <row r="15" spans="2:12" ht="16" customHeight="1" x14ac:dyDescent="0.35">
      <c r="B15" s="240" t="s">
        <v>143</v>
      </c>
      <c r="C15" s="125">
        <v>0</v>
      </c>
      <c r="D15" s="125">
        <v>0</v>
      </c>
      <c r="E15" s="125">
        <v>200000</v>
      </c>
      <c r="F15" s="125">
        <v>200000</v>
      </c>
      <c r="G15" s="125">
        <v>0</v>
      </c>
      <c r="H15" s="125">
        <v>0</v>
      </c>
      <c r="I15" s="125">
        <v>137686.40599999999</v>
      </c>
      <c r="J15" s="125">
        <v>0</v>
      </c>
      <c r="K15" s="125">
        <v>0</v>
      </c>
      <c r="L15" s="125">
        <v>449102.85499999998</v>
      </c>
    </row>
    <row r="16" spans="2:12" ht="16" customHeight="1" x14ac:dyDescent="0.35">
      <c r="B16" s="240" t="s">
        <v>144</v>
      </c>
      <c r="C16" s="125">
        <v>260706.14626000001</v>
      </c>
      <c r="D16" s="125">
        <v>522662.39</v>
      </c>
      <c r="E16" s="125">
        <v>397928.63931</v>
      </c>
      <c r="F16" s="125">
        <v>10550.60338249837</v>
      </c>
      <c r="G16" s="125">
        <v>182328.897</v>
      </c>
      <c r="H16" s="125">
        <v>103765.337</v>
      </c>
      <c r="I16" s="125">
        <v>489615.82400000002</v>
      </c>
      <c r="J16" s="125">
        <v>0</v>
      </c>
      <c r="K16" s="125">
        <v>78527.514900000009</v>
      </c>
      <c r="L16" s="125">
        <v>962934.04599999997</v>
      </c>
    </row>
    <row r="17" spans="2:12" ht="16" customHeight="1" x14ac:dyDescent="0.35">
      <c r="B17" s="240" t="s">
        <v>145</v>
      </c>
      <c r="C17" s="125">
        <v>112804.2680000002</v>
      </c>
      <c r="D17" s="125">
        <v>32244.740389999872</v>
      </c>
      <c r="E17" s="125">
        <v>45789.816054191288</v>
      </c>
      <c r="F17" s="125">
        <v>12062.15700000001</v>
      </c>
      <c r="G17" s="125">
        <v>7573.6144899997707</v>
      </c>
      <c r="H17" s="125">
        <v>522017.52208680438</v>
      </c>
      <c r="I17" s="125">
        <v>417561.57199999999</v>
      </c>
      <c r="J17" s="125">
        <v>41391.059000000001</v>
      </c>
      <c r="K17" s="125">
        <v>-1.500000059604645E-4</v>
      </c>
      <c r="L17" s="125">
        <v>88888.494000000006</v>
      </c>
    </row>
    <row r="18" spans="2:12" ht="16" customHeight="1" thickBot="1" x14ac:dyDescent="0.4">
      <c r="B18" s="243" t="s">
        <v>146</v>
      </c>
      <c r="C18" s="244">
        <v>7469655.9224824719</v>
      </c>
      <c r="D18" s="244">
        <v>9916583.4773804788</v>
      </c>
      <c r="E18" s="244">
        <v>1980293.523839405</v>
      </c>
      <c r="F18" s="244">
        <v>869317.15641986288</v>
      </c>
      <c r="G18" s="244">
        <v>6864820.4062346732</v>
      </c>
      <c r="H18" s="244">
        <v>7764723.1903796382</v>
      </c>
      <c r="I18" s="244">
        <v>26829913.954999998</v>
      </c>
      <c r="J18" s="244">
        <v>6382490.3885961687</v>
      </c>
      <c r="K18" s="244">
        <v>3591952.5562194912</v>
      </c>
      <c r="L18" s="244">
        <v>17679696.956</v>
      </c>
    </row>
    <row r="19" spans="2:12" ht="16" customHeight="1" thickTop="1" x14ac:dyDescent="0.35">
      <c r="B19" s="242" t="s">
        <v>147</v>
      </c>
      <c r="C19" s="245">
        <v>0</v>
      </c>
      <c r="D19" s="245">
        <v>6431.8509999999997</v>
      </c>
      <c r="E19" s="245">
        <v>5786.2203600000003</v>
      </c>
      <c r="F19" s="245">
        <v>0</v>
      </c>
      <c r="G19" s="245">
        <v>5497.5770000000002</v>
      </c>
      <c r="H19" s="245">
        <v>34012.333930000037</v>
      </c>
      <c r="I19" s="245">
        <v>30146.728999999999</v>
      </c>
      <c r="J19" s="245">
        <v>42540.084000000003</v>
      </c>
      <c r="K19" s="245">
        <v>0</v>
      </c>
      <c r="L19" s="245">
        <v>33710.383000000002</v>
      </c>
    </row>
    <row r="20" spans="2:12" ht="16" customHeight="1" x14ac:dyDescent="0.35">
      <c r="B20" s="240" t="s">
        <v>148</v>
      </c>
      <c r="C20" s="245">
        <v>0</v>
      </c>
      <c r="D20" s="245">
        <v>353751.05628000002</v>
      </c>
      <c r="E20" s="245">
        <v>0</v>
      </c>
      <c r="F20" s="245">
        <v>0</v>
      </c>
      <c r="G20" s="245">
        <v>215218.99340000001</v>
      </c>
      <c r="H20" s="245">
        <v>542000</v>
      </c>
      <c r="I20" s="245">
        <v>1170000</v>
      </c>
      <c r="J20" s="245">
        <v>440000</v>
      </c>
      <c r="K20" s="245">
        <v>28496.002772</v>
      </c>
      <c r="L20" s="245">
        <v>0</v>
      </c>
    </row>
    <row r="21" spans="2:12" ht="16" customHeight="1" x14ac:dyDescent="0.35">
      <c r="B21" s="240" t="s">
        <v>149</v>
      </c>
      <c r="C21" s="245">
        <v>2511007.7105999999</v>
      </c>
      <c r="D21" s="245">
        <v>740000</v>
      </c>
      <c r="E21" s="245">
        <v>0</v>
      </c>
      <c r="F21" s="245">
        <v>0</v>
      </c>
      <c r="G21" s="245">
        <v>968831.00800000003</v>
      </c>
      <c r="H21" s="245">
        <v>1000000</v>
      </c>
      <c r="I21" s="245">
        <v>1382206.8100099999</v>
      </c>
      <c r="J21" s="245">
        <v>994500</v>
      </c>
      <c r="K21" s="245">
        <v>0</v>
      </c>
      <c r="L21" s="245">
        <v>2880000</v>
      </c>
    </row>
    <row r="22" spans="2:12" ht="16" customHeight="1" x14ac:dyDescent="0.35">
      <c r="B22" s="240" t="s">
        <v>150</v>
      </c>
      <c r="C22" s="245">
        <v>30577.75334810833</v>
      </c>
      <c r="D22" s="245">
        <v>12108.287720000029</v>
      </c>
      <c r="E22" s="245">
        <v>176.21167123287671</v>
      </c>
      <c r="F22" s="245">
        <v>0</v>
      </c>
      <c r="G22" s="245">
        <v>19244.315330000001</v>
      </c>
      <c r="H22" s="245">
        <v>88040.054213100011</v>
      </c>
      <c r="I22" s="245">
        <v>68265.938999999998</v>
      </c>
      <c r="J22" s="245">
        <v>144726.66</v>
      </c>
      <c r="K22" s="245">
        <v>24912.75741796146</v>
      </c>
      <c r="L22" s="245">
        <v>76587.751000000004</v>
      </c>
    </row>
    <row r="23" spans="2:12" ht="16" customHeight="1" x14ac:dyDescent="0.35">
      <c r="B23" s="240" t="s">
        <v>151</v>
      </c>
      <c r="C23" s="245">
        <v>931057.74015999993</v>
      </c>
      <c r="D23" s="245">
        <v>4358386.852</v>
      </c>
      <c r="E23" s="245">
        <v>1042422.185920433</v>
      </c>
      <c r="F23" s="245">
        <v>705569.84893675172</v>
      </c>
      <c r="G23" s="245">
        <v>2921437.68073289</v>
      </c>
      <c r="H23" s="245">
        <v>829074.89583361044</v>
      </c>
      <c r="I23" s="245">
        <v>7923788.3600000003</v>
      </c>
      <c r="J23" s="245">
        <v>1521190.05932</v>
      </c>
      <c r="K23" s="245">
        <v>1780709.391711595</v>
      </c>
      <c r="L23" s="245">
        <v>6603980.8080000002</v>
      </c>
    </row>
    <row r="24" spans="2:12" ht="16" customHeight="1" x14ac:dyDescent="0.35">
      <c r="B24" s="240" t="s">
        <v>152</v>
      </c>
      <c r="C24" s="245">
        <v>0</v>
      </c>
      <c r="D24" s="245">
        <v>191169.16424000001</v>
      </c>
      <c r="E24" s="245">
        <v>0</v>
      </c>
      <c r="F24" s="245">
        <v>0</v>
      </c>
      <c r="G24" s="245">
        <v>0</v>
      </c>
      <c r="H24" s="245">
        <v>0</v>
      </c>
      <c r="I24" s="245">
        <v>0</v>
      </c>
      <c r="J24" s="245">
        <v>0</v>
      </c>
      <c r="K24" s="245">
        <v>280835.72100000002</v>
      </c>
      <c r="L24" s="245">
        <v>100447.667</v>
      </c>
    </row>
    <row r="25" spans="2:12" ht="16" customHeight="1" x14ac:dyDescent="0.35">
      <c r="B25" s="240" t="s">
        <v>153</v>
      </c>
      <c r="C25" s="245">
        <v>0</v>
      </c>
      <c r="D25" s="245">
        <v>644852.22075999994</v>
      </c>
      <c r="E25" s="245">
        <v>0</v>
      </c>
      <c r="F25" s="245">
        <v>0</v>
      </c>
      <c r="G25" s="245">
        <v>13155.743</v>
      </c>
      <c r="H25" s="245">
        <v>0</v>
      </c>
      <c r="I25" s="245">
        <v>1080779.358</v>
      </c>
      <c r="J25" s="245">
        <v>0</v>
      </c>
      <c r="K25" s="245">
        <v>0</v>
      </c>
      <c r="L25" s="245">
        <v>564243.20499999996</v>
      </c>
    </row>
    <row r="26" spans="2:12" ht="16" customHeight="1" x14ac:dyDescent="0.35">
      <c r="B26" s="240" t="s">
        <v>154</v>
      </c>
      <c r="C26" s="245">
        <v>0</v>
      </c>
      <c r="D26" s="245">
        <v>342635.82805785781</v>
      </c>
      <c r="E26" s="245">
        <v>0</v>
      </c>
      <c r="F26" s="245">
        <v>0</v>
      </c>
      <c r="G26" s="245">
        <v>0</v>
      </c>
      <c r="H26" s="245">
        <v>0</v>
      </c>
      <c r="I26" s="245">
        <v>0</v>
      </c>
      <c r="J26" s="245">
        <v>0</v>
      </c>
      <c r="K26" s="245">
        <v>0</v>
      </c>
      <c r="L26" s="245">
        <v>140347.41099999999</v>
      </c>
    </row>
    <row r="27" spans="2:12" ht="16" customHeight="1" x14ac:dyDescent="0.35">
      <c r="B27" s="240" t="s">
        <v>155</v>
      </c>
      <c r="C27" s="245">
        <v>0</v>
      </c>
      <c r="D27" s="245">
        <v>0</v>
      </c>
      <c r="E27" s="245">
        <v>0</v>
      </c>
      <c r="F27" s="245">
        <v>0</v>
      </c>
      <c r="G27" s="245">
        <v>0</v>
      </c>
      <c r="H27" s="245">
        <v>0</v>
      </c>
      <c r="I27" s="245">
        <v>0</v>
      </c>
      <c r="J27" s="245">
        <v>492301.55932617001</v>
      </c>
      <c r="K27" s="245">
        <v>0</v>
      </c>
      <c r="L27" s="245">
        <v>0</v>
      </c>
    </row>
    <row r="28" spans="2:12" ht="16" customHeight="1" x14ac:dyDescent="0.35">
      <c r="B28" s="240" t="s">
        <v>156</v>
      </c>
      <c r="C28" s="245">
        <v>0</v>
      </c>
      <c r="D28" s="245">
        <v>0</v>
      </c>
      <c r="E28" s="245">
        <v>0</v>
      </c>
      <c r="F28" s="245">
        <v>0</v>
      </c>
      <c r="G28" s="245">
        <v>0</v>
      </c>
      <c r="H28" s="245">
        <v>0</v>
      </c>
      <c r="I28" s="245">
        <v>0</v>
      </c>
      <c r="J28" s="245">
        <v>0</v>
      </c>
      <c r="K28" s="245">
        <v>0</v>
      </c>
      <c r="L28" s="245">
        <v>0</v>
      </c>
    </row>
    <row r="29" spans="2:12" ht="16" customHeight="1" x14ac:dyDescent="0.35">
      <c r="B29" s="240" t="s">
        <v>157</v>
      </c>
      <c r="C29" s="245">
        <v>0</v>
      </c>
      <c r="D29" s="245">
        <v>28931.040000000001</v>
      </c>
      <c r="E29" s="245">
        <v>0</v>
      </c>
      <c r="F29" s="245">
        <v>0</v>
      </c>
      <c r="G29" s="245">
        <v>112727.4436</v>
      </c>
      <c r="H29" s="245">
        <v>0</v>
      </c>
      <c r="I29" s="245">
        <v>674625.43599999999</v>
      </c>
      <c r="J29" s="245">
        <v>71504.171579999995</v>
      </c>
      <c r="K29" s="245">
        <v>0</v>
      </c>
      <c r="L29" s="245">
        <v>1053898.514</v>
      </c>
    </row>
    <row r="30" spans="2:12" ht="16" customHeight="1" x14ac:dyDescent="0.35">
      <c r="B30" s="240" t="s">
        <v>158</v>
      </c>
      <c r="C30" s="245">
        <v>0</v>
      </c>
      <c r="D30" s="245">
        <v>0</v>
      </c>
      <c r="E30" s="245">
        <v>0</v>
      </c>
      <c r="F30" s="245">
        <v>0</v>
      </c>
      <c r="G30" s="245">
        <v>0</v>
      </c>
      <c r="H30" s="245">
        <v>0</v>
      </c>
      <c r="I30" s="245">
        <v>507149.1</v>
      </c>
      <c r="J30" s="245">
        <v>6526.61</v>
      </c>
      <c r="K30" s="245">
        <v>0</v>
      </c>
      <c r="L30" s="245">
        <v>0</v>
      </c>
    </row>
    <row r="31" spans="2:12" ht="16" customHeight="1" x14ac:dyDescent="0.35">
      <c r="B31" s="240" t="s">
        <v>159</v>
      </c>
      <c r="C31" s="245">
        <v>0</v>
      </c>
      <c r="D31" s="245">
        <v>0</v>
      </c>
      <c r="E31" s="245">
        <v>0</v>
      </c>
      <c r="F31" s="245">
        <v>0</v>
      </c>
      <c r="G31" s="245">
        <v>0</v>
      </c>
      <c r="H31" s="245">
        <v>0</v>
      </c>
      <c r="I31" s="245">
        <v>0</v>
      </c>
      <c r="J31" s="245">
        <v>0</v>
      </c>
      <c r="K31" s="245">
        <v>0</v>
      </c>
      <c r="L31" s="245">
        <v>0</v>
      </c>
    </row>
    <row r="32" spans="2:12" ht="16" customHeight="1" x14ac:dyDescent="0.35">
      <c r="B32" s="240" t="s">
        <v>160</v>
      </c>
      <c r="C32" s="245">
        <v>0</v>
      </c>
      <c r="D32" s="245">
        <v>0</v>
      </c>
      <c r="E32" s="245">
        <v>0</v>
      </c>
      <c r="F32" s="245">
        <v>0</v>
      </c>
      <c r="G32" s="245">
        <v>0</v>
      </c>
      <c r="H32" s="245">
        <v>0</v>
      </c>
      <c r="I32" s="245">
        <v>0</v>
      </c>
      <c r="J32" s="245">
        <v>0</v>
      </c>
      <c r="K32" s="245">
        <v>0</v>
      </c>
      <c r="L32" s="245">
        <v>0</v>
      </c>
    </row>
    <row r="33" spans="2:12" ht="16" customHeight="1" x14ac:dyDescent="0.35">
      <c r="B33" s="240" t="s">
        <v>161</v>
      </c>
      <c r="C33" s="245">
        <v>656622.83208000008</v>
      </c>
      <c r="D33" s="245">
        <v>10457.572330000001</v>
      </c>
      <c r="E33" s="245">
        <v>0</v>
      </c>
      <c r="F33" s="245">
        <v>0</v>
      </c>
      <c r="G33" s="245">
        <v>11639.342000000001</v>
      </c>
      <c r="H33" s="245">
        <v>3.9840000099502511E-4</v>
      </c>
      <c r="I33" s="245">
        <v>265102.103</v>
      </c>
      <c r="J33" s="245">
        <v>0</v>
      </c>
      <c r="K33" s="245">
        <v>5350.8333700000003</v>
      </c>
      <c r="L33" s="245">
        <v>37556.476999999999</v>
      </c>
    </row>
    <row r="34" spans="2:12" ht="16" customHeight="1" x14ac:dyDescent="0.35">
      <c r="B34" s="240" t="s">
        <v>162</v>
      </c>
      <c r="C34" s="245">
        <v>0</v>
      </c>
      <c r="D34" s="245">
        <v>103896.132</v>
      </c>
      <c r="E34" s="245">
        <v>0</v>
      </c>
      <c r="F34" s="245">
        <v>0</v>
      </c>
      <c r="G34" s="245">
        <v>2329.7629700000002</v>
      </c>
      <c r="H34" s="245">
        <v>0</v>
      </c>
      <c r="I34" s="245">
        <v>0</v>
      </c>
      <c r="J34" s="245">
        <v>0</v>
      </c>
      <c r="K34" s="245">
        <v>0</v>
      </c>
      <c r="L34" s="245">
        <v>0</v>
      </c>
    </row>
    <row r="35" spans="2:12" ht="16" customHeight="1" x14ac:dyDescent="0.35">
      <c r="B35" s="240" t="s">
        <v>163</v>
      </c>
      <c r="C35" s="245">
        <v>658918.33713999996</v>
      </c>
      <c r="D35" s="245">
        <v>1347331.0261461081</v>
      </c>
      <c r="E35" s="245">
        <v>510847.20329361252</v>
      </c>
      <c r="F35" s="245">
        <v>157427.5708024753</v>
      </c>
      <c r="G35" s="245">
        <v>615874.39040142577</v>
      </c>
      <c r="H35" s="245">
        <v>2760994.4726074059</v>
      </c>
      <c r="I35" s="245">
        <v>507931.712</v>
      </c>
      <c r="J35" s="245">
        <v>622208.10766999994</v>
      </c>
      <c r="K35" s="245">
        <v>821500.66925999988</v>
      </c>
      <c r="L35" s="245">
        <v>2092027.6810000001</v>
      </c>
    </row>
    <row r="36" spans="2:12" ht="16" customHeight="1" x14ac:dyDescent="0.35">
      <c r="B36" s="240" t="s">
        <v>164</v>
      </c>
      <c r="C36" s="245">
        <v>749944.71398000012</v>
      </c>
      <c r="D36" s="245">
        <v>143592.84599999999</v>
      </c>
      <c r="E36" s="245">
        <v>5034.1806481440244</v>
      </c>
      <c r="F36" s="245">
        <v>2883.290809226583</v>
      </c>
      <c r="G36" s="245">
        <v>276321.95500000002</v>
      </c>
      <c r="H36" s="245">
        <v>13197.86372000001</v>
      </c>
      <c r="I36" s="245">
        <v>53706.96</v>
      </c>
      <c r="J36" s="245">
        <v>-6058.5243000010587</v>
      </c>
      <c r="K36" s="245">
        <v>104441.85576999999</v>
      </c>
      <c r="L36" s="245">
        <v>247310.10500000001</v>
      </c>
    </row>
    <row r="37" spans="2:12" ht="16" customHeight="1" x14ac:dyDescent="0.35">
      <c r="B37" s="240" t="s">
        <v>165</v>
      </c>
      <c r="C37" s="245">
        <v>72510.774000000005</v>
      </c>
      <c r="D37" s="245">
        <v>1022947.095</v>
      </c>
      <c r="E37" s="245">
        <v>0</v>
      </c>
      <c r="F37" s="245">
        <v>0</v>
      </c>
      <c r="G37" s="245">
        <v>0</v>
      </c>
      <c r="H37" s="245">
        <v>0</v>
      </c>
      <c r="I37" s="245">
        <v>4000089.76</v>
      </c>
      <c r="J37" s="245">
        <v>0</v>
      </c>
      <c r="K37" s="245">
        <v>0</v>
      </c>
      <c r="L37" s="245">
        <v>0</v>
      </c>
    </row>
    <row r="38" spans="2:12" ht="16" customHeight="1" x14ac:dyDescent="0.35">
      <c r="B38" s="240" t="s">
        <v>166</v>
      </c>
      <c r="C38" s="245">
        <v>0</v>
      </c>
      <c r="D38" s="245">
        <v>534642.08675651357</v>
      </c>
      <c r="E38" s="245">
        <v>334307.49414716929</v>
      </c>
      <c r="F38" s="245">
        <v>2157.4195439265368</v>
      </c>
      <c r="G38" s="245">
        <v>1054457.7797701361</v>
      </c>
      <c r="H38" s="245">
        <v>1977259.267270115</v>
      </c>
      <c r="I38" s="245">
        <v>8970153.9609999992</v>
      </c>
      <c r="J38" s="245">
        <v>2020052.398</v>
      </c>
      <c r="K38" s="245">
        <v>312912.89282164501</v>
      </c>
      <c r="L38" s="245">
        <v>3048293.0109999999</v>
      </c>
    </row>
    <row r="39" spans="2:12" ht="16" customHeight="1" x14ac:dyDescent="0.35">
      <c r="B39" s="240" t="s">
        <v>167</v>
      </c>
      <c r="C39" s="245">
        <v>228270.31770000001</v>
      </c>
      <c r="D39" s="245">
        <v>39049.607089999998</v>
      </c>
      <c r="E39" s="245">
        <v>0</v>
      </c>
      <c r="F39" s="245">
        <v>0</v>
      </c>
      <c r="G39" s="245">
        <v>0</v>
      </c>
      <c r="H39" s="245">
        <v>93397.732999999993</v>
      </c>
      <c r="I39" s="245">
        <v>0</v>
      </c>
      <c r="J39" s="245">
        <v>0</v>
      </c>
      <c r="K39" s="245">
        <v>39468.67928015381</v>
      </c>
      <c r="L39" s="245">
        <v>14374.191000000001</v>
      </c>
    </row>
    <row r="40" spans="2:12" ht="16" customHeight="1" x14ac:dyDescent="0.35">
      <c r="B40" s="240" t="s">
        <v>168</v>
      </c>
      <c r="C40" s="245">
        <v>1630745.742895707</v>
      </c>
      <c r="D40" s="245">
        <v>36400.811999999998</v>
      </c>
      <c r="E40" s="245">
        <v>81720.02794293467</v>
      </c>
      <c r="F40" s="245">
        <v>1279.02619</v>
      </c>
      <c r="G40" s="245">
        <v>648084.41492999997</v>
      </c>
      <c r="H40" s="245">
        <v>426746.5686</v>
      </c>
      <c r="I40" s="245">
        <v>195967.72700000001</v>
      </c>
      <c r="J40" s="245">
        <v>32999.262999999999</v>
      </c>
      <c r="K40" s="245">
        <v>193397.5874061338</v>
      </c>
      <c r="L40" s="245">
        <v>786919.75200000091</v>
      </c>
    </row>
    <row r="41" spans="2:12" ht="16" customHeight="1" thickBot="1" x14ac:dyDescent="0.4">
      <c r="B41" s="243" t="s">
        <v>169</v>
      </c>
      <c r="C41" s="244">
        <v>7469655.9219038161</v>
      </c>
      <c r="D41" s="244">
        <v>9916583.4773804788</v>
      </c>
      <c r="E41" s="244">
        <v>1980293.523983527</v>
      </c>
      <c r="F41" s="244">
        <v>869317.15628238022</v>
      </c>
      <c r="G41" s="244">
        <v>6864820.4061344508</v>
      </c>
      <c r="H41" s="244">
        <v>7764723.1895726305</v>
      </c>
      <c r="I41" s="244">
        <v>26829913.955010001</v>
      </c>
      <c r="J41" s="244">
        <v>6382490.3885961687</v>
      </c>
      <c r="K41" s="244">
        <v>3592026.3908094889</v>
      </c>
      <c r="L41" s="244">
        <v>17679696.956</v>
      </c>
    </row>
    <row r="42" spans="2:12" ht="16" customHeight="1" thickTop="1" x14ac:dyDescent="0.35">
      <c r="B42" s="303" t="s">
        <v>187</v>
      </c>
      <c r="C42" s="304"/>
      <c r="D42" s="304"/>
      <c r="E42" s="304"/>
      <c r="F42" s="304"/>
      <c r="G42" s="304"/>
      <c r="H42" s="304"/>
      <c r="I42" s="304"/>
      <c r="J42" s="304"/>
      <c r="K42" s="301" t="s">
        <v>171</v>
      </c>
      <c r="L42" s="302"/>
    </row>
    <row r="43" spans="2:12" x14ac:dyDescent="0.35">
      <c r="C43" s="133"/>
      <c r="D43" s="133"/>
      <c r="E43" s="133"/>
      <c r="F43" s="133"/>
      <c r="G43" s="133"/>
      <c r="H43" s="133"/>
      <c r="I43" s="133"/>
      <c r="J43" s="133"/>
      <c r="K43" s="133"/>
      <c r="L43" s="133"/>
    </row>
    <row r="44" spans="2:12" x14ac:dyDescent="0.35">
      <c r="C44" s="133"/>
      <c r="D44" s="133"/>
      <c r="E44" s="133"/>
      <c r="F44" s="133"/>
      <c r="G44" s="133"/>
      <c r="H44" s="133"/>
      <c r="I44" s="133"/>
      <c r="J44" s="133"/>
      <c r="K44" s="133"/>
      <c r="L44" s="133"/>
    </row>
  </sheetData>
  <sheetProtection algorithmName="SHA-512" hashValue="D99/RFNq1IDv6uEqyrjORArL9JZ6m/W/ZGECIFuLXXVbJ+FrS+jqU5ZFGkDMI0z1hR6kfvw8A1HB4dnRXBdoMg==" saltValue="zRnCyprTmfBeDxttfKelWQ==" spinCount="100000" sheet="1" objects="1" scenarios="1"/>
  <mergeCells count="4">
    <mergeCell ref="B3:L3"/>
    <mergeCell ref="B4:L4"/>
    <mergeCell ref="B42:J42"/>
    <mergeCell ref="K42:L42"/>
  </mergeCells>
  <pageMargins left="0.7" right="0.7" top="0.75" bottom="0.75" header="0.3" footer="0.3"/>
  <pageSetup paperSize="9" scale="43"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4">
    <tabColor rgb="FF92D050"/>
    <pageSetUpPr fitToPage="1"/>
  </sheetPr>
  <dimension ref="B3:M44"/>
  <sheetViews>
    <sheetView zoomScale="89" workbookViewId="0">
      <selection activeCell="A26" sqref="A26:XFD26"/>
    </sheetView>
  </sheetViews>
  <sheetFormatPr defaultColWidth="9.453125" defaultRowHeight="15.5" x14ac:dyDescent="0.35"/>
  <cols>
    <col min="1" max="1" width="16.54296875" style="76" customWidth="1"/>
    <col min="2" max="2" width="37.453125" style="76" customWidth="1"/>
    <col min="3" max="13" width="19.54296875" style="76" customWidth="1"/>
    <col min="14" max="100" width="9.453125" style="76" customWidth="1"/>
    <col min="101" max="16384" width="9.453125" style="76"/>
  </cols>
  <sheetData>
    <row r="3" spans="2:13" ht="15" customHeight="1" x14ac:dyDescent="0.35">
      <c r="B3" s="313" t="s">
        <v>172</v>
      </c>
      <c r="C3" s="312"/>
      <c r="D3" s="312"/>
      <c r="E3" s="312"/>
      <c r="F3" s="312"/>
      <c r="G3" s="312"/>
      <c r="H3" s="312"/>
      <c r="I3" s="312"/>
      <c r="J3" s="312"/>
      <c r="K3" s="312"/>
      <c r="L3" s="312"/>
      <c r="M3" s="312"/>
    </row>
    <row r="4" spans="2:13" ht="15" customHeight="1" x14ac:dyDescent="0.35">
      <c r="B4" s="300" t="str">
        <f>_xlfn.CONCAT('Table of Contents'!B16,": ",'Table of Contents'!C16)</f>
        <v>APPENDIX 5 iii: SUMMARY OF GENERAL INSURANCE BUSINESS BALANCE SHEETS AS AT 31.12.2025</v>
      </c>
      <c r="C4" s="269"/>
      <c r="D4" s="269"/>
      <c r="E4" s="269"/>
      <c r="F4" s="269"/>
      <c r="G4" s="269"/>
      <c r="H4" s="269"/>
      <c r="I4" s="269"/>
      <c r="J4" s="269"/>
      <c r="K4" s="269"/>
      <c r="L4" s="269"/>
      <c r="M4" s="270"/>
    </row>
    <row r="5" spans="2:13" ht="46.5" x14ac:dyDescent="0.35">
      <c r="B5" s="238" t="s">
        <v>184</v>
      </c>
      <c r="C5" s="239" t="s">
        <v>83</v>
      </c>
      <c r="D5" s="239" t="s">
        <v>84</v>
      </c>
      <c r="E5" s="239" t="s">
        <v>85</v>
      </c>
      <c r="F5" s="239" t="s">
        <v>86</v>
      </c>
      <c r="G5" s="239" t="s">
        <v>107</v>
      </c>
      <c r="H5" s="239" t="s">
        <v>87</v>
      </c>
      <c r="I5" s="239" t="s">
        <v>88</v>
      </c>
      <c r="J5" s="239" t="s">
        <v>89</v>
      </c>
      <c r="K5" s="239" t="s">
        <v>90</v>
      </c>
      <c r="L5" s="246" t="s">
        <v>91</v>
      </c>
      <c r="M5" s="246" t="s">
        <v>92</v>
      </c>
    </row>
    <row r="6" spans="2:13" ht="15" customHeight="1" x14ac:dyDescent="0.35">
      <c r="B6" s="240" t="s">
        <v>132</v>
      </c>
      <c r="C6" s="125">
        <v>800000</v>
      </c>
      <c r="D6" s="125">
        <v>2763720</v>
      </c>
      <c r="E6" s="125">
        <v>600000</v>
      </c>
      <c r="F6" s="125">
        <v>810721.06</v>
      </c>
      <c r="G6" s="125">
        <v>13498981.359999999</v>
      </c>
      <c r="H6" s="125">
        <v>605000</v>
      </c>
      <c r="I6" s="125">
        <v>1500000</v>
      </c>
      <c r="J6" s="125">
        <v>600000</v>
      </c>
      <c r="K6" s="125">
        <v>600000</v>
      </c>
      <c r="L6" s="125">
        <v>745831</v>
      </c>
      <c r="M6" s="125">
        <v>1000000</v>
      </c>
    </row>
    <row r="7" spans="2:13" ht="15" customHeight="1" x14ac:dyDescent="0.35">
      <c r="B7" s="240" t="s">
        <v>185</v>
      </c>
      <c r="C7" s="125">
        <v>0</v>
      </c>
      <c r="D7" s="125">
        <v>0</v>
      </c>
      <c r="E7" s="125">
        <v>1198.2950000000001</v>
      </c>
      <c r="F7" s="125">
        <v>0</v>
      </c>
      <c r="G7" s="125">
        <v>0</v>
      </c>
      <c r="H7" s="125">
        <v>0</v>
      </c>
      <c r="I7" s="125">
        <v>0</v>
      </c>
      <c r="J7" s="125">
        <v>0</v>
      </c>
      <c r="K7" s="125">
        <v>0</v>
      </c>
      <c r="L7" s="125">
        <v>100378.9</v>
      </c>
      <c r="M7" s="125">
        <v>0</v>
      </c>
    </row>
    <row r="8" spans="2:13" ht="15" customHeight="1" x14ac:dyDescent="0.35">
      <c r="B8" s="240" t="s">
        <v>186</v>
      </c>
      <c r="C8" s="125">
        <v>342209.33899999998</v>
      </c>
      <c r="D8" s="125">
        <v>33523.351789999993</v>
      </c>
      <c r="E8" s="125">
        <v>456053</v>
      </c>
      <c r="F8" s="125">
        <v>356.34275000000002</v>
      </c>
      <c r="G8" s="125">
        <v>36911.31</v>
      </c>
      <c r="H8" s="125">
        <v>0</v>
      </c>
      <c r="I8" s="125">
        <v>-51662.879000000001</v>
      </c>
      <c r="J8" s="125">
        <v>0</v>
      </c>
      <c r="K8" s="125">
        <v>9514.7904966000988</v>
      </c>
      <c r="L8" s="125">
        <v>0</v>
      </c>
      <c r="M8" s="125">
        <v>0</v>
      </c>
    </row>
    <row r="9" spans="2:13" ht="15" customHeight="1" x14ac:dyDescent="0.35">
      <c r="B9" s="240" t="s">
        <v>136</v>
      </c>
      <c r="C9" s="125">
        <v>30000</v>
      </c>
      <c r="D9" s="125">
        <v>0</v>
      </c>
      <c r="E9" s="125">
        <v>441589.76500000001</v>
      </c>
      <c r="F9" s="125">
        <v>1644217.273</v>
      </c>
      <c r="G9" s="125">
        <v>626789.01199999999</v>
      </c>
      <c r="H9" s="125">
        <v>0</v>
      </c>
      <c r="I9" s="125">
        <v>213735.068</v>
      </c>
      <c r="J9" s="125">
        <v>1233590.3006899999</v>
      </c>
      <c r="K9" s="125">
        <v>0</v>
      </c>
      <c r="L9" s="125">
        <v>150000</v>
      </c>
      <c r="M9" s="125">
        <v>0</v>
      </c>
    </row>
    <row r="10" spans="2:13" ht="15" customHeight="1" x14ac:dyDescent="0.35">
      <c r="B10" s="240" t="s">
        <v>137</v>
      </c>
      <c r="C10" s="125">
        <v>241971.2530705583</v>
      </c>
      <c r="D10" s="125">
        <v>2982704.4303776599</v>
      </c>
      <c r="E10" s="125">
        <v>3304913.3250858099</v>
      </c>
      <c r="F10" s="125">
        <v>-3576928.1484265639</v>
      </c>
      <c r="G10" s="125">
        <v>23201255.23835383</v>
      </c>
      <c r="H10" s="125">
        <v>584023.09512538987</v>
      </c>
      <c r="I10" s="125">
        <v>3939650.477357402</v>
      </c>
      <c r="J10" s="125">
        <v>-2122401.0510985469</v>
      </c>
      <c r="K10" s="125">
        <v>1702361.3353189039</v>
      </c>
      <c r="L10" s="125">
        <v>-348062.28552714642</v>
      </c>
      <c r="M10" s="125">
        <v>6158123.9304559259</v>
      </c>
    </row>
    <row r="11" spans="2:13" ht="15" customHeight="1" x14ac:dyDescent="0.35">
      <c r="B11" s="240" t="s">
        <v>138</v>
      </c>
      <c r="C11" s="125">
        <v>0</v>
      </c>
      <c r="D11" s="125">
        <v>0</v>
      </c>
      <c r="E11" s="125">
        <v>0</v>
      </c>
      <c r="F11" s="125">
        <v>0</v>
      </c>
      <c r="G11" s="125">
        <v>1513821</v>
      </c>
      <c r="H11" s="125">
        <v>0</v>
      </c>
      <c r="I11" s="125">
        <v>631146.701</v>
      </c>
      <c r="J11" s="125">
        <v>20990.633750000001</v>
      </c>
      <c r="K11" s="125">
        <v>0</v>
      </c>
      <c r="L11" s="125">
        <v>0</v>
      </c>
      <c r="M11" s="125">
        <v>0</v>
      </c>
    </row>
    <row r="12" spans="2:13" ht="15" customHeight="1" thickBot="1" x14ac:dyDescent="0.4">
      <c r="B12" s="222" t="s">
        <v>139</v>
      </c>
      <c r="C12" s="241">
        <v>1414180.5920705581</v>
      </c>
      <c r="D12" s="241">
        <v>5779947.7821676601</v>
      </c>
      <c r="E12" s="241">
        <v>4803754.38508581</v>
      </c>
      <c r="F12" s="241">
        <v>-1121633.472676564</v>
      </c>
      <c r="G12" s="241">
        <v>38877757.920353837</v>
      </c>
      <c r="H12" s="241">
        <v>1189023.09512539</v>
      </c>
      <c r="I12" s="241">
        <v>6232869.3673574012</v>
      </c>
      <c r="J12" s="241">
        <v>-267820.1166585469</v>
      </c>
      <c r="K12" s="241">
        <v>2311876.1258155042</v>
      </c>
      <c r="L12" s="241">
        <v>648147.61447285372</v>
      </c>
      <c r="M12" s="241">
        <v>7158123.9304559259</v>
      </c>
    </row>
    <row r="13" spans="2:13" ht="15" customHeight="1" thickTop="1" x14ac:dyDescent="0.35">
      <c r="B13" s="242" t="s">
        <v>141</v>
      </c>
      <c r="C13" s="125">
        <v>1999942.861361366</v>
      </c>
      <c r="D13" s="125">
        <v>5108929.8421046417</v>
      </c>
      <c r="E13" s="125">
        <v>6197381.4795658421</v>
      </c>
      <c r="F13" s="125">
        <v>2754118.5400930829</v>
      </c>
      <c r="G13" s="125">
        <v>11462687.76997689</v>
      </c>
      <c r="H13" s="125">
        <v>6715553.4983641608</v>
      </c>
      <c r="I13" s="125">
        <v>7421699.8720000004</v>
      </c>
      <c r="J13" s="125">
        <v>2465268.2990000001</v>
      </c>
      <c r="K13" s="125">
        <v>2603727.2771053598</v>
      </c>
      <c r="L13" s="125">
        <v>2154329.624218815</v>
      </c>
      <c r="M13" s="125">
        <v>11171667.73093869</v>
      </c>
    </row>
    <row r="14" spans="2:13" ht="15" customHeight="1" x14ac:dyDescent="0.35">
      <c r="B14" s="240" t="s">
        <v>142</v>
      </c>
      <c r="C14" s="125">
        <v>10754.805414955999</v>
      </c>
      <c r="D14" s="125">
        <v>0</v>
      </c>
      <c r="E14" s="125">
        <v>0</v>
      </c>
      <c r="F14" s="125">
        <v>0</v>
      </c>
      <c r="G14" s="125">
        <v>1161513.8957601001</v>
      </c>
      <c r="H14" s="125">
        <v>0</v>
      </c>
      <c r="I14" s="125">
        <v>0</v>
      </c>
      <c r="J14" s="125">
        <v>0</v>
      </c>
      <c r="K14" s="125">
        <v>675836.33199441282</v>
      </c>
      <c r="L14" s="125">
        <v>0</v>
      </c>
      <c r="M14" s="125">
        <v>329572.89828815247</v>
      </c>
    </row>
    <row r="15" spans="2:13" ht="15" customHeight="1" x14ac:dyDescent="0.35">
      <c r="B15" s="240" t="s">
        <v>143</v>
      </c>
      <c r="C15" s="125">
        <v>0</v>
      </c>
      <c r="D15" s="125">
        <v>0</v>
      </c>
      <c r="E15" s="125">
        <v>54306.603999999999</v>
      </c>
      <c r="F15" s="125">
        <v>0</v>
      </c>
      <c r="G15" s="125">
        <v>1419534.425</v>
      </c>
      <c r="H15" s="125">
        <v>0</v>
      </c>
      <c r="I15" s="125">
        <v>126893.37699999999</v>
      </c>
      <c r="J15" s="125">
        <v>0</v>
      </c>
      <c r="K15" s="125">
        <v>0</v>
      </c>
      <c r="L15" s="125">
        <v>0</v>
      </c>
      <c r="M15" s="125">
        <v>0</v>
      </c>
    </row>
    <row r="16" spans="2:13" ht="15" customHeight="1" x14ac:dyDescent="0.35">
      <c r="B16" s="240" t="s">
        <v>144</v>
      </c>
      <c r="C16" s="125">
        <v>37375.949000000001</v>
      </c>
      <c r="D16" s="125">
        <v>165113.46372999999</v>
      </c>
      <c r="E16" s="125">
        <v>268039.32299999997</v>
      </c>
      <c r="F16" s="125">
        <v>735918.76063000108</v>
      </c>
      <c r="G16" s="125">
        <v>764449.29690573888</v>
      </c>
      <c r="H16" s="125">
        <v>52973.053344204913</v>
      </c>
      <c r="I16" s="125">
        <v>2009412.3559999999</v>
      </c>
      <c r="J16" s="125">
        <v>580503.90300000005</v>
      </c>
      <c r="K16" s="125">
        <v>471434.17368000012</v>
      </c>
      <c r="L16" s="125">
        <v>479054.80226000003</v>
      </c>
      <c r="M16" s="125">
        <v>473316.52448999998</v>
      </c>
    </row>
    <row r="17" spans="2:13" ht="15" customHeight="1" x14ac:dyDescent="0.35">
      <c r="B17" s="240" t="s">
        <v>145</v>
      </c>
      <c r="C17" s="125">
        <v>66587.708000000086</v>
      </c>
      <c r="D17" s="125">
        <v>486457.56252999918</v>
      </c>
      <c r="E17" s="125">
        <v>70595.667000000001</v>
      </c>
      <c r="F17" s="125">
        <v>83957.79869999981</v>
      </c>
      <c r="G17" s="125">
        <v>324427.38799999899</v>
      </c>
      <c r="H17" s="125">
        <v>3314.5373759479521</v>
      </c>
      <c r="I17" s="125">
        <v>206353.72399999999</v>
      </c>
      <c r="J17" s="125">
        <v>33940.353035293578</v>
      </c>
      <c r="K17" s="125">
        <v>203345.74340000041</v>
      </c>
      <c r="L17" s="125">
        <v>71038.118169999841</v>
      </c>
      <c r="M17" s="125">
        <v>1425297.324836218</v>
      </c>
    </row>
    <row r="18" spans="2:13" ht="15" customHeight="1" thickBot="1" x14ac:dyDescent="0.4">
      <c r="B18" s="243" t="s">
        <v>146</v>
      </c>
      <c r="C18" s="244">
        <v>3528841.915846881</v>
      </c>
      <c r="D18" s="244">
        <v>11540448.6505323</v>
      </c>
      <c r="E18" s="244">
        <v>11394077.458651651</v>
      </c>
      <c r="F18" s="244">
        <v>2452361.6267465199</v>
      </c>
      <c r="G18" s="244">
        <v>54010370.695996568</v>
      </c>
      <c r="H18" s="244">
        <v>7960864.1842097025</v>
      </c>
      <c r="I18" s="244">
        <v>15997228.696357399</v>
      </c>
      <c r="J18" s="244">
        <v>2811892.4383767471</v>
      </c>
      <c r="K18" s="244">
        <v>6266219.651995277</v>
      </c>
      <c r="L18" s="244">
        <v>3352570.159121668</v>
      </c>
      <c r="M18" s="244">
        <v>20557978.409008991</v>
      </c>
    </row>
    <row r="19" spans="2:13" ht="15" customHeight="1" thickTop="1" x14ac:dyDescent="0.35">
      <c r="B19" s="242" t="s">
        <v>147</v>
      </c>
      <c r="C19" s="245">
        <v>55217.33</v>
      </c>
      <c r="D19" s="245">
        <v>125275.747</v>
      </c>
      <c r="E19" s="245">
        <v>3584.136</v>
      </c>
      <c r="F19" s="245">
        <v>1396.19209</v>
      </c>
      <c r="G19" s="245">
        <v>76784.606</v>
      </c>
      <c r="H19" s="245">
        <v>150196.37246000001</v>
      </c>
      <c r="I19" s="245">
        <v>30403.491999999998</v>
      </c>
      <c r="J19" s="245">
        <v>9047.410796041675</v>
      </c>
      <c r="K19" s="245">
        <v>310963.42200000002</v>
      </c>
      <c r="L19" s="245">
        <v>0</v>
      </c>
      <c r="M19" s="245">
        <v>57345.069439999999</v>
      </c>
    </row>
    <row r="20" spans="2:13" ht="15" customHeight="1" x14ac:dyDescent="0.35">
      <c r="B20" s="240" t="s">
        <v>148</v>
      </c>
      <c r="C20" s="245">
        <v>0</v>
      </c>
      <c r="D20" s="245">
        <v>0</v>
      </c>
      <c r="E20" s="245">
        <v>799855.02800000005</v>
      </c>
      <c r="F20" s="245">
        <v>105522.923</v>
      </c>
      <c r="G20" s="245">
        <v>0</v>
      </c>
      <c r="H20" s="245">
        <v>0</v>
      </c>
      <c r="I20" s="245">
        <v>239880.304</v>
      </c>
      <c r="J20" s="245">
        <v>0</v>
      </c>
      <c r="K20" s="245">
        <v>0</v>
      </c>
      <c r="L20" s="245">
        <v>0</v>
      </c>
      <c r="M20" s="245">
        <v>0</v>
      </c>
    </row>
    <row r="21" spans="2:13" ht="15" customHeight="1" x14ac:dyDescent="0.35">
      <c r="B21" s="240" t="s">
        <v>149</v>
      </c>
      <c r="C21" s="245">
        <v>499000</v>
      </c>
      <c r="D21" s="245">
        <v>0</v>
      </c>
      <c r="E21" s="245">
        <v>1294600</v>
      </c>
      <c r="F21" s="245">
        <v>892000</v>
      </c>
      <c r="G21" s="245">
        <v>11186509.243000001</v>
      </c>
      <c r="H21" s="245">
        <v>667932.30299999996</v>
      </c>
      <c r="I21" s="245">
        <v>403571.58299999998</v>
      </c>
      <c r="J21" s="245">
        <v>0</v>
      </c>
      <c r="K21" s="245">
        <v>0</v>
      </c>
      <c r="L21" s="245">
        <v>440000</v>
      </c>
      <c r="M21" s="245">
        <v>3143000</v>
      </c>
    </row>
    <row r="22" spans="2:13" ht="15" customHeight="1" x14ac:dyDescent="0.35">
      <c r="B22" s="240" t="s">
        <v>150</v>
      </c>
      <c r="C22" s="245">
        <v>117356.30100000001</v>
      </c>
      <c r="D22" s="245">
        <v>85576.631810000006</v>
      </c>
      <c r="E22" s="245">
        <v>52981.707999999999</v>
      </c>
      <c r="F22" s="245">
        <v>9768.7435499999974</v>
      </c>
      <c r="G22" s="245">
        <v>33290.949000000001</v>
      </c>
      <c r="H22" s="245">
        <v>26469.879550000009</v>
      </c>
      <c r="I22" s="245">
        <v>76175.648000000001</v>
      </c>
      <c r="J22" s="245">
        <v>44883.991000000002</v>
      </c>
      <c r="K22" s="245">
        <v>88280.700770000098</v>
      </c>
      <c r="L22" s="245">
        <v>9392.1370149833256</v>
      </c>
      <c r="M22" s="245">
        <v>76296.770649999817</v>
      </c>
    </row>
    <row r="23" spans="2:13" ht="15" customHeight="1" x14ac:dyDescent="0.35">
      <c r="B23" s="240" t="s">
        <v>151</v>
      </c>
      <c r="C23" s="245">
        <v>820838.06</v>
      </c>
      <c r="D23" s="245">
        <v>7154738.2163999993</v>
      </c>
      <c r="E23" s="245">
        <v>3762790.0044427509</v>
      </c>
      <c r="F23" s="245">
        <v>172095.41193</v>
      </c>
      <c r="G23" s="245">
        <v>17841161.469000001</v>
      </c>
      <c r="H23" s="245">
        <v>2284363.375</v>
      </c>
      <c r="I23" s="245">
        <v>4798611.1330000004</v>
      </c>
      <c r="J23" s="245">
        <v>925113.6841924917</v>
      </c>
      <c r="K23" s="245">
        <v>2382737.1584703</v>
      </c>
      <c r="L23" s="245">
        <v>603511.64013000007</v>
      </c>
      <c r="M23" s="245">
        <v>9881541.5075048264</v>
      </c>
    </row>
    <row r="24" spans="2:13" ht="15" customHeight="1" x14ac:dyDescent="0.35">
      <c r="B24" s="240" t="s">
        <v>152</v>
      </c>
      <c r="C24" s="245">
        <v>0</v>
      </c>
      <c r="D24" s="245">
        <v>0</v>
      </c>
      <c r="E24" s="245">
        <v>0</v>
      </c>
      <c r="F24" s="245">
        <v>0</v>
      </c>
      <c r="G24" s="245">
        <v>0</v>
      </c>
      <c r="H24" s="245">
        <v>0.80900000000000005</v>
      </c>
      <c r="I24" s="245">
        <v>822331.30700000003</v>
      </c>
      <c r="J24" s="245">
        <v>0</v>
      </c>
      <c r="K24" s="245">
        <v>0</v>
      </c>
      <c r="L24" s="245">
        <v>0</v>
      </c>
      <c r="M24" s="245">
        <v>0</v>
      </c>
    </row>
    <row r="25" spans="2:13" ht="15" customHeight="1" x14ac:dyDescent="0.35">
      <c r="B25" s="240" t="s">
        <v>153</v>
      </c>
      <c r="C25" s="245">
        <v>0</v>
      </c>
      <c r="D25" s="245">
        <v>1003754.392</v>
      </c>
      <c r="E25" s="245">
        <v>105611.796</v>
      </c>
      <c r="F25" s="245">
        <v>124000</v>
      </c>
      <c r="G25" s="245">
        <v>11789819.74233195</v>
      </c>
      <c r="H25" s="245">
        <v>0</v>
      </c>
      <c r="I25" s="245">
        <v>1740527.5107799999</v>
      </c>
      <c r="J25" s="245">
        <v>98159.952999999994</v>
      </c>
      <c r="K25" s="245">
        <v>0</v>
      </c>
      <c r="L25" s="245">
        <v>0</v>
      </c>
      <c r="M25" s="245">
        <v>0</v>
      </c>
    </row>
    <row r="26" spans="2:13" ht="15" customHeight="1" x14ac:dyDescent="0.35">
      <c r="B26" s="240" t="s">
        <v>154</v>
      </c>
      <c r="C26" s="245">
        <v>0</v>
      </c>
      <c r="D26" s="245">
        <v>0</v>
      </c>
      <c r="E26" s="245">
        <v>0</v>
      </c>
      <c r="F26" s="245">
        <v>0</v>
      </c>
      <c r="G26" s="245">
        <v>44863</v>
      </c>
      <c r="H26" s="245">
        <v>0</v>
      </c>
      <c r="I26" s="245">
        <v>28102.273000000001</v>
      </c>
      <c r="J26" s="245">
        <v>0</v>
      </c>
      <c r="K26" s="245">
        <v>0</v>
      </c>
      <c r="L26" s="245">
        <v>6249.9990700000062</v>
      </c>
      <c r="M26" s="245">
        <v>101356.87123</v>
      </c>
    </row>
    <row r="27" spans="2:13" ht="15" customHeight="1" x14ac:dyDescent="0.35">
      <c r="B27" s="240" t="s">
        <v>155</v>
      </c>
      <c r="C27" s="245">
        <v>0</v>
      </c>
      <c r="D27" s="245">
        <v>0</v>
      </c>
      <c r="E27" s="245">
        <v>0</v>
      </c>
      <c r="F27" s="245">
        <v>0</v>
      </c>
      <c r="G27" s="245">
        <v>0</v>
      </c>
      <c r="H27" s="245">
        <v>0</v>
      </c>
      <c r="I27" s="245">
        <v>0</v>
      </c>
      <c r="J27" s="245">
        <v>0</v>
      </c>
      <c r="K27" s="245">
        <v>0</v>
      </c>
      <c r="L27" s="245">
        <v>0</v>
      </c>
      <c r="M27" s="245">
        <v>0</v>
      </c>
    </row>
    <row r="28" spans="2:13" ht="15" customHeight="1" x14ac:dyDescent="0.35">
      <c r="B28" s="240" t="s">
        <v>156</v>
      </c>
      <c r="C28" s="245">
        <v>0</v>
      </c>
      <c r="D28" s="245">
        <v>0</v>
      </c>
      <c r="E28" s="245">
        <v>0</v>
      </c>
      <c r="F28" s="245">
        <v>0</v>
      </c>
      <c r="G28" s="245">
        <v>0</v>
      </c>
      <c r="H28" s="245">
        <v>0</v>
      </c>
      <c r="I28" s="245">
        <v>0</v>
      </c>
      <c r="J28" s="245">
        <v>0</v>
      </c>
      <c r="K28" s="245">
        <v>0</v>
      </c>
      <c r="L28" s="245">
        <v>0</v>
      </c>
      <c r="M28" s="245">
        <v>0</v>
      </c>
    </row>
    <row r="29" spans="2:13" ht="15" customHeight="1" x14ac:dyDescent="0.35">
      <c r="B29" s="240" t="s">
        <v>157</v>
      </c>
      <c r="C29" s="245">
        <v>0</v>
      </c>
      <c r="D29" s="245">
        <v>362903.10798211169</v>
      </c>
      <c r="E29" s="245">
        <v>88148.616439999998</v>
      </c>
      <c r="F29" s="245">
        <v>5298.9</v>
      </c>
      <c r="G29" s="245">
        <v>1735028.13</v>
      </c>
      <c r="H29" s="245">
        <v>0</v>
      </c>
      <c r="I29" s="245">
        <v>97232.594929999992</v>
      </c>
      <c r="J29" s="245">
        <v>93799.604229999997</v>
      </c>
      <c r="K29" s="245">
        <v>0</v>
      </c>
      <c r="L29" s="245">
        <v>0</v>
      </c>
      <c r="M29" s="245">
        <v>24055.767</v>
      </c>
    </row>
    <row r="30" spans="2:13" ht="15" customHeight="1" x14ac:dyDescent="0.35">
      <c r="B30" s="240" t="s">
        <v>158</v>
      </c>
      <c r="C30" s="245">
        <v>0</v>
      </c>
      <c r="D30" s="245">
        <v>63374.976549999999</v>
      </c>
      <c r="E30" s="245">
        <v>775846.15586000006</v>
      </c>
      <c r="F30" s="245">
        <v>22249.7155000001</v>
      </c>
      <c r="G30" s="245">
        <v>812582.48</v>
      </c>
      <c r="H30" s="245">
        <v>545709.00699999998</v>
      </c>
      <c r="I30" s="245">
        <v>253197.756264672</v>
      </c>
      <c r="J30" s="245">
        <v>0</v>
      </c>
      <c r="K30" s="245">
        <v>0</v>
      </c>
      <c r="L30" s="245">
        <v>0</v>
      </c>
      <c r="M30" s="245">
        <v>197836.07381999999</v>
      </c>
    </row>
    <row r="31" spans="2:13" ht="15" customHeight="1" x14ac:dyDescent="0.35">
      <c r="B31" s="240" t="s">
        <v>159</v>
      </c>
      <c r="C31" s="245">
        <v>0</v>
      </c>
      <c r="D31" s="245">
        <v>402.1</v>
      </c>
      <c r="E31" s="245">
        <v>0</v>
      </c>
      <c r="F31" s="245">
        <v>0</v>
      </c>
      <c r="G31" s="245">
        <v>80.78</v>
      </c>
      <c r="H31" s="245">
        <v>0</v>
      </c>
      <c r="I31" s="245">
        <v>0</v>
      </c>
      <c r="J31" s="245">
        <v>0</v>
      </c>
      <c r="K31" s="245">
        <v>0</v>
      </c>
      <c r="L31" s="245">
        <v>0</v>
      </c>
      <c r="M31" s="245">
        <v>0</v>
      </c>
    </row>
    <row r="32" spans="2:13" ht="15" customHeight="1" x14ac:dyDescent="0.35">
      <c r="B32" s="240" t="s">
        <v>160</v>
      </c>
      <c r="C32" s="245">
        <v>0</v>
      </c>
      <c r="D32" s="245">
        <v>0</v>
      </c>
      <c r="E32" s="245">
        <v>0</v>
      </c>
      <c r="F32" s="245">
        <v>0</v>
      </c>
      <c r="G32" s="245">
        <v>0</v>
      </c>
      <c r="H32" s="245">
        <v>0</v>
      </c>
      <c r="I32" s="245">
        <v>0</v>
      </c>
      <c r="J32" s="245">
        <v>0</v>
      </c>
      <c r="K32" s="245">
        <v>0</v>
      </c>
      <c r="L32" s="245">
        <v>0</v>
      </c>
      <c r="M32" s="245">
        <v>0</v>
      </c>
    </row>
    <row r="33" spans="2:13" ht="15" customHeight="1" x14ac:dyDescent="0.35">
      <c r="B33" s="240" t="s">
        <v>161</v>
      </c>
      <c r="C33" s="245">
        <v>8561.8559999999998</v>
      </c>
      <c r="D33" s="245">
        <v>0</v>
      </c>
      <c r="E33" s="245">
        <v>19163.162</v>
      </c>
      <c r="F33" s="245">
        <v>0</v>
      </c>
      <c r="G33" s="245">
        <v>0</v>
      </c>
      <c r="H33" s="245">
        <v>1308064.2773500001</v>
      </c>
      <c r="I33" s="245">
        <v>9952.4181200000039</v>
      </c>
      <c r="J33" s="245">
        <v>52.135060000000003</v>
      </c>
      <c r="K33" s="245">
        <v>3909.2537856031081</v>
      </c>
      <c r="L33" s="245">
        <v>0</v>
      </c>
      <c r="M33" s="245">
        <v>0</v>
      </c>
    </row>
    <row r="34" spans="2:13" ht="15" customHeight="1" x14ac:dyDescent="0.35">
      <c r="B34" s="240" t="s">
        <v>162</v>
      </c>
      <c r="C34" s="245">
        <v>0</v>
      </c>
      <c r="D34" s="245">
        <v>32244.560819999999</v>
      </c>
      <c r="E34" s="245">
        <v>0</v>
      </c>
      <c r="F34" s="245">
        <v>0</v>
      </c>
      <c r="G34" s="245">
        <v>898155.95839180006</v>
      </c>
      <c r="H34" s="245">
        <v>0</v>
      </c>
      <c r="I34" s="245">
        <v>34698.848879999998</v>
      </c>
      <c r="J34" s="245">
        <v>0</v>
      </c>
      <c r="K34" s="245">
        <v>0</v>
      </c>
      <c r="L34" s="245">
        <v>0</v>
      </c>
      <c r="M34" s="245">
        <v>89739.57193999998</v>
      </c>
    </row>
    <row r="35" spans="2:13" ht="15" customHeight="1" x14ac:dyDescent="0.35">
      <c r="B35" s="240" t="s">
        <v>163</v>
      </c>
      <c r="C35" s="245">
        <v>744068.77899999998</v>
      </c>
      <c r="D35" s="245">
        <v>721424.06210932811</v>
      </c>
      <c r="E35" s="245">
        <v>389373.73106991098</v>
      </c>
      <c r="F35" s="245">
        <v>19149.56337</v>
      </c>
      <c r="G35" s="245">
        <v>5550062.2390000001</v>
      </c>
      <c r="H35" s="245">
        <v>302717.75900000002</v>
      </c>
      <c r="I35" s="245">
        <v>1719074.496</v>
      </c>
      <c r="J35" s="245">
        <v>504040.40751060011</v>
      </c>
      <c r="K35" s="245">
        <v>143861.06795999999</v>
      </c>
      <c r="L35" s="245">
        <v>71678.208941720222</v>
      </c>
      <c r="M35" s="245">
        <v>3242750.4066889789</v>
      </c>
    </row>
    <row r="36" spans="2:13" ht="15" customHeight="1" x14ac:dyDescent="0.35">
      <c r="B36" s="240" t="s">
        <v>164</v>
      </c>
      <c r="C36" s="245">
        <v>349337.83100000001</v>
      </c>
      <c r="D36" s="245">
        <v>457031.38880999997</v>
      </c>
      <c r="E36" s="245">
        <v>18017.017</v>
      </c>
      <c r="F36" s="245">
        <v>77279.010170000707</v>
      </c>
      <c r="G36" s="245">
        <v>409518</v>
      </c>
      <c r="H36" s="245">
        <v>109077.433</v>
      </c>
      <c r="I36" s="245">
        <v>1289818.024</v>
      </c>
      <c r="J36" s="245">
        <v>139328.67321000001</v>
      </c>
      <c r="K36" s="245">
        <v>155012.91586000001</v>
      </c>
      <c r="L36" s="245">
        <v>0</v>
      </c>
      <c r="M36" s="245">
        <v>333955.82160999993</v>
      </c>
    </row>
    <row r="37" spans="2:13" ht="15" customHeight="1" x14ac:dyDescent="0.35">
      <c r="B37" s="240" t="s">
        <v>165</v>
      </c>
      <c r="C37" s="245">
        <v>7.648009761</v>
      </c>
      <c r="D37" s="245">
        <v>0</v>
      </c>
      <c r="E37" s="245">
        <v>0</v>
      </c>
      <c r="F37" s="245">
        <v>0</v>
      </c>
      <c r="G37" s="245">
        <v>0</v>
      </c>
      <c r="H37" s="245">
        <v>0</v>
      </c>
      <c r="I37" s="245">
        <v>0</v>
      </c>
      <c r="J37" s="245">
        <v>0</v>
      </c>
      <c r="K37" s="245">
        <v>619519.99915483431</v>
      </c>
      <c r="L37" s="245">
        <v>0</v>
      </c>
      <c r="M37" s="245">
        <v>407980.16681661172</v>
      </c>
    </row>
    <row r="38" spans="2:13" ht="15" customHeight="1" x14ac:dyDescent="0.35">
      <c r="B38" s="240" t="s">
        <v>166</v>
      </c>
      <c r="C38" s="245">
        <v>805616.16524469492</v>
      </c>
      <c r="D38" s="245">
        <v>37519.629943573789</v>
      </c>
      <c r="E38" s="245">
        <v>2808004.2487091799</v>
      </c>
      <c r="F38" s="245">
        <v>545096.13037295965</v>
      </c>
      <c r="G38" s="245">
        <v>792668.50737444451</v>
      </c>
      <c r="H38" s="245">
        <v>2445605.6553011788</v>
      </c>
      <c r="I38" s="245">
        <v>2605240.406863783</v>
      </c>
      <c r="J38" s="245">
        <v>649171.51800000004</v>
      </c>
      <c r="K38" s="245">
        <v>1936356.6221453371</v>
      </c>
      <c r="L38" s="245">
        <v>1143011.931064558</v>
      </c>
      <c r="M38" s="245">
        <v>2145376.6273959661</v>
      </c>
    </row>
    <row r="39" spans="2:13" ht="15" customHeight="1" x14ac:dyDescent="0.35">
      <c r="B39" s="240" t="s">
        <v>167</v>
      </c>
      <c r="C39" s="245">
        <v>20224.424999999999</v>
      </c>
      <c r="D39" s="245">
        <v>724141.83713999996</v>
      </c>
      <c r="E39" s="245">
        <v>142880.258</v>
      </c>
      <c r="F39" s="245">
        <v>42633.798319999987</v>
      </c>
      <c r="G39" s="245">
        <v>699777.96600000001</v>
      </c>
      <c r="H39" s="245">
        <v>89338.186310000005</v>
      </c>
      <c r="I39" s="245">
        <v>28462.242154786181</v>
      </c>
      <c r="J39" s="245">
        <v>97302.622010000006</v>
      </c>
      <c r="K39" s="245">
        <v>0</v>
      </c>
      <c r="L39" s="245">
        <v>0</v>
      </c>
      <c r="M39" s="245">
        <v>592663.89383000007</v>
      </c>
    </row>
    <row r="40" spans="2:13" ht="15" customHeight="1" x14ac:dyDescent="0.35">
      <c r="B40" s="240" t="s">
        <v>168</v>
      </c>
      <c r="C40" s="245">
        <v>108613.52099999999</v>
      </c>
      <c r="D40" s="245">
        <v>772061.99997</v>
      </c>
      <c r="E40" s="245">
        <v>1133221.5974600001</v>
      </c>
      <c r="F40" s="245">
        <v>435871.23902424169</v>
      </c>
      <c r="G40" s="245">
        <v>2140067.6258983598</v>
      </c>
      <c r="H40" s="245">
        <v>31389.127238523</v>
      </c>
      <c r="I40" s="245">
        <v>1819948.6580000001</v>
      </c>
      <c r="J40" s="245">
        <v>250992.44016672421</v>
      </c>
      <c r="K40" s="245">
        <v>625578.51184920268</v>
      </c>
      <c r="L40" s="245">
        <v>1078726.2424699999</v>
      </c>
      <c r="M40" s="245">
        <v>264079.86080999998</v>
      </c>
    </row>
    <row r="41" spans="2:13" ht="15" customHeight="1" thickBot="1" x14ac:dyDescent="0.4">
      <c r="B41" s="243" t="s">
        <v>169</v>
      </c>
      <c r="C41" s="244">
        <v>3528841.9162544562</v>
      </c>
      <c r="D41" s="244">
        <v>11540448.65053501</v>
      </c>
      <c r="E41" s="244">
        <v>11394077.45898184</v>
      </c>
      <c r="F41" s="244">
        <v>2452361.6273272019</v>
      </c>
      <c r="G41" s="244">
        <v>54010370.69599656</v>
      </c>
      <c r="H41" s="244">
        <v>7960864.1842097025</v>
      </c>
      <c r="I41" s="244">
        <v>15997228.695993241</v>
      </c>
      <c r="J41" s="244">
        <v>2811892.4391758572</v>
      </c>
      <c r="K41" s="244">
        <v>6266219.651995277</v>
      </c>
      <c r="L41" s="244">
        <v>3352570.158691261</v>
      </c>
      <c r="M41" s="244">
        <v>20557978.408736382</v>
      </c>
    </row>
    <row r="42" spans="2:13" ht="15" customHeight="1" thickTop="1" x14ac:dyDescent="0.35">
      <c r="B42" s="303" t="s">
        <v>187</v>
      </c>
      <c r="C42" s="304"/>
      <c r="D42" s="304"/>
      <c r="E42" s="304"/>
      <c r="F42" s="304"/>
      <c r="G42" s="304"/>
      <c r="H42" s="304"/>
      <c r="I42" s="304"/>
      <c r="J42" s="304"/>
      <c r="K42" s="304"/>
      <c r="L42" s="301" t="s">
        <v>171</v>
      </c>
      <c r="M42" s="302"/>
    </row>
    <row r="43" spans="2:13" x14ac:dyDescent="0.35">
      <c r="C43" s="133"/>
      <c r="D43" s="133"/>
      <c r="E43" s="133"/>
      <c r="F43" s="133"/>
      <c r="G43" s="133"/>
      <c r="H43" s="133"/>
      <c r="I43" s="133"/>
      <c r="J43" s="133"/>
      <c r="K43" s="133"/>
      <c r="L43" s="133"/>
      <c r="M43" s="133"/>
    </row>
    <row r="44" spans="2:13" x14ac:dyDescent="0.35">
      <c r="C44" s="133"/>
      <c r="D44" s="133"/>
      <c r="E44" s="133"/>
      <c r="F44" s="133"/>
      <c r="G44" s="133"/>
      <c r="H44" s="133"/>
      <c r="I44" s="133"/>
      <c r="J44" s="133"/>
      <c r="K44" s="133"/>
      <c r="L44" s="133"/>
    </row>
  </sheetData>
  <sheetProtection algorithmName="SHA-512" hashValue="Z4by/g++r29ZS3EnVtLXwFCRwMzrUe7ftl5RtPZhuaeYPCBNZMoFQ4t9sfS/2lnCijQV0dsOC4ZEe25kd6pmBg==" saltValue="DNrBuz5lW7EulthyulUcrA==" spinCount="100000" sheet="1" objects="1" scenarios="1"/>
  <mergeCells count="4">
    <mergeCell ref="B3:M3"/>
    <mergeCell ref="B4:M4"/>
    <mergeCell ref="B42:K42"/>
    <mergeCell ref="L42:M42"/>
  </mergeCells>
  <pageMargins left="0.7" right="0.7" top="0.75" bottom="0.75" header="0.3" footer="0.3"/>
  <pageSetup paperSize="9" scale="4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5">
    <tabColor rgb="FF92D050"/>
    <pageSetUpPr fitToPage="1"/>
  </sheetPr>
  <dimension ref="B3:S44"/>
  <sheetViews>
    <sheetView zoomScale="80" zoomScaleNormal="80" workbookViewId="0">
      <pane xSplit="2" ySplit="5" topLeftCell="G31" activePane="bottomRight" state="frozen"/>
      <selection pane="topRight" activeCell="C1" sqref="C1"/>
      <selection pane="bottomLeft" activeCell="A6" sqref="A6"/>
      <selection pane="bottomRight" activeCell="O1" sqref="O1:S1048576"/>
    </sheetView>
  </sheetViews>
  <sheetFormatPr defaultColWidth="9.453125" defaultRowHeight="15.5" x14ac:dyDescent="0.35"/>
  <cols>
    <col min="1" max="1" width="18.453125" style="76" customWidth="1"/>
    <col min="2" max="2" width="36.90625" style="76" customWidth="1"/>
    <col min="3" max="8" width="20.81640625" style="76" customWidth="1"/>
    <col min="9" max="14" width="21.453125" style="76" customWidth="1"/>
    <col min="15" max="15" width="21.453125" style="76" hidden="1" customWidth="1"/>
    <col min="16" max="16" width="17.36328125" style="76" hidden="1" customWidth="1"/>
    <col min="17" max="17" width="15.90625" style="76" hidden="1" customWidth="1"/>
    <col min="18" max="18" width="12.81640625" style="76" hidden="1" customWidth="1"/>
    <col min="19" max="19" width="9.453125" style="76" hidden="1" customWidth="1"/>
    <col min="20" max="105" width="9.453125" style="76" customWidth="1"/>
    <col min="106" max="16384" width="9.453125" style="76"/>
  </cols>
  <sheetData>
    <row r="3" spans="2:17" ht="17" customHeight="1" x14ac:dyDescent="0.35">
      <c r="B3" s="306" t="s">
        <v>172</v>
      </c>
      <c r="C3" s="304"/>
      <c r="D3" s="304"/>
      <c r="E3" s="304"/>
      <c r="F3" s="304"/>
      <c r="G3" s="304"/>
      <c r="H3" s="304"/>
      <c r="I3" s="304"/>
      <c r="J3" s="304"/>
      <c r="K3" s="304"/>
      <c r="L3" s="304"/>
      <c r="M3" s="304"/>
      <c r="N3" s="304"/>
    </row>
    <row r="4" spans="2:17" ht="17" customHeight="1" x14ac:dyDescent="0.35">
      <c r="B4" s="300" t="str">
        <f>_xlfn.CONCAT('Table of Contents'!B17,": ",'Table of Contents'!C17)</f>
        <v>APPENDIX 5 iv: SUMMARY OF GENERAL INSURANCE BUSINESS BALANCE SHEETS AS AT 31.12.2025</v>
      </c>
      <c r="C4" s="314"/>
      <c r="D4" s="314"/>
      <c r="E4" s="314"/>
      <c r="F4" s="314"/>
      <c r="G4" s="314"/>
      <c r="H4" s="314"/>
      <c r="I4" s="314"/>
      <c r="J4" s="314"/>
      <c r="K4" s="314"/>
      <c r="L4" s="314"/>
      <c r="M4" s="314"/>
      <c r="N4" s="315"/>
    </row>
    <row r="5" spans="2:17" ht="62" x14ac:dyDescent="0.35">
      <c r="B5" s="238" t="s">
        <v>184</v>
      </c>
      <c r="C5" s="247" t="s">
        <v>93</v>
      </c>
      <c r="D5" s="247" t="s">
        <v>94</v>
      </c>
      <c r="E5" s="247" t="s">
        <v>95</v>
      </c>
      <c r="F5" s="247" t="s">
        <v>96</v>
      </c>
      <c r="G5" s="247" t="s">
        <v>97</v>
      </c>
      <c r="H5" s="247" t="s">
        <v>98</v>
      </c>
      <c r="I5" s="246" t="s">
        <v>99</v>
      </c>
      <c r="J5" s="246" t="s">
        <v>100</v>
      </c>
      <c r="K5" s="246" t="s">
        <v>101</v>
      </c>
      <c r="L5" s="246" t="s">
        <v>102</v>
      </c>
      <c r="M5" s="246" t="s">
        <v>108</v>
      </c>
      <c r="N5" s="246" t="s">
        <v>24</v>
      </c>
      <c r="O5" s="265"/>
      <c r="P5" s="239" t="s">
        <v>174</v>
      </c>
      <c r="Q5" s="239" t="s">
        <v>175</v>
      </c>
    </row>
    <row r="6" spans="2:17" ht="17" customHeight="1" x14ac:dyDescent="0.35">
      <c r="B6" s="240" t="s">
        <v>132</v>
      </c>
      <c r="C6" s="240">
        <v>688553.90700000001</v>
      </c>
      <c r="D6" s="240">
        <v>700000</v>
      </c>
      <c r="E6" s="240">
        <v>6459847.9999599997</v>
      </c>
      <c r="F6" s="240">
        <v>675000</v>
      </c>
      <c r="G6" s="240">
        <v>1239704.2720000001</v>
      </c>
      <c r="H6" s="240">
        <v>600000</v>
      </c>
      <c r="I6" s="125">
        <v>1000000</v>
      </c>
      <c r="J6" s="125">
        <v>600000</v>
      </c>
      <c r="K6" s="125">
        <v>0</v>
      </c>
      <c r="L6" s="125">
        <v>0</v>
      </c>
      <c r="M6" s="125">
        <v>1102550</v>
      </c>
      <c r="N6" s="125">
        <v>55881334.438959993</v>
      </c>
      <c r="O6" s="266"/>
      <c r="P6" s="125">
        <f>SUMIFS('APPENDIX  5 iv'!$B6:$O6,'APPENDIX  5 iv'!$B$5:$O$5,"*total*")-Q6</f>
        <v>38279803.078959994</v>
      </c>
      <c r="Q6" s="125">
        <f>SUMIFS('APPENDIX 5 i'!$B6:$O6,'APPENDIX 5 i'!$B$5:$O$5,"*reinsurance*")+
SUMIFS('APPENDIX 5 ii'!$B6:$O6,'APPENDIX 5 ii'!$B$5:$O$5,"*reinsurance*")+
SUMIFS('APPENDIX 5 iii'!$B6:$O6,'APPENDIX 5 iii'!$B$5:$O$5,"*reinsurance*")+
SUMIFS('APPENDIX  5 iv'!$B6:$O6,'APPENDIX  5 iv'!$B$5:$O$5,"*reinsurance*")</f>
        <v>17601531.359999999</v>
      </c>
    </row>
    <row r="7" spans="2:17" ht="17" customHeight="1" x14ac:dyDescent="0.35">
      <c r="B7" s="240" t="s">
        <v>133</v>
      </c>
      <c r="C7" s="240">
        <v>5712</v>
      </c>
      <c r="D7" s="240">
        <v>0</v>
      </c>
      <c r="E7" s="240">
        <v>0</v>
      </c>
      <c r="F7" s="240">
        <v>0</v>
      </c>
      <c r="G7" s="240">
        <v>146101</v>
      </c>
      <c r="H7" s="240">
        <v>0</v>
      </c>
      <c r="I7" s="125">
        <v>0</v>
      </c>
      <c r="J7" s="125">
        <v>0</v>
      </c>
      <c r="K7" s="125">
        <v>0</v>
      </c>
      <c r="L7" s="125">
        <v>0</v>
      </c>
      <c r="M7" s="125">
        <v>0</v>
      </c>
      <c r="N7" s="125">
        <v>1819962.4669999999</v>
      </c>
      <c r="O7" s="266"/>
      <c r="P7" s="125">
        <f>SUMIFS('APPENDIX  5 iv'!$B7:$O7,'APPENDIX  5 iv'!$B$5:$O$5,"*total*")-Q7</f>
        <v>1809091.2249999999</v>
      </c>
      <c r="Q7" s="125">
        <f>SUMIFS('APPENDIX 5 i'!$B7:$O7,'APPENDIX 5 i'!$B$5:$O$5,"*reinsurance*")+
SUMIFS('APPENDIX 5 ii'!$B7:$O7,'APPENDIX 5 ii'!$B$5:$O$5,"*reinsurance*")+
SUMIFS('APPENDIX 5 iii'!$B7:$O7,'APPENDIX 5 iii'!$B$5:$O$5,"*reinsurance*")+
SUMIFS('APPENDIX  5 iv'!$B7:$O7,'APPENDIX  5 iv'!$B$5:$O$5,"*reinsurance*")</f>
        <v>10871.242</v>
      </c>
    </row>
    <row r="8" spans="2:17" ht="17" customHeight="1" x14ac:dyDescent="0.35">
      <c r="B8" s="240" t="s">
        <v>134</v>
      </c>
      <c r="C8" s="240">
        <v>0</v>
      </c>
      <c r="D8" s="240">
        <v>0</v>
      </c>
      <c r="E8" s="240">
        <v>0</v>
      </c>
      <c r="F8" s="240">
        <v>0</v>
      </c>
      <c r="G8" s="240">
        <v>25539.216</v>
      </c>
      <c r="H8" s="240">
        <v>206006.19</v>
      </c>
      <c r="I8" s="125">
        <v>0</v>
      </c>
      <c r="J8" s="125">
        <v>128382</v>
      </c>
      <c r="K8" s="125">
        <v>0</v>
      </c>
      <c r="L8" s="125">
        <v>0</v>
      </c>
      <c r="M8" s="125">
        <v>0</v>
      </c>
      <c r="N8" s="125">
        <v>3099554.991912846</v>
      </c>
      <c r="O8" s="266"/>
      <c r="P8" s="125">
        <f>SUMIFS('APPENDIX  5 iv'!$B8:$O8,'APPENDIX  5 iv'!$B$5:$O$5,"*total*")-Q8</f>
        <v>2841098.6940428461</v>
      </c>
      <c r="Q8" s="125">
        <f>SUMIFS('APPENDIX 5 i'!$B8:$O8,'APPENDIX 5 i'!$B$5:$O$5,"*reinsurance*")+
SUMIFS('APPENDIX 5 ii'!$B8:$O8,'APPENDIX 5 ii'!$B$5:$O$5,"*reinsurance*")+
SUMIFS('APPENDIX 5 iii'!$B8:$O8,'APPENDIX 5 iii'!$B$5:$O$5,"*reinsurance*")+
SUMIFS('APPENDIX  5 iv'!$B8:$O8,'APPENDIX  5 iv'!$B$5:$O$5,"*reinsurance*")</f>
        <v>258456.29787000001</v>
      </c>
    </row>
    <row r="9" spans="2:17" ht="17" customHeight="1" x14ac:dyDescent="0.35">
      <c r="B9" s="240" t="s">
        <v>136</v>
      </c>
      <c r="C9" s="240">
        <v>0</v>
      </c>
      <c r="D9" s="240">
        <v>0</v>
      </c>
      <c r="E9" s="240">
        <v>0</v>
      </c>
      <c r="F9" s="240">
        <v>0</v>
      </c>
      <c r="G9" s="240">
        <v>0</v>
      </c>
      <c r="H9" s="240">
        <v>53472.983639999999</v>
      </c>
      <c r="I9" s="125">
        <v>0</v>
      </c>
      <c r="J9" s="125">
        <v>0</v>
      </c>
      <c r="K9" s="125">
        <v>0</v>
      </c>
      <c r="L9" s="125">
        <v>0</v>
      </c>
      <c r="M9" s="125">
        <v>0</v>
      </c>
      <c r="N9" s="125">
        <v>4233667.4345199997</v>
      </c>
      <c r="O9" s="266"/>
      <c r="P9" s="125">
        <f>SUMIFS('APPENDIX  5 iv'!$B9:$O9,'APPENDIX  5 iv'!$B$5:$O$5,"*total*")-Q9</f>
        <v>3606172.8665199997</v>
      </c>
      <c r="Q9" s="125">
        <f>SUMIFS('APPENDIX 5 i'!$B9:$O9,'APPENDIX 5 i'!$B$5:$O$5,"*reinsurance*")+
SUMIFS('APPENDIX 5 ii'!$B9:$O9,'APPENDIX 5 ii'!$B$5:$O$5,"*reinsurance*")+
SUMIFS('APPENDIX 5 iii'!$B9:$O9,'APPENDIX 5 iii'!$B$5:$O$5,"*reinsurance*")+
SUMIFS('APPENDIX  5 iv'!$B9:$O9,'APPENDIX  5 iv'!$B$5:$O$5,"*reinsurance*")</f>
        <v>627494.56799999997</v>
      </c>
    </row>
    <row r="10" spans="2:17" ht="17" customHeight="1" x14ac:dyDescent="0.35">
      <c r="B10" s="240" t="s">
        <v>137</v>
      </c>
      <c r="C10" s="240">
        <v>348914.81074673432</v>
      </c>
      <c r="D10" s="240">
        <v>213711.94435985069</v>
      </c>
      <c r="E10" s="240">
        <v>-2850363.1176772001</v>
      </c>
      <c r="F10" s="240">
        <v>30896.7701875768</v>
      </c>
      <c r="G10" s="240">
        <v>-507346.63246076118</v>
      </c>
      <c r="H10" s="240">
        <v>2291381.994514212</v>
      </c>
      <c r="I10" s="125">
        <v>4336725.4069999969</v>
      </c>
      <c r="J10" s="125">
        <v>-1337669.24311837</v>
      </c>
      <c r="K10" s="125">
        <v>0</v>
      </c>
      <c r="L10" s="125">
        <v>0</v>
      </c>
      <c r="M10" s="125">
        <v>2166084.169949207</v>
      </c>
      <c r="N10" s="125">
        <v>79539069.794419989</v>
      </c>
      <c r="O10" s="266"/>
      <c r="P10" s="125">
        <f>SUMIFS('APPENDIX  5 iv'!$B10:$O10,'APPENDIX  5 iv'!$B$5:$O$5,"*total*")-Q10</f>
        <v>45890151.298985451</v>
      </c>
      <c r="Q10" s="125">
        <f>SUMIFS('APPENDIX 5 i'!$B10:$O10,'APPENDIX 5 i'!$B$5:$O$5,"*reinsurance*")+
SUMIFS('APPENDIX 5 ii'!$B10:$O10,'APPENDIX 5 ii'!$B$5:$O$5,"*reinsurance*")+
SUMIFS('APPENDIX 5 iii'!$B10:$O10,'APPENDIX 5 iii'!$B$5:$O$5,"*reinsurance*")+
SUMIFS('APPENDIX  5 iv'!$B10:$O10,'APPENDIX  5 iv'!$B$5:$O$5,"*reinsurance*")</f>
        <v>33648918.495434538</v>
      </c>
    </row>
    <row r="11" spans="2:17" ht="17" customHeight="1" x14ac:dyDescent="0.35">
      <c r="B11" s="240" t="s">
        <v>138</v>
      </c>
      <c r="C11" s="240">
        <v>24798.638999999999</v>
      </c>
      <c r="D11" s="240">
        <v>1031184.44</v>
      </c>
      <c r="E11" s="240">
        <v>0</v>
      </c>
      <c r="F11" s="240">
        <v>0</v>
      </c>
      <c r="G11" s="240">
        <v>0</v>
      </c>
      <c r="H11" s="240">
        <v>0</v>
      </c>
      <c r="I11" s="125">
        <v>0</v>
      </c>
      <c r="J11" s="125">
        <v>-15557.495000000001</v>
      </c>
      <c r="K11" s="125">
        <v>0</v>
      </c>
      <c r="L11" s="125">
        <v>0</v>
      </c>
      <c r="M11" s="125">
        <v>0</v>
      </c>
      <c r="N11" s="125">
        <v>4035439.46875</v>
      </c>
      <c r="O11" s="266"/>
      <c r="P11" s="125">
        <f>SUMIFS('APPENDIX  5 iv'!$B11:$O11,'APPENDIX  5 iv'!$B$5:$O$5,"*total*")-Q11</f>
        <v>2613743.9127500001</v>
      </c>
      <c r="Q11" s="125">
        <f>SUMIFS('APPENDIX 5 i'!$B11:$O11,'APPENDIX 5 i'!$B$5:$O$5,"*reinsurance*")+
SUMIFS('APPENDIX 5 ii'!$B11:$O11,'APPENDIX 5 ii'!$B$5:$O$5,"*reinsurance*")+
SUMIFS('APPENDIX 5 iii'!$B11:$O11,'APPENDIX 5 iii'!$B$5:$O$5,"*reinsurance*")+
SUMIFS('APPENDIX  5 iv'!$B11:$O11,'APPENDIX  5 iv'!$B$5:$O$5,"*reinsurance*")</f>
        <v>1421695.5560000001</v>
      </c>
    </row>
    <row r="12" spans="2:17" ht="17" customHeight="1" thickBot="1" x14ac:dyDescent="0.4">
      <c r="B12" s="222" t="s">
        <v>139</v>
      </c>
      <c r="C12" s="222">
        <v>1067979.3567467339</v>
      </c>
      <c r="D12" s="222">
        <v>1944896.384359851</v>
      </c>
      <c r="E12" s="222">
        <v>3609484.8822828</v>
      </c>
      <c r="F12" s="222">
        <v>705896.77018757677</v>
      </c>
      <c r="G12" s="222">
        <v>903997.85553923878</v>
      </c>
      <c r="H12" s="222">
        <v>3150861.1681542122</v>
      </c>
      <c r="I12" s="241">
        <v>5336725.4069999969</v>
      </c>
      <c r="J12" s="241">
        <v>-624844.7381183703</v>
      </c>
      <c r="K12" s="241">
        <v>0</v>
      </c>
      <c r="L12" s="241">
        <v>0</v>
      </c>
      <c r="M12" s="241">
        <v>3268634.169949207</v>
      </c>
      <c r="N12" s="241">
        <v>148609028.59556279</v>
      </c>
      <c r="O12" s="267"/>
      <c r="P12" s="241">
        <f>SUMIFS('APPENDIX  5 iv'!$B12:$O12,'APPENDIX  5 iv'!$B$5:$O$5,"*total*")-Q12</f>
        <v>95040061.076258242</v>
      </c>
      <c r="Q12" s="241">
        <f>SUMIFS('APPENDIX 5 i'!$B12:$O12,'APPENDIX 5 i'!$B$5:$O$5,"*reinsurance*")+
SUMIFS('APPENDIX 5 ii'!$B12:$O12,'APPENDIX 5 ii'!$B$5:$O$5,"*reinsurance*")+
SUMIFS('APPENDIX 5 iii'!$B12:$O12,'APPENDIX 5 iii'!$B$5:$O$5,"*reinsurance*")+
SUMIFS('APPENDIX  5 iv'!$B12:$O12,'APPENDIX  5 iv'!$B$5:$O$5,"*reinsurance*")</f>
        <v>53568967.519304544</v>
      </c>
    </row>
    <row r="13" spans="2:17" ht="17" customHeight="1" thickTop="1" x14ac:dyDescent="0.35">
      <c r="B13" s="242" t="s">
        <v>141</v>
      </c>
      <c r="C13" s="242">
        <v>2923192.1453419519</v>
      </c>
      <c r="D13" s="242">
        <v>2181593.535807163</v>
      </c>
      <c r="E13" s="242">
        <v>10322093.71645372</v>
      </c>
      <c r="F13" s="242">
        <v>345901.34990246297</v>
      </c>
      <c r="G13" s="242">
        <v>1022158.258537446</v>
      </c>
      <c r="H13" s="242">
        <v>1176654.7047098749</v>
      </c>
      <c r="I13" s="245">
        <v>6184587.2479999997</v>
      </c>
      <c r="J13" s="245">
        <v>1175089.8158677691</v>
      </c>
      <c r="K13" s="245">
        <v>0</v>
      </c>
      <c r="L13" s="245">
        <v>0</v>
      </c>
      <c r="M13" s="245">
        <v>2171274.1320306738</v>
      </c>
      <c r="N13" s="245">
        <v>191073599.9577758</v>
      </c>
      <c r="O13" s="266"/>
      <c r="P13" s="125">
        <f>SUMIFS('APPENDIX  5 iv'!$B13:$O13,'APPENDIX  5 iv'!$B$5:$O$5,"*total*")-Q13</f>
        <v>167961145.50330979</v>
      </c>
      <c r="Q13" s="125">
        <f>SUMIFS('APPENDIX 5 i'!$B13:$O13,'APPENDIX 5 i'!$B$5:$O$5,"*reinsurance*")+
SUMIFS('APPENDIX 5 ii'!$B13:$O13,'APPENDIX 5 ii'!$B$5:$O$5,"*reinsurance*")+
SUMIFS('APPENDIX 5 iii'!$B13:$O13,'APPENDIX 5 iii'!$B$5:$O$5,"*reinsurance*")+
SUMIFS('APPENDIX  5 iv'!$B13:$O13,'APPENDIX  5 iv'!$B$5:$O$5,"*reinsurance*")</f>
        <v>23112454.45446603</v>
      </c>
    </row>
    <row r="14" spans="2:17" ht="17" customHeight="1" x14ac:dyDescent="0.35">
      <c r="B14" s="240" t="s">
        <v>142</v>
      </c>
      <c r="C14" s="240">
        <v>0</v>
      </c>
      <c r="D14" s="240">
        <v>0</v>
      </c>
      <c r="E14" s="240">
        <v>123395.90486000309</v>
      </c>
      <c r="F14" s="240">
        <v>0</v>
      </c>
      <c r="G14" s="240">
        <v>77.224394648000001</v>
      </c>
      <c r="H14" s="240">
        <v>0</v>
      </c>
      <c r="I14" s="125">
        <v>0</v>
      </c>
      <c r="J14" s="125">
        <v>23191.565129899998</v>
      </c>
      <c r="K14" s="125">
        <v>0</v>
      </c>
      <c r="L14" s="125">
        <v>0</v>
      </c>
      <c r="M14" s="125">
        <v>352695.53055913153</v>
      </c>
      <c r="N14" s="125">
        <v>5131140.2994977897</v>
      </c>
      <c r="O14" s="266"/>
      <c r="P14" s="125">
        <f>SUMIFS('APPENDIX  5 iv'!$B14:$O14,'APPENDIX  5 iv'!$B$5:$O$5,"*total*")-Q14</f>
        <v>3481549.91060272</v>
      </c>
      <c r="Q14" s="125">
        <f>SUMIFS('APPENDIX 5 i'!$B14:$O14,'APPENDIX 5 i'!$B$5:$O$5,"*reinsurance*")+
SUMIFS('APPENDIX 5 ii'!$B14:$O14,'APPENDIX 5 ii'!$B$5:$O$5,"*reinsurance*")+
SUMIFS('APPENDIX 5 iii'!$B14:$O14,'APPENDIX 5 iii'!$B$5:$O$5,"*reinsurance*")+
SUMIFS('APPENDIX  5 iv'!$B14:$O14,'APPENDIX  5 iv'!$B$5:$O$5,"*reinsurance*")</f>
        <v>1649590.3888950697</v>
      </c>
    </row>
    <row r="15" spans="2:17" ht="17" customHeight="1" x14ac:dyDescent="0.35">
      <c r="B15" s="240" t="s">
        <v>143</v>
      </c>
      <c r="C15" s="240">
        <v>37385.016000000003</v>
      </c>
      <c r="D15" s="240">
        <v>0</v>
      </c>
      <c r="E15" s="240">
        <v>0</v>
      </c>
      <c r="F15" s="240">
        <v>6698.482</v>
      </c>
      <c r="G15" s="240">
        <v>11988</v>
      </c>
      <c r="H15" s="240">
        <v>75328.123999999996</v>
      </c>
      <c r="I15" s="125">
        <v>38586.533000000003</v>
      </c>
      <c r="J15" s="125">
        <v>119413.41099999999</v>
      </c>
      <c r="K15" s="125">
        <v>0</v>
      </c>
      <c r="L15" s="125">
        <v>0</v>
      </c>
      <c r="M15" s="125">
        <v>0</v>
      </c>
      <c r="N15" s="125">
        <v>2961125.1981985429</v>
      </c>
      <c r="O15" s="266"/>
      <c r="P15" s="125">
        <f>SUMIFS('APPENDIX  5 iv'!$B15:$O15,'APPENDIX  5 iv'!$B$5:$O$5,"*total*")-Q15</f>
        <v>1541590.7731985429</v>
      </c>
      <c r="Q15" s="125">
        <f>SUMIFS('APPENDIX 5 i'!$B15:$O15,'APPENDIX 5 i'!$B$5:$O$5,"*reinsurance*")+
SUMIFS('APPENDIX 5 ii'!$B15:$O15,'APPENDIX 5 ii'!$B$5:$O$5,"*reinsurance*")+
SUMIFS('APPENDIX 5 iii'!$B15:$O15,'APPENDIX 5 iii'!$B$5:$O$5,"*reinsurance*")+
SUMIFS('APPENDIX  5 iv'!$B15:$O15,'APPENDIX  5 iv'!$B$5:$O$5,"*reinsurance*")</f>
        <v>1419534.425</v>
      </c>
    </row>
    <row r="16" spans="2:17" ht="17" customHeight="1" x14ac:dyDescent="0.35">
      <c r="B16" s="240" t="s">
        <v>144</v>
      </c>
      <c r="C16" s="240">
        <v>293944.99300000002</v>
      </c>
      <c r="D16" s="240">
        <v>33239.478999999999</v>
      </c>
      <c r="E16" s="240">
        <v>769886.48021435551</v>
      </c>
      <c r="F16" s="240">
        <v>281631.94400000002</v>
      </c>
      <c r="G16" s="240">
        <v>9032.3829999999998</v>
      </c>
      <c r="H16" s="240">
        <v>87501.419219999996</v>
      </c>
      <c r="I16" s="125">
        <v>1006630.944</v>
      </c>
      <c r="J16" s="125">
        <v>1536950.7479999999</v>
      </c>
      <c r="K16" s="125">
        <v>0</v>
      </c>
      <c r="L16" s="125">
        <v>0</v>
      </c>
      <c r="M16" s="125">
        <v>146147.375</v>
      </c>
      <c r="N16" s="125">
        <v>16369390.041634539</v>
      </c>
      <c r="O16" s="266"/>
      <c r="P16" s="125">
        <f>SUMIFS('APPENDIX  5 iv'!$B16:$O16,'APPENDIX  5 iv'!$B$5:$O$5,"*total*")-Q16</f>
        <v>14857603.4648288</v>
      </c>
      <c r="Q16" s="125">
        <f>SUMIFS('APPENDIX 5 i'!$B16:$O16,'APPENDIX 5 i'!$B$5:$O$5,"*reinsurance*")+
SUMIFS('APPENDIX 5 ii'!$B16:$O16,'APPENDIX 5 ii'!$B$5:$O$5,"*reinsurance*")+
SUMIFS('APPENDIX 5 iii'!$B16:$O16,'APPENDIX 5 iii'!$B$5:$O$5,"*reinsurance*")+
SUMIFS('APPENDIX  5 iv'!$B16:$O16,'APPENDIX  5 iv'!$B$5:$O$5,"*reinsurance*")</f>
        <v>1511786.5768057387</v>
      </c>
    </row>
    <row r="17" spans="2:17" ht="17" customHeight="1" x14ac:dyDescent="0.35">
      <c r="B17" s="240" t="s">
        <v>145</v>
      </c>
      <c r="C17" s="240">
        <v>78702.861000000004</v>
      </c>
      <c r="D17" s="240">
        <v>132981.76500000001</v>
      </c>
      <c r="E17" s="240">
        <v>182069.33374999941</v>
      </c>
      <c r="F17" s="240">
        <v>212250.34718599269</v>
      </c>
      <c r="G17" s="240">
        <v>64265.000000000073</v>
      </c>
      <c r="H17" s="240">
        <v>27477.417705597189</v>
      </c>
      <c r="I17" s="125">
        <v>414356.05699999997</v>
      </c>
      <c r="J17" s="125">
        <v>56147.649000000238</v>
      </c>
      <c r="K17" s="125">
        <v>0</v>
      </c>
      <c r="L17" s="125">
        <v>0</v>
      </c>
      <c r="M17" s="125">
        <v>23030.26900000012</v>
      </c>
      <c r="N17" s="125">
        <v>8045099.5002083816</v>
      </c>
      <c r="O17" s="266"/>
      <c r="P17" s="125">
        <f>SUMIFS('APPENDIX  5 iv'!$B17:$O17,'APPENDIX  5 iv'!$B$5:$O$5,"*total*")-Q17</f>
        <v>7486610.5039683832</v>
      </c>
      <c r="Q17" s="125">
        <f>SUMIFS('APPENDIX 5 i'!$B17:$O17,'APPENDIX 5 i'!$B$5:$O$5,"*reinsurance*")+
SUMIFS('APPENDIX 5 ii'!$B17:$O17,'APPENDIX 5 ii'!$B$5:$O$5,"*reinsurance*")+
SUMIFS('APPENDIX 5 iii'!$B17:$O17,'APPENDIX 5 iii'!$B$5:$O$5,"*reinsurance*")+
SUMIFS('APPENDIX  5 iv'!$B17:$O17,'APPENDIX  5 iv'!$B$5:$O$5,"*reinsurance*")</f>
        <v>558488.99623999873</v>
      </c>
    </row>
    <row r="18" spans="2:17" ht="17" customHeight="1" thickBot="1" x14ac:dyDescent="0.4">
      <c r="B18" s="243" t="s">
        <v>146</v>
      </c>
      <c r="C18" s="243">
        <v>4401204.3720886856</v>
      </c>
      <c r="D18" s="243">
        <v>4292711.164167013</v>
      </c>
      <c r="E18" s="243">
        <v>15006930.31756088</v>
      </c>
      <c r="F18" s="243">
        <v>1552378.893276033</v>
      </c>
      <c r="G18" s="243">
        <v>2011518.7214713329</v>
      </c>
      <c r="H18" s="243">
        <v>4517822.8337896829</v>
      </c>
      <c r="I18" s="244">
        <v>12980886.188999999</v>
      </c>
      <c r="J18" s="244">
        <v>2285948.4508792991</v>
      </c>
      <c r="K18" s="244">
        <v>0</v>
      </c>
      <c r="L18" s="244">
        <v>0</v>
      </c>
      <c r="M18" s="244">
        <v>5961781.476539013</v>
      </c>
      <c r="N18" s="244">
        <v>372189383.59287792</v>
      </c>
      <c r="O18" s="267"/>
      <c r="P18" s="244">
        <f>SUMIFS('APPENDIX  5 iv'!$B18:$O18,'APPENDIX  5 iv'!$B$5:$O$5,"*total*")-Q18</f>
        <v>290368561.23216653</v>
      </c>
      <c r="Q18" s="244">
        <f>SUMIFS('APPENDIX 5 i'!$B18:$O18,'APPENDIX 5 i'!$B$5:$O$5,"*reinsurance*")+
SUMIFS('APPENDIX 5 ii'!$B18:$O18,'APPENDIX 5 ii'!$B$5:$O$5,"*reinsurance*")+
SUMIFS('APPENDIX 5 iii'!$B18:$O18,'APPENDIX 5 iii'!$B$5:$O$5,"*reinsurance*")+
SUMIFS('APPENDIX  5 iv'!$B18:$O18,'APPENDIX  5 iv'!$B$5:$O$5,"*reinsurance*")</f>
        <v>81820822.360711396</v>
      </c>
    </row>
    <row r="19" spans="2:17" ht="17" customHeight="1" thickTop="1" x14ac:dyDescent="0.35">
      <c r="B19" s="242" t="s">
        <v>147</v>
      </c>
      <c r="C19" s="242">
        <v>135.74700000000001</v>
      </c>
      <c r="D19" s="242">
        <v>22357.286</v>
      </c>
      <c r="E19" s="242">
        <v>9124.3369600000078</v>
      </c>
      <c r="F19" s="242">
        <v>30549.221000000001</v>
      </c>
      <c r="G19" s="242">
        <v>18267.591</v>
      </c>
      <c r="H19" s="242">
        <v>18212.064999999999</v>
      </c>
      <c r="I19" s="245">
        <v>37388.188999999998</v>
      </c>
      <c r="J19" s="245">
        <v>471.07834999999989</v>
      </c>
      <c r="K19" s="245">
        <v>0</v>
      </c>
      <c r="L19" s="245">
        <v>0</v>
      </c>
      <c r="M19" s="245">
        <v>0</v>
      </c>
      <c r="N19" s="245">
        <v>1320543.8108627091</v>
      </c>
      <c r="O19" s="266"/>
      <c r="P19" s="245">
        <f>SUMIFS('APPENDIX  5 iv'!$B19:$O19,'APPENDIX  5 iv'!$B$5:$O$5,"*total*")-Q19</f>
        <v>1237327.3538627091</v>
      </c>
      <c r="Q19" s="125">
        <f>SUMIFS('APPENDIX 5 i'!$B19:$O19,'APPENDIX 5 i'!$B$5:$O$5,"*reinsurance*")+
SUMIFS('APPENDIX 5 ii'!$B19:$O19,'APPENDIX 5 ii'!$B$5:$O$5,"*reinsurance*")+
SUMIFS('APPENDIX 5 iii'!$B19:$O19,'APPENDIX 5 iii'!$B$5:$O$5,"*reinsurance*")+
SUMIFS('APPENDIX  5 iv'!$B19:$O19,'APPENDIX  5 iv'!$B$5:$O$5,"*reinsurance*")</f>
        <v>83216.456999999995</v>
      </c>
    </row>
    <row r="20" spans="2:17" ht="17" customHeight="1" x14ac:dyDescent="0.35">
      <c r="B20" s="240" t="s">
        <v>148</v>
      </c>
      <c r="C20" s="242">
        <v>131421.9</v>
      </c>
      <c r="D20" s="242">
        <v>0</v>
      </c>
      <c r="E20" s="242">
        <v>0</v>
      </c>
      <c r="F20" s="242">
        <v>261710.05100000001</v>
      </c>
      <c r="G20" s="242">
        <v>0</v>
      </c>
      <c r="H20" s="242">
        <v>328831.50799999997</v>
      </c>
      <c r="I20" s="245">
        <v>0</v>
      </c>
      <c r="J20" s="245">
        <v>218800</v>
      </c>
      <c r="K20" s="245">
        <v>0</v>
      </c>
      <c r="L20" s="245">
        <v>0</v>
      </c>
      <c r="M20" s="245">
        <v>0</v>
      </c>
      <c r="N20" s="245">
        <v>6069660.786452001</v>
      </c>
      <c r="O20" s="266"/>
      <c r="P20" s="245">
        <f>SUMIFS('APPENDIX  5 iv'!$B20:$O20,'APPENDIX  5 iv'!$B$5:$O$5,"*total*")-Q20</f>
        <v>5687413.7274000011</v>
      </c>
      <c r="Q20" s="125">
        <f>SUMIFS('APPENDIX 5 i'!$B20:$O20,'APPENDIX 5 i'!$B$5:$O$5,"*reinsurance*")+
SUMIFS('APPENDIX 5 ii'!$B20:$O20,'APPENDIX 5 ii'!$B$5:$O$5,"*reinsurance*")+
SUMIFS('APPENDIX 5 iii'!$B20:$O20,'APPENDIX 5 iii'!$B$5:$O$5,"*reinsurance*")+
SUMIFS('APPENDIX  5 iv'!$B20:$O20,'APPENDIX  5 iv'!$B$5:$O$5,"*reinsurance*")</f>
        <v>382247.059052</v>
      </c>
    </row>
    <row r="21" spans="2:17" ht="17" customHeight="1" x14ac:dyDescent="0.35">
      <c r="B21" s="240" t="s">
        <v>149</v>
      </c>
      <c r="C21" s="242">
        <v>745578.1</v>
      </c>
      <c r="D21" s="242">
        <v>446000</v>
      </c>
      <c r="E21" s="242">
        <v>0</v>
      </c>
      <c r="F21" s="242">
        <v>0</v>
      </c>
      <c r="G21" s="242">
        <v>30000</v>
      </c>
      <c r="H21" s="242">
        <v>0</v>
      </c>
      <c r="I21" s="245">
        <v>0</v>
      </c>
      <c r="J21" s="245">
        <v>698050</v>
      </c>
      <c r="K21" s="245">
        <v>0</v>
      </c>
      <c r="L21" s="245">
        <v>0</v>
      </c>
      <c r="M21" s="245">
        <v>0</v>
      </c>
      <c r="N21" s="245">
        <v>35008417.825571157</v>
      </c>
      <c r="O21" s="266"/>
      <c r="P21" s="245">
        <f>SUMIFS('APPENDIX  5 iv'!$B21:$O21,'APPENDIX  5 iv'!$B$5:$O$5,"*total*")-Q21</f>
        <v>23081908.582571156</v>
      </c>
      <c r="Q21" s="125">
        <f>SUMIFS('APPENDIX 5 i'!$B21:$O21,'APPENDIX 5 i'!$B$5:$O$5,"*reinsurance*")+
SUMIFS('APPENDIX 5 ii'!$B21:$O21,'APPENDIX 5 ii'!$B$5:$O$5,"*reinsurance*")+
SUMIFS('APPENDIX 5 iii'!$B21:$O21,'APPENDIX 5 iii'!$B$5:$O$5,"*reinsurance*")+
SUMIFS('APPENDIX  5 iv'!$B21:$O21,'APPENDIX  5 iv'!$B$5:$O$5,"*reinsurance*")</f>
        <v>11926509.243000001</v>
      </c>
    </row>
    <row r="22" spans="2:17" ht="17" customHeight="1" x14ac:dyDescent="0.35">
      <c r="B22" s="240" t="s">
        <v>150</v>
      </c>
      <c r="C22" s="242">
        <v>20713.642</v>
      </c>
      <c r="D22" s="242">
        <v>25345.205000000002</v>
      </c>
      <c r="E22" s="242">
        <v>62896.669350000011</v>
      </c>
      <c r="F22" s="242">
        <v>11986.153350000001</v>
      </c>
      <c r="G22" s="242">
        <v>23914.558779999999</v>
      </c>
      <c r="H22" s="242">
        <v>35235.020979999987</v>
      </c>
      <c r="I22" s="245">
        <v>91609.922999999995</v>
      </c>
      <c r="J22" s="245">
        <v>76384.547959999996</v>
      </c>
      <c r="K22" s="245">
        <v>0</v>
      </c>
      <c r="L22" s="245">
        <v>0</v>
      </c>
      <c r="M22" s="245">
        <v>30065.89361333333</v>
      </c>
      <c r="N22" s="245">
        <v>1968213.930801077</v>
      </c>
      <c r="O22" s="266"/>
      <c r="P22" s="245">
        <f>SUMIFS('APPENDIX  5 iv'!$B22:$O22,'APPENDIX  5 iv'!$B$5:$O$5,"*total*")-Q22</f>
        <v>1834868.2890497823</v>
      </c>
      <c r="Q22" s="125">
        <f>SUMIFS('APPENDIX 5 i'!$B22:$O22,'APPENDIX 5 i'!$B$5:$O$5,"*reinsurance*")+
SUMIFS('APPENDIX 5 ii'!$B22:$O22,'APPENDIX 5 ii'!$B$5:$O$5,"*reinsurance*")+
SUMIFS('APPENDIX 5 iii'!$B22:$O22,'APPENDIX 5 iii'!$B$5:$O$5,"*reinsurance*")+
SUMIFS('APPENDIX  5 iv'!$B22:$O22,'APPENDIX  5 iv'!$B$5:$O$5,"*reinsurance*")</f>
        <v>133345.64175129481</v>
      </c>
    </row>
    <row r="23" spans="2:17" ht="17" customHeight="1" x14ac:dyDescent="0.35">
      <c r="B23" s="240" t="s">
        <v>151</v>
      </c>
      <c r="C23" s="242">
        <v>225183.14</v>
      </c>
      <c r="D23" s="242">
        <v>1301689.3319999999</v>
      </c>
      <c r="E23" s="242">
        <v>7853314.1822341597</v>
      </c>
      <c r="F23" s="242">
        <v>847821.86801135528</v>
      </c>
      <c r="G23" s="242">
        <v>20606</v>
      </c>
      <c r="H23" s="242">
        <v>2655673.8670844468</v>
      </c>
      <c r="I23" s="245">
        <v>7799673.3020000001</v>
      </c>
      <c r="J23" s="245">
        <v>71152.856</v>
      </c>
      <c r="K23" s="245">
        <v>0</v>
      </c>
      <c r="L23" s="245">
        <v>0</v>
      </c>
      <c r="M23" s="245">
        <v>1305193.0726473031</v>
      </c>
      <c r="N23" s="245">
        <v>140626762.1852552</v>
      </c>
      <c r="O23" s="266"/>
      <c r="P23" s="245">
        <f>SUMIFS('APPENDIX  5 iv'!$B23:$O23,'APPENDIX  5 iv'!$B$5:$O$5,"*total*")-Q23</f>
        <v>113150254.1248963</v>
      </c>
      <c r="Q23" s="125">
        <f>SUMIFS('APPENDIX 5 i'!$B23:$O23,'APPENDIX 5 i'!$B$5:$O$5,"*reinsurance*")+
SUMIFS('APPENDIX 5 ii'!$B23:$O23,'APPENDIX 5 ii'!$B$5:$O$5,"*reinsurance*")+
SUMIFS('APPENDIX 5 iii'!$B23:$O23,'APPENDIX 5 iii'!$B$5:$O$5,"*reinsurance*")+
SUMIFS('APPENDIX  5 iv'!$B23:$O23,'APPENDIX  5 iv'!$B$5:$O$5,"*reinsurance*")</f>
        <v>27476508.060358897</v>
      </c>
    </row>
    <row r="24" spans="2:17" ht="17" customHeight="1" x14ac:dyDescent="0.35">
      <c r="B24" s="240" t="s">
        <v>152</v>
      </c>
      <c r="C24" s="242">
        <v>0</v>
      </c>
      <c r="D24" s="242">
        <v>0</v>
      </c>
      <c r="E24" s="242">
        <v>0</v>
      </c>
      <c r="F24" s="242">
        <v>0</v>
      </c>
      <c r="G24" s="242">
        <v>0</v>
      </c>
      <c r="H24" s="242">
        <v>7697.1679999999997</v>
      </c>
      <c r="I24" s="245">
        <v>0</v>
      </c>
      <c r="J24" s="245">
        <v>0</v>
      </c>
      <c r="K24" s="245">
        <v>0</v>
      </c>
      <c r="L24" s="245">
        <v>0</v>
      </c>
      <c r="M24" s="245">
        <v>548283.15506917832</v>
      </c>
      <c r="N24" s="245">
        <v>2604102.6635152539</v>
      </c>
      <c r="O24" s="266"/>
      <c r="P24" s="245">
        <f>SUMIFS('APPENDIX  5 iv'!$B24:$O24,'APPENDIX  5 iv'!$B$5:$O$5,"*total*")-Q24</f>
        <v>1583814.6232060755</v>
      </c>
      <c r="Q24" s="125">
        <f>SUMIFS('APPENDIX 5 i'!$B24:$O24,'APPENDIX 5 i'!$B$5:$O$5,"*reinsurance*")+
SUMIFS('APPENDIX 5 ii'!$B24:$O24,'APPENDIX 5 ii'!$B$5:$O$5,"*reinsurance*")+
SUMIFS('APPENDIX 5 iii'!$B24:$O24,'APPENDIX 5 iii'!$B$5:$O$5,"*reinsurance*")+
SUMIFS('APPENDIX  5 iv'!$B24:$O24,'APPENDIX  5 iv'!$B$5:$O$5,"*reinsurance*")</f>
        <v>1020288.0403091784</v>
      </c>
    </row>
    <row r="25" spans="2:17" ht="17" customHeight="1" x14ac:dyDescent="0.35">
      <c r="B25" s="240" t="s">
        <v>153</v>
      </c>
      <c r="C25" s="242">
        <v>0</v>
      </c>
      <c r="D25" s="242">
        <v>1249906.3130000001</v>
      </c>
      <c r="E25" s="242">
        <v>0</v>
      </c>
      <c r="F25" s="242">
        <v>0</v>
      </c>
      <c r="G25" s="242">
        <v>0</v>
      </c>
      <c r="H25" s="242">
        <v>0</v>
      </c>
      <c r="I25" s="245">
        <v>0</v>
      </c>
      <c r="J25" s="245">
        <v>150000</v>
      </c>
      <c r="K25" s="245">
        <v>0</v>
      </c>
      <c r="L25" s="245">
        <v>0</v>
      </c>
      <c r="M25" s="245">
        <v>0</v>
      </c>
      <c r="N25" s="245">
        <v>19657868.14539196</v>
      </c>
      <c r="O25" s="266"/>
      <c r="P25" s="245">
        <f>SUMIFS('APPENDIX  5 iv'!$B25:$O25,'APPENDIX  5 iv'!$B$5:$O$5,"*total*")-Q25</f>
        <v>7223196.1823000088</v>
      </c>
      <c r="Q25" s="125">
        <f>SUMIFS('APPENDIX 5 i'!$B25:$O25,'APPENDIX 5 i'!$B$5:$O$5,"*reinsurance*")+
SUMIFS('APPENDIX 5 ii'!$B25:$O25,'APPENDIX 5 ii'!$B$5:$O$5,"*reinsurance*")+
SUMIFS('APPENDIX 5 iii'!$B25:$O25,'APPENDIX 5 iii'!$B$5:$O$5,"*reinsurance*")+
SUMIFS('APPENDIX  5 iv'!$B25:$O25,'APPENDIX  5 iv'!$B$5:$O$5,"*reinsurance*")</f>
        <v>12434671.963091951</v>
      </c>
    </row>
    <row r="26" spans="2:17" ht="17" customHeight="1" x14ac:dyDescent="0.35">
      <c r="B26" s="240" t="s">
        <v>154</v>
      </c>
      <c r="C26" s="242">
        <v>0</v>
      </c>
      <c r="D26" s="242">
        <v>20000</v>
      </c>
      <c r="E26" s="242">
        <v>0</v>
      </c>
      <c r="F26" s="242">
        <v>0</v>
      </c>
      <c r="G26" s="242">
        <v>0</v>
      </c>
      <c r="H26" s="242">
        <v>40227.945</v>
      </c>
      <c r="I26" s="245">
        <v>0</v>
      </c>
      <c r="J26" s="245">
        <v>0</v>
      </c>
      <c r="K26" s="245">
        <v>0</v>
      </c>
      <c r="L26" s="245">
        <v>0</v>
      </c>
      <c r="M26" s="245">
        <v>0</v>
      </c>
      <c r="N26" s="245">
        <v>1556172.2007732471</v>
      </c>
      <c r="O26" s="266"/>
      <c r="P26" s="245">
        <f>SUMIFS('APPENDIX  5 iv'!$B26:$O26,'APPENDIX  5 iv'!$B$5:$O$5,"*total*")-Q26</f>
        <v>1168673.3727153894</v>
      </c>
      <c r="Q26" s="125">
        <f>SUMIFS('APPENDIX 5 i'!$B26:$O26,'APPENDIX 5 i'!$B$5:$O$5,"*reinsurance*")+
SUMIFS('APPENDIX 5 ii'!$B26:$O26,'APPENDIX 5 ii'!$B$5:$O$5,"*reinsurance*")+
SUMIFS('APPENDIX 5 iii'!$B26:$O26,'APPENDIX 5 iii'!$B$5:$O$5,"*reinsurance*")+
SUMIFS('APPENDIX  5 iv'!$B26:$O26,'APPENDIX  5 iv'!$B$5:$O$5,"*reinsurance*")</f>
        <v>387498.82805785781</v>
      </c>
    </row>
    <row r="27" spans="2:17" ht="17" customHeight="1" x14ac:dyDescent="0.35">
      <c r="B27" s="240" t="s">
        <v>155</v>
      </c>
      <c r="C27" s="242">
        <v>0</v>
      </c>
      <c r="D27" s="242">
        <v>0</v>
      </c>
      <c r="E27" s="242">
        <v>0</v>
      </c>
      <c r="F27" s="242">
        <v>0</v>
      </c>
      <c r="G27" s="242">
        <v>0</v>
      </c>
      <c r="H27" s="242">
        <v>0</v>
      </c>
      <c r="I27" s="245">
        <v>0</v>
      </c>
      <c r="J27" s="245">
        <v>0</v>
      </c>
      <c r="K27" s="245">
        <v>0</v>
      </c>
      <c r="L27" s="245">
        <v>0</v>
      </c>
      <c r="M27" s="245">
        <v>0</v>
      </c>
      <c r="N27" s="245">
        <v>492301.55932617001</v>
      </c>
      <c r="O27" s="266"/>
      <c r="P27" s="245">
        <f>SUMIFS('APPENDIX  5 iv'!$B27:$O27,'APPENDIX  5 iv'!$B$5:$O$5,"*total*")-Q27</f>
        <v>492301.55932617001</v>
      </c>
      <c r="Q27" s="125">
        <f>SUMIFS('APPENDIX 5 i'!$B27:$O27,'APPENDIX 5 i'!$B$5:$O$5,"*reinsurance*")+
SUMIFS('APPENDIX 5 ii'!$B27:$O27,'APPENDIX 5 ii'!$B$5:$O$5,"*reinsurance*")+
SUMIFS('APPENDIX 5 iii'!$B27:$O27,'APPENDIX 5 iii'!$B$5:$O$5,"*reinsurance*")+
SUMIFS('APPENDIX  5 iv'!$B27:$O27,'APPENDIX  5 iv'!$B$5:$O$5,"*reinsurance*")</f>
        <v>0</v>
      </c>
    </row>
    <row r="28" spans="2:17" ht="17" customHeight="1" x14ac:dyDescent="0.35">
      <c r="B28" s="240" t="s">
        <v>156</v>
      </c>
      <c r="C28" s="242">
        <v>0</v>
      </c>
      <c r="D28" s="242">
        <v>0</v>
      </c>
      <c r="E28" s="242">
        <v>0</v>
      </c>
      <c r="F28" s="242">
        <v>0</v>
      </c>
      <c r="G28" s="242">
        <v>0</v>
      </c>
      <c r="H28" s="242">
        <v>0</v>
      </c>
      <c r="I28" s="245">
        <v>0</v>
      </c>
      <c r="J28" s="245">
        <v>357021.46899999998</v>
      </c>
      <c r="K28" s="245">
        <v>0</v>
      </c>
      <c r="L28" s="245">
        <v>0</v>
      </c>
      <c r="M28" s="245">
        <v>0</v>
      </c>
      <c r="N28" s="245">
        <v>357021.46899999998</v>
      </c>
      <c r="O28" s="266"/>
      <c r="P28" s="245">
        <f>SUMIFS('APPENDIX  5 iv'!$B28:$O28,'APPENDIX  5 iv'!$B$5:$O$5,"*total*")-Q28</f>
        <v>357021.46899999998</v>
      </c>
      <c r="Q28" s="125">
        <f>SUMIFS('APPENDIX 5 i'!$B28:$O28,'APPENDIX 5 i'!$B$5:$O$5,"*reinsurance*")+
SUMIFS('APPENDIX 5 ii'!$B28:$O28,'APPENDIX 5 ii'!$B$5:$O$5,"*reinsurance*")+
SUMIFS('APPENDIX 5 iii'!$B28:$O28,'APPENDIX 5 iii'!$B$5:$O$5,"*reinsurance*")+
SUMIFS('APPENDIX  5 iv'!$B28:$O28,'APPENDIX  5 iv'!$B$5:$O$5,"*reinsurance*")</f>
        <v>0</v>
      </c>
    </row>
    <row r="29" spans="2:17" ht="17" customHeight="1" x14ac:dyDescent="0.35">
      <c r="B29" s="240" t="s">
        <v>157</v>
      </c>
      <c r="C29" s="242">
        <v>0</v>
      </c>
      <c r="D29" s="242">
        <v>0</v>
      </c>
      <c r="E29" s="242">
        <v>0</v>
      </c>
      <c r="F29" s="242">
        <v>0</v>
      </c>
      <c r="G29" s="242">
        <v>0</v>
      </c>
      <c r="H29" s="242">
        <v>289833.54398999998</v>
      </c>
      <c r="I29" s="245">
        <v>0</v>
      </c>
      <c r="J29" s="245">
        <v>11736.933999999999</v>
      </c>
      <c r="K29" s="245">
        <v>0</v>
      </c>
      <c r="L29" s="245">
        <v>0</v>
      </c>
      <c r="M29" s="245">
        <v>0</v>
      </c>
      <c r="N29" s="245">
        <v>6235301.7364921113</v>
      </c>
      <c r="O29" s="266"/>
      <c r="P29" s="245">
        <f>SUMIFS('APPENDIX  5 iv'!$B29:$O29,'APPENDIX  5 iv'!$B$5:$O$5,"*total*")-Q29</f>
        <v>4471342.5664921114</v>
      </c>
      <c r="Q29" s="125">
        <f>SUMIFS('APPENDIX 5 i'!$B29:$O29,'APPENDIX 5 i'!$B$5:$O$5,"*reinsurance*")+
SUMIFS('APPENDIX 5 ii'!$B29:$O29,'APPENDIX 5 ii'!$B$5:$O$5,"*reinsurance*")+
SUMIFS('APPENDIX 5 iii'!$B29:$O29,'APPENDIX 5 iii'!$B$5:$O$5,"*reinsurance*")+
SUMIFS('APPENDIX  5 iv'!$B29:$O29,'APPENDIX  5 iv'!$B$5:$O$5,"*reinsurance*")</f>
        <v>1763959.17</v>
      </c>
    </row>
    <row r="30" spans="2:17" ht="17" customHeight="1" x14ac:dyDescent="0.35">
      <c r="B30" s="240" t="s">
        <v>158</v>
      </c>
      <c r="C30" s="242">
        <v>0</v>
      </c>
      <c r="D30" s="242">
        <v>0</v>
      </c>
      <c r="E30" s="242">
        <v>0</v>
      </c>
      <c r="F30" s="242">
        <v>0</v>
      </c>
      <c r="G30" s="242">
        <v>0</v>
      </c>
      <c r="H30" s="242">
        <v>2187.0656250000002</v>
      </c>
      <c r="I30" s="245">
        <v>0</v>
      </c>
      <c r="J30" s="245">
        <v>0</v>
      </c>
      <c r="K30" s="245">
        <v>0</v>
      </c>
      <c r="L30" s="245">
        <v>0</v>
      </c>
      <c r="M30" s="245">
        <v>0</v>
      </c>
      <c r="N30" s="245">
        <v>3224744.448919673</v>
      </c>
      <c r="O30" s="266"/>
      <c r="P30" s="245">
        <f>SUMIFS('APPENDIX  5 iv'!$B30:$O30,'APPENDIX  5 iv'!$B$5:$O$5,"*total*")-Q30</f>
        <v>2412161.968919673</v>
      </c>
      <c r="Q30" s="125">
        <f>SUMIFS('APPENDIX 5 i'!$B30:$O30,'APPENDIX 5 i'!$B$5:$O$5,"*reinsurance*")+
SUMIFS('APPENDIX 5 ii'!$B30:$O30,'APPENDIX 5 ii'!$B$5:$O$5,"*reinsurance*")+
SUMIFS('APPENDIX 5 iii'!$B30:$O30,'APPENDIX 5 iii'!$B$5:$O$5,"*reinsurance*")+
SUMIFS('APPENDIX  5 iv'!$B30:$O30,'APPENDIX  5 iv'!$B$5:$O$5,"*reinsurance*")</f>
        <v>812582.48</v>
      </c>
    </row>
    <row r="31" spans="2:17" ht="17" customHeight="1" x14ac:dyDescent="0.35">
      <c r="B31" s="240" t="s">
        <v>159</v>
      </c>
      <c r="C31" s="242">
        <v>0</v>
      </c>
      <c r="D31" s="242">
        <v>0</v>
      </c>
      <c r="E31" s="242">
        <v>0</v>
      </c>
      <c r="F31" s="242">
        <v>0</v>
      </c>
      <c r="G31" s="242">
        <v>0</v>
      </c>
      <c r="H31" s="242">
        <v>0</v>
      </c>
      <c r="I31" s="245">
        <v>0</v>
      </c>
      <c r="J31" s="245">
        <v>0</v>
      </c>
      <c r="K31" s="245">
        <v>0</v>
      </c>
      <c r="L31" s="245">
        <v>0</v>
      </c>
      <c r="M31" s="245">
        <v>0</v>
      </c>
      <c r="N31" s="245">
        <v>482.88</v>
      </c>
      <c r="O31" s="266"/>
      <c r="P31" s="245">
        <f>SUMIFS('APPENDIX  5 iv'!$B31:$O31,'APPENDIX  5 iv'!$B$5:$O$5,"*total*")-Q31</f>
        <v>402.1</v>
      </c>
      <c r="Q31" s="125">
        <f>SUMIFS('APPENDIX 5 i'!$B31:$O31,'APPENDIX 5 i'!$B$5:$O$5,"*reinsurance*")+
SUMIFS('APPENDIX 5 ii'!$B31:$O31,'APPENDIX 5 ii'!$B$5:$O$5,"*reinsurance*")+
SUMIFS('APPENDIX 5 iii'!$B31:$O31,'APPENDIX 5 iii'!$B$5:$O$5,"*reinsurance*")+
SUMIFS('APPENDIX  5 iv'!$B31:$O31,'APPENDIX  5 iv'!$B$5:$O$5,"*reinsurance*")</f>
        <v>80.78</v>
      </c>
    </row>
    <row r="32" spans="2:17" ht="17" customHeight="1" x14ac:dyDescent="0.35">
      <c r="B32" s="240" t="s">
        <v>160</v>
      </c>
      <c r="C32" s="242">
        <v>0</v>
      </c>
      <c r="D32" s="242">
        <v>0</v>
      </c>
      <c r="E32" s="242">
        <v>0</v>
      </c>
      <c r="F32" s="242">
        <v>0</v>
      </c>
      <c r="G32" s="242">
        <v>0</v>
      </c>
      <c r="H32" s="242">
        <v>0</v>
      </c>
      <c r="I32" s="245">
        <v>0</v>
      </c>
      <c r="J32" s="245">
        <v>0</v>
      </c>
      <c r="K32" s="245">
        <v>0</v>
      </c>
      <c r="L32" s="245">
        <v>0</v>
      </c>
      <c r="M32" s="245">
        <v>0</v>
      </c>
      <c r="N32" s="245">
        <v>0</v>
      </c>
      <c r="O32" s="266"/>
      <c r="P32" s="245">
        <f>SUMIFS('APPENDIX  5 iv'!$B32:$O32,'APPENDIX  5 iv'!$B$5:$O$5,"*total*")-Q32</f>
        <v>0</v>
      </c>
      <c r="Q32" s="125">
        <f>SUMIFS('APPENDIX 5 i'!$B32:$O32,'APPENDIX 5 i'!$B$5:$O$5,"*reinsurance*")+
SUMIFS('APPENDIX 5 ii'!$B32:$O32,'APPENDIX 5 ii'!$B$5:$O$5,"*reinsurance*")+
SUMIFS('APPENDIX 5 iii'!$B32:$O32,'APPENDIX 5 iii'!$B$5:$O$5,"*reinsurance*")+
SUMIFS('APPENDIX  5 iv'!$B32:$O32,'APPENDIX  5 iv'!$B$5:$O$5,"*reinsurance*")</f>
        <v>0</v>
      </c>
    </row>
    <row r="33" spans="2:18" ht="17" customHeight="1" x14ac:dyDescent="0.35">
      <c r="B33" s="240" t="s">
        <v>161</v>
      </c>
      <c r="C33" s="242">
        <v>0</v>
      </c>
      <c r="D33" s="242">
        <v>77513.7</v>
      </c>
      <c r="E33" s="242">
        <v>0</v>
      </c>
      <c r="F33" s="242">
        <v>0</v>
      </c>
      <c r="G33" s="242">
        <v>0</v>
      </c>
      <c r="H33" s="242">
        <v>1193.277</v>
      </c>
      <c r="I33" s="245">
        <v>6882.9989999999998</v>
      </c>
      <c r="J33" s="245">
        <v>27721.456999999999</v>
      </c>
      <c r="K33" s="245">
        <v>0</v>
      </c>
      <c r="L33" s="245">
        <v>0</v>
      </c>
      <c r="M33" s="245">
        <v>22608.342000000001</v>
      </c>
      <c r="N33" s="245">
        <v>2704395.0484340019</v>
      </c>
      <c r="O33" s="266"/>
      <c r="P33" s="245">
        <f>SUMIFS('APPENDIX  5 iv'!$B33:$O33,'APPENDIX  5 iv'!$B$5:$O$5,"*total*")-Q33</f>
        <v>2660650.288734002</v>
      </c>
      <c r="Q33" s="125">
        <f>SUMIFS('APPENDIX 5 i'!$B33:$O33,'APPENDIX 5 i'!$B$5:$O$5,"*reinsurance*")+
SUMIFS('APPENDIX 5 ii'!$B33:$O33,'APPENDIX 5 ii'!$B$5:$O$5,"*reinsurance*")+
SUMIFS('APPENDIX 5 iii'!$B33:$O33,'APPENDIX 5 iii'!$B$5:$O$5,"*reinsurance*")+
SUMIFS('APPENDIX  5 iv'!$B33:$O33,'APPENDIX  5 iv'!$B$5:$O$5,"*reinsurance*")</f>
        <v>43744.759700000002</v>
      </c>
      <c r="R33" s="153"/>
    </row>
    <row r="34" spans="2:18" ht="17" customHeight="1" x14ac:dyDescent="0.35">
      <c r="B34" s="240" t="s">
        <v>162</v>
      </c>
      <c r="C34" s="242">
        <v>0</v>
      </c>
      <c r="D34" s="242">
        <v>0</v>
      </c>
      <c r="E34" s="242">
        <v>0</v>
      </c>
      <c r="F34" s="242">
        <v>0</v>
      </c>
      <c r="G34" s="242">
        <v>0</v>
      </c>
      <c r="H34" s="242">
        <v>6222.63</v>
      </c>
      <c r="I34" s="245">
        <v>98274.608999999997</v>
      </c>
      <c r="J34" s="245">
        <v>0</v>
      </c>
      <c r="K34" s="245">
        <v>0</v>
      </c>
      <c r="L34" s="245">
        <v>0</v>
      </c>
      <c r="M34" s="245">
        <v>0</v>
      </c>
      <c r="N34" s="245">
        <v>1303521.0656218</v>
      </c>
      <c r="O34" s="266"/>
      <c r="P34" s="245">
        <f>SUMIFS('APPENDIX  5 iv'!$B34:$O34,'APPENDIX  5 iv'!$B$5:$O$5,"*total*")-Q34</f>
        <v>301468.97522999998</v>
      </c>
      <c r="Q34" s="125">
        <f>SUMIFS('APPENDIX 5 i'!$B34:$O34,'APPENDIX 5 i'!$B$5:$O$5,"*reinsurance*")+
SUMIFS('APPENDIX 5 ii'!$B34:$O34,'APPENDIX 5 ii'!$B$5:$O$5,"*reinsurance*")+
SUMIFS('APPENDIX 5 iii'!$B34:$O34,'APPENDIX 5 iii'!$B$5:$O$5,"*reinsurance*")+
SUMIFS('APPENDIX  5 iv'!$B34:$O34,'APPENDIX  5 iv'!$B$5:$O$5,"*reinsurance*")</f>
        <v>1002052.0903918</v>
      </c>
    </row>
    <row r="35" spans="2:18" ht="17" customHeight="1" x14ac:dyDescent="0.35">
      <c r="B35" s="240" t="s">
        <v>163</v>
      </c>
      <c r="C35" s="242">
        <v>1078828.34155</v>
      </c>
      <c r="D35" s="242">
        <v>592075.39400000009</v>
      </c>
      <c r="E35" s="242">
        <v>1259978.06241</v>
      </c>
      <c r="F35" s="242">
        <v>122530.92537</v>
      </c>
      <c r="G35" s="242">
        <v>1101176.0194360639</v>
      </c>
      <c r="H35" s="242">
        <v>587021.47702848632</v>
      </c>
      <c r="I35" s="245">
        <v>2890649.0449999999</v>
      </c>
      <c r="J35" s="245">
        <v>1292.405</v>
      </c>
      <c r="K35" s="245">
        <v>0</v>
      </c>
      <c r="L35" s="245">
        <v>0</v>
      </c>
      <c r="M35" s="245">
        <v>3205593.302132918</v>
      </c>
      <c r="N35" s="245">
        <v>45547766.779226653</v>
      </c>
      <c r="O35" s="266"/>
      <c r="P35" s="245">
        <f>SUMIFS('APPENDIX  5 iv'!$B35:$O35,'APPENDIX  5 iv'!$B$5:$O$5,"*total*")-Q35</f>
        <v>33937350.964687631</v>
      </c>
      <c r="Q35" s="125">
        <f>SUMIFS('APPENDIX 5 i'!$B35:$O35,'APPENDIX 5 i'!$B$5:$O$5,"*reinsurance*")+
SUMIFS('APPENDIX 5 ii'!$B35:$O35,'APPENDIX 5 ii'!$B$5:$O$5,"*reinsurance*")+
SUMIFS('APPENDIX 5 iii'!$B35:$O35,'APPENDIX 5 iii'!$B$5:$O$5,"*reinsurance*")+
SUMIFS('APPENDIX  5 iv'!$B35:$O35,'APPENDIX  5 iv'!$B$5:$O$5,"*reinsurance*")</f>
        <v>11610415.814539025</v>
      </c>
    </row>
    <row r="36" spans="2:18" ht="17" customHeight="1" x14ac:dyDescent="0.35">
      <c r="B36" s="240" t="s">
        <v>164</v>
      </c>
      <c r="C36" s="242">
        <v>110901.81619</v>
      </c>
      <c r="D36" s="242">
        <v>23606.198</v>
      </c>
      <c r="E36" s="242">
        <v>19502.649420002221</v>
      </c>
      <c r="F36" s="242">
        <v>246830.5857</v>
      </c>
      <c r="G36" s="242">
        <v>80754.999250000008</v>
      </c>
      <c r="H36" s="242">
        <v>95683.085999999996</v>
      </c>
      <c r="I36" s="245">
        <v>160959.98199999999</v>
      </c>
      <c r="J36" s="245">
        <v>30552.418949999999</v>
      </c>
      <c r="K36" s="245">
        <v>0</v>
      </c>
      <c r="L36" s="245">
        <v>0</v>
      </c>
      <c r="M36" s="245">
        <v>61745.547910000001</v>
      </c>
      <c r="N36" s="245">
        <v>9096398.2612614073</v>
      </c>
      <c r="O36" s="266"/>
      <c r="P36" s="245">
        <f>SUMIFS('APPENDIX  5 iv'!$B36:$O36,'APPENDIX  5 iv'!$B$5:$O$5,"*total*")-Q36</f>
        <v>8320442.0150614074</v>
      </c>
      <c r="Q36" s="125">
        <f>SUMIFS('APPENDIX 5 i'!$B36:$O36,'APPENDIX 5 i'!$B$5:$O$5,"*reinsurance*")+
SUMIFS('APPENDIX 5 ii'!$B36:$O36,'APPENDIX 5 ii'!$B$5:$O$5,"*reinsurance*")+
SUMIFS('APPENDIX 5 iii'!$B36:$O36,'APPENDIX 5 iii'!$B$5:$O$5,"*reinsurance*")+
SUMIFS('APPENDIX  5 iv'!$B36:$O36,'APPENDIX  5 iv'!$B$5:$O$5,"*reinsurance*")</f>
        <v>775956.24619999994</v>
      </c>
    </row>
    <row r="37" spans="2:18" ht="17" customHeight="1" x14ac:dyDescent="0.35">
      <c r="B37" s="240" t="s">
        <v>165</v>
      </c>
      <c r="C37" s="242">
        <v>0</v>
      </c>
      <c r="D37" s="242">
        <v>0</v>
      </c>
      <c r="E37" s="242">
        <v>444175.29537399719</v>
      </c>
      <c r="F37" s="242">
        <v>0</v>
      </c>
      <c r="G37" s="242">
        <v>0</v>
      </c>
      <c r="H37" s="242">
        <v>0</v>
      </c>
      <c r="I37" s="245">
        <v>0</v>
      </c>
      <c r="J37" s="245">
        <v>50958.897796599893</v>
      </c>
      <c r="K37" s="245">
        <v>0</v>
      </c>
      <c r="L37" s="245">
        <v>0</v>
      </c>
      <c r="M37" s="245">
        <v>91413.154300887501</v>
      </c>
      <c r="N37" s="245">
        <v>7229593.3600055473</v>
      </c>
      <c r="O37" s="266"/>
      <c r="P37" s="245">
        <f>SUMIFS('APPENDIX  5 iv'!$B37:$O37,'APPENDIX  5 iv'!$B$5:$O$5,"*total*")-Q37</f>
        <v>5685233.2547046598</v>
      </c>
      <c r="Q37" s="125">
        <f>SUMIFS('APPENDIX 5 i'!$B37:$O37,'APPENDIX 5 i'!$B$5:$O$5,"*reinsurance*")+
SUMIFS('APPENDIX 5 ii'!$B37:$O37,'APPENDIX 5 ii'!$B$5:$O$5,"*reinsurance*")+
SUMIFS('APPENDIX 5 iii'!$B37:$O37,'APPENDIX 5 iii'!$B$5:$O$5,"*reinsurance*")+
SUMIFS('APPENDIX  5 iv'!$B37:$O37,'APPENDIX  5 iv'!$B$5:$O$5,"*reinsurance*")</f>
        <v>1544360.1053008875</v>
      </c>
    </row>
    <row r="38" spans="2:18" ht="17" customHeight="1" x14ac:dyDescent="0.35">
      <c r="B38" s="240" t="s">
        <v>166</v>
      </c>
      <c r="C38" s="242">
        <v>1382624.7035345449</v>
      </c>
      <c r="D38" s="242">
        <v>164138.38875170541</v>
      </c>
      <c r="E38" s="242">
        <v>3270599.6044537211</v>
      </c>
      <c r="F38" s="242">
        <v>-30641.98395256362</v>
      </c>
      <c r="G38" s="242">
        <v>476321.04546234652</v>
      </c>
      <c r="H38" s="242">
        <v>457103.81572112307</v>
      </c>
      <c r="I38" s="245">
        <v>1344709.754</v>
      </c>
      <c r="J38" s="245">
        <v>186607.90972958159</v>
      </c>
      <c r="K38" s="245">
        <v>0</v>
      </c>
      <c r="L38" s="245">
        <v>0</v>
      </c>
      <c r="M38" s="245">
        <v>222187.15575998661</v>
      </c>
      <c r="N38" s="245">
        <v>58482199.05953458</v>
      </c>
      <c r="O38" s="266"/>
      <c r="P38" s="245">
        <f>SUMIFS('APPENDIX  5 iv'!$B38:$O38,'APPENDIX  5 iv'!$B$5:$O$5,"*total*")-Q38</f>
        <v>53617097.325821988</v>
      </c>
      <c r="Q38" s="125">
        <f>SUMIFS('APPENDIX 5 i'!$B38:$O38,'APPENDIX 5 i'!$B$5:$O$5,"*reinsurance*")+
SUMIFS('APPENDIX 5 ii'!$B38:$O38,'APPENDIX 5 ii'!$B$5:$O$5,"*reinsurance*")+
SUMIFS('APPENDIX 5 iii'!$B38:$O38,'APPENDIX 5 iii'!$B$5:$O$5,"*reinsurance*")+
SUMIFS('APPENDIX  5 iv'!$B38:$O38,'APPENDIX  5 iv'!$B$5:$O$5,"*reinsurance*")</f>
        <v>4865101.7337125894</v>
      </c>
    </row>
    <row r="39" spans="2:18" ht="17" customHeight="1" x14ac:dyDescent="0.35">
      <c r="B39" s="240" t="s">
        <v>167</v>
      </c>
      <c r="C39" s="242">
        <v>90984.58</v>
      </c>
      <c r="D39" s="242">
        <v>56822.434000000001</v>
      </c>
      <c r="E39" s="242">
        <v>868041.85007000016</v>
      </c>
      <c r="F39" s="242">
        <v>24053.906470000002</v>
      </c>
      <c r="G39" s="242">
        <v>107717.9002</v>
      </c>
      <c r="H39" s="242">
        <v>0</v>
      </c>
      <c r="I39" s="245">
        <v>336800.049</v>
      </c>
      <c r="J39" s="245">
        <v>5756.94596</v>
      </c>
      <c r="K39" s="245">
        <v>0</v>
      </c>
      <c r="L39" s="245">
        <v>0</v>
      </c>
      <c r="M39" s="245">
        <v>89767.948669999969</v>
      </c>
      <c r="N39" s="245">
        <v>7030136.407633191</v>
      </c>
      <c r="O39" s="266"/>
      <c r="P39" s="245">
        <f>SUMIFS('APPENDIX  5 iv'!$B39:$O39,'APPENDIX  5 iv'!$B$5:$O$5,"*total*")-Q39</f>
        <v>5409643.3265930368</v>
      </c>
      <c r="Q39" s="125">
        <f>SUMIFS('APPENDIX 5 i'!$B39:$O39,'APPENDIX 5 i'!$B$5:$O$5,"*reinsurance*")+
SUMIFS('APPENDIX 5 ii'!$B39:$O39,'APPENDIX 5 ii'!$B$5:$O$5,"*reinsurance*")+
SUMIFS('APPENDIX 5 iii'!$B39:$O39,'APPENDIX 5 iii'!$B$5:$O$5,"*reinsurance*")+
SUMIFS('APPENDIX  5 iv'!$B39:$O39,'APPENDIX  5 iv'!$B$5:$O$5,"*reinsurance*")</f>
        <v>1620493.081040154</v>
      </c>
    </row>
    <row r="40" spans="2:18" ht="17" customHeight="1" x14ac:dyDescent="0.35">
      <c r="B40" s="240" t="s">
        <v>168</v>
      </c>
      <c r="C40" s="242">
        <v>614832.402</v>
      </c>
      <c r="D40" s="242">
        <v>313256.913</v>
      </c>
      <c r="E40" s="242">
        <v>1219297.667289</v>
      </c>
      <c r="F40" s="242">
        <v>37538.166185992617</v>
      </c>
      <c r="G40" s="242">
        <v>152760.60685565919</v>
      </c>
      <c r="H40" s="242">
        <v>-7299.6350000000002</v>
      </c>
      <c r="I40" s="245">
        <v>213938.337</v>
      </c>
      <c r="J40" s="245">
        <v>399441.53124163131</v>
      </c>
      <c r="K40" s="245">
        <v>0</v>
      </c>
      <c r="L40" s="245">
        <v>0</v>
      </c>
      <c r="M40" s="245">
        <v>384923.90464527119</v>
      </c>
      <c r="N40" s="245">
        <v>21673853.802820589</v>
      </c>
      <c r="O40" s="266"/>
      <c r="P40" s="245">
        <f>SUMIFS('APPENDIX  5 iv'!$B40:$O40,'APPENDIX  5 iv'!$B$5:$O$5,"*total*")-Q40</f>
        <v>17735989.160870824</v>
      </c>
      <c r="Q40" s="125">
        <f>SUMIFS('APPENDIX 5 i'!$B40:$O40,'APPENDIX 5 i'!$B$5:$O$5,"*reinsurance*")+
SUMIFS('APPENDIX 5 ii'!$B40:$O40,'APPENDIX 5 ii'!$B$5:$O$5,"*reinsurance*")+
SUMIFS('APPENDIX 5 iii'!$B40:$O40,'APPENDIX 5 iii'!$B$5:$O$5,"*reinsurance*")+
SUMIFS('APPENDIX  5 iv'!$B40:$O40,'APPENDIX  5 iv'!$B$5:$O$5,"*reinsurance*")</f>
        <v>3937864.6419497649</v>
      </c>
    </row>
    <row r="41" spans="2:18" ht="17" customHeight="1" thickBot="1" x14ac:dyDescent="0.4">
      <c r="B41" s="243" t="s">
        <v>169</v>
      </c>
      <c r="C41" s="244">
        <v>4401204.372274546</v>
      </c>
      <c r="D41" s="244">
        <v>4292711.1637517055</v>
      </c>
      <c r="E41" s="244">
        <v>15006930.31756088</v>
      </c>
      <c r="F41" s="244">
        <v>1552378.893134784</v>
      </c>
      <c r="G41" s="244">
        <v>2011518.7209840701</v>
      </c>
      <c r="H41" s="244">
        <v>4517822.8344290573</v>
      </c>
      <c r="I41" s="244">
        <v>12980886.188999999</v>
      </c>
      <c r="J41" s="244">
        <v>2285948.4509878131</v>
      </c>
      <c r="K41" s="244">
        <v>0</v>
      </c>
      <c r="L41" s="244">
        <v>0</v>
      </c>
      <c r="M41" s="244">
        <v>5961781.4767488763</v>
      </c>
      <c r="N41" s="244">
        <v>372189457.42689842</v>
      </c>
      <c r="O41" s="267"/>
      <c r="P41" s="244">
        <f>SUMIFS('APPENDIX  5 iv'!$B41:$O41,'APPENDIX  5 iv'!$B$5:$O$5,"*total*")-Q41</f>
        <v>290368561.23144305</v>
      </c>
      <c r="Q41" s="244">
        <f>SUMIFS('APPENDIX 5 i'!$B41:$O41,'APPENDIX 5 i'!$B$5:$O$5,"*reinsurance*")+
SUMIFS('APPENDIX 5 ii'!$B41:$O41,'APPENDIX 5 ii'!$B$5:$O$5,"*reinsurance*")+
SUMIFS('APPENDIX 5 iii'!$B41:$O41,'APPENDIX 5 iii'!$B$5:$O$5,"*reinsurance*")+
SUMIFS('APPENDIX  5 iv'!$B41:$O41,'APPENDIX  5 iv'!$B$5:$O$5,"*reinsurance*")</f>
        <v>81820896.195455402</v>
      </c>
    </row>
    <row r="42" spans="2:18" ht="17" customHeight="1" thickTop="1" x14ac:dyDescent="0.35">
      <c r="B42" s="303" t="s">
        <v>188</v>
      </c>
      <c r="C42" s="304"/>
      <c r="D42" s="304"/>
      <c r="E42" s="304"/>
      <c r="F42" s="304"/>
      <c r="G42" s="304"/>
      <c r="H42" s="304"/>
      <c r="I42" s="304"/>
      <c r="J42" s="304"/>
      <c r="K42" s="304"/>
      <c r="L42" s="304"/>
      <c r="M42" s="304"/>
      <c r="N42" s="304"/>
      <c r="P42" s="133"/>
      <c r="Q42" s="133"/>
    </row>
    <row r="43" spans="2:18" x14ac:dyDescent="0.35">
      <c r="I43" s="133"/>
      <c r="J43" s="133"/>
      <c r="K43" s="133"/>
      <c r="L43" s="133"/>
      <c r="M43" s="133"/>
      <c r="N43" s="133"/>
      <c r="O43" s="133"/>
      <c r="P43" s="133"/>
      <c r="Q43" s="133"/>
    </row>
    <row r="44" spans="2:18" x14ac:dyDescent="0.35">
      <c r="C44" s="133"/>
      <c r="D44" s="133"/>
      <c r="E44" s="133"/>
      <c r="F44" s="133"/>
      <c r="G44" s="133"/>
      <c r="H44" s="133"/>
      <c r="I44" s="133"/>
      <c r="J44" s="133"/>
      <c r="K44" s="133"/>
      <c r="L44" s="133"/>
      <c r="M44" s="133"/>
      <c r="N44" s="133"/>
      <c r="P44" s="133"/>
      <c r="Q44" s="133"/>
    </row>
  </sheetData>
  <sheetProtection algorithmName="SHA-512" hashValue="bNoLyh8lninyzPwVFOyHn8bZZjOt+ymSwbS1clJcmFKDdN/guvlBxC9Vf8b+/r1Ox1O5lr4oi65rJ7ZmF2HcvQ==" saltValue="xIOfxpmHDOWnMs5JwETrMw==" spinCount="100000" sheet="1" objects="1" scenarios="1"/>
  <mergeCells count="3">
    <mergeCell ref="B3:N3"/>
    <mergeCell ref="B4:N4"/>
    <mergeCell ref="B42:N42"/>
  </mergeCells>
  <pageMargins left="0.7" right="0.7" top="0.75" bottom="0.75" header="0.3" footer="0.3"/>
  <pageSetup paperSize="9" scale="34"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4">
    <tabColor rgb="FF92D050"/>
    <pageSetUpPr fitToPage="1"/>
  </sheetPr>
  <dimension ref="B4:I44"/>
  <sheetViews>
    <sheetView topLeftCell="D1" workbookViewId="0"/>
  </sheetViews>
  <sheetFormatPr defaultColWidth="9.453125" defaultRowHeight="15.5" x14ac:dyDescent="0.35"/>
  <cols>
    <col min="1" max="1" width="16.453125" style="76" customWidth="1"/>
    <col min="2" max="2" width="36.54296875" style="76" customWidth="1"/>
    <col min="3" max="6" width="23.54296875" style="76" customWidth="1"/>
    <col min="7" max="7" width="23.54296875" style="76" hidden="1" customWidth="1"/>
    <col min="8" max="9" width="23.54296875" style="76" customWidth="1"/>
    <col min="10" max="96" width="9.453125" style="76" customWidth="1"/>
    <col min="97" max="16384" width="9.453125" style="76"/>
  </cols>
  <sheetData>
    <row r="4" spans="2:9" ht="16" customHeight="1" x14ac:dyDescent="0.35">
      <c r="B4" s="300" t="str">
        <f>_xlfn.CONCAT('Table of Contents'!B18,": ",'Table of Contents'!C18)</f>
        <v>APPENDIX 6: SUMMARY OF MICRO INSURANCE BUSINESS BALANCE SHEETS AS AT 31.12.2025</v>
      </c>
      <c r="C4" s="269"/>
      <c r="D4" s="269"/>
      <c r="E4" s="269"/>
      <c r="F4" s="269"/>
      <c r="G4" s="269"/>
      <c r="H4" s="269"/>
      <c r="I4" s="270"/>
    </row>
    <row r="5" spans="2:9" ht="46.5" x14ac:dyDescent="0.35">
      <c r="B5" s="238" t="s">
        <v>184</v>
      </c>
      <c r="C5" s="246" t="s">
        <v>18</v>
      </c>
      <c r="D5" s="246" t="s">
        <v>19</v>
      </c>
      <c r="E5" s="246" t="s">
        <v>20</v>
      </c>
      <c r="F5" s="246" t="s">
        <v>21</v>
      </c>
      <c r="G5" s="246" t="s">
        <v>22</v>
      </c>
      <c r="H5" s="246" t="s">
        <v>23</v>
      </c>
      <c r="I5" s="246" t="s">
        <v>24</v>
      </c>
    </row>
    <row r="6" spans="2:9" ht="16" customHeight="1" x14ac:dyDescent="0.35">
      <c r="B6" s="240" t="s">
        <v>132</v>
      </c>
      <c r="C6" s="125">
        <v>0</v>
      </c>
      <c r="D6" s="125">
        <v>50000</v>
      </c>
      <c r="E6" s="125">
        <v>150000</v>
      </c>
      <c r="F6" s="125">
        <v>50000</v>
      </c>
      <c r="G6" s="125">
        <v>100000</v>
      </c>
      <c r="H6" s="125">
        <v>50000</v>
      </c>
      <c r="I6" s="125">
        <v>400000</v>
      </c>
    </row>
    <row r="7" spans="2:9" ht="16" customHeight="1" x14ac:dyDescent="0.35">
      <c r="B7" s="240" t="s">
        <v>133</v>
      </c>
      <c r="C7" s="125">
        <v>0</v>
      </c>
      <c r="D7" s="125">
        <v>0</v>
      </c>
      <c r="E7" s="125">
        <v>0</v>
      </c>
      <c r="F7" s="125">
        <v>0</v>
      </c>
      <c r="G7" s="125">
        <v>0</v>
      </c>
      <c r="H7" s="125">
        <v>0</v>
      </c>
      <c r="I7" s="125">
        <v>0</v>
      </c>
    </row>
    <row r="8" spans="2:9" ht="16" customHeight="1" x14ac:dyDescent="0.35">
      <c r="B8" s="240" t="s">
        <v>134</v>
      </c>
      <c r="C8" s="125">
        <v>0</v>
      </c>
      <c r="D8" s="125">
        <v>0</v>
      </c>
      <c r="E8" s="125">
        <v>0</v>
      </c>
      <c r="F8" s="125">
        <v>0</v>
      </c>
      <c r="G8" s="125">
        <v>0</v>
      </c>
      <c r="H8" s="125">
        <v>0</v>
      </c>
      <c r="I8" s="125">
        <v>0</v>
      </c>
    </row>
    <row r="9" spans="2:9" ht="16" customHeight="1" x14ac:dyDescent="0.35">
      <c r="B9" s="240" t="s">
        <v>136</v>
      </c>
      <c r="C9" s="125">
        <v>0</v>
      </c>
      <c r="D9" s="125">
        <v>30000</v>
      </c>
      <c r="E9" s="125">
        <v>0</v>
      </c>
      <c r="F9" s="125">
        <v>0</v>
      </c>
      <c r="G9" s="125">
        <v>0</v>
      </c>
      <c r="H9" s="125">
        <v>0</v>
      </c>
      <c r="I9" s="125">
        <v>30000</v>
      </c>
    </row>
    <row r="10" spans="2:9" ht="16" customHeight="1" x14ac:dyDescent="0.35">
      <c r="B10" s="240" t="s">
        <v>137</v>
      </c>
      <c r="C10" s="125">
        <v>0</v>
      </c>
      <c r="D10" s="125">
        <v>-34121.47742968073</v>
      </c>
      <c r="E10" s="125">
        <v>-2441.7777971942869</v>
      </c>
      <c r="F10" s="125">
        <v>-19450.43552059132</v>
      </c>
      <c r="G10" s="125">
        <v>-53556.462301948028</v>
      </c>
      <c r="H10" s="125">
        <v>61566.036115731556</v>
      </c>
      <c r="I10" s="125">
        <v>-48004.116933682802</v>
      </c>
    </row>
    <row r="11" spans="2:9" ht="16" customHeight="1" x14ac:dyDescent="0.35">
      <c r="B11" s="240" t="s">
        <v>138</v>
      </c>
      <c r="C11" s="125">
        <v>0</v>
      </c>
      <c r="D11" s="125">
        <v>0</v>
      </c>
      <c r="E11" s="125">
        <v>0</v>
      </c>
      <c r="F11" s="125">
        <v>0</v>
      </c>
      <c r="G11" s="125">
        <v>0</v>
      </c>
      <c r="H11" s="125">
        <v>0</v>
      </c>
      <c r="I11" s="125">
        <v>0</v>
      </c>
    </row>
    <row r="12" spans="2:9" ht="16" customHeight="1" thickBot="1" x14ac:dyDescent="0.4">
      <c r="B12" s="248" t="s">
        <v>189</v>
      </c>
      <c r="C12" s="241">
        <v>0</v>
      </c>
      <c r="D12" s="241">
        <v>45878.52257031927</v>
      </c>
      <c r="E12" s="241">
        <v>147558.22220280569</v>
      </c>
      <c r="F12" s="241">
        <v>30549.56447940868</v>
      </c>
      <c r="G12" s="241">
        <v>46443.537698051972</v>
      </c>
      <c r="H12" s="241">
        <v>111566.03611573159</v>
      </c>
      <c r="I12" s="241">
        <v>381995.88306631718</v>
      </c>
    </row>
    <row r="13" spans="2:9" ht="16" customHeight="1" thickTop="1" x14ac:dyDescent="0.35">
      <c r="B13" s="242" t="s">
        <v>141</v>
      </c>
      <c r="C13" s="125">
        <v>0</v>
      </c>
      <c r="D13" s="125">
        <v>14078.793846142469</v>
      </c>
      <c r="E13" s="125">
        <v>514591.74733246199</v>
      </c>
      <c r="F13" s="125">
        <v>6512.790097021998</v>
      </c>
      <c r="G13" s="125">
        <v>0</v>
      </c>
      <c r="H13" s="125">
        <v>74572.838377199951</v>
      </c>
      <c r="I13" s="125">
        <v>609756.16965282639</v>
      </c>
    </row>
    <row r="14" spans="2:9" ht="16" customHeight="1" x14ac:dyDescent="0.35">
      <c r="B14" s="240" t="s">
        <v>142</v>
      </c>
      <c r="C14" s="125">
        <v>0</v>
      </c>
      <c r="D14" s="125">
        <v>0</v>
      </c>
      <c r="E14" s="125">
        <v>8921.3717381458591</v>
      </c>
      <c r="F14" s="125">
        <v>0</v>
      </c>
      <c r="G14" s="125">
        <v>0</v>
      </c>
      <c r="H14" s="125">
        <v>0</v>
      </c>
      <c r="I14" s="125">
        <v>8921.3717381458591</v>
      </c>
    </row>
    <row r="15" spans="2:9" ht="16" customHeight="1" x14ac:dyDescent="0.35">
      <c r="B15" s="240" t="s">
        <v>143</v>
      </c>
      <c r="C15" s="125">
        <v>0</v>
      </c>
      <c r="D15" s="125">
        <v>0</v>
      </c>
      <c r="E15" s="125">
        <v>0</v>
      </c>
      <c r="F15" s="125">
        <v>0</v>
      </c>
      <c r="G15" s="125">
        <v>0</v>
      </c>
      <c r="H15" s="125">
        <v>3433.0628499999998</v>
      </c>
      <c r="I15" s="125">
        <v>3433.0628499999998</v>
      </c>
    </row>
    <row r="16" spans="2:9" ht="16" customHeight="1" x14ac:dyDescent="0.35">
      <c r="B16" s="240" t="s">
        <v>144</v>
      </c>
      <c r="C16" s="125">
        <v>0</v>
      </c>
      <c r="D16" s="125">
        <v>0</v>
      </c>
      <c r="E16" s="125">
        <v>183957.84813999999</v>
      </c>
      <c r="F16" s="125">
        <v>16442.719331455839</v>
      </c>
      <c r="G16" s="125">
        <v>0</v>
      </c>
      <c r="H16" s="125">
        <v>61870.001779999999</v>
      </c>
      <c r="I16" s="125">
        <v>262270.56925145577</v>
      </c>
    </row>
    <row r="17" spans="2:9" ht="16" customHeight="1" x14ac:dyDescent="0.35">
      <c r="B17" s="240" t="s">
        <v>145</v>
      </c>
      <c r="C17" s="125">
        <v>0</v>
      </c>
      <c r="D17" s="125">
        <v>15420.01425966541</v>
      </c>
      <c r="E17" s="125">
        <v>68841.906800000099</v>
      </c>
      <c r="F17" s="125">
        <v>0</v>
      </c>
      <c r="G17" s="125">
        <v>48223.355000000003</v>
      </c>
      <c r="H17" s="125">
        <v>8485.5904499999888</v>
      </c>
      <c r="I17" s="125">
        <v>140970.8665096655</v>
      </c>
    </row>
    <row r="18" spans="2:9" ht="16" customHeight="1" thickBot="1" x14ac:dyDescent="0.4">
      <c r="B18" s="243" t="s">
        <v>146</v>
      </c>
      <c r="C18" s="244">
        <v>0</v>
      </c>
      <c r="D18" s="244">
        <v>75377.330676127152</v>
      </c>
      <c r="E18" s="244">
        <v>923871.09621341375</v>
      </c>
      <c r="F18" s="244">
        <v>53505.073907886523</v>
      </c>
      <c r="G18" s="244">
        <v>94666.892698051975</v>
      </c>
      <c r="H18" s="244">
        <v>259927.5295729315</v>
      </c>
      <c r="I18" s="244">
        <v>1407347.9230684109</v>
      </c>
    </row>
    <row r="19" spans="2:9" ht="16" customHeight="1" thickTop="1" x14ac:dyDescent="0.35">
      <c r="B19" s="242" t="s">
        <v>147</v>
      </c>
      <c r="C19" s="245">
        <v>0</v>
      </c>
      <c r="D19" s="245">
        <v>265.06933333333342</v>
      </c>
      <c r="E19" s="245">
        <v>738.4628100000001</v>
      </c>
      <c r="F19" s="245">
        <v>3982.7370000000001</v>
      </c>
      <c r="G19" s="245">
        <v>15909</v>
      </c>
      <c r="H19" s="245">
        <v>0</v>
      </c>
      <c r="I19" s="245">
        <v>20895.269143333331</v>
      </c>
    </row>
    <row r="20" spans="2:9" ht="16" customHeight="1" x14ac:dyDescent="0.35">
      <c r="B20" s="240" t="s">
        <v>148</v>
      </c>
      <c r="C20" s="245">
        <v>0</v>
      </c>
      <c r="D20" s="245">
        <v>0</v>
      </c>
      <c r="E20" s="245">
        <v>0</v>
      </c>
      <c r="F20" s="245">
        <v>0</v>
      </c>
      <c r="G20" s="245">
        <v>0</v>
      </c>
      <c r="H20" s="245">
        <v>0</v>
      </c>
      <c r="I20" s="245">
        <v>0</v>
      </c>
    </row>
    <row r="21" spans="2:9" ht="16" customHeight="1" x14ac:dyDescent="0.35">
      <c r="B21" s="240" t="s">
        <v>149</v>
      </c>
      <c r="C21" s="245">
        <v>0</v>
      </c>
      <c r="D21" s="245">
        <v>0</v>
      </c>
      <c r="E21" s="245">
        <v>0</v>
      </c>
      <c r="F21" s="245">
        <v>0</v>
      </c>
      <c r="G21" s="245">
        <v>0</v>
      </c>
      <c r="H21" s="245">
        <v>0</v>
      </c>
      <c r="I21" s="245">
        <v>0</v>
      </c>
    </row>
    <row r="22" spans="2:9" ht="16" customHeight="1" x14ac:dyDescent="0.35">
      <c r="B22" s="240" t="s">
        <v>150</v>
      </c>
      <c r="C22" s="245">
        <v>0</v>
      </c>
      <c r="D22" s="245">
        <v>2769.8346178571428</v>
      </c>
      <c r="E22" s="245">
        <v>1739.4868200000001</v>
      </c>
      <c r="F22" s="245">
        <v>3369.876193333334</v>
      </c>
      <c r="G22" s="245">
        <v>1147.0450000000001</v>
      </c>
      <c r="H22" s="245">
        <v>0</v>
      </c>
      <c r="I22" s="245">
        <v>9026.2426311904765</v>
      </c>
    </row>
    <row r="23" spans="2:9" ht="16" customHeight="1" x14ac:dyDescent="0.35">
      <c r="B23" s="240" t="s">
        <v>151</v>
      </c>
      <c r="C23" s="245">
        <v>0</v>
      </c>
      <c r="D23" s="245">
        <v>50138.724999999999</v>
      </c>
      <c r="E23" s="245">
        <v>488712.71258000011</v>
      </c>
      <c r="F23" s="245">
        <v>5435.8321000000014</v>
      </c>
      <c r="G23" s="245">
        <v>11000</v>
      </c>
      <c r="H23" s="245">
        <v>25271.54109589041</v>
      </c>
      <c r="I23" s="245">
        <v>580558.81077589048</v>
      </c>
    </row>
    <row r="24" spans="2:9" ht="16" customHeight="1" x14ac:dyDescent="0.35">
      <c r="B24" s="240" t="s">
        <v>152</v>
      </c>
      <c r="C24" s="245">
        <v>0</v>
      </c>
      <c r="D24" s="245">
        <v>0</v>
      </c>
      <c r="E24" s="245">
        <v>0</v>
      </c>
      <c r="F24" s="245">
        <v>0</v>
      </c>
      <c r="G24" s="245">
        <v>0</v>
      </c>
      <c r="H24" s="245">
        <v>0</v>
      </c>
      <c r="I24" s="245">
        <v>0</v>
      </c>
    </row>
    <row r="25" spans="2:9" ht="16" customHeight="1" x14ac:dyDescent="0.35">
      <c r="B25" s="240" t="s">
        <v>153</v>
      </c>
      <c r="C25" s="245">
        <v>0</v>
      </c>
      <c r="D25" s="245">
        <v>0</v>
      </c>
      <c r="E25" s="245">
        <v>0</v>
      </c>
      <c r="F25" s="245">
        <v>0</v>
      </c>
      <c r="G25" s="245">
        <v>0</v>
      </c>
      <c r="H25" s="245">
        <v>0</v>
      </c>
      <c r="I25" s="245">
        <v>0</v>
      </c>
    </row>
    <row r="26" spans="2:9" ht="16" customHeight="1" x14ac:dyDescent="0.35">
      <c r="B26" s="240" t="s">
        <v>154</v>
      </c>
      <c r="C26" s="245">
        <v>0</v>
      </c>
      <c r="D26" s="245">
        <v>0</v>
      </c>
      <c r="E26" s="245">
        <v>0</v>
      </c>
      <c r="F26" s="245">
        <v>0</v>
      </c>
      <c r="G26" s="245">
        <v>0</v>
      </c>
      <c r="H26" s="245">
        <v>0</v>
      </c>
      <c r="I26" s="245">
        <v>0</v>
      </c>
    </row>
    <row r="27" spans="2:9" ht="16" customHeight="1" x14ac:dyDescent="0.35">
      <c r="B27" s="240" t="s">
        <v>155</v>
      </c>
      <c r="C27" s="245">
        <v>0</v>
      </c>
      <c r="D27" s="245">
        <v>0</v>
      </c>
      <c r="E27" s="245">
        <v>0</v>
      </c>
      <c r="F27" s="245">
        <v>0</v>
      </c>
      <c r="G27" s="245">
        <v>0</v>
      </c>
      <c r="H27" s="245">
        <v>0</v>
      </c>
      <c r="I27" s="245">
        <v>0</v>
      </c>
    </row>
    <row r="28" spans="2:9" ht="16" customHeight="1" x14ac:dyDescent="0.35">
      <c r="B28" s="240" t="s">
        <v>156</v>
      </c>
      <c r="C28" s="245">
        <v>0</v>
      </c>
      <c r="D28" s="245">
        <v>0</v>
      </c>
      <c r="E28" s="245">
        <v>0</v>
      </c>
      <c r="F28" s="245">
        <v>0</v>
      </c>
      <c r="G28" s="245">
        <v>0</v>
      </c>
      <c r="H28" s="245">
        <v>0</v>
      </c>
      <c r="I28" s="245">
        <v>0</v>
      </c>
    </row>
    <row r="29" spans="2:9" ht="16" customHeight="1" x14ac:dyDescent="0.35">
      <c r="B29" s="240" t="s">
        <v>157</v>
      </c>
      <c r="C29" s="245">
        <v>0</v>
      </c>
      <c r="D29" s="245">
        <v>0</v>
      </c>
      <c r="E29" s="245">
        <v>0</v>
      </c>
      <c r="F29" s="245">
        <v>0</v>
      </c>
      <c r="G29" s="245">
        <v>0</v>
      </c>
      <c r="H29" s="245">
        <v>0</v>
      </c>
      <c r="I29" s="245">
        <v>0</v>
      </c>
    </row>
    <row r="30" spans="2:9" ht="16" customHeight="1" x14ac:dyDescent="0.35">
      <c r="B30" s="240" t="s">
        <v>158</v>
      </c>
      <c r="C30" s="245">
        <v>0</v>
      </c>
      <c r="D30" s="245">
        <v>0</v>
      </c>
      <c r="E30" s="245">
        <v>0</v>
      </c>
      <c r="F30" s="245">
        <v>0</v>
      </c>
      <c r="G30" s="245">
        <v>0</v>
      </c>
      <c r="H30" s="245">
        <v>0</v>
      </c>
      <c r="I30" s="245">
        <v>0</v>
      </c>
    </row>
    <row r="31" spans="2:9" ht="16" customHeight="1" x14ac:dyDescent="0.35">
      <c r="B31" s="240" t="s">
        <v>159</v>
      </c>
      <c r="C31" s="245">
        <v>0</v>
      </c>
      <c r="D31" s="245">
        <v>0</v>
      </c>
      <c r="E31" s="245">
        <v>0</v>
      </c>
      <c r="F31" s="245">
        <v>0</v>
      </c>
      <c r="G31" s="245">
        <v>0</v>
      </c>
      <c r="H31" s="245">
        <v>0</v>
      </c>
      <c r="I31" s="245">
        <v>0</v>
      </c>
    </row>
    <row r="32" spans="2:9" ht="16" customHeight="1" x14ac:dyDescent="0.35">
      <c r="B32" s="240" t="s">
        <v>160</v>
      </c>
      <c r="C32" s="245">
        <v>0</v>
      </c>
      <c r="D32" s="245">
        <v>0</v>
      </c>
      <c r="E32" s="245">
        <v>0</v>
      </c>
      <c r="F32" s="245">
        <v>0</v>
      </c>
      <c r="G32" s="245">
        <v>0</v>
      </c>
      <c r="H32" s="245">
        <v>0</v>
      </c>
      <c r="I32" s="245">
        <v>0</v>
      </c>
    </row>
    <row r="33" spans="2:9" ht="16" customHeight="1" x14ac:dyDescent="0.35">
      <c r="B33" s="240" t="s">
        <v>161</v>
      </c>
      <c r="C33" s="245">
        <v>0</v>
      </c>
      <c r="D33" s="245">
        <v>0</v>
      </c>
      <c r="E33" s="245">
        <v>0</v>
      </c>
      <c r="F33" s="245">
        <v>0</v>
      </c>
      <c r="G33" s="245">
        <v>0</v>
      </c>
      <c r="H33" s="245">
        <v>0</v>
      </c>
      <c r="I33" s="245">
        <v>0</v>
      </c>
    </row>
    <row r="34" spans="2:9" ht="16" customHeight="1" x14ac:dyDescent="0.35">
      <c r="B34" s="240" t="s">
        <v>162</v>
      </c>
      <c r="C34" s="245">
        <v>0</v>
      </c>
      <c r="D34" s="245">
        <v>0</v>
      </c>
      <c r="E34" s="245">
        <v>0</v>
      </c>
      <c r="F34" s="245">
        <v>0</v>
      </c>
      <c r="G34" s="245">
        <v>0</v>
      </c>
      <c r="H34" s="245">
        <v>0</v>
      </c>
      <c r="I34" s="245">
        <v>0</v>
      </c>
    </row>
    <row r="35" spans="2:9" ht="16" customHeight="1" x14ac:dyDescent="0.35">
      <c r="B35" s="240" t="s">
        <v>163</v>
      </c>
      <c r="C35" s="245">
        <v>0</v>
      </c>
      <c r="D35" s="245">
        <v>0</v>
      </c>
      <c r="E35" s="245">
        <v>224244.58709742769</v>
      </c>
      <c r="F35" s="245">
        <v>0</v>
      </c>
      <c r="G35" s="245">
        <v>0</v>
      </c>
      <c r="H35" s="245">
        <v>43394.662120465757</v>
      </c>
      <c r="I35" s="245">
        <v>267639.2492178934</v>
      </c>
    </row>
    <row r="36" spans="2:9" ht="16" customHeight="1" x14ac:dyDescent="0.35">
      <c r="B36" s="240" t="s">
        <v>164</v>
      </c>
      <c r="C36" s="245">
        <v>0</v>
      </c>
      <c r="D36" s="245">
        <v>3437.346</v>
      </c>
      <c r="E36" s="245">
        <v>148643.41358000011</v>
      </c>
      <c r="F36" s="245">
        <v>33929.942780640456</v>
      </c>
      <c r="G36" s="245">
        <v>48860.686299999987</v>
      </c>
      <c r="H36" s="245">
        <v>67935.813389999996</v>
      </c>
      <c r="I36" s="245">
        <v>302807.20205064048</v>
      </c>
    </row>
    <row r="37" spans="2:9" ht="16" customHeight="1" x14ac:dyDescent="0.35">
      <c r="B37" s="240" t="s">
        <v>165</v>
      </c>
      <c r="C37" s="245">
        <v>0</v>
      </c>
      <c r="D37" s="245">
        <v>989.73260089862993</v>
      </c>
      <c r="E37" s="245">
        <v>7263.8683469137104</v>
      </c>
      <c r="F37" s="245">
        <v>0</v>
      </c>
      <c r="G37" s="245">
        <v>0</v>
      </c>
      <c r="H37" s="245">
        <v>0</v>
      </c>
      <c r="I37" s="245">
        <v>8253.6009478123397</v>
      </c>
    </row>
    <row r="38" spans="2:9" ht="16" customHeight="1" x14ac:dyDescent="0.35">
      <c r="B38" s="240" t="s">
        <v>166</v>
      </c>
      <c r="C38" s="245">
        <v>0</v>
      </c>
      <c r="D38" s="245">
        <v>7002.783866095665</v>
      </c>
      <c r="E38" s="245">
        <v>1308.436876500502</v>
      </c>
      <c r="F38" s="245">
        <v>2398.1867739127179</v>
      </c>
      <c r="G38" s="245">
        <v>1917.2520860066199</v>
      </c>
      <c r="H38" s="245">
        <v>12091.192510651201</v>
      </c>
      <c r="I38" s="245">
        <v>24717.8521131667</v>
      </c>
    </row>
    <row r="39" spans="2:9" ht="16" customHeight="1" x14ac:dyDescent="0.35">
      <c r="B39" s="240" t="s">
        <v>167</v>
      </c>
      <c r="C39" s="245">
        <v>0</v>
      </c>
      <c r="D39" s="245">
        <v>0</v>
      </c>
      <c r="E39" s="245">
        <v>797.50616000000002</v>
      </c>
      <c r="F39" s="245">
        <v>4.421059999999998</v>
      </c>
      <c r="G39" s="245">
        <v>0</v>
      </c>
      <c r="H39" s="245">
        <v>104678.5434559241</v>
      </c>
      <c r="I39" s="245">
        <v>105480.47067592409</v>
      </c>
    </row>
    <row r="40" spans="2:9" ht="16" customHeight="1" x14ac:dyDescent="0.35">
      <c r="B40" s="240" t="s">
        <v>168</v>
      </c>
      <c r="C40" s="245">
        <v>0</v>
      </c>
      <c r="D40" s="245">
        <v>10773.839334951061</v>
      </c>
      <c r="E40" s="245">
        <v>50422.621873153461</v>
      </c>
      <c r="F40" s="245">
        <v>4384.0780000000004</v>
      </c>
      <c r="G40" s="245">
        <v>15832.909</v>
      </c>
      <c r="H40" s="245">
        <v>6555.777</v>
      </c>
      <c r="I40" s="245">
        <v>87969.225208104515</v>
      </c>
    </row>
    <row r="41" spans="2:9" ht="16" customHeight="1" thickBot="1" x14ac:dyDescent="0.4">
      <c r="B41" s="243" t="s">
        <v>169</v>
      </c>
      <c r="C41" s="244">
        <v>0</v>
      </c>
      <c r="D41" s="244">
        <v>75377.33075313583</v>
      </c>
      <c r="E41" s="244">
        <v>923871.09614399553</v>
      </c>
      <c r="F41" s="244">
        <v>53505.073907886523</v>
      </c>
      <c r="G41" s="244">
        <v>94666.892386006628</v>
      </c>
      <c r="H41" s="244">
        <v>259927.5295729315</v>
      </c>
      <c r="I41" s="244">
        <v>1407347.922763956</v>
      </c>
    </row>
    <row r="42" spans="2:9" ht="16" customHeight="1" thickTop="1" x14ac:dyDescent="0.35">
      <c r="B42" s="303" t="s">
        <v>188</v>
      </c>
      <c r="C42" s="304"/>
      <c r="D42" s="304"/>
      <c r="E42" s="304"/>
      <c r="F42" s="304"/>
      <c r="G42" s="304"/>
      <c r="H42" s="304"/>
      <c r="I42" s="304"/>
    </row>
    <row r="44" spans="2:9" x14ac:dyDescent="0.35">
      <c r="C44" s="133"/>
      <c r="D44" s="133"/>
      <c r="E44" s="133"/>
      <c r="F44" s="133"/>
      <c r="G44" s="133"/>
      <c r="H44" s="133"/>
      <c r="I44" s="133"/>
    </row>
  </sheetData>
  <sheetProtection algorithmName="SHA-512" hashValue="QJ9Ann3o8T4QC1XKd/cPCB0OEU5tHih5A0s7F/F0K1Yzv1elpLuNpHjrJJRR2a19M3WoQ/YqPBR3IzN1UO2Aew==" saltValue="mRMrPZKx2XDGT9E+SQk9BA==" spinCount="100000" sheet="1" objects="1" scenarios="1"/>
  <mergeCells count="2">
    <mergeCell ref="B42:I42"/>
    <mergeCell ref="B4:I4"/>
  </mergeCells>
  <pageMargins left="0.7" right="0.7" top="0.75" bottom="0.75" header="0.3" footer="0.3"/>
  <pageSetup paperSize="9" scale="43"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tabColor rgb="FF92D050"/>
    <pageSetUpPr fitToPage="1"/>
  </sheetPr>
  <dimension ref="B3:L36"/>
  <sheetViews>
    <sheetView topLeftCell="I1" workbookViewId="0"/>
  </sheetViews>
  <sheetFormatPr defaultColWidth="9.453125" defaultRowHeight="15.5" x14ac:dyDescent="0.35"/>
  <cols>
    <col min="1" max="1" width="14.453125" style="76" customWidth="1"/>
    <col min="2" max="2" width="50" style="76" customWidth="1"/>
    <col min="3" max="3" width="25.453125" style="76" customWidth="1"/>
    <col min="4" max="4" width="15.54296875" style="76" customWidth="1"/>
    <col min="5" max="12" width="25.453125" style="76" customWidth="1"/>
    <col min="13" max="13" width="17.453125" style="76" bestFit="1" customWidth="1"/>
    <col min="14" max="14" width="13.54296875" style="76" bestFit="1" customWidth="1"/>
    <col min="15" max="101" width="9.453125" style="76" customWidth="1"/>
    <col min="102" max="16384" width="9.453125" style="76"/>
  </cols>
  <sheetData>
    <row r="3" spans="2:12" ht="18" customHeight="1" x14ac:dyDescent="0.35">
      <c r="B3" s="300" t="str">
        <f>_xlfn.CONCAT('Table of Contents'!B19,": ",'Table of Contents'!C19)</f>
        <v>APPENDIX 7: SUMMARY OF LONG TERM INSURANCE BUSINESS GROSS PREMIUM INCOME FOR THE PERIOD ENDED 31.12.2025</v>
      </c>
      <c r="C3" s="269"/>
      <c r="D3" s="269"/>
      <c r="E3" s="269"/>
      <c r="F3" s="269"/>
      <c r="G3" s="269"/>
      <c r="H3" s="269"/>
      <c r="I3" s="269"/>
      <c r="J3" s="269"/>
      <c r="K3" s="269"/>
      <c r="L3" s="270"/>
    </row>
    <row r="4" spans="2:12" s="140" customFormat="1" ht="31" x14ac:dyDescent="0.35">
      <c r="B4" s="144" t="s">
        <v>0</v>
      </c>
      <c r="C4" s="66" t="s">
        <v>190</v>
      </c>
      <c r="D4" s="66" t="s">
        <v>191</v>
      </c>
      <c r="E4" s="66" t="s">
        <v>192</v>
      </c>
      <c r="F4" s="66" t="s">
        <v>193</v>
      </c>
      <c r="G4" s="66" t="s">
        <v>194</v>
      </c>
      <c r="H4" s="66" t="s">
        <v>195</v>
      </c>
      <c r="I4" s="66" t="s">
        <v>196</v>
      </c>
      <c r="J4" s="66" t="s">
        <v>183</v>
      </c>
      <c r="K4" s="66" t="s">
        <v>176</v>
      </c>
      <c r="L4" s="66" t="s">
        <v>197</v>
      </c>
    </row>
    <row r="5" spans="2:12" x14ac:dyDescent="0.35">
      <c r="B5" s="316" t="s">
        <v>17</v>
      </c>
      <c r="C5" s="269"/>
      <c r="D5" s="269"/>
      <c r="E5" s="269"/>
      <c r="F5" s="269"/>
      <c r="G5" s="269"/>
      <c r="H5" s="269"/>
      <c r="I5" s="269"/>
      <c r="J5" s="269"/>
      <c r="K5" s="269"/>
      <c r="L5" s="270"/>
    </row>
    <row r="6" spans="2:12" ht="18" customHeight="1" x14ac:dyDescent="0.35">
      <c r="B6" s="67" t="str">
        <f>'APPENDIX 9'!B6</f>
        <v>ABSA LIFE ASSURANCE</v>
      </c>
      <c r="C6" s="125">
        <f>'APPENDIX 9'!D6</f>
        <v>6316275.5480000013</v>
      </c>
      <c r="D6" s="125">
        <f>'APPENDIX 10'!D6</f>
        <v>0</v>
      </c>
      <c r="E6" s="125">
        <f>'APPENDIX 15'!D6</f>
        <v>0</v>
      </c>
      <c r="F6" s="125">
        <f>'APPENDIX 16'!D6</f>
        <v>0</v>
      </c>
      <c r="G6" s="125">
        <f>'APPENDIX 11'!D6</f>
        <v>2567980.5060000028</v>
      </c>
      <c r="H6" s="125">
        <f>'APPENDIX 12'!D6</f>
        <v>1143702.6040000001</v>
      </c>
      <c r="I6" s="125">
        <f>'APPENDIX 14'!D6</f>
        <v>0</v>
      </c>
      <c r="J6" s="125">
        <f>'APPENDIX 13'!D6</f>
        <v>0</v>
      </c>
      <c r="K6" s="135">
        <f t="shared" ref="K6:K29" si="0">SUM(C6:J6)</f>
        <v>10027958.658000005</v>
      </c>
      <c r="L6" s="136">
        <f t="shared" ref="L6:L29" si="1">IFERROR(K6/$K$30,0)*100</f>
        <v>4.2601491462788594</v>
      </c>
    </row>
    <row r="7" spans="2:12" ht="18" customHeight="1" x14ac:dyDescent="0.35">
      <c r="B7" s="67" t="str">
        <f>'APPENDIX 9'!B7</f>
        <v xml:space="preserve">APA LIFE ASSURANCE COMPANY </v>
      </c>
      <c r="C7" s="125">
        <f>'APPENDIX 9'!D7</f>
        <v>610629.03004999994</v>
      </c>
      <c r="D7" s="125">
        <f>'APPENDIX 10'!D7</f>
        <v>23589.960999999999</v>
      </c>
      <c r="E7" s="125">
        <f>'APPENDIX 15'!D7</f>
        <v>130267.84999</v>
      </c>
      <c r="F7" s="125">
        <f>'APPENDIX 16'!D7</f>
        <v>1949836.4045599999</v>
      </c>
      <c r="G7" s="125">
        <f>'APPENDIX 11'!D7</f>
        <v>1831004.7926953</v>
      </c>
      <c r="H7" s="125">
        <f>'APPENDIX 12'!D7</f>
        <v>1315454.1192300001</v>
      </c>
      <c r="I7" s="125">
        <f>'APPENDIX 14'!D7</f>
        <v>0</v>
      </c>
      <c r="J7" s="125">
        <f>'APPENDIX 13'!D7</f>
        <v>8662218.0120000001</v>
      </c>
      <c r="K7" s="135">
        <f t="shared" si="0"/>
        <v>14523000.169525299</v>
      </c>
      <c r="L7" s="136">
        <f t="shared" si="1"/>
        <v>6.1697648428429428</v>
      </c>
    </row>
    <row r="8" spans="2:12" ht="18" customHeight="1" x14ac:dyDescent="0.35">
      <c r="B8" s="67" t="str">
        <f>'APPENDIX 9'!B8</f>
        <v>BRITAM LIFE ASSURANCE</v>
      </c>
      <c r="C8" s="125">
        <f>'APPENDIX 9'!D8</f>
        <v>11532887</v>
      </c>
      <c r="D8" s="125">
        <f>'APPENDIX 10'!D8</f>
        <v>7464031.0469700033</v>
      </c>
      <c r="E8" s="125">
        <f>'APPENDIX 15'!D8</f>
        <v>6139589.5333000002</v>
      </c>
      <c r="F8" s="125">
        <f>'APPENDIX 16'!D8</f>
        <v>8836842.7359999996</v>
      </c>
      <c r="G8" s="125">
        <f>'APPENDIX 11'!D8</f>
        <v>5227073.0038000001</v>
      </c>
      <c r="H8" s="125">
        <f>'APPENDIX 12'!D8</f>
        <v>432715.57299999997</v>
      </c>
      <c r="I8" s="125">
        <f>'APPENDIX 14'!D8</f>
        <v>0</v>
      </c>
      <c r="J8" s="125">
        <f>'APPENDIX 13'!D8</f>
        <v>13503522</v>
      </c>
      <c r="K8" s="135">
        <f t="shared" si="0"/>
        <v>53136660.893069997</v>
      </c>
      <c r="L8" s="136">
        <f t="shared" si="1"/>
        <v>22.573896468862092</v>
      </c>
    </row>
    <row r="9" spans="2:12" ht="18" customHeight="1" x14ac:dyDescent="0.35">
      <c r="B9" s="67" t="str">
        <f>'APPENDIX 9'!B9</f>
        <v>CANNON LIFE ASSURANCE (K) LIMITED</v>
      </c>
      <c r="C9" s="125">
        <f>'APPENDIX 9'!D9</f>
        <v>21594.655360000001</v>
      </c>
      <c r="D9" s="125">
        <f>'APPENDIX 10'!D9</f>
        <v>0</v>
      </c>
      <c r="E9" s="125">
        <f>'APPENDIX 15'!D9</f>
        <v>0</v>
      </c>
      <c r="F9" s="125">
        <f>'APPENDIX 16'!D9</f>
        <v>0</v>
      </c>
      <c r="G9" s="125">
        <f>'APPENDIX 11'!D9</f>
        <v>504610.99463623803</v>
      </c>
      <c r="H9" s="125">
        <f>'APPENDIX 12'!D9</f>
        <v>14341.35242067233</v>
      </c>
      <c r="I9" s="125">
        <f>'APPENDIX 14'!D9</f>
        <v>0</v>
      </c>
      <c r="J9" s="125">
        <f>'APPENDIX 13'!D9</f>
        <v>0</v>
      </c>
      <c r="K9" s="135">
        <f t="shared" si="0"/>
        <v>540547.00241691037</v>
      </c>
      <c r="L9" s="136">
        <f t="shared" si="1"/>
        <v>0.22963904513436376</v>
      </c>
    </row>
    <row r="10" spans="2:12" ht="18" customHeight="1" x14ac:dyDescent="0.35">
      <c r="B10" s="67" t="str">
        <f>'APPENDIX 9'!B10</f>
        <v>CAPEX LIFE ASSURANCE COMPANY</v>
      </c>
      <c r="C10" s="125">
        <f>'APPENDIX 9'!D10</f>
        <v>6056.389720000001</v>
      </c>
      <c r="D10" s="125">
        <f>'APPENDIX 10'!D10</f>
        <v>249593.046</v>
      </c>
      <c r="E10" s="125">
        <f>'APPENDIX 15'!D10</f>
        <v>41254.695</v>
      </c>
      <c r="F10" s="125">
        <f>'APPENDIX 16'!D10</f>
        <v>0</v>
      </c>
      <c r="G10" s="125">
        <f>'APPENDIX 11'!D10</f>
        <v>948991.07234941132</v>
      </c>
      <c r="H10" s="125">
        <f>'APPENDIX 12'!D10</f>
        <v>111804.0708449097</v>
      </c>
      <c r="I10" s="125">
        <f>'APPENDIX 14'!D10</f>
        <v>0</v>
      </c>
      <c r="J10" s="125">
        <f>'APPENDIX 13'!D10</f>
        <v>0</v>
      </c>
      <c r="K10" s="135">
        <f t="shared" si="0"/>
        <v>1357699.2739143209</v>
      </c>
      <c r="L10" s="136">
        <f t="shared" si="1"/>
        <v>0.57678751976656961</v>
      </c>
    </row>
    <row r="11" spans="2:12" ht="18" customHeight="1" x14ac:dyDescent="0.35">
      <c r="B11" s="67" t="str">
        <f>'APPENDIX 9'!B11</f>
        <v>CIC LIFE ASSURANCE COMPANY</v>
      </c>
      <c r="C11" s="125">
        <f>'APPENDIX 9'!D11</f>
        <v>1409614.0840700001</v>
      </c>
      <c r="D11" s="125">
        <f>'APPENDIX 10'!D11</f>
        <v>1214105.3337600001</v>
      </c>
      <c r="E11" s="125">
        <f>'APPENDIX 15'!D11</f>
        <v>0</v>
      </c>
      <c r="F11" s="125">
        <f>'APPENDIX 16'!D11</f>
        <v>3353751.31232</v>
      </c>
      <c r="G11" s="125">
        <f>'APPENDIX 11'!D11</f>
        <v>824232.39300000004</v>
      </c>
      <c r="H11" s="125">
        <f>'APPENDIX 12'!D11</f>
        <v>6467982.2989999996</v>
      </c>
      <c r="I11" s="125">
        <f>'APPENDIX 14'!D11</f>
        <v>0</v>
      </c>
      <c r="J11" s="125">
        <f>'APPENDIX 13'!D11</f>
        <v>0</v>
      </c>
      <c r="K11" s="135">
        <f t="shared" si="0"/>
        <v>13269685.422150001</v>
      </c>
      <c r="L11" s="136">
        <f t="shared" si="1"/>
        <v>5.6373227045030481</v>
      </c>
    </row>
    <row r="12" spans="2:12" ht="18" customHeight="1" x14ac:dyDescent="0.35">
      <c r="B12" s="67" t="str">
        <f>'APPENDIX 9'!B12</f>
        <v>CORPORATE INSURANCE COMPANY</v>
      </c>
      <c r="C12" s="125">
        <f>'APPENDIX 9'!D12</f>
        <v>34017.64402</v>
      </c>
      <c r="D12" s="125">
        <f>'APPENDIX 10'!D12</f>
        <v>0</v>
      </c>
      <c r="E12" s="125">
        <f>'APPENDIX 15'!D12</f>
        <v>0</v>
      </c>
      <c r="F12" s="125">
        <f>'APPENDIX 16'!D12</f>
        <v>0</v>
      </c>
      <c r="G12" s="125">
        <f>'APPENDIX 11'!D12</f>
        <v>0</v>
      </c>
      <c r="H12" s="125">
        <f>'APPENDIX 12'!D12</f>
        <v>0</v>
      </c>
      <c r="I12" s="125">
        <f>'APPENDIX 14'!D12</f>
        <v>0</v>
      </c>
      <c r="J12" s="125">
        <f>'APPENDIX 13'!D12</f>
        <v>0</v>
      </c>
      <c r="K12" s="135">
        <f t="shared" si="0"/>
        <v>34017.64402</v>
      </c>
      <c r="L12" s="136">
        <f t="shared" si="1"/>
        <v>1.4451618925912513E-2</v>
      </c>
    </row>
    <row r="13" spans="2:12" ht="18" customHeight="1" x14ac:dyDescent="0.35">
      <c r="B13" s="67" t="str">
        <f>'APPENDIX 9'!B13</f>
        <v xml:space="preserve">EQUITY LIFE ASSURANCE </v>
      </c>
      <c r="C13" s="125">
        <f>'APPENDIX 9'!D13</f>
        <v>0</v>
      </c>
      <c r="D13" s="125">
        <f>'APPENDIX 10'!D13</f>
        <v>0</v>
      </c>
      <c r="E13" s="125">
        <f>'APPENDIX 15'!D13</f>
        <v>332020.42</v>
      </c>
      <c r="F13" s="125">
        <f>'APPENDIX 16'!D13</f>
        <v>2461209.0729999999</v>
      </c>
      <c r="G13" s="125">
        <f>'APPENDIX 11'!D13</f>
        <v>646193.821</v>
      </c>
      <c r="H13" s="125">
        <f>'APPENDIX 12'!D13</f>
        <v>2338846.5950000002</v>
      </c>
      <c r="I13" s="125">
        <f>'APPENDIX 14'!D13</f>
        <v>0</v>
      </c>
      <c r="J13" s="125">
        <f>'APPENDIX 13'!D13</f>
        <v>321400.65399999998</v>
      </c>
      <c r="K13" s="135">
        <f t="shared" si="0"/>
        <v>6099670.5630000001</v>
      </c>
      <c r="L13" s="136">
        <f t="shared" si="1"/>
        <v>2.5913056911953136</v>
      </c>
    </row>
    <row r="14" spans="2:12" ht="18" customHeight="1" x14ac:dyDescent="0.35">
      <c r="B14" s="67" t="str">
        <f>'APPENDIX 9'!B14</f>
        <v xml:space="preserve">GA LIFE ASSURANCE COMPANY </v>
      </c>
      <c r="C14" s="125">
        <f>'APPENDIX 9'!D14</f>
        <v>1053351.8640000001</v>
      </c>
      <c r="D14" s="125">
        <f>'APPENDIX 10'!D14</f>
        <v>0</v>
      </c>
      <c r="E14" s="125">
        <f>'APPENDIX 15'!D14</f>
        <v>1903228.5279999999</v>
      </c>
      <c r="F14" s="125">
        <f>'APPENDIX 16'!D14</f>
        <v>9973803.0859999992</v>
      </c>
      <c r="G14" s="125">
        <f>'APPENDIX 11'!D14</f>
        <v>81952.476999999999</v>
      </c>
      <c r="H14" s="125">
        <f>'APPENDIX 12'!D14</f>
        <v>3027.5379699999989</v>
      </c>
      <c r="I14" s="125">
        <f>'APPENDIX 14'!D14</f>
        <v>0</v>
      </c>
      <c r="J14" s="125">
        <f>'APPENDIX 13'!D14</f>
        <v>0</v>
      </c>
      <c r="K14" s="135">
        <f t="shared" si="0"/>
        <v>13015363.492970001</v>
      </c>
      <c r="L14" s="136">
        <f t="shared" si="1"/>
        <v>5.5292798428971297</v>
      </c>
    </row>
    <row r="15" spans="2:12" ht="18" customHeight="1" x14ac:dyDescent="0.35">
      <c r="B15" s="67" t="str">
        <f>'APPENDIX 9'!B15</f>
        <v>GEMINIA LIFE INSURANCE COMPANY</v>
      </c>
      <c r="C15" s="125">
        <f>'APPENDIX 9'!D15</f>
        <v>90055.416939999996</v>
      </c>
      <c r="D15" s="125">
        <f>'APPENDIX 10'!D15</f>
        <v>0</v>
      </c>
      <c r="E15" s="125">
        <f>'APPENDIX 15'!D15</f>
        <v>106143.11336</v>
      </c>
      <c r="F15" s="125">
        <f>'APPENDIX 16'!D15</f>
        <v>653982.21045479097</v>
      </c>
      <c r="G15" s="125">
        <f>'APPENDIX 11'!D15</f>
        <v>213260.89314</v>
      </c>
      <c r="H15" s="125">
        <f>'APPENDIX 12'!D15</f>
        <v>511593.43885999999</v>
      </c>
      <c r="I15" s="125">
        <f>'APPENDIX 14'!D15</f>
        <v>0</v>
      </c>
      <c r="J15" s="125">
        <f>'APPENDIX 13'!D15</f>
        <v>574003.62115000002</v>
      </c>
      <c r="K15" s="135">
        <f t="shared" si="0"/>
        <v>2149038.693904791</v>
      </c>
      <c r="L15" s="136">
        <f t="shared" si="1"/>
        <v>0.91296999413285029</v>
      </c>
    </row>
    <row r="16" spans="2:12" ht="18" customHeight="1" x14ac:dyDescent="0.35">
      <c r="B16" s="67" t="str">
        <f>'APPENDIX 9'!B16</f>
        <v xml:space="preserve">ICEA LION LIFE ASSURANCE </v>
      </c>
      <c r="C16" s="125">
        <f>'APPENDIX 9'!D16</f>
        <v>9823389.5079200007</v>
      </c>
      <c r="D16" s="125">
        <f>'APPENDIX 10'!D16</f>
        <v>2481013.5477999998</v>
      </c>
      <c r="E16" s="125">
        <f>'APPENDIX 15'!D16</f>
        <v>8823772.1475800015</v>
      </c>
      <c r="F16" s="125">
        <f>'APPENDIX 16'!D16</f>
        <v>10776285.295840001</v>
      </c>
      <c r="G16" s="125">
        <f>'APPENDIX 11'!D16</f>
        <v>549692.74724000006</v>
      </c>
      <c r="H16" s="125">
        <f>'APPENDIX 12'!D16</f>
        <v>355779.25153000001</v>
      </c>
      <c r="I16" s="125">
        <f>'APPENDIX 14'!D16</f>
        <v>0</v>
      </c>
      <c r="J16" s="125">
        <f>'APPENDIX 13'!D16</f>
        <v>5030.2792399999998</v>
      </c>
      <c r="K16" s="135">
        <f t="shared" si="0"/>
        <v>32814962.777150001</v>
      </c>
      <c r="L16" s="136">
        <f t="shared" si="1"/>
        <v>13.940687275243455</v>
      </c>
    </row>
    <row r="17" spans="2:12" ht="18" customHeight="1" x14ac:dyDescent="0.35">
      <c r="B17" s="67" t="str">
        <f>'APPENDIX 9'!B17</f>
        <v>JUBILEE LIFE INSURANCE</v>
      </c>
      <c r="C17" s="125">
        <f>'APPENDIX 9'!D17</f>
        <v>4621119.0092400135</v>
      </c>
      <c r="D17" s="125">
        <f>'APPENDIX 10'!D17</f>
        <v>1763324.2776200001</v>
      </c>
      <c r="E17" s="125">
        <f>'APPENDIX 15'!D17</f>
        <v>3497687.5669999998</v>
      </c>
      <c r="F17" s="125">
        <f>'APPENDIX 16'!D17</f>
        <v>16677893.477556</v>
      </c>
      <c r="G17" s="125">
        <f>'APPENDIX 11'!D17</f>
        <v>1132529.335</v>
      </c>
      <c r="H17" s="125">
        <f>'APPENDIX 12'!D17</f>
        <v>251953.05489999999</v>
      </c>
      <c r="I17" s="125">
        <f>'APPENDIX 14'!D17</f>
        <v>0</v>
      </c>
      <c r="J17" s="125">
        <f>'APPENDIX 13'!D17</f>
        <v>2710479.08574</v>
      </c>
      <c r="K17" s="135">
        <f t="shared" si="0"/>
        <v>30654985.807056013</v>
      </c>
      <c r="L17" s="136">
        <f t="shared" si="1"/>
        <v>13.023070404357478</v>
      </c>
    </row>
    <row r="18" spans="2:12" ht="18" customHeight="1" x14ac:dyDescent="0.35">
      <c r="B18" s="67" t="str">
        <f>'APPENDIX 9'!B18</f>
        <v>KENINDIA ASSURANCE COMPANY</v>
      </c>
      <c r="C18" s="125">
        <f>'APPENDIX 9'!D18</f>
        <v>2226138.06244</v>
      </c>
      <c r="D18" s="125">
        <f>'APPENDIX 10'!D18</f>
        <v>493792</v>
      </c>
      <c r="E18" s="125">
        <f>'APPENDIX 15'!D18</f>
        <v>1379195.4985400001</v>
      </c>
      <c r="F18" s="125">
        <f>'APPENDIX 16'!D18</f>
        <v>13968850.20246</v>
      </c>
      <c r="G18" s="125">
        <f>'APPENDIX 11'!D18</f>
        <v>97092.009000000005</v>
      </c>
      <c r="H18" s="125">
        <f>'APPENDIX 12'!D18</f>
        <v>4835.0510000000004</v>
      </c>
      <c r="I18" s="125">
        <f>'APPENDIX 14'!D18</f>
        <v>0</v>
      </c>
      <c r="J18" s="125">
        <f>'APPENDIX 13'!D18</f>
        <v>0</v>
      </c>
      <c r="K18" s="135">
        <f t="shared" si="0"/>
        <v>18169902.82344</v>
      </c>
      <c r="L18" s="136">
        <f t="shared" si="1"/>
        <v>7.7190681215558419</v>
      </c>
    </row>
    <row r="19" spans="2:12" ht="18" customHeight="1" x14ac:dyDescent="0.35">
      <c r="B19" s="67" t="str">
        <f>'APPENDIX 9'!B19</f>
        <v>KENYA ORIENT LIFE ASSURANCE</v>
      </c>
      <c r="C19" s="125">
        <f>'APPENDIX 9'!D19</f>
        <v>65108.315289999999</v>
      </c>
      <c r="D19" s="125">
        <f>'APPENDIX 10'!D19</f>
        <v>266417.21399999998</v>
      </c>
      <c r="E19" s="125">
        <f>'APPENDIX 15'!D19</f>
        <v>78893.689230000004</v>
      </c>
      <c r="F19" s="125">
        <f>'APPENDIX 16'!D19</f>
        <v>216371.41091999999</v>
      </c>
      <c r="G19" s="125">
        <f>'APPENDIX 11'!D19</f>
        <v>62269.353000000003</v>
      </c>
      <c r="H19" s="125">
        <f>'APPENDIX 12'!D19</f>
        <v>713588.67443000001</v>
      </c>
      <c r="I19" s="125">
        <f>'APPENDIX 14'!D19</f>
        <v>0</v>
      </c>
      <c r="J19" s="125">
        <f>'APPENDIX 13'!D19</f>
        <v>0</v>
      </c>
      <c r="K19" s="135">
        <f t="shared" si="0"/>
        <v>1402648.6568700001</v>
      </c>
      <c r="L19" s="136">
        <f t="shared" si="1"/>
        <v>0.59588323824279532</v>
      </c>
    </row>
    <row r="20" spans="2:12" ht="18" customHeight="1" x14ac:dyDescent="0.35">
      <c r="B20" s="67" t="str">
        <f>'APPENDIX 9'!B20</f>
        <v>KUSCCO MUTUAL ASSURANCE LIMITED</v>
      </c>
      <c r="C20" s="125">
        <f>'APPENDIX 9'!D20</f>
        <v>0</v>
      </c>
      <c r="D20" s="125">
        <f>'APPENDIX 10'!D20</f>
        <v>0</v>
      </c>
      <c r="E20" s="125">
        <f>'APPENDIX 15'!D20</f>
        <v>0</v>
      </c>
      <c r="F20" s="125">
        <f>'APPENDIX 16'!D20</f>
        <v>0</v>
      </c>
      <c r="G20" s="125">
        <f>'APPENDIX 11'!D20</f>
        <v>0</v>
      </c>
      <c r="H20" s="125">
        <f>'APPENDIX 12'!D20</f>
        <v>0</v>
      </c>
      <c r="I20" s="125">
        <f>'APPENDIX 14'!D20</f>
        <v>0</v>
      </c>
      <c r="J20" s="125">
        <f>'APPENDIX 13'!D20</f>
        <v>0</v>
      </c>
      <c r="K20" s="135">
        <f t="shared" si="0"/>
        <v>0</v>
      </c>
      <c r="L20" s="136">
        <f t="shared" si="1"/>
        <v>0</v>
      </c>
    </row>
    <row r="21" spans="2:12" ht="18" customHeight="1" x14ac:dyDescent="0.35">
      <c r="B21" s="67" t="str">
        <f>'APPENDIX 9'!B21</f>
        <v>LIBERTY LIFE ASSURANCE COMPANY</v>
      </c>
      <c r="C21" s="125">
        <f>'APPENDIX 9'!D21</f>
        <v>1578392.8480499741</v>
      </c>
      <c r="D21" s="125">
        <f>'APPENDIX 10'!D21</f>
        <v>0</v>
      </c>
      <c r="E21" s="125">
        <f>'APPENDIX 15'!D21</f>
        <v>1338237.4196299999</v>
      </c>
      <c r="F21" s="125">
        <f>'APPENDIX 16'!D21</f>
        <v>687828.0057000001</v>
      </c>
      <c r="G21" s="125">
        <f>'APPENDIX 11'!D21</f>
        <v>847288.78467000159</v>
      </c>
      <c r="H21" s="125">
        <f>'APPENDIX 12'!D21</f>
        <v>987472.64341999881</v>
      </c>
      <c r="I21" s="125">
        <f>'APPENDIX 14'!D21</f>
        <v>0</v>
      </c>
      <c r="J21" s="125">
        <f>'APPENDIX 13'!D21</f>
        <v>840836.56599001843</v>
      </c>
      <c r="K21" s="135">
        <f t="shared" si="0"/>
        <v>6280056.2674599933</v>
      </c>
      <c r="L21" s="136">
        <f t="shared" si="1"/>
        <v>2.6679384368083094</v>
      </c>
    </row>
    <row r="22" spans="2:12" ht="18" customHeight="1" x14ac:dyDescent="0.35">
      <c r="B22" s="67" t="str">
        <f>'APPENDIX 9'!B22</f>
        <v>MADISON INSURANCE COMPANY</v>
      </c>
      <c r="C22" s="125">
        <f>'APPENDIX 9'!D22</f>
        <v>1175155.125489</v>
      </c>
      <c r="D22" s="125">
        <f>'APPENDIX 10'!D22</f>
        <v>0</v>
      </c>
      <c r="E22" s="125">
        <f>'APPENDIX 15'!D22</f>
        <v>187088.16110999999</v>
      </c>
      <c r="F22" s="125">
        <f>'APPENDIX 16'!D22</f>
        <v>1768983.7424999999</v>
      </c>
      <c r="G22" s="125">
        <f>'APPENDIX 11'!D22</f>
        <v>614928.04159904632</v>
      </c>
      <c r="H22" s="125">
        <f>'APPENDIX 12'!D22</f>
        <v>632051.03467095294</v>
      </c>
      <c r="I22" s="125">
        <f>'APPENDIX 14'!D22</f>
        <v>0</v>
      </c>
      <c r="J22" s="125">
        <f>'APPENDIX 13'!D22</f>
        <v>1436300.7089265801</v>
      </c>
      <c r="K22" s="135">
        <f t="shared" si="0"/>
        <v>5814506.8142955787</v>
      </c>
      <c r="L22" s="136">
        <f t="shared" si="1"/>
        <v>2.4701603871484474</v>
      </c>
    </row>
    <row r="23" spans="2:12" ht="18" customHeight="1" x14ac:dyDescent="0.35">
      <c r="B23" s="67" t="str">
        <f>'APPENDIX 9'!B23</f>
        <v>OLD MUTUAL LIFE ASSURANCE KENYA</v>
      </c>
      <c r="C23" s="125">
        <f>'APPENDIX 9'!D23</f>
        <v>166999.82285</v>
      </c>
      <c r="D23" s="125">
        <f>'APPENDIX 10'!D23</f>
        <v>0</v>
      </c>
      <c r="E23" s="125">
        <f>'APPENDIX 15'!D23</f>
        <v>0</v>
      </c>
      <c r="F23" s="125">
        <f>'APPENDIX 16'!D23</f>
        <v>775170.62300000002</v>
      </c>
      <c r="G23" s="125">
        <f>'APPENDIX 11'!D23</f>
        <v>2290379.305949999</v>
      </c>
      <c r="H23" s="125">
        <f>'APPENDIX 12'!D23</f>
        <v>1515501.81819</v>
      </c>
      <c r="I23" s="125">
        <f>'APPENDIX 14'!D23</f>
        <v>0</v>
      </c>
      <c r="J23" s="125">
        <f>'APPENDIX 13'!D23</f>
        <v>1883083.29693</v>
      </c>
      <c r="K23" s="135">
        <f t="shared" si="0"/>
        <v>6631134.866919999</v>
      </c>
      <c r="L23" s="136">
        <f t="shared" si="1"/>
        <v>2.8170861593682881</v>
      </c>
    </row>
    <row r="24" spans="2:12" ht="18" customHeight="1" x14ac:dyDescent="0.35">
      <c r="B24" s="67" t="str">
        <f>'APPENDIX 9'!B24</f>
        <v xml:space="preserve">PIONEER ASSURANCE COMPANY </v>
      </c>
      <c r="C24" s="125">
        <f>'APPENDIX 9'!D24</f>
        <v>1286043.0319999999</v>
      </c>
      <c r="D24" s="125">
        <f>'APPENDIX 10'!D24</f>
        <v>227005.16800000001</v>
      </c>
      <c r="E24" s="125">
        <f>'APPENDIX 15'!D24</f>
        <v>175339.92963</v>
      </c>
      <c r="F24" s="125">
        <f>'APPENDIX 16'!D24</f>
        <v>5487190.8973699994</v>
      </c>
      <c r="G24" s="125">
        <f>'APPENDIX 11'!D24</f>
        <v>1317555.3149999999</v>
      </c>
      <c r="H24" s="125">
        <f>'APPENDIX 12'!D24</f>
        <v>327789.69900000002</v>
      </c>
      <c r="I24" s="125">
        <f>'APPENDIX 14'!D24</f>
        <v>0</v>
      </c>
      <c r="J24" s="125">
        <f>'APPENDIX 13'!D24</f>
        <v>214940.83100000001</v>
      </c>
      <c r="K24" s="135">
        <f t="shared" si="0"/>
        <v>9035864.8719999976</v>
      </c>
      <c r="L24" s="136">
        <f t="shared" si="1"/>
        <v>3.8386807657640722</v>
      </c>
    </row>
    <row r="25" spans="2:12" ht="18" customHeight="1" x14ac:dyDescent="0.35">
      <c r="B25" s="67" t="str">
        <f>'APPENDIX 9'!B25</f>
        <v>PRUDENTIAL LIFE ASSURANCE</v>
      </c>
      <c r="C25" s="125">
        <f>'APPENDIX 9'!D25</f>
        <v>1035317.40492</v>
      </c>
      <c r="D25" s="125">
        <f>'APPENDIX 10'!D25</f>
        <v>0</v>
      </c>
      <c r="E25" s="125">
        <f>'APPENDIX 15'!D25</f>
        <v>0</v>
      </c>
      <c r="F25" s="125">
        <f>'APPENDIX 16'!D25</f>
        <v>1543351.5390000001</v>
      </c>
      <c r="G25" s="125">
        <f>'APPENDIX 11'!D25</f>
        <v>726750.36991000001</v>
      </c>
      <c r="H25" s="125">
        <f>'APPENDIX 12'!D25</f>
        <v>113375.1367</v>
      </c>
      <c r="I25" s="125">
        <f>'APPENDIX 14'!D25</f>
        <v>0</v>
      </c>
      <c r="J25" s="125">
        <f>'APPENDIX 13'!D25</f>
        <v>0</v>
      </c>
      <c r="K25" s="135">
        <f t="shared" si="0"/>
        <v>3418794.45053</v>
      </c>
      <c r="L25" s="136">
        <f t="shared" si="1"/>
        <v>1.4523967196563079</v>
      </c>
    </row>
    <row r="26" spans="2:12" ht="18" customHeight="1" x14ac:dyDescent="0.35">
      <c r="B26" s="67" t="str">
        <f>'APPENDIX 9'!B26</f>
        <v>SANLAM LIFE ASSURANCE</v>
      </c>
      <c r="C26" s="125">
        <f>'APPENDIX 9'!D26</f>
        <v>3224072.1234300002</v>
      </c>
      <c r="D26" s="125">
        <f>'APPENDIX 10'!D26</f>
        <v>315900.47616999998</v>
      </c>
      <c r="E26" s="125">
        <f>'APPENDIX 15'!D26</f>
        <v>582905.20236294263</v>
      </c>
      <c r="F26" s="125">
        <f>'APPENDIX 16'!D26</f>
        <v>272894.16473999998</v>
      </c>
      <c r="G26" s="125">
        <f>'APPENDIX 11'!D26</f>
        <v>753895.85252000007</v>
      </c>
      <c r="H26" s="125">
        <f>'APPENDIX 12'!D26</f>
        <v>772649.87195000006</v>
      </c>
      <c r="I26" s="125">
        <f>'APPENDIX 14'!D26</f>
        <v>0</v>
      </c>
      <c r="J26" s="125">
        <f>'APPENDIX 13'!D26</f>
        <v>136274.41318999999</v>
      </c>
      <c r="K26" s="135">
        <f t="shared" si="0"/>
        <v>6058592.1043629423</v>
      </c>
      <c r="L26" s="136">
        <f t="shared" si="1"/>
        <v>2.5738544464842574</v>
      </c>
    </row>
    <row r="27" spans="2:12" ht="18" customHeight="1" x14ac:dyDescent="0.35">
      <c r="B27" s="67" t="str">
        <f>'APPENDIX 9'!B27</f>
        <v>STAR DISCOVER LIFE INSURANCE</v>
      </c>
      <c r="C27" s="125">
        <f>'APPENDIX 9'!D27</f>
        <v>0</v>
      </c>
      <c r="D27" s="125">
        <f>'APPENDIX 10'!D27</f>
        <v>0</v>
      </c>
      <c r="E27" s="125">
        <f>'APPENDIX 15'!D27</f>
        <v>0</v>
      </c>
      <c r="F27" s="125">
        <f>'APPENDIX 16'!D27</f>
        <v>0</v>
      </c>
      <c r="G27" s="125">
        <f>'APPENDIX 11'!D27</f>
        <v>40189.758309999997</v>
      </c>
      <c r="H27" s="125">
        <f>'APPENDIX 12'!D27</f>
        <v>0</v>
      </c>
      <c r="I27" s="125">
        <f>'APPENDIX 14'!D27</f>
        <v>0</v>
      </c>
      <c r="J27" s="125">
        <f>'APPENDIX 13'!D27</f>
        <v>0</v>
      </c>
      <c r="K27" s="135">
        <f t="shared" si="0"/>
        <v>40189.758309999997</v>
      </c>
      <c r="L27" s="136">
        <f t="shared" si="1"/>
        <v>1.7073700679540643E-2</v>
      </c>
    </row>
    <row r="28" spans="2:12" ht="18" customHeight="1" x14ac:dyDescent="0.35">
      <c r="B28" s="67" t="str">
        <f>'APPENDIX 9'!B28</f>
        <v>THE KENYAN ALLIANCE INSURANCE</v>
      </c>
      <c r="C28" s="125">
        <f>'APPENDIX 9'!D28</f>
        <v>25061.65005</v>
      </c>
      <c r="D28" s="125">
        <f>'APPENDIX 10'!D28</f>
        <v>0</v>
      </c>
      <c r="E28" s="125">
        <f>'APPENDIX 15'!D28</f>
        <v>260478.30974999999</v>
      </c>
      <c r="F28" s="125">
        <f>'APPENDIX 16'!D28</f>
        <v>342256.88280999998</v>
      </c>
      <c r="G28" s="125">
        <f>'APPENDIX 11'!D28</f>
        <v>262382.94</v>
      </c>
      <c r="H28" s="125">
        <f>'APPENDIX 12'!D28</f>
        <v>15346.795</v>
      </c>
      <c r="I28" s="125">
        <f>'APPENDIX 14'!D28</f>
        <v>0</v>
      </c>
      <c r="J28" s="125">
        <f>'APPENDIX 13'!D28</f>
        <v>9041.7724999999991</v>
      </c>
      <c r="K28" s="135">
        <f t="shared" si="0"/>
        <v>914568.35010999988</v>
      </c>
      <c r="L28" s="136">
        <f t="shared" si="1"/>
        <v>0.38853347015212419</v>
      </c>
    </row>
    <row r="29" spans="2:12" ht="18" customHeight="1" x14ac:dyDescent="0.35">
      <c r="B29" s="67" t="str">
        <f>'APPENDIX 9'!B29</f>
        <v>THE MONARCH INSURANCE</v>
      </c>
      <c r="C29" s="125">
        <f>'APPENDIX 9'!D29</f>
        <v>0</v>
      </c>
      <c r="D29" s="125">
        <f>'APPENDIX 10'!D29</f>
        <v>0</v>
      </c>
      <c r="E29" s="125">
        <f>'APPENDIX 15'!D29</f>
        <v>0</v>
      </c>
      <c r="F29" s="125">
        <f>'APPENDIX 16'!D29</f>
        <v>0</v>
      </c>
      <c r="G29" s="125">
        <f>'APPENDIX 11'!D29</f>
        <v>0</v>
      </c>
      <c r="H29" s="125">
        <f>'APPENDIX 12'!D29</f>
        <v>0</v>
      </c>
      <c r="I29" s="125">
        <f>'APPENDIX 14'!D29</f>
        <v>0</v>
      </c>
      <c r="J29" s="125">
        <f>'APPENDIX 13'!D29</f>
        <v>0</v>
      </c>
      <c r="K29" s="135">
        <f t="shared" si="0"/>
        <v>0</v>
      </c>
      <c r="L29" s="136">
        <f t="shared" si="1"/>
        <v>0</v>
      </c>
    </row>
    <row r="30" spans="2:12" s="140" customFormat="1" ht="18" customHeight="1" x14ac:dyDescent="0.35">
      <c r="B30" s="137" t="s">
        <v>24</v>
      </c>
      <c r="C30" s="138">
        <f t="shared" ref="C30:L30" si="2">SUM(C6:C29)</f>
        <v>46301278.533838972</v>
      </c>
      <c r="D30" s="138">
        <f t="shared" si="2"/>
        <v>14498772.071320003</v>
      </c>
      <c r="E30" s="138">
        <f t="shared" si="2"/>
        <v>24976102.064482938</v>
      </c>
      <c r="F30" s="138">
        <f t="shared" si="2"/>
        <v>79746501.064230785</v>
      </c>
      <c r="G30" s="138">
        <f t="shared" si="2"/>
        <v>21540253.76582</v>
      </c>
      <c r="H30" s="138">
        <f t="shared" si="2"/>
        <v>18029810.621116538</v>
      </c>
      <c r="I30" s="138">
        <f t="shared" si="2"/>
        <v>0</v>
      </c>
      <c r="J30" s="138">
        <f t="shared" si="2"/>
        <v>30297131.240666606</v>
      </c>
      <c r="K30" s="138">
        <f t="shared" si="2"/>
        <v>235389849.36147586</v>
      </c>
      <c r="L30" s="139">
        <f t="shared" si="2"/>
        <v>100.00000000000001</v>
      </c>
    </row>
    <row r="31" spans="2:12" s="140" customFormat="1" ht="18" customHeight="1" x14ac:dyDescent="0.35">
      <c r="B31" s="317" t="s">
        <v>103</v>
      </c>
      <c r="C31" s="269"/>
      <c r="D31" s="269"/>
      <c r="E31" s="269"/>
      <c r="F31" s="269"/>
      <c r="G31" s="269"/>
      <c r="H31" s="269"/>
      <c r="I31" s="269"/>
      <c r="J31" s="269"/>
      <c r="K31" s="269"/>
      <c r="L31" s="270"/>
    </row>
    <row r="32" spans="2:12" ht="18" customHeight="1" x14ac:dyDescent="0.35">
      <c r="B32" s="67" t="str">
        <f>'APPENDIX 9'!B32</f>
        <v>CONTINENTAL REINSURANCE</v>
      </c>
      <c r="C32" s="125">
        <f>'APPENDIX 9'!D32</f>
        <v>0</v>
      </c>
      <c r="D32" s="125">
        <f>'APPENDIX 10'!D32</f>
        <v>0</v>
      </c>
      <c r="E32" s="125">
        <f>'APPENDIX 15'!D32</f>
        <v>0</v>
      </c>
      <c r="F32" s="125">
        <f>'APPENDIX 16'!F32</f>
        <v>0</v>
      </c>
      <c r="G32" s="125">
        <f>'APPENDIX 11'!D32</f>
        <v>36252.815000000002</v>
      </c>
      <c r="H32" s="125">
        <f>'APPENDIX 12'!D32</f>
        <v>0</v>
      </c>
      <c r="I32" s="125">
        <f>'APPENDIX 14'!D32</f>
        <v>0</v>
      </c>
      <c r="J32" s="125">
        <f>'APPENDIX 13'!D32</f>
        <v>0</v>
      </c>
      <c r="K32" s="135">
        <f>SUM(C32:J32)</f>
        <v>36252.815000000002</v>
      </c>
      <c r="L32" s="136">
        <f>IFERROR(K32/$K$35,0)*100</f>
        <v>0.85050543979309878</v>
      </c>
    </row>
    <row r="33" spans="2:12" ht="18" customHeight="1" x14ac:dyDescent="0.35">
      <c r="B33" s="67" t="str">
        <f>'APPENDIX 9'!B33</f>
        <v xml:space="preserve">EAST AFRICA REINSURANCE </v>
      </c>
      <c r="C33" s="125">
        <f>'APPENDIX 9'!D33</f>
        <v>142636.87706768999</v>
      </c>
      <c r="D33" s="125">
        <f>'APPENDIX 10'!D33</f>
        <v>0</v>
      </c>
      <c r="E33" s="125">
        <f>'APPENDIX 15'!D33</f>
        <v>0</v>
      </c>
      <c r="F33" s="125">
        <f>'APPENDIX 16'!F33</f>
        <v>0</v>
      </c>
      <c r="G33" s="125">
        <f>'APPENDIX 11'!D33</f>
        <v>1192249.2950299389</v>
      </c>
      <c r="H33" s="125">
        <f>'APPENDIX 12'!D33</f>
        <v>0</v>
      </c>
      <c r="I33" s="125">
        <f>'APPENDIX 14'!D33</f>
        <v>0</v>
      </c>
      <c r="J33" s="125">
        <f>'APPENDIX 13'!D33</f>
        <v>0</v>
      </c>
      <c r="K33" s="135">
        <f>SUM(C33:J33)</f>
        <v>1334886.1720976289</v>
      </c>
      <c r="L33" s="136">
        <f>IFERROR(K33/$K$35,0)*100</f>
        <v>31.31695982432316</v>
      </c>
    </row>
    <row r="34" spans="2:12" ht="18" customHeight="1" x14ac:dyDescent="0.35">
      <c r="B34" s="67" t="str">
        <f>'APPENDIX 9'!B34</f>
        <v>KENYA REINSURANCE CORPORATION</v>
      </c>
      <c r="C34" s="125">
        <f>'APPENDIX 9'!D34</f>
        <v>112126.22658</v>
      </c>
      <c r="D34" s="125">
        <f>'APPENDIX 10'!D34</f>
        <v>0</v>
      </c>
      <c r="E34" s="125">
        <f>'APPENDIX 15'!D34</f>
        <v>0</v>
      </c>
      <c r="F34" s="125">
        <f>'APPENDIX 16'!F34</f>
        <v>0</v>
      </c>
      <c r="G34" s="125">
        <f>'APPENDIX 11'!D34</f>
        <v>2779237.2117999988</v>
      </c>
      <c r="H34" s="125">
        <f>'APPENDIX 12'!D34</f>
        <v>0</v>
      </c>
      <c r="I34" s="125">
        <f>'APPENDIX 14'!D34</f>
        <v>0</v>
      </c>
      <c r="J34" s="125">
        <f>'APPENDIX 13'!D34</f>
        <v>0</v>
      </c>
      <c r="K34" s="135">
        <f>SUM(C34:J34)</f>
        <v>2891363.4383799988</v>
      </c>
      <c r="L34" s="136">
        <f>IFERROR(K34/$K$35,0)*100</f>
        <v>67.83253473588374</v>
      </c>
    </row>
    <row r="35" spans="2:12" s="140" customFormat="1" ht="18" customHeight="1" x14ac:dyDescent="0.35">
      <c r="B35" s="137" t="s">
        <v>24</v>
      </c>
      <c r="C35" s="141">
        <f t="shared" ref="C35:L35" si="3">SUM(C32:C34)</f>
        <v>254763.10364768998</v>
      </c>
      <c r="D35" s="142">
        <f t="shared" si="3"/>
        <v>0</v>
      </c>
      <c r="E35" s="142">
        <f t="shared" si="3"/>
        <v>0</v>
      </c>
      <c r="F35" s="142">
        <f t="shared" si="3"/>
        <v>0</v>
      </c>
      <c r="G35" s="142">
        <f t="shared" si="3"/>
        <v>4007739.3218299374</v>
      </c>
      <c r="H35" s="142">
        <f t="shared" si="3"/>
        <v>0</v>
      </c>
      <c r="I35" s="142">
        <f t="shared" si="3"/>
        <v>0</v>
      </c>
      <c r="J35" s="142">
        <f t="shared" si="3"/>
        <v>0</v>
      </c>
      <c r="K35" s="142">
        <f t="shared" si="3"/>
        <v>4262502.4254776277</v>
      </c>
      <c r="L35" s="143">
        <f t="shared" si="3"/>
        <v>100</v>
      </c>
    </row>
    <row r="36" spans="2:12" ht="18" customHeight="1" x14ac:dyDescent="0.35">
      <c r="B36" s="318" t="s">
        <v>25</v>
      </c>
      <c r="C36" s="272"/>
      <c r="D36" s="272"/>
      <c r="E36" s="272"/>
      <c r="F36" s="272"/>
      <c r="G36" s="272"/>
      <c r="H36" s="272"/>
      <c r="I36" s="272"/>
      <c r="J36" s="272"/>
      <c r="K36" s="272"/>
      <c r="L36" s="272"/>
    </row>
  </sheetData>
  <sheetProtection algorithmName="SHA-512" hashValue="9v2oqBTV5MI7JzQT9MWj0GR7Gkt2kDHZEkjv6TovWS5qcScY7l06EXQ+gAqdnTdzLNumTIWbx+0oMQZxkakZQw==" saltValue="q+/vUHuYWxOrwcuZLIWZ1A==" spinCount="100000" sheet="1" objects="1" scenarios="1"/>
  <mergeCells count="4">
    <mergeCell ref="B5:L5"/>
    <mergeCell ref="B31:L31"/>
    <mergeCell ref="B36:L36"/>
    <mergeCell ref="B3:L3"/>
  </mergeCells>
  <pageMargins left="0.7" right="0.7" top="0.75" bottom="0.75" header="0.3" footer="0.3"/>
  <pageSetup paperSize="9" scale="45"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rgb="FF92D050"/>
    <pageSetUpPr fitToPage="1"/>
  </sheetPr>
  <dimension ref="A3:M36"/>
  <sheetViews>
    <sheetView topLeftCell="K1" workbookViewId="0"/>
  </sheetViews>
  <sheetFormatPr defaultColWidth="9.453125" defaultRowHeight="15.5" x14ac:dyDescent="0.35"/>
  <cols>
    <col min="1" max="1" width="16.54296875" style="76" customWidth="1"/>
    <col min="2" max="2" width="56.54296875" style="76" customWidth="1"/>
    <col min="3" max="11" width="25.453125" style="76" customWidth="1"/>
    <col min="12" max="12" width="11.54296875" style="76" hidden="1" customWidth="1"/>
    <col min="13" max="13" width="9.453125" style="76" hidden="1" customWidth="1"/>
    <col min="14" max="99" width="9.453125" style="76" customWidth="1"/>
    <col min="100" max="16384" width="9.453125" style="76"/>
  </cols>
  <sheetData>
    <row r="3" spans="2:13" ht="17" customHeight="1" x14ac:dyDescent="0.35">
      <c r="B3" s="300" t="str">
        <f>_xlfn.CONCAT('Table of Contents'!B20,": ",'Table of Contents'!C20)</f>
        <v>APPENDIX 8: SUMMARY OF LONG TERM INSURANCE BUSINESS MARKET SHARE PER CLASS FOR THE PERIOD ENDED 31.12.2025</v>
      </c>
      <c r="C3" s="269"/>
      <c r="D3" s="269"/>
      <c r="E3" s="269"/>
      <c r="F3" s="269"/>
      <c r="G3" s="269"/>
      <c r="H3" s="269"/>
      <c r="I3" s="269"/>
      <c r="J3" s="269"/>
      <c r="K3" s="270"/>
    </row>
    <row r="4" spans="2:13" ht="31" x14ac:dyDescent="0.35">
      <c r="B4" s="144" t="s">
        <v>0</v>
      </c>
      <c r="C4" s="66" t="s">
        <v>190</v>
      </c>
      <c r="D4" s="66" t="s">
        <v>191</v>
      </c>
      <c r="E4" s="66" t="s">
        <v>198</v>
      </c>
      <c r="F4" s="66" t="s">
        <v>193</v>
      </c>
      <c r="G4" s="66" t="s">
        <v>194</v>
      </c>
      <c r="H4" s="66" t="s">
        <v>195</v>
      </c>
      <c r="I4" s="66" t="s">
        <v>196</v>
      </c>
      <c r="J4" s="66" t="s">
        <v>183</v>
      </c>
      <c r="K4" s="66" t="s">
        <v>176</v>
      </c>
    </row>
    <row r="5" spans="2:13" ht="17" customHeight="1" x14ac:dyDescent="0.35">
      <c r="B5" s="316" t="s">
        <v>17</v>
      </c>
      <c r="C5" s="269"/>
      <c r="D5" s="269"/>
      <c r="E5" s="269"/>
      <c r="F5" s="269"/>
      <c r="G5" s="269"/>
      <c r="H5" s="269"/>
      <c r="I5" s="269"/>
      <c r="J5" s="269"/>
      <c r="K5" s="270"/>
    </row>
    <row r="6" spans="2:13" ht="17" customHeight="1" x14ac:dyDescent="0.35">
      <c r="B6" s="75" t="str">
        <f>'APPENDIX 9'!B6</f>
        <v>ABSA LIFE ASSURANCE</v>
      </c>
      <c r="C6" s="145">
        <f>IFERROR(('APPENDIX 7'!C6/'APPENDIX 7'!C$30)*100,0)</f>
        <v>13.641687115365064</v>
      </c>
      <c r="D6" s="145">
        <f>IFERROR(('APPENDIX 7'!D6/'APPENDIX 7'!D$30)*100,0)</f>
        <v>0</v>
      </c>
      <c r="E6" s="145">
        <f>IFERROR(('APPENDIX 7'!E6/'APPENDIX 7'!E$30)*100,0)</f>
        <v>0</v>
      </c>
      <c r="F6" s="145">
        <f>IFERROR(('APPENDIX 7'!F6/'APPENDIX 7'!F$30)*100,0)</f>
        <v>0</v>
      </c>
      <c r="G6" s="145">
        <f>IFERROR(('APPENDIX 7'!G6/'APPENDIX 7'!G$30)*100,0)</f>
        <v>11.921774617506435</v>
      </c>
      <c r="H6" s="145">
        <f>IFERROR(('APPENDIX 7'!H6/'APPENDIX 7'!H$30)*100,0)</f>
        <v>6.3433977651462081</v>
      </c>
      <c r="I6" s="145">
        <f>IFERROR(('APPENDIX 7'!I6/'APPENDIX 7'!I$30)*100,0)</f>
        <v>0</v>
      </c>
      <c r="J6" s="145">
        <f>IFERROR(('APPENDIX 7'!J6/'APPENDIX 7'!J$30)*100,0)</f>
        <v>0</v>
      </c>
      <c r="K6" s="146">
        <f>IFERROR(('APPENDIX 7'!K6/'APPENDIX 7'!K$30)*100,0)</f>
        <v>4.2601491462788594</v>
      </c>
      <c r="L6" s="76">
        <f t="shared" ref="L6:L29" si="0">RANK(K6,$K$6:$K$29)</f>
        <v>8</v>
      </c>
      <c r="M6" s="76">
        <f>COUNTIF(K6:K29,"&gt;5")</f>
        <v>7</v>
      </c>
    </row>
    <row r="7" spans="2:13" ht="17" customHeight="1" x14ac:dyDescent="0.35">
      <c r="B7" s="147" t="str">
        <f>'APPENDIX 9'!B7</f>
        <v xml:space="preserve">APA LIFE ASSURANCE COMPANY </v>
      </c>
      <c r="C7" s="145">
        <f>IFERROR(('APPENDIX 7'!C7/'APPENDIX 7'!C$30)*100,0)</f>
        <v>1.3188167786851195</v>
      </c>
      <c r="D7" s="145">
        <f>IFERROR(('APPENDIX 7'!D7/'APPENDIX 7'!D$30)*100,0)</f>
        <v>0.1627031646815337</v>
      </c>
      <c r="E7" s="145">
        <f>IFERROR(('APPENDIX 7'!E7/'APPENDIX 7'!E$30)*100,0)</f>
        <v>0.5215699777878724</v>
      </c>
      <c r="F7" s="145">
        <f>IFERROR(('APPENDIX 7'!F7/'APPENDIX 7'!F$30)*100,0)</f>
        <v>2.4450432038259957</v>
      </c>
      <c r="G7" s="145">
        <f>IFERROR(('APPENDIX 7'!G7/'APPENDIX 7'!G$30)*100,0)</f>
        <v>8.5003863584965362</v>
      </c>
      <c r="H7" s="145">
        <f>IFERROR(('APPENDIX 7'!H7/'APPENDIX 7'!H$30)*100,0)</f>
        <v>7.2959952096742411</v>
      </c>
      <c r="I7" s="145">
        <f>IFERROR(('APPENDIX 7'!I7/'APPENDIX 7'!I$30)*100,0)</f>
        <v>0</v>
      </c>
      <c r="J7" s="145">
        <f>IFERROR(('APPENDIX 7'!J7/'APPENDIX 7'!J$30)*100,0)</f>
        <v>28.590885200289385</v>
      </c>
      <c r="K7" s="146">
        <f>IFERROR(('APPENDIX 7'!K7/'APPENDIX 7'!K$30)*100,0)</f>
        <v>6.1697648428429428</v>
      </c>
      <c r="L7" s="76">
        <f t="shared" si="0"/>
        <v>5</v>
      </c>
    </row>
    <row r="8" spans="2:13" ht="17" customHeight="1" x14ac:dyDescent="0.35">
      <c r="B8" s="147" t="str">
        <f>'APPENDIX 9'!B8</f>
        <v>BRITAM LIFE ASSURANCE</v>
      </c>
      <c r="C8" s="145">
        <f>IFERROR(('APPENDIX 7'!C8/'APPENDIX 7'!C$30)*100,0)</f>
        <v>24.908355374185334</v>
      </c>
      <c r="D8" s="145">
        <f>IFERROR(('APPENDIX 7'!D8/'APPENDIX 7'!D$30)*100,0)</f>
        <v>51.480435793142718</v>
      </c>
      <c r="E8" s="145">
        <f>IFERROR(('APPENDIX 7'!E8/'APPENDIX 7'!E$30)*100,0)</f>
        <v>24.581856357925254</v>
      </c>
      <c r="F8" s="145">
        <f>IFERROR(('APPENDIX 7'!F8/'APPENDIX 7'!F$30)*100,0)</f>
        <v>11.081166719631346</v>
      </c>
      <c r="G8" s="145">
        <f>IFERROR(('APPENDIX 7'!G8/'APPENDIX 7'!G$30)*100,0)</f>
        <v>24.26653400014396</v>
      </c>
      <c r="H8" s="145">
        <f>IFERROR(('APPENDIX 7'!H8/'APPENDIX 7'!H$30)*100,0)</f>
        <v>2.4000006549885939</v>
      </c>
      <c r="I8" s="145">
        <f>IFERROR(('APPENDIX 7'!I8/'APPENDIX 7'!I$30)*100,0)</f>
        <v>0</v>
      </c>
      <c r="J8" s="145">
        <f>IFERROR(('APPENDIX 7'!J8/'APPENDIX 7'!J$30)*100,0)</f>
        <v>44.57029905813252</v>
      </c>
      <c r="K8" s="146">
        <f>IFERROR(('APPENDIX 7'!K8/'APPENDIX 7'!K$30)*100,0)</f>
        <v>22.573896468862092</v>
      </c>
      <c r="L8" s="76">
        <f t="shared" si="0"/>
        <v>1</v>
      </c>
    </row>
    <row r="9" spans="2:13" ht="17" customHeight="1" x14ac:dyDescent="0.35">
      <c r="B9" s="147" t="str">
        <f>'APPENDIX 9'!B9</f>
        <v>CANNON LIFE ASSURANCE (K) LIMITED</v>
      </c>
      <c r="C9" s="145">
        <f>IFERROR(('APPENDIX 7'!C9/'APPENDIX 7'!C$30)*100,0)</f>
        <v>4.6639436412577021E-2</v>
      </c>
      <c r="D9" s="145">
        <f>IFERROR(('APPENDIX 7'!D9/'APPENDIX 7'!D$30)*100,0)</f>
        <v>0</v>
      </c>
      <c r="E9" s="145">
        <f>IFERROR(('APPENDIX 7'!E9/'APPENDIX 7'!E$30)*100,0)</f>
        <v>0</v>
      </c>
      <c r="F9" s="145">
        <f>IFERROR(('APPENDIX 7'!F9/'APPENDIX 7'!F$30)*100,0)</f>
        <v>0</v>
      </c>
      <c r="G9" s="145">
        <f>IFERROR(('APPENDIX 7'!G9/'APPENDIX 7'!G$30)*100,0)</f>
        <v>2.3426418282822321</v>
      </c>
      <c r="H9" s="145">
        <f>IFERROR(('APPENDIX 7'!H9/'APPENDIX 7'!H$30)*100,0)</f>
        <v>7.954244624109208E-2</v>
      </c>
      <c r="I9" s="145">
        <f>IFERROR(('APPENDIX 7'!I9/'APPENDIX 7'!I$30)*100,0)</f>
        <v>0</v>
      </c>
      <c r="J9" s="145">
        <f>IFERROR(('APPENDIX 7'!J9/'APPENDIX 7'!J$30)*100,0)</f>
        <v>0</v>
      </c>
      <c r="K9" s="146">
        <f>IFERROR(('APPENDIX 7'!K9/'APPENDIX 7'!K$30)*100,0)</f>
        <v>0.22963904513436376</v>
      </c>
      <c r="L9" s="76">
        <f t="shared" si="0"/>
        <v>20</v>
      </c>
    </row>
    <row r="10" spans="2:13" ht="17" customHeight="1" x14ac:dyDescent="0.35">
      <c r="B10" s="147" t="str">
        <f>'APPENDIX 9'!B10</f>
        <v>CAPEX LIFE ASSURANCE COMPANY</v>
      </c>
      <c r="C10" s="145">
        <f>IFERROR(('APPENDIX 7'!C10/'APPENDIX 7'!C$30)*100,0)</f>
        <v>1.3080394131176594E-2</v>
      </c>
      <c r="D10" s="145">
        <f>IFERROR(('APPENDIX 7'!D10/'APPENDIX 7'!D$30)*100,0)</f>
        <v>1.7214771345617577</v>
      </c>
      <c r="E10" s="145">
        <f>IFERROR(('APPENDIX 7'!E10/'APPENDIX 7'!E$30)*100,0)</f>
        <v>0.16517667526137275</v>
      </c>
      <c r="F10" s="145">
        <f>IFERROR(('APPENDIX 7'!F10/'APPENDIX 7'!F$30)*100,0)</f>
        <v>0</v>
      </c>
      <c r="G10" s="145">
        <f>IFERROR(('APPENDIX 7'!G10/'APPENDIX 7'!G$30)*100,0)</f>
        <v>4.4056633810659509</v>
      </c>
      <c r="H10" s="145">
        <f>IFERROR(('APPENDIX 7'!H10/'APPENDIX 7'!H$30)*100,0)</f>
        <v>0.62010673985651643</v>
      </c>
      <c r="I10" s="145">
        <f>IFERROR(('APPENDIX 7'!I10/'APPENDIX 7'!I$30)*100,0)</f>
        <v>0</v>
      </c>
      <c r="J10" s="145">
        <f>IFERROR(('APPENDIX 7'!J10/'APPENDIX 7'!J$30)*100,0)</f>
        <v>0</v>
      </c>
      <c r="K10" s="146">
        <f>IFERROR(('APPENDIX 7'!K10/'APPENDIX 7'!K$30)*100,0)</f>
        <v>0.57678751976656961</v>
      </c>
      <c r="L10" s="76">
        <f t="shared" si="0"/>
        <v>18</v>
      </c>
    </row>
    <row r="11" spans="2:13" ht="17" customHeight="1" x14ac:dyDescent="0.35">
      <c r="B11" s="147" t="str">
        <f>'APPENDIX 9'!B11</f>
        <v>CIC LIFE ASSURANCE COMPANY</v>
      </c>
      <c r="C11" s="145">
        <f>IFERROR(('APPENDIX 7'!C11/'APPENDIX 7'!C$30)*100,0)</f>
        <v>3.0444387902588765</v>
      </c>
      <c r="D11" s="145">
        <f>IFERROR(('APPENDIX 7'!D11/'APPENDIX 7'!D$30)*100,0)</f>
        <v>8.373849370055412</v>
      </c>
      <c r="E11" s="145">
        <f>IFERROR(('APPENDIX 7'!E11/'APPENDIX 7'!E$30)*100,0)</f>
        <v>0</v>
      </c>
      <c r="F11" s="145">
        <f>IFERROR(('APPENDIX 7'!F11/'APPENDIX 7'!F$30)*100,0)</f>
        <v>4.2055153110965513</v>
      </c>
      <c r="G11" s="145">
        <f>IFERROR(('APPENDIX 7'!G11/'APPENDIX 7'!G$30)*100,0)</f>
        <v>3.826474850114761</v>
      </c>
      <c r="H11" s="145">
        <f>IFERROR(('APPENDIX 7'!H11/'APPENDIX 7'!H$30)*100,0)</f>
        <v>35.873822720160412</v>
      </c>
      <c r="I11" s="145">
        <f>IFERROR(('APPENDIX 7'!I11/'APPENDIX 7'!I$30)*100,0)</f>
        <v>0</v>
      </c>
      <c r="J11" s="145">
        <f>IFERROR(('APPENDIX 7'!J11/'APPENDIX 7'!J$30)*100,0)</f>
        <v>0</v>
      </c>
      <c r="K11" s="146">
        <f>IFERROR(('APPENDIX 7'!K11/'APPENDIX 7'!K$30)*100,0)</f>
        <v>5.6373227045030481</v>
      </c>
      <c r="L11" s="76">
        <f t="shared" si="0"/>
        <v>6</v>
      </c>
    </row>
    <row r="12" spans="2:13" ht="17" customHeight="1" x14ac:dyDescent="0.35">
      <c r="B12" s="147" t="str">
        <f>'APPENDIX 9'!B12</f>
        <v>CORPORATE INSURANCE COMPANY</v>
      </c>
      <c r="C12" s="145">
        <f>IFERROR(('APPENDIX 7'!C12/'APPENDIX 7'!C$30)*100,0)</f>
        <v>7.3470204489360771E-2</v>
      </c>
      <c r="D12" s="145">
        <f>IFERROR(('APPENDIX 7'!D12/'APPENDIX 7'!D$30)*100,0)</f>
        <v>0</v>
      </c>
      <c r="E12" s="145">
        <f>IFERROR(('APPENDIX 7'!E12/'APPENDIX 7'!E$30)*100,0)</f>
        <v>0</v>
      </c>
      <c r="F12" s="145">
        <f>IFERROR(('APPENDIX 7'!F12/'APPENDIX 7'!F$30)*100,0)</f>
        <v>0</v>
      </c>
      <c r="G12" s="145">
        <f>IFERROR(('APPENDIX 7'!G12/'APPENDIX 7'!G$30)*100,0)</f>
        <v>0</v>
      </c>
      <c r="H12" s="145">
        <f>IFERROR(('APPENDIX 7'!H12/'APPENDIX 7'!H$30)*100,0)</f>
        <v>0</v>
      </c>
      <c r="I12" s="145">
        <f>IFERROR(('APPENDIX 7'!I12/'APPENDIX 7'!I$30)*100,0)</f>
        <v>0</v>
      </c>
      <c r="J12" s="145">
        <f>IFERROR(('APPENDIX 7'!J12/'APPENDIX 7'!J$30)*100,0)</f>
        <v>0</v>
      </c>
      <c r="K12" s="146">
        <f>IFERROR(('APPENDIX 7'!K12/'APPENDIX 7'!K$30)*100,0)</f>
        <v>1.4451618925912513E-2</v>
      </c>
      <c r="L12" s="76">
        <f t="shared" si="0"/>
        <v>22</v>
      </c>
    </row>
    <row r="13" spans="2:13" ht="17" customHeight="1" x14ac:dyDescent="0.35">
      <c r="B13" s="75" t="str">
        <f>'APPENDIX 9'!B13</f>
        <v xml:space="preserve">EQUITY LIFE ASSURANCE </v>
      </c>
      <c r="C13" s="145">
        <f>IFERROR(('APPENDIX 7'!C13/'APPENDIX 7'!C$30)*100,0)</f>
        <v>0</v>
      </c>
      <c r="D13" s="145">
        <f>IFERROR(('APPENDIX 7'!D13/'APPENDIX 7'!D$30)*100,0)</f>
        <v>0</v>
      </c>
      <c r="E13" s="145">
        <f>IFERROR(('APPENDIX 7'!E13/'APPENDIX 7'!E$30)*100,0)</f>
        <v>1.3293524311471601</v>
      </c>
      <c r="F13" s="145">
        <f>IFERROR(('APPENDIX 7'!F13/'APPENDIX 7'!F$30)*100,0)</f>
        <v>3.0862909847513569</v>
      </c>
      <c r="G13" s="145">
        <f>IFERROR(('APPENDIX 7'!G13/'APPENDIX 7'!G$30)*100,0)</f>
        <v>2.9999359711600895</v>
      </c>
      <c r="H13" s="145">
        <f>IFERROR(('APPENDIX 7'!H13/'APPENDIX 7'!H$30)*100,0)</f>
        <v>12.972108493811577</v>
      </c>
      <c r="I13" s="145">
        <f>IFERROR(('APPENDIX 7'!I13/'APPENDIX 7'!I$30)*100,0)</f>
        <v>0</v>
      </c>
      <c r="J13" s="145">
        <f>IFERROR(('APPENDIX 7'!J13/'APPENDIX 7'!J$30)*100,0)</f>
        <v>1.0608286687176407</v>
      </c>
      <c r="K13" s="146">
        <f>IFERROR(('APPENDIX 7'!K13/'APPENDIX 7'!K$30)*100,0)</f>
        <v>2.5913056911953136</v>
      </c>
      <c r="L13" s="76">
        <f t="shared" si="0"/>
        <v>12</v>
      </c>
    </row>
    <row r="14" spans="2:13" ht="17" customHeight="1" x14ac:dyDescent="0.35">
      <c r="B14" s="147" t="str">
        <f>'APPENDIX 9'!B14</f>
        <v xml:space="preserve">GA LIFE ASSURANCE COMPANY </v>
      </c>
      <c r="C14" s="145">
        <f>IFERROR(('APPENDIX 7'!C14/'APPENDIX 7'!C$30)*100,0)</f>
        <v>2.2749951996037541</v>
      </c>
      <c r="D14" s="145">
        <f>IFERROR(('APPENDIX 7'!D14/'APPENDIX 7'!D$30)*100,0)</f>
        <v>0</v>
      </c>
      <c r="E14" s="145">
        <f>IFERROR(('APPENDIX 7'!E14/'APPENDIX 7'!E$30)*100,0)</f>
        <v>7.6201983923923438</v>
      </c>
      <c r="F14" s="145">
        <f>IFERROR(('APPENDIX 7'!F14/'APPENDIX 7'!F$30)*100,0)</f>
        <v>12.506884882594068</v>
      </c>
      <c r="G14" s="145">
        <f>IFERROR(('APPENDIX 7'!G14/'APPENDIX 7'!G$30)*100,0)</f>
        <v>0.38046198476102405</v>
      </c>
      <c r="H14" s="145">
        <f>IFERROR(('APPENDIX 7'!H14/'APPENDIX 7'!H$30)*100,0)</f>
        <v>1.6791845647308921E-2</v>
      </c>
      <c r="I14" s="145">
        <f>IFERROR(('APPENDIX 7'!I14/'APPENDIX 7'!I$30)*100,0)</f>
        <v>0</v>
      </c>
      <c r="J14" s="145">
        <f>IFERROR(('APPENDIX 7'!J14/'APPENDIX 7'!J$30)*100,0)</f>
        <v>0</v>
      </c>
      <c r="K14" s="146">
        <f>IFERROR(('APPENDIX 7'!K14/'APPENDIX 7'!K$30)*100,0)</f>
        <v>5.5292798428971297</v>
      </c>
      <c r="L14" s="76">
        <f t="shared" si="0"/>
        <v>7</v>
      </c>
    </row>
    <row r="15" spans="2:13" ht="17" customHeight="1" x14ac:dyDescent="0.35">
      <c r="B15" s="147" t="str">
        <f>'APPENDIX 9'!B15</f>
        <v>GEMINIA LIFE INSURANCE COMPANY</v>
      </c>
      <c r="C15" s="145">
        <f>IFERROR(('APPENDIX 7'!C15/'APPENDIX 7'!C$30)*100,0)</f>
        <v>0.19449876934647412</v>
      </c>
      <c r="D15" s="145">
        <f>IFERROR(('APPENDIX 7'!D15/'APPENDIX 7'!D$30)*100,0)</f>
        <v>0</v>
      </c>
      <c r="E15" s="145">
        <f>IFERROR(('APPENDIX 7'!E15/'APPENDIX 7'!E$30)*100,0)</f>
        <v>0.42497869798081878</v>
      </c>
      <c r="F15" s="145">
        <f>IFERROR(('APPENDIX 7'!F15/'APPENDIX 7'!F$30)*100,0)</f>
        <v>0.8200763691538635</v>
      </c>
      <c r="G15" s="145">
        <f>IFERROR(('APPENDIX 7'!G15/'APPENDIX 7'!G$30)*100,0)</f>
        <v>0.99005747777401609</v>
      </c>
      <c r="H15" s="145">
        <f>IFERROR(('APPENDIX 7'!H15/'APPENDIX 7'!H$30)*100,0)</f>
        <v>2.837486480644567</v>
      </c>
      <c r="I15" s="145">
        <f>IFERROR(('APPENDIX 7'!I15/'APPENDIX 7'!I$30)*100,0)</f>
        <v>0</v>
      </c>
      <c r="J15" s="145">
        <f>IFERROR(('APPENDIX 7'!J15/'APPENDIX 7'!J$30)*100,0)</f>
        <v>1.8945807660480354</v>
      </c>
      <c r="K15" s="146">
        <f>IFERROR(('APPENDIX 7'!K15/'APPENDIX 7'!K$30)*100,0)</f>
        <v>0.91296999413285029</v>
      </c>
      <c r="L15" s="76">
        <f t="shared" si="0"/>
        <v>16</v>
      </c>
    </row>
    <row r="16" spans="2:13" ht="17" customHeight="1" x14ac:dyDescent="0.35">
      <c r="B16" s="128" t="str">
        <f>'APPENDIX 9'!B16</f>
        <v xml:space="preserve">ICEA LION LIFE ASSURANCE </v>
      </c>
      <c r="C16" s="145">
        <f>IFERROR(('APPENDIX 7'!C16/'APPENDIX 7'!C$30)*100,0)</f>
        <v>21.216238123404395</v>
      </c>
      <c r="D16" s="145">
        <f>IFERROR(('APPENDIX 7'!D16/'APPENDIX 7'!D$30)*100,0)</f>
        <v>17.11188737636402</v>
      </c>
      <c r="E16" s="145">
        <f>IFERROR(('APPENDIX 7'!E16/'APPENDIX 7'!E$30)*100,0)</f>
        <v>35.328860063107179</v>
      </c>
      <c r="F16" s="145">
        <f>IFERROR(('APPENDIX 7'!F16/'APPENDIX 7'!F$30)*100,0)</f>
        <v>13.513176317491826</v>
      </c>
      <c r="G16" s="145">
        <f>IFERROR(('APPENDIX 7'!G16/'APPENDIX 7'!G$30)*100,0)</f>
        <v>2.5519325501738082</v>
      </c>
      <c r="H16" s="145">
        <f>IFERROR(('APPENDIX 7'!H16/'APPENDIX 7'!H$30)*100,0)</f>
        <v>1.9732833528118752</v>
      </c>
      <c r="I16" s="145">
        <f>IFERROR(('APPENDIX 7'!I16/'APPENDIX 7'!I$30)*100,0)</f>
        <v>0</v>
      </c>
      <c r="J16" s="145">
        <f>IFERROR(('APPENDIX 7'!J16/'APPENDIX 7'!J$30)*100,0)</f>
        <v>1.6603153612273564E-2</v>
      </c>
      <c r="K16" s="146">
        <f>IFERROR(('APPENDIX 7'!K16/'APPENDIX 7'!K$30)*100,0)</f>
        <v>13.940687275243455</v>
      </c>
      <c r="L16" s="76">
        <f t="shared" si="0"/>
        <v>2</v>
      </c>
    </row>
    <row r="17" spans="1:12" ht="17" customHeight="1" x14ac:dyDescent="0.35">
      <c r="B17" s="147" t="str">
        <f>'APPENDIX 9'!B17</f>
        <v>JUBILEE LIFE INSURANCE</v>
      </c>
      <c r="C17" s="145">
        <f>IFERROR(('APPENDIX 7'!C17/'APPENDIX 7'!C$30)*100,0)</f>
        <v>9.9805429905411795</v>
      </c>
      <c r="D17" s="145">
        <f>IFERROR(('APPENDIX 7'!D17/'APPENDIX 7'!D$30)*100,0)</f>
        <v>12.161887013232169</v>
      </c>
      <c r="E17" s="145">
        <f>IFERROR(('APPENDIX 7'!E17/'APPENDIX 7'!E$30)*100,0)</f>
        <v>14.004137066583572</v>
      </c>
      <c r="F17" s="145">
        <f>IFERROR(('APPENDIX 7'!F17/'APPENDIX 7'!F$30)*100,0)</f>
        <v>20.913636654883462</v>
      </c>
      <c r="G17" s="145">
        <f>IFERROR(('APPENDIX 7'!G17/'APPENDIX 7'!G$30)*100,0)</f>
        <v>5.2577344134965278</v>
      </c>
      <c r="H17" s="145">
        <f>IFERROR(('APPENDIX 7'!H17/'APPENDIX 7'!H$30)*100,0)</f>
        <v>1.3974248548396411</v>
      </c>
      <c r="I17" s="145">
        <f>IFERROR(('APPENDIX 7'!I17/'APPENDIX 7'!I$30)*100,0)</f>
        <v>0</v>
      </c>
      <c r="J17" s="145">
        <f>IFERROR(('APPENDIX 7'!J17/'APPENDIX 7'!J$30)*100,0)</f>
        <v>8.9463225551263896</v>
      </c>
      <c r="K17" s="146">
        <f>IFERROR(('APPENDIX 7'!K17/'APPENDIX 7'!K$30)*100,0)</f>
        <v>13.023070404357478</v>
      </c>
      <c r="L17" s="76">
        <f t="shared" si="0"/>
        <v>3</v>
      </c>
    </row>
    <row r="18" spans="1:12" ht="17" customHeight="1" x14ac:dyDescent="0.35">
      <c r="B18" s="147" t="str">
        <f>'APPENDIX 9'!B18</f>
        <v>KENINDIA ASSURANCE COMPANY</v>
      </c>
      <c r="C18" s="145">
        <f>IFERROR(('APPENDIX 7'!C18/'APPENDIX 7'!C$30)*100,0)</f>
        <v>4.8079408019220082</v>
      </c>
      <c r="D18" s="145">
        <f>IFERROR(('APPENDIX 7'!D18/'APPENDIX 7'!D$30)*100,0)</f>
        <v>3.4057504840480188</v>
      </c>
      <c r="E18" s="145">
        <f>IFERROR(('APPENDIX 7'!E18/'APPENDIX 7'!E$30)*100,0)</f>
        <v>5.5220606281124773</v>
      </c>
      <c r="F18" s="145">
        <f>IFERROR(('APPENDIX 7'!F18/'APPENDIX 7'!F$30)*100,0)</f>
        <v>17.516568145364737</v>
      </c>
      <c r="G18" s="145">
        <f>IFERROR(('APPENDIX 7'!G18/'APPENDIX 7'!G$30)*100,0)</f>
        <v>0.45074682060647431</v>
      </c>
      <c r="H18" s="145">
        <f>IFERROR(('APPENDIX 7'!H18/'APPENDIX 7'!H$30)*100,0)</f>
        <v>2.6816981617861158E-2</v>
      </c>
      <c r="I18" s="145">
        <f>IFERROR(('APPENDIX 7'!I18/'APPENDIX 7'!I$30)*100,0)</f>
        <v>0</v>
      </c>
      <c r="J18" s="145">
        <f>IFERROR(('APPENDIX 7'!J18/'APPENDIX 7'!J$30)*100,0)</f>
        <v>0</v>
      </c>
      <c r="K18" s="146">
        <f>IFERROR(('APPENDIX 7'!K18/'APPENDIX 7'!K$30)*100,0)</f>
        <v>7.7190681215558419</v>
      </c>
      <c r="L18" s="76">
        <f t="shared" si="0"/>
        <v>4</v>
      </c>
    </row>
    <row r="19" spans="1:12" ht="17" customHeight="1" x14ac:dyDescent="0.35">
      <c r="B19" s="147" t="str">
        <f>'APPENDIX 9'!B19</f>
        <v>KENYA ORIENT LIFE ASSURANCE</v>
      </c>
      <c r="C19" s="145">
        <f>IFERROR(('APPENDIX 7'!C19/'APPENDIX 7'!C$30)*100,0)</f>
        <v>0.1406188281440566</v>
      </c>
      <c r="D19" s="145">
        <f>IFERROR(('APPENDIX 7'!D19/'APPENDIX 7'!D$30)*100,0)</f>
        <v>1.8375157060852032</v>
      </c>
      <c r="E19" s="145">
        <f>IFERROR(('APPENDIX 7'!E19/'APPENDIX 7'!E$30)*100,0)</f>
        <v>0.31587670896889125</v>
      </c>
      <c r="F19" s="145">
        <f>IFERROR(('APPENDIX 7'!F19/'APPENDIX 7'!F$30)*100,0)</f>
        <v>0.27132401802271733</v>
      </c>
      <c r="G19" s="145">
        <f>IFERROR(('APPENDIX 7'!G19/'APPENDIX 7'!G$30)*100,0)</f>
        <v>0.28908365554545506</v>
      </c>
      <c r="H19" s="145">
        <f>IFERROR(('APPENDIX 7'!H19/'APPENDIX 7'!H$30)*100,0)</f>
        <v>3.9578267871224559</v>
      </c>
      <c r="I19" s="145">
        <f>IFERROR(('APPENDIX 7'!I19/'APPENDIX 7'!I$30)*100,0)</f>
        <v>0</v>
      </c>
      <c r="J19" s="145">
        <f>IFERROR(('APPENDIX 7'!J19/'APPENDIX 7'!J$30)*100,0)</f>
        <v>0</v>
      </c>
      <c r="K19" s="146">
        <f>IFERROR(('APPENDIX 7'!K19/'APPENDIX 7'!K$30)*100,0)</f>
        <v>0.59588323824279532</v>
      </c>
      <c r="L19" s="76">
        <f t="shared" si="0"/>
        <v>17</v>
      </c>
    </row>
    <row r="20" spans="1:12" ht="17" customHeight="1" x14ac:dyDescent="0.35">
      <c r="B20" s="147" t="str">
        <f>'APPENDIX 9'!B20</f>
        <v>KUSCCO MUTUAL ASSURANCE LIMITED</v>
      </c>
      <c r="C20" s="145">
        <f>IFERROR(('APPENDIX 7'!C20/'APPENDIX 7'!C$30)*100,0)</f>
        <v>0</v>
      </c>
      <c r="D20" s="145">
        <f>IFERROR(('APPENDIX 7'!D20/'APPENDIX 7'!D$30)*100,0)</f>
        <v>0</v>
      </c>
      <c r="E20" s="145">
        <f>IFERROR(('APPENDIX 7'!E20/'APPENDIX 7'!E$30)*100,0)</f>
        <v>0</v>
      </c>
      <c r="F20" s="145">
        <f>IFERROR(('APPENDIX 7'!F20/'APPENDIX 7'!F$30)*100,0)</f>
        <v>0</v>
      </c>
      <c r="G20" s="145">
        <f>IFERROR(('APPENDIX 7'!G20/'APPENDIX 7'!G$30)*100,0)</f>
        <v>0</v>
      </c>
      <c r="H20" s="145">
        <f>IFERROR(('APPENDIX 7'!H20/'APPENDIX 7'!H$30)*100,0)</f>
        <v>0</v>
      </c>
      <c r="I20" s="145">
        <f>IFERROR(('APPENDIX 7'!I20/'APPENDIX 7'!I$30)*100,0)</f>
        <v>0</v>
      </c>
      <c r="J20" s="145">
        <f>IFERROR(('APPENDIX 7'!J20/'APPENDIX 7'!J$30)*100,0)</f>
        <v>0</v>
      </c>
      <c r="K20" s="146">
        <f>IFERROR(('APPENDIX 7'!K20/'APPENDIX 7'!K$30)*100,0)</f>
        <v>0</v>
      </c>
      <c r="L20" s="76">
        <f t="shared" si="0"/>
        <v>23</v>
      </c>
    </row>
    <row r="21" spans="1:12" ht="17" customHeight="1" x14ac:dyDescent="0.35">
      <c r="B21" s="147" t="str">
        <f>'APPENDIX 9'!B21</f>
        <v>LIBERTY LIFE ASSURANCE COMPANY</v>
      </c>
      <c r="C21" s="145">
        <f>IFERROR(('APPENDIX 7'!C21/'APPENDIX 7'!C$30)*100,0)</f>
        <v>3.4089616918384156</v>
      </c>
      <c r="D21" s="145">
        <f>IFERROR(('APPENDIX 7'!D21/'APPENDIX 7'!D$30)*100,0)</f>
        <v>0</v>
      </c>
      <c r="E21" s="145">
        <f>IFERROR(('APPENDIX 7'!E21/'APPENDIX 7'!E$30)*100,0)</f>
        <v>5.3580715524582576</v>
      </c>
      <c r="F21" s="145">
        <f>IFERROR(('APPENDIX 7'!F21/'APPENDIX 7'!F$30)*100,0)</f>
        <v>0.86251809988001604</v>
      </c>
      <c r="G21" s="145">
        <f>IFERROR(('APPENDIX 7'!G21/'APPENDIX 7'!G$30)*100,0)</f>
        <v>3.9335134761247637</v>
      </c>
      <c r="H21" s="145">
        <f>IFERROR(('APPENDIX 7'!H21/'APPENDIX 7'!H$30)*100,0)</f>
        <v>5.4768886050498473</v>
      </c>
      <c r="I21" s="145">
        <f>IFERROR(('APPENDIX 7'!I21/'APPENDIX 7'!I$30)*100,0)</f>
        <v>0</v>
      </c>
      <c r="J21" s="145">
        <f>IFERROR(('APPENDIX 7'!J21/'APPENDIX 7'!J$30)*100,0)</f>
        <v>2.7753009329853571</v>
      </c>
      <c r="K21" s="146">
        <f>IFERROR(('APPENDIX 7'!K21/'APPENDIX 7'!K$30)*100,0)</f>
        <v>2.6679384368083094</v>
      </c>
      <c r="L21" s="76">
        <f t="shared" si="0"/>
        <v>11</v>
      </c>
    </row>
    <row r="22" spans="1:12" ht="17" customHeight="1" x14ac:dyDescent="0.35">
      <c r="B22" s="147" t="str">
        <f>'APPENDIX 9'!B22</f>
        <v>MADISON INSURANCE COMPANY</v>
      </c>
      <c r="C22" s="145">
        <f>IFERROR(('APPENDIX 7'!C22/'APPENDIX 7'!C$30)*100,0)</f>
        <v>2.5380619341432351</v>
      </c>
      <c r="D22" s="145">
        <f>IFERROR(('APPENDIX 7'!D22/'APPENDIX 7'!D$30)*100,0)</f>
        <v>0</v>
      </c>
      <c r="E22" s="145">
        <f>IFERROR(('APPENDIX 7'!E22/'APPENDIX 7'!E$30)*100,0)</f>
        <v>0.74906869225221162</v>
      </c>
      <c r="F22" s="145">
        <f>IFERROR(('APPENDIX 7'!F22/'APPENDIX 7'!F$30)*100,0)</f>
        <v>2.2182587560489893</v>
      </c>
      <c r="G22" s="145">
        <f>IFERROR(('APPENDIX 7'!G22/'APPENDIX 7'!G$30)*100,0)</f>
        <v>2.8547855019926089</v>
      </c>
      <c r="H22" s="145">
        <f>IFERROR(('APPENDIX 7'!H22/'APPENDIX 7'!H$30)*100,0)</f>
        <v>3.505588871414401</v>
      </c>
      <c r="I22" s="145">
        <f>IFERROR(('APPENDIX 7'!I22/'APPENDIX 7'!I$30)*100,0)</f>
        <v>0</v>
      </c>
      <c r="J22" s="145">
        <f>IFERROR(('APPENDIX 7'!J22/'APPENDIX 7'!J$30)*100,0)</f>
        <v>4.7407152100219054</v>
      </c>
      <c r="K22" s="146">
        <f>IFERROR(('APPENDIX 7'!K22/'APPENDIX 7'!K$30)*100,0)</f>
        <v>2.4701603871484474</v>
      </c>
      <c r="L22" s="76">
        <f t="shared" si="0"/>
        <v>14</v>
      </c>
    </row>
    <row r="23" spans="1:12" ht="17" customHeight="1" x14ac:dyDescent="0.35">
      <c r="B23" s="147" t="str">
        <f>'APPENDIX 9'!B23</f>
        <v>OLD MUTUAL LIFE ASSURANCE KENYA</v>
      </c>
      <c r="C23" s="145">
        <f>IFERROR(('APPENDIX 7'!C23/'APPENDIX 7'!C$30)*100,0)</f>
        <v>0.36068080221143206</v>
      </c>
      <c r="D23" s="145">
        <f>IFERROR(('APPENDIX 7'!D23/'APPENDIX 7'!D$30)*100,0)</f>
        <v>0</v>
      </c>
      <c r="E23" s="145">
        <f>IFERROR(('APPENDIX 7'!E23/'APPENDIX 7'!E$30)*100,0)</f>
        <v>0</v>
      </c>
      <c r="F23" s="145">
        <f>IFERROR(('APPENDIX 7'!F23/'APPENDIX 7'!F$30)*100,0)</f>
        <v>0.97204342843286495</v>
      </c>
      <c r="G23" s="145">
        <f>IFERROR(('APPENDIX 7'!G23/'APPENDIX 7'!G$30)*100,0)</f>
        <v>10.633019141048212</v>
      </c>
      <c r="H23" s="145">
        <f>IFERROR(('APPENDIX 7'!H23/'APPENDIX 7'!H$30)*100,0)</f>
        <v>8.4055337576038784</v>
      </c>
      <c r="I23" s="145">
        <f>IFERROR(('APPENDIX 7'!I23/'APPENDIX 7'!I$30)*100,0)</f>
        <v>0</v>
      </c>
      <c r="J23" s="145">
        <f>IFERROR(('APPENDIX 7'!J23/'APPENDIX 7'!J$30)*100,0)</f>
        <v>6.215384822977609</v>
      </c>
      <c r="K23" s="146">
        <f>IFERROR(('APPENDIX 7'!K23/'APPENDIX 7'!K$30)*100,0)</f>
        <v>2.8170861593682881</v>
      </c>
      <c r="L23" s="76">
        <f t="shared" si="0"/>
        <v>10</v>
      </c>
    </row>
    <row r="24" spans="1:12" ht="17" customHeight="1" x14ac:dyDescent="0.35">
      <c r="B24" s="147" t="str">
        <f>'APPENDIX 9'!B24</f>
        <v xml:space="preserve">PIONEER ASSURANCE COMPANY </v>
      </c>
      <c r="C24" s="145">
        <f>IFERROR(('APPENDIX 7'!C24/'APPENDIX 7'!C$30)*100,0)</f>
        <v>2.7775540389453917</v>
      </c>
      <c r="D24" s="145">
        <f>IFERROR(('APPENDIX 7'!D24/'APPENDIX 7'!D$30)*100,0)</f>
        <v>1.565685472420375</v>
      </c>
      <c r="E24" s="145">
        <f>IFERROR(('APPENDIX 7'!E24/'APPENDIX 7'!E$30)*100,0)</f>
        <v>0.70203080199348122</v>
      </c>
      <c r="F24" s="145">
        <f>IFERROR(('APPENDIX 7'!F24/'APPENDIX 7'!F$30)*100,0)</f>
        <v>6.8807920399547227</v>
      </c>
      <c r="G24" s="145">
        <f>IFERROR(('APPENDIX 7'!G24/'APPENDIX 7'!G$30)*100,0)</f>
        <v>6.1167121303403214</v>
      </c>
      <c r="H24" s="145">
        <f>IFERROR(('APPENDIX 7'!H24/'APPENDIX 7'!H$30)*100,0)</f>
        <v>1.8180429394865207</v>
      </c>
      <c r="I24" s="145">
        <f>IFERROR(('APPENDIX 7'!I24/'APPENDIX 7'!I$30)*100,0)</f>
        <v>0</v>
      </c>
      <c r="J24" s="145">
        <f>IFERROR(('APPENDIX 7'!J24/'APPENDIX 7'!J$30)*100,0)</f>
        <v>0.70944284887109599</v>
      </c>
      <c r="K24" s="146">
        <f>IFERROR(('APPENDIX 7'!K24/'APPENDIX 7'!K$30)*100,0)</f>
        <v>3.8386807657640722</v>
      </c>
      <c r="L24" s="76">
        <f t="shared" si="0"/>
        <v>9</v>
      </c>
    </row>
    <row r="25" spans="1:12" ht="17" customHeight="1" x14ac:dyDescent="0.35">
      <c r="B25" s="147" t="str">
        <f>'APPENDIX 9'!B25</f>
        <v>PRUDENTIAL LIFE ASSURANCE</v>
      </c>
      <c r="C25" s="145">
        <f>IFERROR(('APPENDIX 7'!C25/'APPENDIX 7'!C$30)*100,0)</f>
        <v>2.236044959672864</v>
      </c>
      <c r="D25" s="145">
        <f>IFERROR(('APPENDIX 7'!D25/'APPENDIX 7'!D$30)*100,0)</f>
        <v>0</v>
      </c>
      <c r="E25" s="145">
        <f>IFERROR(('APPENDIX 7'!E25/'APPENDIX 7'!E$30)*100,0)</f>
        <v>0</v>
      </c>
      <c r="F25" s="145">
        <f>IFERROR(('APPENDIX 7'!F25/'APPENDIX 7'!F$30)*100,0)</f>
        <v>1.9353219494318976</v>
      </c>
      <c r="G25" s="145">
        <f>IFERROR(('APPENDIX 7'!G25/'APPENDIX 7'!G$30)*100,0)</f>
        <v>3.373917400468164</v>
      </c>
      <c r="H25" s="145">
        <f>IFERROR(('APPENDIX 7'!H25/'APPENDIX 7'!H$30)*100,0)</f>
        <v>0.62882045231919903</v>
      </c>
      <c r="I25" s="145">
        <f>IFERROR(('APPENDIX 7'!I25/'APPENDIX 7'!I$30)*100,0)</f>
        <v>0</v>
      </c>
      <c r="J25" s="145">
        <f>IFERROR(('APPENDIX 7'!J25/'APPENDIX 7'!J$30)*100,0)</f>
        <v>0</v>
      </c>
      <c r="K25" s="146">
        <f>IFERROR(('APPENDIX 7'!K25/'APPENDIX 7'!K$30)*100,0)</f>
        <v>1.4523967196563079</v>
      </c>
      <c r="L25" s="76">
        <f t="shared" si="0"/>
        <v>15</v>
      </c>
    </row>
    <row r="26" spans="1:12" ht="17" customHeight="1" x14ac:dyDescent="0.35">
      <c r="B26" s="147" t="str">
        <f>'APPENDIX 9'!B26</f>
        <v>SANLAM LIFE ASSURANCE</v>
      </c>
      <c r="C26" s="145">
        <f>IFERROR(('APPENDIX 7'!C26/'APPENDIX 7'!C$30)*100,0)</f>
        <v>6.9632464275769603</v>
      </c>
      <c r="D26" s="145">
        <f>IFERROR(('APPENDIX 7'!D26/'APPENDIX 7'!D$30)*100,0)</f>
        <v>2.1788084854087897</v>
      </c>
      <c r="E26" s="145">
        <f>IFERROR(('APPENDIX 7'!E26/'APPENDIX 7'!E$30)*100,0)</f>
        <v>2.3338517790246307</v>
      </c>
      <c r="F26" s="145">
        <f>IFERROR(('APPENDIX 7'!F26/'APPENDIX 7'!F$30)*100,0)</f>
        <v>0.34220205413175547</v>
      </c>
      <c r="G26" s="145">
        <f>IFERROR(('APPENDIX 7'!G26/'APPENDIX 7'!G$30)*100,0)</f>
        <v>3.4999395119303536</v>
      </c>
      <c r="H26" s="145">
        <f>IFERROR(('APPENDIX 7'!H26/'APPENDIX 7'!H$30)*100,0)</f>
        <v>4.2854020388049534</v>
      </c>
      <c r="I26" s="145">
        <f>IFERROR(('APPENDIX 7'!I26/'APPENDIX 7'!I$30)*100,0)</f>
        <v>0</v>
      </c>
      <c r="J26" s="145">
        <f>IFERROR(('APPENDIX 7'!J26/'APPENDIX 7'!J$30)*100,0)</f>
        <v>0.44979312433080926</v>
      </c>
      <c r="K26" s="146">
        <f>IFERROR(('APPENDIX 7'!K26/'APPENDIX 7'!K$30)*100,0)</f>
        <v>2.5738544464842574</v>
      </c>
      <c r="L26" s="76">
        <f t="shared" si="0"/>
        <v>13</v>
      </c>
    </row>
    <row r="27" spans="1:12" ht="17" customHeight="1" x14ac:dyDescent="0.35">
      <c r="B27" s="147" t="str">
        <f>'APPENDIX 9'!B27</f>
        <v>STAR DISCOVER LIFE INSURANCE</v>
      </c>
      <c r="C27" s="145">
        <f>IFERROR(('APPENDIX 7'!C27/'APPENDIX 7'!C$30)*100,0)</f>
        <v>0</v>
      </c>
      <c r="D27" s="145">
        <f>IFERROR(('APPENDIX 7'!D27/'APPENDIX 7'!D$30)*100,0)</f>
        <v>0</v>
      </c>
      <c r="E27" s="145">
        <f>IFERROR(('APPENDIX 7'!E27/'APPENDIX 7'!E$30)*100,0)</f>
        <v>0</v>
      </c>
      <c r="F27" s="145">
        <f>IFERROR(('APPENDIX 7'!F27/'APPENDIX 7'!F$30)*100,0)</f>
        <v>0</v>
      </c>
      <c r="G27" s="145">
        <f>IFERROR(('APPENDIX 7'!G27/'APPENDIX 7'!G$30)*100,0)</f>
        <v>0.186579781031981</v>
      </c>
      <c r="H27" s="145">
        <f>IFERROR(('APPENDIX 7'!H27/'APPENDIX 7'!H$30)*100,0)</f>
        <v>0</v>
      </c>
      <c r="I27" s="145">
        <f>IFERROR(('APPENDIX 7'!I27/'APPENDIX 7'!I$30)*100,0)</f>
        <v>0</v>
      </c>
      <c r="J27" s="145">
        <f>IFERROR(('APPENDIX 7'!J27/'APPENDIX 7'!J$30)*100,0)</f>
        <v>0</v>
      </c>
      <c r="K27" s="146">
        <f>IFERROR(('APPENDIX 7'!K27/'APPENDIX 7'!K$30)*100,0)</f>
        <v>1.7073700679540643E-2</v>
      </c>
      <c r="L27" s="76">
        <f t="shared" si="0"/>
        <v>21</v>
      </c>
    </row>
    <row r="28" spans="1:12" ht="17" customHeight="1" x14ac:dyDescent="0.35">
      <c r="B28" s="147" t="str">
        <f>'APPENDIX 9'!B28</f>
        <v>THE KENYAN ALLIANCE INSURANCE</v>
      </c>
      <c r="C28" s="145">
        <f>IFERROR(('APPENDIX 7'!C28/'APPENDIX 7'!C$30)*100,0)</f>
        <v>5.412733912236109E-2</v>
      </c>
      <c r="D28" s="145">
        <f>IFERROR(('APPENDIX 7'!D28/'APPENDIX 7'!D$30)*100,0)</f>
        <v>0</v>
      </c>
      <c r="E28" s="145">
        <f>IFERROR(('APPENDIX 7'!E28/'APPENDIX 7'!E$30)*100,0)</f>
        <v>1.0429101750044938</v>
      </c>
      <c r="F28" s="145">
        <f>IFERROR(('APPENDIX 7'!F28/'APPENDIX 7'!F$30)*100,0)</f>
        <v>0.42918106530383526</v>
      </c>
      <c r="G28" s="145">
        <f>IFERROR(('APPENDIX 7'!G28/'APPENDIX 7'!G$30)*100,0)</f>
        <v>1.2181051479363179</v>
      </c>
      <c r="H28" s="145">
        <f>IFERROR(('APPENDIX 7'!H28/'APPENDIX 7'!H$30)*100,0)</f>
        <v>8.5119002758829942E-2</v>
      </c>
      <c r="I28" s="145">
        <f>IFERROR(('APPENDIX 7'!I28/'APPENDIX 7'!I$30)*100,0)</f>
        <v>0</v>
      </c>
      <c r="J28" s="145">
        <f>IFERROR(('APPENDIX 7'!J28/'APPENDIX 7'!J$30)*100,0)</f>
        <v>2.9843658886962859E-2</v>
      </c>
      <c r="K28" s="146">
        <f>IFERROR(('APPENDIX 7'!K28/'APPENDIX 7'!K$30)*100,0)</f>
        <v>0.38853347015212419</v>
      </c>
      <c r="L28" s="76">
        <f t="shared" si="0"/>
        <v>19</v>
      </c>
    </row>
    <row r="29" spans="1:12" ht="17" customHeight="1" x14ac:dyDescent="0.35">
      <c r="B29" s="128" t="str">
        <f>'APPENDIX 9'!B29</f>
        <v>THE MONARCH INSURANCE</v>
      </c>
      <c r="C29" s="145">
        <f>IFERROR(('APPENDIX 7'!C29/'APPENDIX 7'!C$30)*100,0)</f>
        <v>0</v>
      </c>
      <c r="D29" s="145">
        <f>IFERROR(('APPENDIX 7'!D29/'APPENDIX 7'!D$30)*100,0)</f>
        <v>0</v>
      </c>
      <c r="E29" s="145">
        <f>IFERROR(('APPENDIX 7'!E29/'APPENDIX 7'!E$30)*100,0)</f>
        <v>0</v>
      </c>
      <c r="F29" s="145">
        <f>IFERROR(('APPENDIX 7'!F29/'APPENDIX 7'!F$30)*100,0)</f>
        <v>0</v>
      </c>
      <c r="G29" s="145">
        <f>IFERROR(('APPENDIX 7'!G29/'APPENDIX 7'!G$30)*100,0)</f>
        <v>0</v>
      </c>
      <c r="H29" s="145">
        <f>IFERROR(('APPENDIX 7'!H29/'APPENDIX 7'!H$30)*100,0)</f>
        <v>0</v>
      </c>
      <c r="I29" s="145">
        <f>IFERROR(('APPENDIX 7'!I29/'APPENDIX 7'!I$30)*100,0)</f>
        <v>0</v>
      </c>
      <c r="J29" s="145">
        <f>IFERROR(('APPENDIX 7'!J29/'APPENDIX 7'!J$30)*100,0)</f>
        <v>0</v>
      </c>
      <c r="K29" s="146">
        <f>IFERROR(('APPENDIX 7'!K29/'APPENDIX 7'!K$30)*100,0)</f>
        <v>0</v>
      </c>
      <c r="L29" s="76">
        <f t="shared" si="0"/>
        <v>23</v>
      </c>
    </row>
    <row r="30" spans="1:12" s="140" customFormat="1" ht="17" customHeight="1" x14ac:dyDescent="0.35">
      <c r="B30" s="148" t="s">
        <v>24</v>
      </c>
      <c r="C30" s="149">
        <f t="shared" ref="C30:K30" si="1">SUM(C6:C29)</f>
        <v>100.00000000000004</v>
      </c>
      <c r="D30" s="149">
        <f t="shared" si="1"/>
        <v>99.999999999999986</v>
      </c>
      <c r="E30" s="149">
        <f t="shared" si="1"/>
        <v>100.00000000000001</v>
      </c>
      <c r="F30" s="149">
        <f t="shared" si="1"/>
        <v>100</v>
      </c>
      <c r="G30" s="149">
        <f t="shared" si="1"/>
        <v>99.999999999999972</v>
      </c>
      <c r="H30" s="149">
        <f t="shared" si="1"/>
        <v>99.999999999999972</v>
      </c>
      <c r="I30" s="149">
        <f t="shared" si="1"/>
        <v>0</v>
      </c>
      <c r="J30" s="149">
        <f t="shared" si="1"/>
        <v>100</v>
      </c>
      <c r="K30" s="149">
        <f t="shared" si="1"/>
        <v>100.00000000000001</v>
      </c>
    </row>
    <row r="31" spans="1:12" s="140" customFormat="1" ht="17" customHeight="1" x14ac:dyDescent="0.35">
      <c r="B31" s="316" t="s">
        <v>103</v>
      </c>
      <c r="C31" s="269"/>
      <c r="D31" s="269"/>
      <c r="E31" s="269"/>
      <c r="F31" s="269"/>
      <c r="G31" s="269"/>
      <c r="H31" s="269"/>
      <c r="I31" s="269"/>
      <c r="J31" s="269"/>
      <c r="K31" s="270"/>
    </row>
    <row r="32" spans="1:12" ht="17" customHeight="1" x14ac:dyDescent="0.35">
      <c r="A32" s="140"/>
      <c r="B32" s="128" t="str">
        <f>'APPENDIX 9'!B32</f>
        <v>CONTINENTAL REINSURANCE</v>
      </c>
      <c r="C32" s="145">
        <f>IFERROR(('APPENDIX 7'!C32/'APPENDIX 7'!C$35)*100,0)</f>
        <v>0</v>
      </c>
      <c r="D32" s="145">
        <f>IFERROR(('APPENDIX 7'!D32/'APPENDIX 7'!D$35)*100,0)</f>
        <v>0</v>
      </c>
      <c r="E32" s="145">
        <f>IFERROR(('APPENDIX 7'!E32/'APPENDIX 7'!E$35)*100,0)</f>
        <v>0</v>
      </c>
      <c r="F32" s="145">
        <f>IFERROR(('APPENDIX 7'!F32/'APPENDIX 7'!F$35)*100,0)</f>
        <v>0</v>
      </c>
      <c r="G32" s="145">
        <f>IFERROR(('APPENDIX 7'!G32/'APPENDIX 7'!G$35)*100,0)</f>
        <v>0.9045701850550234</v>
      </c>
      <c r="H32" s="145">
        <f>IFERROR(('APPENDIX 7'!H32/'APPENDIX 7'!H$35)*100,0)</f>
        <v>0</v>
      </c>
      <c r="I32" s="145">
        <f>IFERROR(('APPENDIX 7'!I32/'APPENDIX 7'!I$35)*100,0)</f>
        <v>0</v>
      </c>
      <c r="J32" s="145">
        <f>IFERROR(('APPENDIX 7'!J32/'APPENDIX 7'!J$35)*100,0)</f>
        <v>0</v>
      </c>
      <c r="K32" s="146">
        <f>IFERROR(('APPENDIX 7'!K32/'APPENDIX 7'!K$35)*100,0)</f>
        <v>0.85050543979309878</v>
      </c>
    </row>
    <row r="33" spans="1:11" ht="17" customHeight="1" x14ac:dyDescent="0.35">
      <c r="A33" s="140"/>
      <c r="B33" s="128" t="str">
        <f>'APPENDIX 9'!B33</f>
        <v xml:space="preserve">EAST AFRICA REINSURANCE </v>
      </c>
      <c r="C33" s="145">
        <f>IFERROR(('APPENDIX 7'!C33/'APPENDIX 7'!C$35)*100,0)</f>
        <v>55.988043411867629</v>
      </c>
      <c r="D33" s="145">
        <f>IFERROR(('APPENDIX 7'!D33/'APPENDIX 7'!D$35)*100,0)</f>
        <v>0</v>
      </c>
      <c r="E33" s="145">
        <f>IFERROR(('APPENDIX 7'!E33/'APPENDIX 7'!E$35)*100,0)</f>
        <v>0</v>
      </c>
      <c r="F33" s="145">
        <f>IFERROR(('APPENDIX 7'!F33/'APPENDIX 7'!F$35)*100,0)</f>
        <v>0</v>
      </c>
      <c r="G33" s="145">
        <f>IFERROR(('APPENDIX 7'!G33/'APPENDIX 7'!G$35)*100,0)</f>
        <v>29.748673735734808</v>
      </c>
      <c r="H33" s="145">
        <f>IFERROR(('APPENDIX 7'!H33/'APPENDIX 7'!H$35)*100,0)</f>
        <v>0</v>
      </c>
      <c r="I33" s="145">
        <f>IFERROR(('APPENDIX 7'!I33/'APPENDIX 7'!I$35)*100,0)</f>
        <v>0</v>
      </c>
      <c r="J33" s="145">
        <f>IFERROR(('APPENDIX 7'!J33/'APPENDIX 7'!J$35)*100,0)</f>
        <v>0</v>
      </c>
      <c r="K33" s="146">
        <f>IFERROR(('APPENDIX 7'!K33/'APPENDIX 7'!K$35)*100,0)</f>
        <v>31.31695982432316</v>
      </c>
    </row>
    <row r="34" spans="1:11" ht="17" customHeight="1" x14ac:dyDescent="0.35">
      <c r="A34" s="140"/>
      <c r="B34" s="128" t="str">
        <f>'APPENDIX 9'!B34</f>
        <v>KENYA REINSURANCE CORPORATION</v>
      </c>
      <c r="C34" s="145">
        <f>IFERROR(('APPENDIX 7'!C34/'APPENDIX 7'!C$35)*100,0)</f>
        <v>44.011956588132378</v>
      </c>
      <c r="D34" s="145">
        <f>IFERROR(('APPENDIX 7'!D34/'APPENDIX 7'!D$35)*100,0)</f>
        <v>0</v>
      </c>
      <c r="E34" s="145">
        <f>IFERROR(('APPENDIX 7'!E34/'APPENDIX 7'!E$35)*100,0)</f>
        <v>0</v>
      </c>
      <c r="F34" s="145">
        <f>IFERROR(('APPENDIX 7'!F34/'APPENDIX 7'!F$35)*100,0)</f>
        <v>0</v>
      </c>
      <c r="G34" s="145">
        <f>IFERROR(('APPENDIX 7'!G34/'APPENDIX 7'!G$35)*100,0)</f>
        <v>69.346756079210166</v>
      </c>
      <c r="H34" s="145">
        <f>IFERROR(('APPENDIX 7'!H34/'APPENDIX 7'!H$35)*100,0)</f>
        <v>0</v>
      </c>
      <c r="I34" s="145">
        <f>IFERROR(('APPENDIX 7'!I34/'APPENDIX 7'!I$35)*100,0)</f>
        <v>0</v>
      </c>
      <c r="J34" s="145">
        <f>IFERROR(('APPENDIX 7'!J34/'APPENDIX 7'!J$35)*100,0)</f>
        <v>0</v>
      </c>
      <c r="K34" s="146">
        <f>IFERROR(('APPENDIX 7'!K34/'APPENDIX 7'!K$35)*100,0)</f>
        <v>67.83253473588374</v>
      </c>
    </row>
    <row r="35" spans="1:11" s="140" customFormat="1" ht="17" customHeight="1" x14ac:dyDescent="0.35">
      <c r="B35" s="148" t="s">
        <v>24</v>
      </c>
      <c r="C35" s="149">
        <f t="shared" ref="C35:K35" si="2">SUM(C32:C34)</f>
        <v>100</v>
      </c>
      <c r="D35" s="149">
        <f t="shared" si="2"/>
        <v>0</v>
      </c>
      <c r="E35" s="149">
        <f t="shared" si="2"/>
        <v>0</v>
      </c>
      <c r="F35" s="149">
        <f t="shared" si="2"/>
        <v>0</v>
      </c>
      <c r="G35" s="149">
        <f t="shared" si="2"/>
        <v>100</v>
      </c>
      <c r="H35" s="149">
        <f t="shared" si="2"/>
        <v>0</v>
      </c>
      <c r="I35" s="149">
        <f t="shared" si="2"/>
        <v>0</v>
      </c>
      <c r="J35" s="149">
        <f t="shared" si="2"/>
        <v>0</v>
      </c>
      <c r="K35" s="149">
        <f t="shared" si="2"/>
        <v>100</v>
      </c>
    </row>
    <row r="36" spans="1:11" ht="17" customHeight="1" x14ac:dyDescent="0.35">
      <c r="B36" s="318" t="s">
        <v>199</v>
      </c>
      <c r="C36" s="272"/>
      <c r="D36" s="272"/>
      <c r="E36" s="272"/>
      <c r="F36" s="272"/>
      <c r="G36" s="272"/>
      <c r="H36" s="272"/>
      <c r="I36" s="272"/>
      <c r="J36" s="272"/>
      <c r="K36" s="272"/>
    </row>
  </sheetData>
  <sheetProtection algorithmName="SHA-512" hashValue="vR4V2RLsLoK8WVfolJVUgyCW9AgousnYtL9oYwtn72dnhZAZaEnI3s8iA5OiltDjPe26/36Nn/gNh5LytbM9Eg==" saltValue="jr3+/iGGvBjFzOu8gRIZuw==" spinCount="100000" sheet="1" objects="1" scenarios="1"/>
  <mergeCells count="4">
    <mergeCell ref="B31:K31"/>
    <mergeCell ref="B5:K5"/>
    <mergeCell ref="B3:K3"/>
    <mergeCell ref="B36:K36"/>
  </mergeCells>
  <pageMargins left="0.7" right="0.7" top="0.75" bottom="0.75" header="0.3" footer="0.3"/>
  <pageSetup paperSize="9" scale="43"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rgb="FF92D050"/>
    <pageSetUpPr fitToPage="1"/>
  </sheetPr>
  <dimension ref="B3:Q37"/>
  <sheetViews>
    <sheetView workbookViewId="0">
      <selection activeCell="D32" sqref="D32:D34"/>
    </sheetView>
  </sheetViews>
  <sheetFormatPr defaultColWidth="14.453125" defaultRowHeight="15.5" x14ac:dyDescent="0.35"/>
  <cols>
    <col min="1" max="1" width="15.54296875" style="76" customWidth="1"/>
    <col min="2" max="2" width="43.54296875" style="76" customWidth="1"/>
    <col min="3" max="16" width="17.54296875" style="76" customWidth="1"/>
    <col min="17" max="17" width="17.54296875" style="140" customWidth="1"/>
    <col min="18" max="104" width="14.453125" style="76" customWidth="1"/>
    <col min="105" max="16384" width="14.453125" style="76"/>
  </cols>
  <sheetData>
    <row r="3" spans="2:17" ht="28.5" customHeight="1" x14ac:dyDescent="0.35">
      <c r="B3" s="320" t="str">
        <f>_xlfn.CONCAT('Table of Contents'!B21,": ",'Table of Contents'!C21)</f>
        <v>APPENDIX 9: SUMMARY OF LIFE ASSURANCE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9" t="s">
        <v>17</v>
      </c>
      <c r="C5" s="269"/>
      <c r="D5" s="269"/>
      <c r="E5" s="269"/>
      <c r="F5" s="269"/>
      <c r="G5" s="269"/>
      <c r="H5" s="269"/>
      <c r="I5" s="269"/>
      <c r="J5" s="269"/>
      <c r="K5" s="269"/>
      <c r="L5" s="269"/>
      <c r="M5" s="269"/>
      <c r="N5" s="269"/>
      <c r="O5" s="269"/>
      <c r="P5" s="269"/>
      <c r="Q5" s="270"/>
    </row>
    <row r="6" spans="2:17" ht="34.5" customHeight="1" x14ac:dyDescent="0.35">
      <c r="B6" s="128" t="s">
        <v>110</v>
      </c>
      <c r="C6" s="112">
        <v>10636609.096233871</v>
      </c>
      <c r="D6" s="112">
        <v>6316275.5480000013</v>
      </c>
      <c r="E6" s="112">
        <v>6238099.5720000006</v>
      </c>
      <c r="F6" s="112">
        <v>0</v>
      </c>
      <c r="G6" s="112">
        <v>2290872.156</v>
      </c>
      <c r="H6" s="112">
        <v>2290872.156</v>
      </c>
      <c r="I6" s="112">
        <v>0</v>
      </c>
      <c r="J6" s="112">
        <v>0</v>
      </c>
      <c r="K6" s="112">
        <v>0</v>
      </c>
      <c r="L6" s="112">
        <v>784984.08499999996</v>
      </c>
      <c r="M6" s="112">
        <v>521940.12111794011</v>
      </c>
      <c r="N6" s="112">
        <v>2102631.443368712</v>
      </c>
      <c r="O6" s="112">
        <v>0</v>
      </c>
      <c r="P6" s="112">
        <v>0</v>
      </c>
      <c r="Q6" s="151">
        <v>15379543.74948464</v>
      </c>
    </row>
    <row r="7" spans="2:17" ht="34.5" customHeight="1" x14ac:dyDescent="0.35">
      <c r="B7" s="128" t="s">
        <v>111</v>
      </c>
      <c r="C7" s="112">
        <v>995078.62600000005</v>
      </c>
      <c r="D7" s="112">
        <v>610629.03004999994</v>
      </c>
      <c r="E7" s="112">
        <v>599484.73804999993</v>
      </c>
      <c r="F7" s="112">
        <v>0</v>
      </c>
      <c r="G7" s="112">
        <v>175246.70751499999</v>
      </c>
      <c r="H7" s="112">
        <v>175246.70751499999</v>
      </c>
      <c r="I7" s="112">
        <v>0</v>
      </c>
      <c r="J7" s="112">
        <v>0</v>
      </c>
      <c r="K7" s="112">
        <v>0</v>
      </c>
      <c r="L7" s="112">
        <v>288715.23132999998</v>
      </c>
      <c r="M7" s="112">
        <v>184006.104058219</v>
      </c>
      <c r="N7" s="112">
        <v>277742.27931522898</v>
      </c>
      <c r="O7" s="112">
        <v>4488.5888731965488</v>
      </c>
      <c r="P7" s="112">
        <v>0</v>
      </c>
      <c r="Q7" s="151">
        <v>1219849.011588813</v>
      </c>
    </row>
    <row r="8" spans="2:17" ht="34.5" customHeight="1" x14ac:dyDescent="0.35">
      <c r="B8" s="128" t="s">
        <v>112</v>
      </c>
      <c r="C8" s="112">
        <v>43886183.794015303</v>
      </c>
      <c r="D8" s="112">
        <v>11532887</v>
      </c>
      <c r="E8" s="112">
        <v>11526530.70645</v>
      </c>
      <c r="F8" s="112">
        <v>-2600.692739999995</v>
      </c>
      <c r="G8" s="112">
        <v>7672047.7774549993</v>
      </c>
      <c r="H8" s="112">
        <v>7672047.7774549993</v>
      </c>
      <c r="I8" s="112">
        <v>0</v>
      </c>
      <c r="J8" s="112">
        <v>0</v>
      </c>
      <c r="K8" s="112">
        <v>0</v>
      </c>
      <c r="L8" s="112">
        <v>1628360.4129999999</v>
      </c>
      <c r="M8" s="112">
        <v>2580260.6409999998</v>
      </c>
      <c r="N8" s="112">
        <v>6950383.102</v>
      </c>
      <c r="O8" s="112">
        <v>259045.848</v>
      </c>
      <c r="P8" s="112">
        <v>0</v>
      </c>
      <c r="Q8" s="151">
        <v>50220782.230270296</v>
      </c>
    </row>
    <row r="9" spans="2:17" ht="34.5" customHeight="1" x14ac:dyDescent="0.35">
      <c r="B9" s="128" t="s">
        <v>113</v>
      </c>
      <c r="C9" s="112">
        <v>527806.78514616797</v>
      </c>
      <c r="D9" s="112">
        <v>21594.655360000001</v>
      </c>
      <c r="E9" s="112">
        <v>21594.655360000001</v>
      </c>
      <c r="F9" s="112">
        <v>0</v>
      </c>
      <c r="G9" s="112">
        <v>99360.285097933505</v>
      </c>
      <c r="H9" s="112">
        <v>99360.285097933505</v>
      </c>
      <c r="I9" s="112">
        <v>0</v>
      </c>
      <c r="J9" s="112">
        <v>0</v>
      </c>
      <c r="K9" s="112">
        <v>0</v>
      </c>
      <c r="L9" s="112">
        <v>-3381.1424400000001</v>
      </c>
      <c r="M9" s="112">
        <v>58476.156999999999</v>
      </c>
      <c r="N9" s="112">
        <v>28366.919000000002</v>
      </c>
      <c r="O9" s="112">
        <v>0</v>
      </c>
      <c r="P9" s="112">
        <v>0</v>
      </c>
      <c r="Q9" s="151">
        <v>423313.05984823452</v>
      </c>
    </row>
    <row r="10" spans="2:17" ht="34.5" customHeight="1" x14ac:dyDescent="0.35">
      <c r="B10" s="128" t="s">
        <v>114</v>
      </c>
      <c r="C10" s="112">
        <v>33226.715296243601</v>
      </c>
      <c r="D10" s="112">
        <v>6056.389720000001</v>
      </c>
      <c r="E10" s="112">
        <v>6056.389720000001</v>
      </c>
      <c r="F10" s="112">
        <v>0</v>
      </c>
      <c r="G10" s="112">
        <v>6202.9194000000007</v>
      </c>
      <c r="H10" s="112">
        <v>6202.9194000000007</v>
      </c>
      <c r="I10" s="112">
        <v>0</v>
      </c>
      <c r="J10" s="112">
        <v>0</v>
      </c>
      <c r="K10" s="112">
        <v>0</v>
      </c>
      <c r="L10" s="112">
        <v>417.98219999999998</v>
      </c>
      <c r="M10" s="112">
        <v>1775.1315293482951</v>
      </c>
      <c r="N10" s="112">
        <v>163.9952153972236</v>
      </c>
      <c r="O10" s="112">
        <v>0</v>
      </c>
      <c r="P10" s="112">
        <v>0</v>
      </c>
      <c r="Q10" s="151">
        <v>31051.067102292531</v>
      </c>
    </row>
    <row r="11" spans="2:17" ht="34.5" customHeight="1" x14ac:dyDescent="0.35">
      <c r="B11" s="128" t="s">
        <v>115</v>
      </c>
      <c r="C11" s="112">
        <v>5139412.2211300004</v>
      </c>
      <c r="D11" s="112">
        <v>1409614.0840700001</v>
      </c>
      <c r="E11" s="112">
        <v>1405875.78569</v>
      </c>
      <c r="F11" s="112">
        <v>0</v>
      </c>
      <c r="G11" s="112">
        <v>413420.54340000002</v>
      </c>
      <c r="H11" s="112">
        <v>413420.54340000002</v>
      </c>
      <c r="I11" s="112">
        <v>0</v>
      </c>
      <c r="J11" s="112">
        <v>0</v>
      </c>
      <c r="K11" s="112">
        <v>0</v>
      </c>
      <c r="L11" s="112">
        <v>186747.81954999999</v>
      </c>
      <c r="M11" s="112">
        <v>449649.44877000002</v>
      </c>
      <c r="N11" s="112">
        <v>541136.38883999991</v>
      </c>
      <c r="O11" s="112">
        <v>0</v>
      </c>
      <c r="P11" s="112">
        <v>0</v>
      </c>
      <c r="Q11" s="151">
        <v>6036606.5839399993</v>
      </c>
    </row>
    <row r="12" spans="2:17" ht="34.5" customHeight="1" x14ac:dyDescent="0.35">
      <c r="B12" s="128" t="s">
        <v>73</v>
      </c>
      <c r="C12" s="112">
        <v>63014.580827179758</v>
      </c>
      <c r="D12" s="112">
        <v>34017.64402</v>
      </c>
      <c r="E12" s="112">
        <v>34017.64402</v>
      </c>
      <c r="F12" s="112">
        <v>0</v>
      </c>
      <c r="G12" s="112">
        <v>141310.8775</v>
      </c>
      <c r="H12" s="112">
        <v>141310.8775</v>
      </c>
      <c r="I12" s="112">
        <v>0</v>
      </c>
      <c r="J12" s="112">
        <v>0</v>
      </c>
      <c r="K12" s="112">
        <v>0</v>
      </c>
      <c r="L12" s="112">
        <v>0</v>
      </c>
      <c r="M12" s="112">
        <v>6585.4458719076474</v>
      </c>
      <c r="N12" s="112">
        <v>8082.8789999999999</v>
      </c>
      <c r="O12" s="112">
        <v>0</v>
      </c>
      <c r="P12" s="112">
        <v>0</v>
      </c>
      <c r="Q12" s="151">
        <v>-42781.21952472788</v>
      </c>
    </row>
    <row r="13" spans="2:17" ht="34.5" customHeight="1" x14ac:dyDescent="0.35">
      <c r="B13" s="128" t="s">
        <v>116</v>
      </c>
      <c r="C13" s="112">
        <v>0</v>
      </c>
      <c r="D13" s="112">
        <v>0</v>
      </c>
      <c r="E13" s="112">
        <v>0</v>
      </c>
      <c r="F13" s="112">
        <v>0</v>
      </c>
      <c r="G13" s="112">
        <v>0</v>
      </c>
      <c r="H13" s="112">
        <v>0</v>
      </c>
      <c r="I13" s="112">
        <v>0</v>
      </c>
      <c r="J13" s="112">
        <v>0</v>
      </c>
      <c r="K13" s="112">
        <v>0</v>
      </c>
      <c r="L13" s="112">
        <v>0</v>
      </c>
      <c r="M13" s="112">
        <v>0</v>
      </c>
      <c r="N13" s="112">
        <v>0</v>
      </c>
      <c r="O13" s="112">
        <v>0</v>
      </c>
      <c r="P13" s="112">
        <v>0</v>
      </c>
      <c r="Q13" s="151">
        <v>0</v>
      </c>
    </row>
    <row r="14" spans="2:17" ht="34.5" customHeight="1" x14ac:dyDescent="0.35">
      <c r="B14" s="128" t="s">
        <v>117</v>
      </c>
      <c r="C14" s="112">
        <v>4094573.9569999999</v>
      </c>
      <c r="D14" s="112">
        <v>1053351.8640000001</v>
      </c>
      <c r="E14" s="112">
        <v>1053351.8640000001</v>
      </c>
      <c r="F14" s="112">
        <v>0</v>
      </c>
      <c r="G14" s="112">
        <v>159315.01699999999</v>
      </c>
      <c r="H14" s="112">
        <v>159315.01699999999</v>
      </c>
      <c r="I14" s="112">
        <v>0</v>
      </c>
      <c r="J14" s="112">
        <v>0</v>
      </c>
      <c r="K14" s="112">
        <v>0</v>
      </c>
      <c r="L14" s="112">
        <v>19607.077000000001</v>
      </c>
      <c r="M14" s="112">
        <v>405.029</v>
      </c>
      <c r="N14" s="112">
        <v>1012255.048</v>
      </c>
      <c r="O14" s="112">
        <v>0</v>
      </c>
      <c r="P14" s="112">
        <v>0</v>
      </c>
      <c r="Q14" s="151">
        <v>5980853.7460000003</v>
      </c>
    </row>
    <row r="15" spans="2:17" ht="34.5" customHeight="1" x14ac:dyDescent="0.35">
      <c r="B15" s="128" t="s">
        <v>118</v>
      </c>
      <c r="C15" s="112">
        <v>423624.609</v>
      </c>
      <c r="D15" s="112">
        <v>90055.416939999996</v>
      </c>
      <c r="E15" s="112">
        <v>90055.416939999996</v>
      </c>
      <c r="F15" s="112">
        <v>0</v>
      </c>
      <c r="G15" s="112">
        <v>27136.29622</v>
      </c>
      <c r="H15" s="112">
        <v>27136.29622</v>
      </c>
      <c r="I15" s="112">
        <v>0</v>
      </c>
      <c r="J15" s="112">
        <v>0</v>
      </c>
      <c r="K15" s="112">
        <v>0</v>
      </c>
      <c r="L15" s="112">
        <v>12898.21631</v>
      </c>
      <c r="M15" s="112">
        <v>31073.64150900437</v>
      </c>
      <c r="N15" s="112">
        <v>6146.8950000000004</v>
      </c>
      <c r="O15" s="112">
        <v>0</v>
      </c>
      <c r="P15" s="112">
        <v>0</v>
      </c>
      <c r="Q15" s="151">
        <v>448718.76690099557</v>
      </c>
    </row>
    <row r="16" spans="2:17" ht="34.5" customHeight="1" x14ac:dyDescent="0.35">
      <c r="B16" s="128" t="s">
        <v>119</v>
      </c>
      <c r="C16" s="112">
        <v>22398338.941608861</v>
      </c>
      <c r="D16" s="112">
        <v>9823389.5079200007</v>
      </c>
      <c r="E16" s="112">
        <v>9783009.3944901358</v>
      </c>
      <c r="F16" s="112">
        <v>0</v>
      </c>
      <c r="G16" s="112">
        <v>3626211.7527200002</v>
      </c>
      <c r="H16" s="112">
        <v>2859859.51749</v>
      </c>
      <c r="I16" s="112">
        <v>766352.23522999987</v>
      </c>
      <c r="J16" s="112">
        <v>0</v>
      </c>
      <c r="K16" s="112">
        <v>0</v>
      </c>
      <c r="L16" s="112">
        <v>1514101.97251</v>
      </c>
      <c r="M16" s="112">
        <v>1487256.9560527001</v>
      </c>
      <c r="N16" s="112">
        <v>3740671.1439999999</v>
      </c>
      <c r="O16" s="112">
        <v>0</v>
      </c>
      <c r="P16" s="112">
        <v>277853.71870999999</v>
      </c>
      <c r="Q16" s="151">
        <v>29016595.080106288</v>
      </c>
    </row>
    <row r="17" spans="2:17" ht="34.5" customHeight="1" x14ac:dyDescent="0.35">
      <c r="B17" s="128" t="s">
        <v>120</v>
      </c>
      <c r="C17" s="112">
        <v>13470539.370681779</v>
      </c>
      <c r="D17" s="112">
        <v>4621119.0092400135</v>
      </c>
      <c r="E17" s="112">
        <v>4603359.4702400127</v>
      </c>
      <c r="F17" s="112">
        <v>0</v>
      </c>
      <c r="G17" s="112">
        <v>4669755.625</v>
      </c>
      <c r="H17" s="112">
        <v>4669755.625</v>
      </c>
      <c r="I17" s="112">
        <v>0</v>
      </c>
      <c r="J17" s="112">
        <v>0</v>
      </c>
      <c r="K17" s="112">
        <v>0</v>
      </c>
      <c r="L17" s="112">
        <v>871861.728</v>
      </c>
      <c r="M17" s="112">
        <v>889158.39092848788</v>
      </c>
      <c r="N17" s="112">
        <v>2193365.0455115451</v>
      </c>
      <c r="O17" s="112">
        <v>15617.619503568079</v>
      </c>
      <c r="P17" s="112">
        <v>0</v>
      </c>
      <c r="Q17" s="151">
        <v>13820870.52300128</v>
      </c>
    </row>
    <row r="18" spans="2:17" ht="34.5" customHeight="1" x14ac:dyDescent="0.35">
      <c r="B18" s="128" t="s">
        <v>121</v>
      </c>
      <c r="C18" s="112">
        <v>19801809.057</v>
      </c>
      <c r="D18" s="112">
        <v>2226138.06244</v>
      </c>
      <c r="E18" s="112">
        <v>2223086.02544</v>
      </c>
      <c r="F18" s="112">
        <v>0</v>
      </c>
      <c r="G18" s="112">
        <v>2274035.3457999998</v>
      </c>
      <c r="H18" s="112">
        <v>2274035.3457999998</v>
      </c>
      <c r="I18" s="112">
        <v>0</v>
      </c>
      <c r="J18" s="112">
        <v>0</v>
      </c>
      <c r="K18" s="112">
        <v>0</v>
      </c>
      <c r="L18" s="112">
        <v>165968.38021999999</v>
      </c>
      <c r="M18" s="112">
        <v>346023.19380160002</v>
      </c>
      <c r="N18" s="112">
        <v>3476618.2439999999</v>
      </c>
      <c r="O18" s="112">
        <v>7418.7629999999999</v>
      </c>
      <c r="P18" s="112">
        <v>294750</v>
      </c>
      <c r="Q18" s="151">
        <v>22413317.643618401</v>
      </c>
    </row>
    <row r="19" spans="2:17" ht="34.5" customHeight="1" x14ac:dyDescent="0.35">
      <c r="B19" s="128" t="s">
        <v>122</v>
      </c>
      <c r="C19" s="112">
        <v>143889.15174119419</v>
      </c>
      <c r="D19" s="112">
        <v>65108.315289999999</v>
      </c>
      <c r="E19" s="112">
        <v>64949.561289999998</v>
      </c>
      <c r="F19" s="112">
        <v>0</v>
      </c>
      <c r="G19" s="112">
        <v>29383.307499999999</v>
      </c>
      <c r="H19" s="112">
        <v>29383.307499999999</v>
      </c>
      <c r="I19" s="112">
        <v>0</v>
      </c>
      <c r="J19" s="112">
        <v>0</v>
      </c>
      <c r="K19" s="112">
        <v>0</v>
      </c>
      <c r="L19" s="112">
        <v>11792.5211</v>
      </c>
      <c r="M19" s="112">
        <v>31463.833695799989</v>
      </c>
      <c r="N19" s="112">
        <v>16876.889709999999</v>
      </c>
      <c r="O19" s="112">
        <v>0</v>
      </c>
      <c r="P19" s="112">
        <v>30000</v>
      </c>
      <c r="Q19" s="151">
        <v>123075.9404453942</v>
      </c>
    </row>
    <row r="20" spans="2:17" ht="34.5" customHeight="1" x14ac:dyDescent="0.35">
      <c r="B20" s="128" t="s">
        <v>123</v>
      </c>
      <c r="C20" s="112">
        <v>0</v>
      </c>
      <c r="D20" s="112">
        <v>0</v>
      </c>
      <c r="E20" s="112">
        <v>0</v>
      </c>
      <c r="F20" s="112">
        <v>0</v>
      </c>
      <c r="G20" s="112">
        <v>0</v>
      </c>
      <c r="H20" s="112">
        <v>0</v>
      </c>
      <c r="I20" s="112">
        <v>0</v>
      </c>
      <c r="J20" s="112">
        <v>0</v>
      </c>
      <c r="K20" s="112">
        <v>0</v>
      </c>
      <c r="L20" s="112">
        <v>0</v>
      </c>
      <c r="M20" s="112">
        <v>0</v>
      </c>
      <c r="N20" s="112">
        <v>0</v>
      </c>
      <c r="O20" s="112">
        <v>0</v>
      </c>
      <c r="P20" s="112">
        <v>0</v>
      </c>
      <c r="Q20" s="151">
        <v>0</v>
      </c>
    </row>
    <row r="21" spans="2:17" ht="34.5" customHeight="1" x14ac:dyDescent="0.35">
      <c r="B21" s="128" t="s">
        <v>124</v>
      </c>
      <c r="C21" s="112">
        <v>9694035.2512448691</v>
      </c>
      <c r="D21" s="112">
        <v>1578392.8480499741</v>
      </c>
      <c r="E21" s="112">
        <v>1533512.447049974</v>
      </c>
      <c r="F21" s="112">
        <v>0</v>
      </c>
      <c r="G21" s="112">
        <v>1357065.7206999999</v>
      </c>
      <c r="H21" s="112">
        <v>889239.46469999966</v>
      </c>
      <c r="I21" s="112">
        <v>467826.25599999999</v>
      </c>
      <c r="J21" s="112">
        <v>0</v>
      </c>
      <c r="K21" s="112">
        <v>0</v>
      </c>
      <c r="L21" s="112">
        <v>150673.59070999999</v>
      </c>
      <c r="M21" s="112">
        <v>294396.94199999998</v>
      </c>
      <c r="N21" s="112">
        <v>1396587.48</v>
      </c>
      <c r="O21" s="112">
        <v>48886.447999999997</v>
      </c>
      <c r="P21" s="112">
        <v>0</v>
      </c>
      <c r="Q21" s="151">
        <v>10773112.47688484</v>
      </c>
    </row>
    <row r="22" spans="2:17" ht="34.5" customHeight="1" x14ac:dyDescent="0.35">
      <c r="B22" s="152" t="s">
        <v>87</v>
      </c>
      <c r="C22" s="112">
        <v>4549948.71471</v>
      </c>
      <c r="D22" s="112">
        <v>1175155.125489</v>
      </c>
      <c r="E22" s="112">
        <v>1175155.125489</v>
      </c>
      <c r="F22" s="112">
        <v>0</v>
      </c>
      <c r="G22" s="112">
        <v>874445.71664500004</v>
      </c>
      <c r="H22" s="112">
        <v>874445.71664500004</v>
      </c>
      <c r="I22" s="112">
        <v>0</v>
      </c>
      <c r="J22" s="112">
        <v>0</v>
      </c>
      <c r="K22" s="112">
        <v>0</v>
      </c>
      <c r="L22" s="112">
        <v>352801.97431000002</v>
      </c>
      <c r="M22" s="112">
        <v>1071962.8106849999</v>
      </c>
      <c r="N22" s="112">
        <v>356728.22670890618</v>
      </c>
      <c r="O22" s="112">
        <v>40640.690650383847</v>
      </c>
      <c r="P22" s="112">
        <v>0</v>
      </c>
      <c r="Q22" s="151">
        <v>3741980.874617523</v>
      </c>
    </row>
    <row r="23" spans="2:17" ht="34.5" customHeight="1" x14ac:dyDescent="0.35">
      <c r="B23" s="152" t="s">
        <v>125</v>
      </c>
      <c r="C23" s="112">
        <v>520552.29481091182</v>
      </c>
      <c r="D23" s="112">
        <v>166999.82285</v>
      </c>
      <c r="E23" s="112">
        <v>97324.86112999999</v>
      </c>
      <c r="F23" s="112">
        <v>7164.3296380263273</v>
      </c>
      <c r="G23" s="112">
        <v>104997.67458000001</v>
      </c>
      <c r="H23" s="112">
        <v>104997.67458000001</v>
      </c>
      <c r="I23" s="112">
        <v>0</v>
      </c>
      <c r="J23" s="112">
        <v>0</v>
      </c>
      <c r="K23" s="112">
        <v>0</v>
      </c>
      <c r="L23" s="112">
        <v>-19014.744569999999</v>
      </c>
      <c r="M23" s="112">
        <v>39031.243081045082</v>
      </c>
      <c r="N23" s="112">
        <v>115034.9753101167</v>
      </c>
      <c r="O23" s="112">
        <v>0</v>
      </c>
      <c r="P23" s="112">
        <v>0</v>
      </c>
      <c r="Q23" s="151">
        <v>615062.2877980097</v>
      </c>
    </row>
    <row r="24" spans="2:17" ht="34.5" customHeight="1" x14ac:dyDescent="0.35">
      <c r="B24" s="128" t="s">
        <v>126</v>
      </c>
      <c r="C24" s="112">
        <v>1548399.32895</v>
      </c>
      <c r="D24" s="112">
        <v>1286043.0319999999</v>
      </c>
      <c r="E24" s="112">
        <v>1280658.8929999999</v>
      </c>
      <c r="F24" s="112">
        <v>0</v>
      </c>
      <c r="G24" s="112">
        <v>918297.67599999998</v>
      </c>
      <c r="H24" s="112">
        <v>918297.67599999998</v>
      </c>
      <c r="I24" s="112">
        <v>0</v>
      </c>
      <c r="J24" s="112">
        <v>0</v>
      </c>
      <c r="K24" s="112">
        <v>0</v>
      </c>
      <c r="L24" s="112">
        <v>250281.068</v>
      </c>
      <c r="M24" s="112">
        <v>251564.0736</v>
      </c>
      <c r="N24" s="112">
        <v>139616.2760103702</v>
      </c>
      <c r="O24" s="112">
        <v>0</v>
      </c>
      <c r="P24" s="112">
        <v>0</v>
      </c>
      <c r="Q24" s="151">
        <v>1548531.6803603701</v>
      </c>
    </row>
    <row r="25" spans="2:17" ht="34.5" customHeight="1" x14ac:dyDescent="0.35">
      <c r="B25" s="128" t="s">
        <v>127</v>
      </c>
      <c r="C25" s="112">
        <v>766488.2609756646</v>
      </c>
      <c r="D25" s="112">
        <v>1035317.40492</v>
      </c>
      <c r="E25" s="112">
        <v>910139.50875000004</v>
      </c>
      <c r="F25" s="112">
        <v>50091.33</v>
      </c>
      <c r="G25" s="112">
        <v>264808.20299999998</v>
      </c>
      <c r="H25" s="112">
        <v>264808.20299999998</v>
      </c>
      <c r="I25" s="112">
        <v>0</v>
      </c>
      <c r="J25" s="112">
        <v>0</v>
      </c>
      <c r="K25" s="112">
        <v>0</v>
      </c>
      <c r="L25" s="112">
        <v>263249.77273000003</v>
      </c>
      <c r="M25" s="112">
        <v>568401.75281999994</v>
      </c>
      <c r="N25" s="112">
        <v>266486.56679999997</v>
      </c>
      <c r="O25" s="112">
        <v>6955.8300300000001</v>
      </c>
      <c r="P25" s="112">
        <v>0</v>
      </c>
      <c r="Q25" s="151">
        <v>889790.10794566467</v>
      </c>
    </row>
    <row r="26" spans="2:17" ht="34.5" customHeight="1" x14ac:dyDescent="0.35">
      <c r="B26" s="128" t="s">
        <v>128</v>
      </c>
      <c r="C26" s="112">
        <v>8598429.6901269257</v>
      </c>
      <c r="D26" s="112">
        <v>3224072.1234300002</v>
      </c>
      <c r="E26" s="112">
        <v>3104764.8713000002</v>
      </c>
      <c r="F26" s="112">
        <v>0</v>
      </c>
      <c r="G26" s="112">
        <v>1677811.6606300001</v>
      </c>
      <c r="H26" s="112">
        <v>1677811.6606300001</v>
      </c>
      <c r="I26" s="112">
        <v>0</v>
      </c>
      <c r="J26" s="112">
        <v>0</v>
      </c>
      <c r="K26" s="112">
        <v>0</v>
      </c>
      <c r="L26" s="112">
        <v>313808.9911000001</v>
      </c>
      <c r="M26" s="112">
        <v>963396.64285477495</v>
      </c>
      <c r="N26" s="112">
        <v>564139.9487999999</v>
      </c>
      <c r="O26" s="112">
        <v>0</v>
      </c>
      <c r="P26" s="112">
        <v>1444963</v>
      </c>
      <c r="Q26" s="151">
        <v>7867354.2156421496</v>
      </c>
    </row>
    <row r="27" spans="2:17" ht="34.5" customHeight="1" x14ac:dyDescent="0.35">
      <c r="B27" s="128" t="s">
        <v>129</v>
      </c>
      <c r="C27" s="112">
        <v>0</v>
      </c>
      <c r="D27" s="112">
        <v>0</v>
      </c>
      <c r="E27" s="112">
        <v>0</v>
      </c>
      <c r="F27" s="112">
        <v>0</v>
      </c>
      <c r="G27" s="112">
        <v>0</v>
      </c>
      <c r="H27" s="112">
        <v>0</v>
      </c>
      <c r="I27" s="112">
        <v>0</v>
      </c>
      <c r="J27" s="112">
        <v>0</v>
      </c>
      <c r="K27" s="112">
        <v>0</v>
      </c>
      <c r="L27" s="112">
        <v>0</v>
      </c>
      <c r="M27" s="112">
        <v>0</v>
      </c>
      <c r="N27" s="112">
        <v>0</v>
      </c>
      <c r="O27" s="112">
        <v>0</v>
      </c>
      <c r="P27" s="112">
        <v>0</v>
      </c>
      <c r="Q27" s="151">
        <v>0</v>
      </c>
    </row>
    <row r="28" spans="2:17" ht="34.5" customHeight="1" x14ac:dyDescent="0.35">
      <c r="B28" s="128" t="s">
        <v>130</v>
      </c>
      <c r="C28" s="112">
        <v>33182.885000000002</v>
      </c>
      <c r="D28" s="112">
        <v>25061.65005</v>
      </c>
      <c r="E28" s="112">
        <v>25061.65005</v>
      </c>
      <c r="F28" s="112">
        <v>0</v>
      </c>
      <c r="G28" s="112">
        <v>10701.418</v>
      </c>
      <c r="H28" s="112">
        <v>10701.418</v>
      </c>
      <c r="I28" s="112">
        <v>0</v>
      </c>
      <c r="J28" s="112">
        <v>0</v>
      </c>
      <c r="K28" s="112">
        <v>0</v>
      </c>
      <c r="L28" s="112">
        <v>6290.6948249999996</v>
      </c>
      <c r="M28" s="112">
        <v>5281.9522533419986</v>
      </c>
      <c r="N28" s="112">
        <v>2627.8914531752798</v>
      </c>
      <c r="O28" s="112">
        <v>0</v>
      </c>
      <c r="P28" s="112">
        <v>0</v>
      </c>
      <c r="Q28" s="151">
        <v>38598.361424833303</v>
      </c>
    </row>
    <row r="29" spans="2:17" ht="34.5" customHeight="1" x14ac:dyDescent="0.35">
      <c r="B29" s="128" t="s">
        <v>131</v>
      </c>
      <c r="C29" s="112">
        <v>0</v>
      </c>
      <c r="D29" s="112">
        <v>0</v>
      </c>
      <c r="E29" s="112">
        <v>0</v>
      </c>
      <c r="F29" s="112">
        <v>0</v>
      </c>
      <c r="G29" s="112">
        <v>0</v>
      </c>
      <c r="H29" s="112">
        <v>0</v>
      </c>
      <c r="I29" s="112">
        <v>0</v>
      </c>
      <c r="J29" s="112">
        <v>0</v>
      </c>
      <c r="K29" s="112">
        <v>0</v>
      </c>
      <c r="L29" s="112">
        <v>0</v>
      </c>
      <c r="M29" s="112">
        <v>0</v>
      </c>
      <c r="N29" s="112">
        <v>0</v>
      </c>
      <c r="O29" s="112">
        <v>0</v>
      </c>
      <c r="P29" s="112">
        <v>0</v>
      </c>
      <c r="Q29" s="151">
        <v>0</v>
      </c>
    </row>
    <row r="30" spans="2:17" ht="34.5" customHeight="1" x14ac:dyDescent="0.35">
      <c r="B30" s="137" t="s">
        <v>24</v>
      </c>
      <c r="C30" s="120">
        <f t="shared" ref="C30:Q30" si="0">SUM(C6:C29)</f>
        <v>147325143.33149895</v>
      </c>
      <c r="D30" s="120">
        <f t="shared" si="0"/>
        <v>46301278.533838972</v>
      </c>
      <c r="E30" s="120">
        <f t="shared" si="0"/>
        <v>45776088.58045911</v>
      </c>
      <c r="F30" s="120">
        <f t="shared" si="0"/>
        <v>54654.966898026338</v>
      </c>
      <c r="G30" s="120">
        <f t="shared" si="0"/>
        <v>26792426.680162936</v>
      </c>
      <c r="H30" s="120">
        <f t="shared" si="0"/>
        <v>25558248.188932933</v>
      </c>
      <c r="I30" s="120">
        <f t="shared" si="0"/>
        <v>1234178.4912299998</v>
      </c>
      <c r="J30" s="120">
        <f t="shared" si="0"/>
        <v>0</v>
      </c>
      <c r="K30" s="120">
        <f t="shared" si="0"/>
        <v>0</v>
      </c>
      <c r="L30" s="120">
        <f t="shared" si="0"/>
        <v>6800165.6308850003</v>
      </c>
      <c r="M30" s="120">
        <f t="shared" si="0"/>
        <v>9782109.5116291698</v>
      </c>
      <c r="N30" s="120">
        <f t="shared" si="0"/>
        <v>23195661.638043456</v>
      </c>
      <c r="O30" s="120">
        <f t="shared" si="0"/>
        <v>383053.78805714846</v>
      </c>
      <c r="P30" s="120">
        <f t="shared" si="0"/>
        <v>2047566.7187099999</v>
      </c>
      <c r="Q30" s="120">
        <f t="shared" si="0"/>
        <v>170546226.18745533</v>
      </c>
    </row>
    <row r="31" spans="2:17" ht="34.5" customHeight="1" x14ac:dyDescent="0.35">
      <c r="B31" s="319" t="s">
        <v>103</v>
      </c>
      <c r="C31" s="269"/>
      <c r="D31" s="269"/>
      <c r="E31" s="269"/>
      <c r="F31" s="269"/>
      <c r="G31" s="269"/>
      <c r="H31" s="269"/>
      <c r="I31" s="269"/>
      <c r="J31" s="269"/>
      <c r="K31" s="269"/>
      <c r="L31" s="269"/>
      <c r="M31" s="269"/>
      <c r="N31" s="269"/>
      <c r="O31" s="269"/>
      <c r="P31" s="269"/>
      <c r="Q31" s="270"/>
    </row>
    <row r="32" spans="2:17" ht="34.5" customHeight="1" x14ac:dyDescent="0.35">
      <c r="B32" s="128" t="s">
        <v>104</v>
      </c>
      <c r="C32" s="112">
        <v>0</v>
      </c>
      <c r="D32" s="112">
        <v>0</v>
      </c>
      <c r="E32" s="112">
        <v>0</v>
      </c>
      <c r="F32" s="112">
        <v>0</v>
      </c>
      <c r="G32" s="112">
        <v>0</v>
      </c>
      <c r="H32" s="112">
        <v>0</v>
      </c>
      <c r="I32" s="112">
        <v>0</v>
      </c>
      <c r="J32" s="112">
        <v>0</v>
      </c>
      <c r="K32" s="112">
        <v>0</v>
      </c>
      <c r="L32" s="112">
        <v>0</v>
      </c>
      <c r="M32" s="112">
        <v>0</v>
      </c>
      <c r="N32" s="112">
        <v>0</v>
      </c>
      <c r="O32" s="112">
        <v>0</v>
      </c>
      <c r="P32" s="112">
        <v>0</v>
      </c>
      <c r="Q32" s="151">
        <v>0</v>
      </c>
    </row>
    <row r="33" spans="2:17" ht="34.5" customHeight="1" x14ac:dyDescent="0.35">
      <c r="B33" s="128" t="s">
        <v>105</v>
      </c>
      <c r="C33" s="112">
        <v>139860.33425500081</v>
      </c>
      <c r="D33" s="112">
        <v>142636.87706768999</v>
      </c>
      <c r="E33" s="112">
        <v>126991.5521761023</v>
      </c>
      <c r="F33" s="112">
        <v>0</v>
      </c>
      <c r="G33" s="112">
        <v>-2871.8561790256581</v>
      </c>
      <c r="H33" s="112">
        <v>-2871.8561790256581</v>
      </c>
      <c r="I33" s="112">
        <v>0</v>
      </c>
      <c r="J33" s="112">
        <v>0</v>
      </c>
      <c r="K33" s="112">
        <v>0</v>
      </c>
      <c r="L33" s="112">
        <v>27678.136875526041</v>
      </c>
      <c r="M33" s="112">
        <v>19147.604515589821</v>
      </c>
      <c r="N33" s="112">
        <v>27301.7436750776</v>
      </c>
      <c r="O33" s="112">
        <v>1172.5071707915199</v>
      </c>
      <c r="P33" s="112">
        <v>0</v>
      </c>
      <c r="Q33" s="151">
        <v>249027.23772329881</v>
      </c>
    </row>
    <row r="34" spans="2:17" ht="34.5" customHeight="1" x14ac:dyDescent="0.35">
      <c r="B34" s="128" t="s">
        <v>107</v>
      </c>
      <c r="C34" s="112">
        <v>430383.32993000001</v>
      </c>
      <c r="D34" s="112">
        <v>112126.22658</v>
      </c>
      <c r="E34" s="112">
        <v>115048.50658</v>
      </c>
      <c r="F34" s="112">
        <v>0</v>
      </c>
      <c r="G34" s="112">
        <v>5624.5643099999998</v>
      </c>
      <c r="H34" s="112">
        <v>5624.5643099999998</v>
      </c>
      <c r="I34" s="112">
        <v>0</v>
      </c>
      <c r="J34" s="112">
        <v>0</v>
      </c>
      <c r="K34" s="112">
        <v>0</v>
      </c>
      <c r="L34" s="112">
        <v>47484.245060000001</v>
      </c>
      <c r="M34" s="112">
        <v>10269.112999999999</v>
      </c>
      <c r="N34" s="112">
        <v>10269.112999999999</v>
      </c>
      <c r="O34" s="112">
        <v>0</v>
      </c>
      <c r="P34" s="112">
        <v>0</v>
      </c>
      <c r="Q34" s="151">
        <v>492323.02714000002</v>
      </c>
    </row>
    <row r="35" spans="2:17" s="2" customFormat="1" ht="34" customHeight="1" x14ac:dyDescent="0.3">
      <c r="B35" s="25" t="s">
        <v>24</v>
      </c>
      <c r="C35" s="264">
        <f t="shared" ref="C35:Q35" si="1">SUM(C32:C34)</f>
        <v>570243.66418500082</v>
      </c>
      <c r="D35" s="264">
        <f t="shared" si="1"/>
        <v>254763.10364768998</v>
      </c>
      <c r="E35" s="264">
        <f t="shared" si="1"/>
        <v>242040.05875610228</v>
      </c>
      <c r="F35" s="264">
        <f t="shared" si="1"/>
        <v>0</v>
      </c>
      <c r="G35" s="264">
        <f t="shared" si="1"/>
        <v>2752.7081309743417</v>
      </c>
      <c r="H35" s="264">
        <f t="shared" si="1"/>
        <v>2752.7081309743417</v>
      </c>
      <c r="I35" s="264">
        <f t="shared" si="1"/>
        <v>0</v>
      </c>
      <c r="J35" s="264">
        <f t="shared" si="1"/>
        <v>0</v>
      </c>
      <c r="K35" s="264">
        <f t="shared" si="1"/>
        <v>0</v>
      </c>
      <c r="L35" s="264">
        <f t="shared" si="1"/>
        <v>75162.381935526035</v>
      </c>
      <c r="M35" s="264">
        <f t="shared" si="1"/>
        <v>29416.717515589822</v>
      </c>
      <c r="N35" s="264">
        <f t="shared" si="1"/>
        <v>37570.856675077601</v>
      </c>
      <c r="O35" s="264">
        <f t="shared" si="1"/>
        <v>1172.5071707915199</v>
      </c>
      <c r="P35" s="264">
        <f t="shared" si="1"/>
        <v>0</v>
      </c>
      <c r="Q35" s="264">
        <f t="shared" si="1"/>
        <v>741350.26486329886</v>
      </c>
    </row>
    <row r="36" spans="2:17" ht="34.5" customHeight="1" x14ac:dyDescent="0.35">
      <c r="B36" s="275" t="s">
        <v>25</v>
      </c>
      <c r="C36" s="272"/>
      <c r="D36" s="272"/>
      <c r="E36" s="272"/>
      <c r="F36" s="272"/>
      <c r="G36" s="272"/>
      <c r="H36" s="272"/>
      <c r="I36" s="272"/>
      <c r="J36" s="272"/>
      <c r="K36" s="272"/>
      <c r="L36" s="272"/>
      <c r="M36" s="272"/>
      <c r="N36" s="272"/>
      <c r="O36" s="272"/>
      <c r="P36" s="272"/>
      <c r="Q36" s="272"/>
    </row>
    <row r="37" spans="2:17" x14ac:dyDescent="0.35">
      <c r="C37" s="153"/>
      <c r="D37" s="153"/>
      <c r="E37" s="153"/>
      <c r="F37" s="153"/>
      <c r="G37" s="153"/>
      <c r="H37" s="153"/>
      <c r="I37" s="153"/>
      <c r="J37" s="153"/>
      <c r="K37" s="153"/>
      <c r="L37" s="153"/>
      <c r="M37" s="153"/>
      <c r="N37" s="153"/>
      <c r="O37" s="153"/>
      <c r="P37" s="153"/>
      <c r="Q37" s="153"/>
    </row>
  </sheetData>
  <sheetProtection algorithmName="SHA-512" hashValue="td7Zpzg1uUJr3YBzVheFGyE+QSus9Ic2fhVyY8LIny2R2bDAsTXdAbF2Tqy3al2ncHQe9ogjvKk1brgZAxtzQQ==" saltValue="B/fMxK3OUB9288t/tAcknw==" spinCount="100000" sheet="1" objects="1" scenarios="1"/>
  <mergeCells count="4">
    <mergeCell ref="B31:Q31"/>
    <mergeCell ref="B36:Q36"/>
    <mergeCell ref="B3:Q3"/>
    <mergeCell ref="B5:Q5"/>
  </mergeCells>
  <pageMargins left="0.7" right="0.7" top="0.75" bottom="0.75" header="0.3" footer="0.3"/>
  <pageSetup paperSize="9" scale="4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rgb="FF92D050"/>
    <pageSetUpPr fitToPage="1"/>
  </sheetPr>
  <dimension ref="B3:Q36"/>
  <sheetViews>
    <sheetView topLeftCell="M1" workbookViewId="0"/>
  </sheetViews>
  <sheetFormatPr defaultColWidth="14.453125" defaultRowHeight="15.5" x14ac:dyDescent="0.35"/>
  <cols>
    <col min="1" max="1" width="16.453125" style="76" customWidth="1"/>
    <col min="2" max="2" width="46" style="76" customWidth="1"/>
    <col min="3" max="16" width="17.54296875" style="76" customWidth="1"/>
    <col min="17" max="17" width="17.54296875" style="140" customWidth="1"/>
    <col min="18" max="104" width="14.453125" style="76" customWidth="1"/>
    <col min="105" max="16384" width="14.453125" style="76"/>
  </cols>
  <sheetData>
    <row r="3" spans="2:17" ht="27" customHeight="1" x14ac:dyDescent="0.35">
      <c r="B3" s="320" t="str">
        <f>_xlfn.CONCAT('Table of Contents'!B22,": ",'Table of Contents'!C22)</f>
        <v>APPENDIX 10: SUMMARY OF ANNUITIES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9" t="s">
        <v>17</v>
      </c>
      <c r="C5" s="269"/>
      <c r="D5" s="269"/>
      <c r="E5" s="269"/>
      <c r="F5" s="269"/>
      <c r="G5" s="269"/>
      <c r="H5" s="269"/>
      <c r="I5" s="269"/>
      <c r="J5" s="269"/>
      <c r="K5" s="269"/>
      <c r="L5" s="269"/>
      <c r="M5" s="269"/>
      <c r="N5" s="269"/>
      <c r="O5" s="269"/>
      <c r="P5" s="269"/>
      <c r="Q5" s="270"/>
    </row>
    <row r="6" spans="2:17" ht="34.5" customHeight="1" x14ac:dyDescent="0.35">
      <c r="B6" s="128" t="s">
        <v>110</v>
      </c>
      <c r="C6" s="112">
        <v>0</v>
      </c>
      <c r="D6" s="112">
        <v>0</v>
      </c>
      <c r="E6" s="112">
        <v>0</v>
      </c>
      <c r="F6" s="112">
        <v>0</v>
      </c>
      <c r="G6" s="112">
        <v>0</v>
      </c>
      <c r="H6" s="112">
        <v>0</v>
      </c>
      <c r="I6" s="112">
        <v>0</v>
      </c>
      <c r="J6" s="112">
        <v>0</v>
      </c>
      <c r="K6" s="112">
        <v>0</v>
      </c>
      <c r="L6" s="112">
        <v>0</v>
      </c>
      <c r="M6" s="112">
        <v>0</v>
      </c>
      <c r="N6" s="112">
        <v>0</v>
      </c>
      <c r="O6" s="112">
        <v>0</v>
      </c>
      <c r="P6" s="112">
        <v>0</v>
      </c>
      <c r="Q6" s="151">
        <v>0</v>
      </c>
    </row>
    <row r="7" spans="2:17" ht="34.5" customHeight="1" x14ac:dyDescent="0.35">
      <c r="B7" s="128" t="s">
        <v>111</v>
      </c>
      <c r="C7" s="112">
        <v>1015040.069</v>
      </c>
      <c r="D7" s="112">
        <v>23589.960999999999</v>
      </c>
      <c r="E7" s="112">
        <v>23589.960999999999</v>
      </c>
      <c r="F7" s="112">
        <v>0</v>
      </c>
      <c r="G7" s="112">
        <v>123098.81574000001</v>
      </c>
      <c r="H7" s="112">
        <v>123098.81574000001</v>
      </c>
      <c r="I7" s="112">
        <v>0</v>
      </c>
      <c r="J7" s="112">
        <v>0</v>
      </c>
      <c r="K7" s="112">
        <v>0</v>
      </c>
      <c r="L7" s="112">
        <v>0</v>
      </c>
      <c r="M7" s="112">
        <v>10184.819205407221</v>
      </c>
      <c r="N7" s="112">
        <v>141073.04100198799</v>
      </c>
      <c r="O7" s="112">
        <v>6370.3467849864128</v>
      </c>
      <c r="P7" s="112">
        <v>0</v>
      </c>
      <c r="Q7" s="151">
        <v>1040049.089271594</v>
      </c>
    </row>
    <row r="8" spans="2:17" ht="34.5" customHeight="1" x14ac:dyDescent="0.35">
      <c r="B8" s="128" t="s">
        <v>112</v>
      </c>
      <c r="C8" s="112">
        <v>24059616.465735141</v>
      </c>
      <c r="D8" s="112">
        <v>7464031.0469700033</v>
      </c>
      <c r="E8" s="112">
        <v>7464031.0469700033</v>
      </c>
      <c r="F8" s="112">
        <v>0</v>
      </c>
      <c r="G8" s="112">
        <v>3491782.8997</v>
      </c>
      <c r="H8" s="112">
        <v>3491782.8997</v>
      </c>
      <c r="I8" s="112">
        <v>0</v>
      </c>
      <c r="J8" s="112">
        <v>0</v>
      </c>
      <c r="K8" s="112">
        <v>0</v>
      </c>
      <c r="L8" s="112">
        <v>145992.17199999999</v>
      </c>
      <c r="M8" s="112">
        <v>111398.507</v>
      </c>
      <c r="N8" s="112">
        <v>6045212.5439999998</v>
      </c>
      <c r="O8" s="112">
        <v>62040.509832967502</v>
      </c>
      <c r="P8" s="112">
        <v>0</v>
      </c>
      <c r="Q8" s="151">
        <v>33757645.96817217</v>
      </c>
    </row>
    <row r="9" spans="2:17" ht="34.5" customHeight="1" x14ac:dyDescent="0.35">
      <c r="B9" s="128" t="s">
        <v>113</v>
      </c>
      <c r="C9" s="112">
        <v>11532.723</v>
      </c>
      <c r="D9" s="112">
        <v>0</v>
      </c>
      <c r="E9" s="112">
        <v>-193.95400000000001</v>
      </c>
      <c r="F9" s="112">
        <v>0</v>
      </c>
      <c r="G9" s="112">
        <v>1309.509</v>
      </c>
      <c r="H9" s="112">
        <v>1309.509</v>
      </c>
      <c r="I9" s="112">
        <v>0</v>
      </c>
      <c r="J9" s="112">
        <v>0</v>
      </c>
      <c r="K9" s="112">
        <v>0</v>
      </c>
      <c r="L9" s="112">
        <v>0</v>
      </c>
      <c r="M9" s="112">
        <v>0</v>
      </c>
      <c r="N9" s="112">
        <v>0</v>
      </c>
      <c r="O9" s="112">
        <v>0</v>
      </c>
      <c r="P9" s="112">
        <v>0</v>
      </c>
      <c r="Q9" s="151">
        <v>10029.26</v>
      </c>
    </row>
    <row r="10" spans="2:17" ht="34.5" customHeight="1" x14ac:dyDescent="0.35">
      <c r="B10" s="128" t="s">
        <v>114</v>
      </c>
      <c r="C10" s="112">
        <v>862965.62729397917</v>
      </c>
      <c r="D10" s="112">
        <v>249593.046</v>
      </c>
      <c r="E10" s="112">
        <v>249593.046</v>
      </c>
      <c r="F10" s="112">
        <v>0</v>
      </c>
      <c r="G10" s="112">
        <v>447169.72259999998</v>
      </c>
      <c r="H10" s="112">
        <v>447169.72259999998</v>
      </c>
      <c r="I10" s="112">
        <v>0</v>
      </c>
      <c r="J10" s="112">
        <v>0</v>
      </c>
      <c r="K10" s="112">
        <v>0</v>
      </c>
      <c r="L10" s="112">
        <v>11513.783808</v>
      </c>
      <c r="M10" s="112">
        <v>39769.912500000013</v>
      </c>
      <c r="N10" s="112">
        <v>6758.4956741402329</v>
      </c>
      <c r="O10" s="112">
        <v>0</v>
      </c>
      <c r="P10" s="112">
        <v>0</v>
      </c>
      <c r="Q10" s="151">
        <v>620863.75006011943</v>
      </c>
    </row>
    <row r="11" spans="2:17" ht="34.5" customHeight="1" x14ac:dyDescent="0.35">
      <c r="B11" s="128" t="s">
        <v>115</v>
      </c>
      <c r="C11" s="112">
        <v>1829277.5301099999</v>
      </c>
      <c r="D11" s="112">
        <v>1214105.3337600001</v>
      </c>
      <c r="E11" s="112">
        <v>1214105.3337600001</v>
      </c>
      <c r="F11" s="112">
        <v>0</v>
      </c>
      <c r="G11" s="112">
        <v>0</v>
      </c>
      <c r="H11" s="112">
        <v>0</v>
      </c>
      <c r="I11" s="112">
        <v>0</v>
      </c>
      <c r="J11" s="112">
        <v>0</v>
      </c>
      <c r="K11" s="112">
        <v>0</v>
      </c>
      <c r="L11" s="112">
        <v>23946.17126000001</v>
      </c>
      <c r="M11" s="112">
        <v>42216.702709999998</v>
      </c>
      <c r="N11" s="112">
        <v>305187.80093000003</v>
      </c>
      <c r="O11" s="112">
        <v>0</v>
      </c>
      <c r="P11" s="112">
        <v>0</v>
      </c>
      <c r="Q11" s="151">
        <v>3282407.7908299998</v>
      </c>
    </row>
    <row r="12" spans="2:17" ht="34.5" customHeight="1" x14ac:dyDescent="0.35">
      <c r="B12" s="128" t="s">
        <v>73</v>
      </c>
      <c r="C12" s="112">
        <v>0</v>
      </c>
      <c r="D12" s="112">
        <v>0</v>
      </c>
      <c r="E12" s="112">
        <v>0</v>
      </c>
      <c r="F12" s="112">
        <v>0</v>
      </c>
      <c r="G12" s="112">
        <v>0</v>
      </c>
      <c r="H12" s="112">
        <v>0</v>
      </c>
      <c r="I12" s="112">
        <v>0</v>
      </c>
      <c r="J12" s="112">
        <v>0</v>
      </c>
      <c r="K12" s="112">
        <v>0</v>
      </c>
      <c r="L12" s="112">
        <v>0</v>
      </c>
      <c r="M12" s="112">
        <v>0</v>
      </c>
      <c r="N12" s="112">
        <v>0</v>
      </c>
      <c r="O12" s="112">
        <v>0</v>
      </c>
      <c r="P12" s="112">
        <v>0</v>
      </c>
      <c r="Q12" s="151">
        <v>0</v>
      </c>
    </row>
    <row r="13" spans="2:17" ht="34.5" customHeight="1" x14ac:dyDescent="0.35">
      <c r="B13" s="128" t="s">
        <v>116</v>
      </c>
      <c r="C13" s="112">
        <v>0</v>
      </c>
      <c r="D13" s="112">
        <v>0</v>
      </c>
      <c r="E13" s="112">
        <v>0</v>
      </c>
      <c r="F13" s="112">
        <v>0</v>
      </c>
      <c r="G13" s="112">
        <v>0</v>
      </c>
      <c r="H13" s="112">
        <v>0</v>
      </c>
      <c r="I13" s="112">
        <v>0</v>
      </c>
      <c r="J13" s="112">
        <v>0</v>
      </c>
      <c r="K13" s="112">
        <v>0</v>
      </c>
      <c r="L13" s="112">
        <v>0</v>
      </c>
      <c r="M13" s="112">
        <v>0</v>
      </c>
      <c r="N13" s="112">
        <v>0</v>
      </c>
      <c r="O13" s="112">
        <v>0</v>
      </c>
      <c r="P13" s="112">
        <v>0</v>
      </c>
      <c r="Q13" s="151">
        <v>0</v>
      </c>
    </row>
    <row r="14" spans="2:17" ht="34.5" customHeight="1" x14ac:dyDescent="0.35">
      <c r="B14" s="128" t="s">
        <v>117</v>
      </c>
      <c r="C14" s="112">
        <v>0</v>
      </c>
      <c r="D14" s="112">
        <v>0</v>
      </c>
      <c r="E14" s="112">
        <v>0</v>
      </c>
      <c r="F14" s="112">
        <v>0</v>
      </c>
      <c r="G14" s="112">
        <v>0</v>
      </c>
      <c r="H14" s="112">
        <v>0</v>
      </c>
      <c r="I14" s="112">
        <v>0</v>
      </c>
      <c r="J14" s="112">
        <v>0</v>
      </c>
      <c r="K14" s="112">
        <v>0</v>
      </c>
      <c r="L14" s="112">
        <v>0</v>
      </c>
      <c r="M14" s="112">
        <v>0</v>
      </c>
      <c r="N14" s="112">
        <v>0</v>
      </c>
      <c r="O14" s="112">
        <v>0</v>
      </c>
      <c r="P14" s="112">
        <v>0</v>
      </c>
      <c r="Q14" s="151">
        <v>0</v>
      </c>
    </row>
    <row r="15" spans="2:17" ht="34.5" customHeight="1" x14ac:dyDescent="0.35">
      <c r="B15" s="128" t="s">
        <v>118</v>
      </c>
      <c r="C15" s="112">
        <v>0</v>
      </c>
      <c r="D15" s="112">
        <v>0</v>
      </c>
      <c r="E15" s="112">
        <v>0</v>
      </c>
      <c r="F15" s="112">
        <v>0</v>
      </c>
      <c r="G15" s="112">
        <v>0</v>
      </c>
      <c r="H15" s="112">
        <v>0</v>
      </c>
      <c r="I15" s="112">
        <v>0</v>
      </c>
      <c r="J15" s="112">
        <v>0</v>
      </c>
      <c r="K15" s="112">
        <v>0</v>
      </c>
      <c r="L15" s="112">
        <v>0</v>
      </c>
      <c r="M15" s="112">
        <v>0</v>
      </c>
      <c r="N15" s="112">
        <v>0</v>
      </c>
      <c r="O15" s="112">
        <v>0</v>
      </c>
      <c r="P15" s="112">
        <v>0</v>
      </c>
      <c r="Q15" s="151">
        <v>0</v>
      </c>
    </row>
    <row r="16" spans="2:17" ht="34.5" customHeight="1" x14ac:dyDescent="0.35">
      <c r="B16" s="128" t="s">
        <v>119</v>
      </c>
      <c r="C16" s="112">
        <v>22651301.784996729</v>
      </c>
      <c r="D16" s="112">
        <v>2481013.5477999998</v>
      </c>
      <c r="E16" s="112">
        <v>2481013.5477999998</v>
      </c>
      <c r="F16" s="112">
        <v>0</v>
      </c>
      <c r="G16" s="112">
        <v>2660721.1126100002</v>
      </c>
      <c r="H16" s="112">
        <v>65296.203719999998</v>
      </c>
      <c r="I16" s="112">
        <v>0</v>
      </c>
      <c r="J16" s="112">
        <v>0</v>
      </c>
      <c r="K16" s="112">
        <v>2595424.9088900001</v>
      </c>
      <c r="L16" s="112">
        <v>54094.668010000001</v>
      </c>
      <c r="M16" s="112">
        <v>48868.460041799997</v>
      </c>
      <c r="N16" s="112">
        <v>4977961.1569999997</v>
      </c>
      <c r="O16" s="112">
        <v>0</v>
      </c>
      <c r="P16" s="112">
        <v>522000</v>
      </c>
      <c r="Q16" s="151">
        <v>26824592.249134932</v>
      </c>
    </row>
    <row r="17" spans="2:17" ht="34.5" customHeight="1" x14ac:dyDescent="0.35">
      <c r="B17" s="128" t="s">
        <v>120</v>
      </c>
      <c r="C17" s="112">
        <v>12854457.0038037</v>
      </c>
      <c r="D17" s="112">
        <v>1763324.2776200001</v>
      </c>
      <c r="E17" s="112">
        <v>1763324.2776200001</v>
      </c>
      <c r="F17" s="112">
        <v>0</v>
      </c>
      <c r="G17" s="112">
        <v>1751628.6969999999</v>
      </c>
      <c r="H17" s="112">
        <v>1751628.6969999999</v>
      </c>
      <c r="I17" s="112">
        <v>0</v>
      </c>
      <c r="J17" s="112">
        <v>0</v>
      </c>
      <c r="K17" s="112">
        <v>0</v>
      </c>
      <c r="L17" s="112">
        <v>32594.653999999999</v>
      </c>
      <c r="M17" s="112">
        <v>28066.869211722231</v>
      </c>
      <c r="N17" s="112">
        <v>2099905.7149999999</v>
      </c>
      <c r="O17" s="112">
        <v>13684.433000000001</v>
      </c>
      <c r="P17" s="112">
        <v>0</v>
      </c>
      <c r="Q17" s="151">
        <v>14891712.343211969</v>
      </c>
    </row>
    <row r="18" spans="2:17" ht="34.5" customHeight="1" x14ac:dyDescent="0.35">
      <c r="B18" s="128" t="s">
        <v>121</v>
      </c>
      <c r="C18" s="112">
        <v>5687826.3329999996</v>
      </c>
      <c r="D18" s="112">
        <v>493792</v>
      </c>
      <c r="E18" s="112">
        <v>493792</v>
      </c>
      <c r="F18" s="112">
        <v>0</v>
      </c>
      <c r="G18" s="112">
        <v>636195.12</v>
      </c>
      <c r="H18" s="112">
        <v>636195.12</v>
      </c>
      <c r="I18" s="112">
        <v>0</v>
      </c>
      <c r="J18" s="112">
        <v>0</v>
      </c>
      <c r="K18" s="112">
        <v>0</v>
      </c>
      <c r="L18" s="112">
        <v>10324.591</v>
      </c>
      <c r="M18" s="112">
        <v>16744.200921299998</v>
      </c>
      <c r="N18" s="112">
        <v>828271.74</v>
      </c>
      <c r="O18" s="112">
        <v>0</v>
      </c>
      <c r="P18" s="112">
        <v>0</v>
      </c>
      <c r="Q18" s="151">
        <v>6346626.1610786999</v>
      </c>
    </row>
    <row r="19" spans="2:17" ht="34.5" customHeight="1" x14ac:dyDescent="0.35">
      <c r="B19" s="128" t="s">
        <v>122</v>
      </c>
      <c r="C19" s="112">
        <v>1032734.576577722</v>
      </c>
      <c r="D19" s="112">
        <v>266417.21399999998</v>
      </c>
      <c r="E19" s="112">
        <v>266417.21399999998</v>
      </c>
      <c r="F19" s="112">
        <v>0</v>
      </c>
      <c r="G19" s="112">
        <v>209644.23543999999</v>
      </c>
      <c r="H19" s="112">
        <v>209644.23543999999</v>
      </c>
      <c r="I19" s="112">
        <v>0</v>
      </c>
      <c r="J19" s="112">
        <v>0</v>
      </c>
      <c r="K19" s="112">
        <v>0</v>
      </c>
      <c r="L19" s="112">
        <v>9944.7960000000003</v>
      </c>
      <c r="M19" s="112">
        <v>12004.339221500049</v>
      </c>
      <c r="N19" s="112">
        <v>210025.1116</v>
      </c>
      <c r="O19" s="112">
        <v>0</v>
      </c>
      <c r="P19" s="112">
        <v>-519111.81599999999</v>
      </c>
      <c r="Q19" s="151">
        <v>1796695.347516221</v>
      </c>
    </row>
    <row r="20" spans="2:17" ht="34.5" customHeight="1" x14ac:dyDescent="0.35">
      <c r="B20" s="128" t="s">
        <v>123</v>
      </c>
      <c r="C20" s="112">
        <v>0</v>
      </c>
      <c r="D20" s="112">
        <v>0</v>
      </c>
      <c r="E20" s="112">
        <v>0</v>
      </c>
      <c r="F20" s="112">
        <v>0</v>
      </c>
      <c r="G20" s="112">
        <v>0</v>
      </c>
      <c r="H20" s="112">
        <v>0</v>
      </c>
      <c r="I20" s="112">
        <v>0</v>
      </c>
      <c r="J20" s="112">
        <v>0</v>
      </c>
      <c r="K20" s="112">
        <v>0</v>
      </c>
      <c r="L20" s="112">
        <v>0</v>
      </c>
      <c r="M20" s="112">
        <v>0</v>
      </c>
      <c r="N20" s="112">
        <v>0</v>
      </c>
      <c r="O20" s="112">
        <v>0</v>
      </c>
      <c r="P20" s="112">
        <v>0</v>
      </c>
      <c r="Q20" s="151">
        <v>0</v>
      </c>
    </row>
    <row r="21" spans="2:17" ht="34.5" customHeight="1" x14ac:dyDescent="0.35">
      <c r="B21" s="152" t="s">
        <v>124</v>
      </c>
      <c r="C21" s="112">
        <v>977051.34164999996</v>
      </c>
      <c r="D21" s="112">
        <v>0</v>
      </c>
      <c r="E21" s="112">
        <v>0</v>
      </c>
      <c r="F21" s="112">
        <v>0</v>
      </c>
      <c r="G21" s="112">
        <v>25273.078000000001</v>
      </c>
      <c r="H21" s="112">
        <v>0</v>
      </c>
      <c r="I21" s="112">
        <v>0</v>
      </c>
      <c r="J21" s="112">
        <v>0</v>
      </c>
      <c r="K21" s="112">
        <v>25273.078000000001</v>
      </c>
      <c r="L21" s="112">
        <v>0</v>
      </c>
      <c r="M21" s="112">
        <v>1821.8710000000001</v>
      </c>
      <c r="N21" s="112">
        <v>36151.207999999999</v>
      </c>
      <c r="O21" s="112">
        <v>169.73099999999999</v>
      </c>
      <c r="P21" s="112">
        <v>0</v>
      </c>
      <c r="Q21" s="151">
        <v>985937.86965000001</v>
      </c>
    </row>
    <row r="22" spans="2:17" ht="34.5" customHeight="1" x14ac:dyDescent="0.35">
      <c r="B22" s="152" t="s">
        <v>87</v>
      </c>
      <c r="C22" s="112">
        <v>5261400.1260000002</v>
      </c>
      <c r="D22" s="112">
        <v>0</v>
      </c>
      <c r="E22" s="112">
        <v>0</v>
      </c>
      <c r="F22" s="112">
        <v>0</v>
      </c>
      <c r="G22" s="112">
        <v>1083746.5496199999</v>
      </c>
      <c r="H22" s="112">
        <v>1083746.5496199999</v>
      </c>
      <c r="I22" s="112">
        <v>0</v>
      </c>
      <c r="J22" s="112">
        <v>0</v>
      </c>
      <c r="K22" s="112">
        <v>0</v>
      </c>
      <c r="L22" s="112">
        <v>0</v>
      </c>
      <c r="M22" s="112">
        <v>46176.078737359989</v>
      </c>
      <c r="N22" s="112">
        <v>316469.65337155969</v>
      </c>
      <c r="O22" s="112">
        <v>36054.184446141153</v>
      </c>
      <c r="P22" s="112">
        <v>0</v>
      </c>
      <c r="Q22" s="151">
        <v>4411892.9665680584</v>
      </c>
    </row>
    <row r="23" spans="2:17" ht="34.5" customHeight="1" x14ac:dyDescent="0.35">
      <c r="B23" s="128" t="s">
        <v>125</v>
      </c>
      <c r="C23" s="112">
        <v>1506667.0605846711</v>
      </c>
      <c r="D23" s="112">
        <v>0</v>
      </c>
      <c r="E23" s="112">
        <v>0</v>
      </c>
      <c r="F23" s="112">
        <v>0</v>
      </c>
      <c r="G23" s="112">
        <v>130401.69448999999</v>
      </c>
      <c r="H23" s="112">
        <v>130401.69448999999</v>
      </c>
      <c r="I23" s="112">
        <v>0</v>
      </c>
      <c r="J23" s="112">
        <v>0</v>
      </c>
      <c r="K23" s="112">
        <v>0</v>
      </c>
      <c r="L23" s="112">
        <v>0</v>
      </c>
      <c r="M23" s="112">
        <v>9208.3937592871007</v>
      </c>
      <c r="N23" s="112">
        <v>202045.94163529089</v>
      </c>
      <c r="O23" s="112">
        <v>0</v>
      </c>
      <c r="P23" s="112">
        <v>0</v>
      </c>
      <c r="Q23" s="151">
        <v>1569102.9139706751</v>
      </c>
    </row>
    <row r="24" spans="2:17" ht="34.5" customHeight="1" x14ac:dyDescent="0.35">
      <c r="B24" s="128" t="s">
        <v>126</v>
      </c>
      <c r="C24" s="112">
        <v>246189.06912</v>
      </c>
      <c r="D24" s="112">
        <v>227005.16800000001</v>
      </c>
      <c r="E24" s="112">
        <v>227005.16800000001</v>
      </c>
      <c r="F24" s="112">
        <v>0</v>
      </c>
      <c r="G24" s="112">
        <v>59307.383999999998</v>
      </c>
      <c r="H24" s="112">
        <v>59307.383999999998</v>
      </c>
      <c r="I24" s="112">
        <v>0</v>
      </c>
      <c r="J24" s="112">
        <v>0</v>
      </c>
      <c r="K24" s="112">
        <v>0</v>
      </c>
      <c r="L24" s="112">
        <v>4540.1033600000001</v>
      </c>
      <c r="M24" s="112">
        <v>7187.5449599999993</v>
      </c>
      <c r="N24" s="112">
        <v>5730.0820000000003</v>
      </c>
      <c r="O24" s="112">
        <v>0</v>
      </c>
      <c r="P24" s="112">
        <v>0</v>
      </c>
      <c r="Q24" s="151">
        <v>407889.2868</v>
      </c>
    </row>
    <row r="25" spans="2:17" ht="34.5" customHeight="1" x14ac:dyDescent="0.35">
      <c r="B25" s="128" t="s">
        <v>127</v>
      </c>
      <c r="C25" s="112">
        <v>0</v>
      </c>
      <c r="D25" s="112">
        <v>0</v>
      </c>
      <c r="E25" s="112">
        <v>0</v>
      </c>
      <c r="F25" s="112">
        <v>0</v>
      </c>
      <c r="G25" s="112">
        <v>0</v>
      </c>
      <c r="H25" s="112">
        <v>0</v>
      </c>
      <c r="I25" s="112">
        <v>0</v>
      </c>
      <c r="J25" s="112">
        <v>0</v>
      </c>
      <c r="K25" s="112">
        <v>0</v>
      </c>
      <c r="L25" s="112">
        <v>0</v>
      </c>
      <c r="M25" s="112">
        <v>0</v>
      </c>
      <c r="N25" s="112">
        <v>0</v>
      </c>
      <c r="O25" s="112">
        <v>0</v>
      </c>
      <c r="P25" s="112">
        <v>0</v>
      </c>
      <c r="Q25" s="151">
        <v>0</v>
      </c>
    </row>
    <row r="26" spans="2:17" ht="34.5" customHeight="1" x14ac:dyDescent="0.35">
      <c r="B26" s="128" t="s">
        <v>128</v>
      </c>
      <c r="C26" s="112">
        <v>16778251.17792828</v>
      </c>
      <c r="D26" s="112">
        <v>315900.47616999998</v>
      </c>
      <c r="E26" s="112">
        <v>315900.47616999998</v>
      </c>
      <c r="F26" s="112">
        <v>0</v>
      </c>
      <c r="G26" s="112">
        <v>1833750.71661</v>
      </c>
      <c r="H26" s="112">
        <v>1833750.71661</v>
      </c>
      <c r="I26" s="112">
        <v>0</v>
      </c>
      <c r="J26" s="112">
        <v>0</v>
      </c>
      <c r="K26" s="112">
        <v>0</v>
      </c>
      <c r="L26" s="112">
        <v>5556.1084800000008</v>
      </c>
      <c r="M26" s="112">
        <v>36779.943025989996</v>
      </c>
      <c r="N26" s="112">
        <v>3028500.6545199999</v>
      </c>
      <c r="O26" s="112">
        <v>0</v>
      </c>
      <c r="P26" s="112">
        <v>0</v>
      </c>
      <c r="Q26" s="151">
        <v>18246565.540502291</v>
      </c>
    </row>
    <row r="27" spans="2:17" ht="34.5" customHeight="1" x14ac:dyDescent="0.35">
      <c r="B27" s="128" t="s">
        <v>129</v>
      </c>
      <c r="C27" s="112">
        <v>0</v>
      </c>
      <c r="D27" s="112">
        <v>0</v>
      </c>
      <c r="E27" s="112">
        <v>0</v>
      </c>
      <c r="F27" s="112">
        <v>0</v>
      </c>
      <c r="G27" s="112">
        <v>0</v>
      </c>
      <c r="H27" s="112">
        <v>0</v>
      </c>
      <c r="I27" s="112">
        <v>0</v>
      </c>
      <c r="J27" s="112">
        <v>0</v>
      </c>
      <c r="K27" s="112">
        <v>0</v>
      </c>
      <c r="L27" s="112">
        <v>0</v>
      </c>
      <c r="M27" s="112">
        <v>0</v>
      </c>
      <c r="N27" s="112">
        <v>0</v>
      </c>
      <c r="O27" s="112">
        <v>0</v>
      </c>
      <c r="P27" s="112">
        <v>0</v>
      </c>
      <c r="Q27" s="151">
        <v>0</v>
      </c>
    </row>
    <row r="28" spans="2:17" ht="34.5" customHeight="1" x14ac:dyDescent="0.35">
      <c r="B28" s="128" t="s">
        <v>130</v>
      </c>
      <c r="C28" s="112">
        <v>836801.39599999995</v>
      </c>
      <c r="D28" s="112">
        <v>0</v>
      </c>
      <c r="E28" s="112">
        <v>0</v>
      </c>
      <c r="F28" s="112">
        <v>0</v>
      </c>
      <c r="G28" s="112">
        <v>155959.59765000001</v>
      </c>
      <c r="H28" s="112">
        <v>155959.59765000001</v>
      </c>
      <c r="I28" s="112">
        <v>0</v>
      </c>
      <c r="J28" s="112">
        <v>0</v>
      </c>
      <c r="K28" s="112">
        <v>0</v>
      </c>
      <c r="L28" s="112">
        <v>0</v>
      </c>
      <c r="M28" s="112">
        <v>0</v>
      </c>
      <c r="N28" s="112">
        <v>0</v>
      </c>
      <c r="O28" s="112">
        <v>0</v>
      </c>
      <c r="P28" s="112">
        <v>0</v>
      </c>
      <c r="Q28" s="151">
        <v>680841.79835000006</v>
      </c>
    </row>
    <row r="29" spans="2:17" ht="34.5" customHeight="1" x14ac:dyDescent="0.35">
      <c r="B29" s="128" t="s">
        <v>131</v>
      </c>
      <c r="C29" s="112">
        <v>0</v>
      </c>
      <c r="D29" s="112">
        <v>0</v>
      </c>
      <c r="E29" s="112">
        <v>0</v>
      </c>
      <c r="F29" s="112">
        <v>0</v>
      </c>
      <c r="G29" s="112">
        <v>0</v>
      </c>
      <c r="H29" s="112">
        <v>0</v>
      </c>
      <c r="I29" s="112">
        <v>0</v>
      </c>
      <c r="J29" s="112">
        <v>0</v>
      </c>
      <c r="K29" s="112">
        <v>0</v>
      </c>
      <c r="L29" s="112">
        <v>0</v>
      </c>
      <c r="M29" s="112">
        <v>0</v>
      </c>
      <c r="N29" s="112">
        <v>0</v>
      </c>
      <c r="O29" s="112">
        <v>0</v>
      </c>
      <c r="P29" s="112">
        <v>0</v>
      </c>
      <c r="Q29" s="151">
        <v>0</v>
      </c>
    </row>
    <row r="30" spans="2:17" ht="34.5" customHeight="1" x14ac:dyDescent="0.35">
      <c r="B30" s="137" t="s">
        <v>24</v>
      </c>
      <c r="C30" s="120">
        <f t="shared" ref="C30:Q30" si="0">SUM(C6:C29)</f>
        <v>95611112.284800217</v>
      </c>
      <c r="D30" s="120">
        <f t="shared" si="0"/>
        <v>14498772.071320003</v>
      </c>
      <c r="E30" s="120">
        <f t="shared" si="0"/>
        <v>14498578.117320003</v>
      </c>
      <c r="F30" s="120">
        <f t="shared" si="0"/>
        <v>0</v>
      </c>
      <c r="G30" s="120">
        <f t="shared" si="0"/>
        <v>12609989.132460002</v>
      </c>
      <c r="H30" s="120">
        <f t="shared" si="0"/>
        <v>9989291.1455700006</v>
      </c>
      <c r="I30" s="120">
        <f t="shared" si="0"/>
        <v>0</v>
      </c>
      <c r="J30" s="120">
        <f t="shared" si="0"/>
        <v>0</v>
      </c>
      <c r="K30" s="120">
        <f t="shared" si="0"/>
        <v>2620697.9868900003</v>
      </c>
      <c r="L30" s="120">
        <f t="shared" si="0"/>
        <v>298507.04791799997</v>
      </c>
      <c r="M30" s="120">
        <f t="shared" si="0"/>
        <v>410427.64229436644</v>
      </c>
      <c r="N30" s="120">
        <f t="shared" si="0"/>
        <v>18203293.144732978</v>
      </c>
      <c r="O30" s="120">
        <f t="shared" si="0"/>
        <v>118319.20506409508</v>
      </c>
      <c r="P30" s="120">
        <f t="shared" si="0"/>
        <v>2888.1840000000084</v>
      </c>
      <c r="Q30" s="120">
        <f t="shared" si="0"/>
        <v>114872852.33511674</v>
      </c>
    </row>
    <row r="31" spans="2:17" ht="34.5" customHeight="1" x14ac:dyDescent="0.35">
      <c r="B31" s="319" t="s">
        <v>103</v>
      </c>
      <c r="C31" s="269"/>
      <c r="D31" s="269"/>
      <c r="E31" s="269"/>
      <c r="F31" s="269"/>
      <c r="G31" s="269"/>
      <c r="H31" s="269"/>
      <c r="I31" s="269"/>
      <c r="J31" s="269"/>
      <c r="K31" s="269"/>
      <c r="L31" s="269"/>
      <c r="M31" s="269"/>
      <c r="N31" s="269"/>
      <c r="O31" s="269"/>
      <c r="P31" s="269"/>
      <c r="Q31" s="270"/>
    </row>
    <row r="32" spans="2:17" ht="34.5" customHeight="1" x14ac:dyDescent="0.35">
      <c r="B32" s="128" t="s">
        <v>104</v>
      </c>
      <c r="C32" s="112">
        <v>0</v>
      </c>
      <c r="D32" s="112">
        <v>0</v>
      </c>
      <c r="E32" s="112">
        <v>0</v>
      </c>
      <c r="F32" s="112">
        <v>0</v>
      </c>
      <c r="G32" s="112">
        <v>0</v>
      </c>
      <c r="H32" s="112">
        <v>0</v>
      </c>
      <c r="I32" s="112">
        <v>0</v>
      </c>
      <c r="J32" s="112">
        <v>0</v>
      </c>
      <c r="K32" s="112">
        <v>0</v>
      </c>
      <c r="L32" s="112">
        <v>0</v>
      </c>
      <c r="M32" s="112">
        <v>0</v>
      </c>
      <c r="N32" s="112">
        <v>0</v>
      </c>
      <c r="O32" s="112">
        <v>0</v>
      </c>
      <c r="P32" s="112">
        <v>0</v>
      </c>
      <c r="Q32" s="151">
        <v>0</v>
      </c>
    </row>
    <row r="33" spans="2:17" ht="34.5" customHeight="1" x14ac:dyDescent="0.35">
      <c r="B33" s="128" t="s">
        <v>105</v>
      </c>
      <c r="C33" s="112">
        <v>0</v>
      </c>
      <c r="D33" s="112">
        <v>0</v>
      </c>
      <c r="E33" s="112">
        <v>0</v>
      </c>
      <c r="F33" s="112">
        <v>0</v>
      </c>
      <c r="G33" s="112">
        <v>0</v>
      </c>
      <c r="H33" s="112">
        <v>0</v>
      </c>
      <c r="I33" s="112">
        <v>0</v>
      </c>
      <c r="J33" s="112">
        <v>0</v>
      </c>
      <c r="K33" s="112">
        <v>0</v>
      </c>
      <c r="L33" s="112">
        <v>0</v>
      </c>
      <c r="M33" s="112">
        <v>0</v>
      </c>
      <c r="N33" s="112">
        <v>0</v>
      </c>
      <c r="O33" s="112">
        <v>0</v>
      </c>
      <c r="P33" s="112">
        <v>0</v>
      </c>
      <c r="Q33" s="151">
        <v>0</v>
      </c>
    </row>
    <row r="34" spans="2:17" ht="34.5" customHeight="1" x14ac:dyDescent="0.35">
      <c r="B34" s="128" t="s">
        <v>107</v>
      </c>
      <c r="C34" s="112">
        <v>0</v>
      </c>
      <c r="D34" s="112">
        <v>0</v>
      </c>
      <c r="E34" s="112">
        <v>0</v>
      </c>
      <c r="F34" s="112">
        <v>0</v>
      </c>
      <c r="G34" s="112">
        <v>0</v>
      </c>
      <c r="H34" s="112">
        <v>0</v>
      </c>
      <c r="I34" s="112">
        <v>0</v>
      </c>
      <c r="J34" s="112">
        <v>0</v>
      </c>
      <c r="K34" s="112">
        <v>0</v>
      </c>
      <c r="L34" s="112">
        <v>0</v>
      </c>
      <c r="M34" s="112">
        <v>0</v>
      </c>
      <c r="N34" s="112">
        <v>0</v>
      </c>
      <c r="O34" s="112">
        <v>0</v>
      </c>
      <c r="P34" s="112">
        <v>0</v>
      </c>
      <c r="Q34" s="151">
        <v>0</v>
      </c>
    </row>
    <row r="35" spans="2:17" ht="34.5" customHeight="1" x14ac:dyDescent="0.35">
      <c r="B35" s="137" t="s">
        <v>24</v>
      </c>
      <c r="C35" s="120">
        <f t="shared" ref="C35:Q35" si="1">SUM(C32:C34)</f>
        <v>0</v>
      </c>
      <c r="D35" s="120">
        <f t="shared" si="1"/>
        <v>0</v>
      </c>
      <c r="E35" s="120">
        <f t="shared" si="1"/>
        <v>0</v>
      </c>
      <c r="F35" s="120">
        <f t="shared" si="1"/>
        <v>0</v>
      </c>
      <c r="G35" s="120">
        <f t="shared" si="1"/>
        <v>0</v>
      </c>
      <c r="H35" s="120">
        <f t="shared" si="1"/>
        <v>0</v>
      </c>
      <c r="I35" s="120">
        <f t="shared" si="1"/>
        <v>0</v>
      </c>
      <c r="J35" s="120">
        <f t="shared" si="1"/>
        <v>0</v>
      </c>
      <c r="K35" s="120">
        <f t="shared" si="1"/>
        <v>0</v>
      </c>
      <c r="L35" s="120">
        <f t="shared" si="1"/>
        <v>0</v>
      </c>
      <c r="M35" s="120">
        <f t="shared" si="1"/>
        <v>0</v>
      </c>
      <c r="N35" s="120">
        <f t="shared" si="1"/>
        <v>0</v>
      </c>
      <c r="O35" s="120">
        <f t="shared" si="1"/>
        <v>0</v>
      </c>
      <c r="P35" s="120">
        <f t="shared" si="1"/>
        <v>0</v>
      </c>
      <c r="Q35" s="120">
        <f t="shared" si="1"/>
        <v>0</v>
      </c>
    </row>
    <row r="36" spans="2:17" ht="34.5" customHeight="1" x14ac:dyDescent="0.35">
      <c r="B36" s="275" t="s">
        <v>25</v>
      </c>
      <c r="C36" s="272"/>
      <c r="D36" s="272"/>
      <c r="E36" s="272"/>
      <c r="F36" s="272"/>
      <c r="G36" s="272"/>
      <c r="H36" s="272"/>
      <c r="I36" s="272"/>
      <c r="J36" s="272"/>
      <c r="K36" s="272"/>
      <c r="L36" s="272"/>
      <c r="M36" s="272"/>
      <c r="N36" s="272"/>
      <c r="O36" s="272"/>
      <c r="P36" s="272"/>
      <c r="Q36" s="272"/>
    </row>
  </sheetData>
  <sheetProtection algorithmName="SHA-512" hashValue="49+RKmPdLKeuZQ4sQqaSM2WTpiOQEUe3YZhXnZ+8PgQvhsZqGm7x/bzvGIkPAEwZvOchwbZZs8eH/PFgPntfCg==" saltValue="e63BWakapStrV51zca1N8w==" spinCount="100000" sheet="1" objects="1" scenarios="1"/>
  <mergeCells count="4">
    <mergeCell ref="B31:Q31"/>
    <mergeCell ref="B36:Q36"/>
    <mergeCell ref="B3:Q3"/>
    <mergeCell ref="B5:Q5"/>
  </mergeCells>
  <pageMargins left="0.7" right="0.7" top="0.75" bottom="0.75" header="0.3" footer="0.3"/>
  <pageSetup paperSize="9" scale="4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pageSetUpPr fitToPage="1"/>
  </sheetPr>
  <dimension ref="B3:Q38"/>
  <sheetViews>
    <sheetView topLeftCell="R1" workbookViewId="0"/>
  </sheetViews>
  <sheetFormatPr defaultColWidth="15.54296875" defaultRowHeight="15.5" x14ac:dyDescent="0.35"/>
  <cols>
    <col min="1" max="1" width="15.54296875" style="76" customWidth="1"/>
    <col min="2" max="2" width="42.54296875" style="76" customWidth="1"/>
    <col min="3" max="8" width="18.453125" style="76" customWidth="1"/>
    <col min="9" max="9" width="15.54296875" style="76" customWidth="1"/>
    <col min="10" max="10" width="13" style="76" customWidth="1"/>
    <col min="11" max="11" width="15.54296875" style="76" customWidth="1"/>
    <col min="12" max="16" width="18.453125" style="76" customWidth="1"/>
    <col min="17" max="17" width="18.453125" style="140" customWidth="1"/>
    <col min="18" max="104" width="15.54296875" style="76" customWidth="1"/>
    <col min="105" max="16384" width="15.54296875" style="76"/>
  </cols>
  <sheetData>
    <row r="3" spans="2:17" ht="40" customHeight="1" x14ac:dyDescent="0.35">
      <c r="B3" s="320" t="str">
        <f>_xlfn.CONCAT('Table of Contents'!B23,": ",'Table of Contents'!C23)</f>
        <v>APPENDIX 11: SUMMARY OF GROUP LIFE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6" t="s">
        <v>17</v>
      </c>
      <c r="C5" s="269"/>
      <c r="D5" s="269"/>
      <c r="E5" s="269"/>
      <c r="F5" s="269"/>
      <c r="G5" s="269"/>
      <c r="H5" s="269"/>
      <c r="I5" s="269"/>
      <c r="J5" s="269"/>
      <c r="K5" s="269"/>
      <c r="L5" s="269"/>
      <c r="M5" s="269"/>
      <c r="N5" s="269"/>
      <c r="O5" s="269"/>
      <c r="P5" s="269"/>
      <c r="Q5" s="270"/>
    </row>
    <row r="6" spans="2:17" ht="34.5" customHeight="1" x14ac:dyDescent="0.35">
      <c r="B6" s="128" t="s">
        <v>110</v>
      </c>
      <c r="C6" s="112">
        <v>454028.71198802302</v>
      </c>
      <c r="D6" s="112">
        <v>2567980.5060000028</v>
      </c>
      <c r="E6" s="112">
        <v>1300924.0460000031</v>
      </c>
      <c r="F6" s="112">
        <v>0</v>
      </c>
      <c r="G6" s="112">
        <v>976714.07299999997</v>
      </c>
      <c r="H6" s="112">
        <v>976714.07299999997</v>
      </c>
      <c r="I6" s="112">
        <v>0</v>
      </c>
      <c r="J6" s="112">
        <v>0</v>
      </c>
      <c r="K6" s="112">
        <v>0</v>
      </c>
      <c r="L6" s="112">
        <v>101705.522</v>
      </c>
      <c r="M6" s="112">
        <v>361370.95854000002</v>
      </c>
      <c r="N6" s="112">
        <v>47817.389158000151</v>
      </c>
      <c r="O6" s="112">
        <v>0</v>
      </c>
      <c r="P6" s="112">
        <v>0</v>
      </c>
      <c r="Q6" s="151">
        <v>362979.59360602591</v>
      </c>
    </row>
    <row r="7" spans="2:17" ht="34.5" customHeight="1" x14ac:dyDescent="0.35">
      <c r="B7" s="128" t="s">
        <v>111</v>
      </c>
      <c r="C7" s="112">
        <v>639163.478</v>
      </c>
      <c r="D7" s="112">
        <v>1831004.7926953</v>
      </c>
      <c r="E7" s="112">
        <v>515434.92984613823</v>
      </c>
      <c r="F7" s="112">
        <v>0</v>
      </c>
      <c r="G7" s="112">
        <v>463202.83761749847</v>
      </c>
      <c r="H7" s="112">
        <v>463202.83761749847</v>
      </c>
      <c r="I7" s="112">
        <v>0</v>
      </c>
      <c r="J7" s="112">
        <v>0</v>
      </c>
      <c r="K7" s="112">
        <v>0</v>
      </c>
      <c r="L7" s="112">
        <v>-69127.940945015245</v>
      </c>
      <c r="M7" s="112">
        <v>257303.61518789531</v>
      </c>
      <c r="N7" s="112">
        <v>112762.1469189583</v>
      </c>
      <c r="O7" s="112">
        <v>5290.3331227917924</v>
      </c>
      <c r="P7" s="112">
        <v>0</v>
      </c>
      <c r="Q7" s="151">
        <v>610691.70978192624</v>
      </c>
    </row>
    <row r="8" spans="2:17" ht="34.5" customHeight="1" x14ac:dyDescent="0.35">
      <c r="B8" s="128" t="s">
        <v>112</v>
      </c>
      <c r="C8" s="112">
        <v>2772766.987089701</v>
      </c>
      <c r="D8" s="112">
        <v>5227073.0038000001</v>
      </c>
      <c r="E8" s="112">
        <v>846407.12831999967</v>
      </c>
      <c r="F8" s="112">
        <v>0</v>
      </c>
      <c r="G8" s="112">
        <v>455688.17262000008</v>
      </c>
      <c r="H8" s="112">
        <v>455688.17262000008</v>
      </c>
      <c r="I8" s="112">
        <v>0</v>
      </c>
      <c r="J8" s="112">
        <v>0</v>
      </c>
      <c r="K8" s="112">
        <v>0</v>
      </c>
      <c r="L8" s="112">
        <v>-200405.03400000001</v>
      </c>
      <c r="M8" s="112">
        <v>444404.179</v>
      </c>
      <c r="N8" s="112">
        <v>502571.2</v>
      </c>
      <c r="O8" s="112">
        <v>-1416.816</v>
      </c>
      <c r="P8" s="112">
        <v>0</v>
      </c>
      <c r="Q8" s="151">
        <v>3423474.8137897011</v>
      </c>
    </row>
    <row r="9" spans="2:17" ht="34.5" customHeight="1" x14ac:dyDescent="0.35">
      <c r="B9" s="128" t="s">
        <v>113</v>
      </c>
      <c r="C9" s="112">
        <v>168205.61047908821</v>
      </c>
      <c r="D9" s="112">
        <v>504610.99463623803</v>
      </c>
      <c r="E9" s="112">
        <v>336443.91285408568</v>
      </c>
      <c r="F9" s="112">
        <v>0</v>
      </c>
      <c r="G9" s="112">
        <v>170669.99822037551</v>
      </c>
      <c r="H9" s="112">
        <v>170669.99822037551</v>
      </c>
      <c r="I9" s="112">
        <v>0</v>
      </c>
      <c r="J9" s="112">
        <v>0</v>
      </c>
      <c r="K9" s="112">
        <v>0</v>
      </c>
      <c r="L9" s="112">
        <v>27060.510534446192</v>
      </c>
      <c r="M9" s="112">
        <v>16416.687999999998</v>
      </c>
      <c r="N9" s="112">
        <v>7963.7740000000003</v>
      </c>
      <c r="O9" s="112">
        <v>0</v>
      </c>
      <c r="P9" s="112">
        <v>0</v>
      </c>
      <c r="Q9" s="151">
        <v>298466.10057835223</v>
      </c>
    </row>
    <row r="10" spans="2:17" ht="34.5" customHeight="1" x14ac:dyDescent="0.35">
      <c r="B10" s="128" t="s">
        <v>114</v>
      </c>
      <c r="C10" s="112">
        <v>335333.11377826543</v>
      </c>
      <c r="D10" s="112">
        <v>948991.07234941132</v>
      </c>
      <c r="E10" s="112">
        <v>812626.47760899574</v>
      </c>
      <c r="F10" s="112">
        <v>0</v>
      </c>
      <c r="G10" s="112">
        <v>353780.56611999997</v>
      </c>
      <c r="H10" s="112">
        <v>353780.56611999997</v>
      </c>
      <c r="I10" s="112">
        <v>0</v>
      </c>
      <c r="J10" s="112">
        <v>0</v>
      </c>
      <c r="K10" s="112">
        <v>0</v>
      </c>
      <c r="L10" s="112">
        <v>134425.62838236531</v>
      </c>
      <c r="M10" s="112">
        <v>311292.44293963711</v>
      </c>
      <c r="N10" s="112">
        <v>25674.338539173881</v>
      </c>
      <c r="O10" s="112">
        <v>0</v>
      </c>
      <c r="P10" s="112">
        <v>0</v>
      </c>
      <c r="Q10" s="151">
        <v>374135.29248443258</v>
      </c>
    </row>
    <row r="11" spans="2:17" ht="34.5" customHeight="1" x14ac:dyDescent="0.35">
      <c r="B11" s="128" t="s">
        <v>115</v>
      </c>
      <c r="C11" s="112">
        <v>1654152.2176278811</v>
      </c>
      <c r="D11" s="112">
        <v>824232.39300000004</v>
      </c>
      <c r="E11" s="112">
        <v>668255.47199999995</v>
      </c>
      <c r="F11" s="112">
        <v>0</v>
      </c>
      <c r="G11" s="112">
        <v>256476.005</v>
      </c>
      <c r="H11" s="112">
        <v>256476.005</v>
      </c>
      <c r="I11" s="112">
        <v>0</v>
      </c>
      <c r="J11" s="112">
        <v>0</v>
      </c>
      <c r="K11" s="112">
        <v>0</v>
      </c>
      <c r="L11" s="112">
        <v>-45830.557000000001</v>
      </c>
      <c r="M11" s="112">
        <v>181285.20435810139</v>
      </c>
      <c r="N11" s="112">
        <v>2067352.50978</v>
      </c>
      <c r="O11" s="112">
        <v>0</v>
      </c>
      <c r="P11" s="112">
        <v>0</v>
      </c>
      <c r="Q11" s="151">
        <v>3997829.547049779</v>
      </c>
    </row>
    <row r="12" spans="2:17" ht="34.5" customHeight="1" x14ac:dyDescent="0.35">
      <c r="B12" s="128" t="s">
        <v>73</v>
      </c>
      <c r="C12" s="112">
        <v>0</v>
      </c>
      <c r="D12" s="112">
        <v>0</v>
      </c>
      <c r="E12" s="112">
        <v>0</v>
      </c>
      <c r="F12" s="112">
        <v>0</v>
      </c>
      <c r="G12" s="112">
        <v>4.7999999672174452E-4</v>
      </c>
      <c r="H12" s="112">
        <v>4.7999999672174452E-4</v>
      </c>
      <c r="I12" s="112">
        <v>0</v>
      </c>
      <c r="J12" s="112">
        <v>0</v>
      </c>
      <c r="K12" s="112">
        <v>0</v>
      </c>
      <c r="L12" s="112">
        <v>0</v>
      </c>
      <c r="M12" s="112">
        <v>0</v>
      </c>
      <c r="N12" s="112">
        <v>0</v>
      </c>
      <c r="O12" s="112">
        <v>0</v>
      </c>
      <c r="P12" s="112">
        <v>0</v>
      </c>
      <c r="Q12" s="151">
        <v>-4.7999999672174452E-4</v>
      </c>
    </row>
    <row r="13" spans="2:17" ht="34.5" customHeight="1" x14ac:dyDescent="0.35">
      <c r="B13" s="128" t="s">
        <v>116</v>
      </c>
      <c r="C13" s="112">
        <v>587628.7111555828</v>
      </c>
      <c r="D13" s="112">
        <v>646193.821</v>
      </c>
      <c r="E13" s="112">
        <v>254659.50899999999</v>
      </c>
      <c r="F13" s="112">
        <v>0</v>
      </c>
      <c r="G13" s="112">
        <v>135106.1442540659</v>
      </c>
      <c r="H13" s="112">
        <v>135106.1442540659</v>
      </c>
      <c r="I13" s="112">
        <v>0</v>
      </c>
      <c r="J13" s="112">
        <v>0</v>
      </c>
      <c r="K13" s="112">
        <v>0</v>
      </c>
      <c r="L13" s="112">
        <v>-68002.648610962715</v>
      </c>
      <c r="M13" s="112">
        <v>60617.082369999996</v>
      </c>
      <c r="N13" s="112">
        <v>370113.40421707951</v>
      </c>
      <c r="O13" s="112">
        <v>0</v>
      </c>
      <c r="P13" s="112">
        <v>0</v>
      </c>
      <c r="Q13" s="151">
        <v>1084681.0463595591</v>
      </c>
    </row>
    <row r="14" spans="2:17" ht="34.5" customHeight="1" x14ac:dyDescent="0.35">
      <c r="B14" s="128" t="s">
        <v>117</v>
      </c>
      <c r="C14" s="112">
        <v>27060.957999999999</v>
      </c>
      <c r="D14" s="112">
        <v>81952.476999999999</v>
      </c>
      <c r="E14" s="112">
        <v>4702.0870000000004</v>
      </c>
      <c r="F14" s="112">
        <v>0</v>
      </c>
      <c r="G14" s="112">
        <v>1433.171</v>
      </c>
      <c r="H14" s="112">
        <v>1433.171</v>
      </c>
      <c r="I14" s="112">
        <v>0</v>
      </c>
      <c r="J14" s="112">
        <v>0</v>
      </c>
      <c r="K14" s="112">
        <v>0</v>
      </c>
      <c r="L14" s="112">
        <v>-39176.131000000001</v>
      </c>
      <c r="M14" s="112">
        <v>19379.787</v>
      </c>
      <c r="N14" s="112">
        <v>5506.83</v>
      </c>
      <c r="O14" s="112">
        <v>0</v>
      </c>
      <c r="P14" s="112">
        <v>0</v>
      </c>
      <c r="Q14" s="151">
        <v>55633.048000000003</v>
      </c>
    </row>
    <row r="15" spans="2:17" ht="34.5" customHeight="1" x14ac:dyDescent="0.35">
      <c r="B15" s="128" t="s">
        <v>118</v>
      </c>
      <c r="C15" s="112">
        <v>1007272.143</v>
      </c>
      <c r="D15" s="112">
        <v>213260.89314</v>
      </c>
      <c r="E15" s="112">
        <v>118554.60294</v>
      </c>
      <c r="F15" s="112">
        <v>0</v>
      </c>
      <c r="G15" s="112">
        <v>381240.48255999992</v>
      </c>
      <c r="H15" s="112">
        <v>381240.48255999992</v>
      </c>
      <c r="I15" s="112">
        <v>0</v>
      </c>
      <c r="J15" s="112">
        <v>0</v>
      </c>
      <c r="K15" s="112">
        <v>0</v>
      </c>
      <c r="L15" s="112">
        <v>6365.7415400000027</v>
      </c>
      <c r="M15" s="112">
        <v>45142.381063794113</v>
      </c>
      <c r="N15" s="112">
        <v>0</v>
      </c>
      <c r="O15" s="112">
        <v>0</v>
      </c>
      <c r="P15" s="112">
        <v>0</v>
      </c>
      <c r="Q15" s="151">
        <v>693078.14077620604</v>
      </c>
    </row>
    <row r="16" spans="2:17" ht="34.5" customHeight="1" x14ac:dyDescent="0.35">
      <c r="B16" s="128" t="s">
        <v>119</v>
      </c>
      <c r="C16" s="112">
        <v>433367.01807764772</v>
      </c>
      <c r="D16" s="112">
        <v>549692.74724000006</v>
      </c>
      <c r="E16" s="112">
        <v>331465.97521494591</v>
      </c>
      <c r="F16" s="112">
        <v>0</v>
      </c>
      <c r="G16" s="112">
        <v>231533.50176000001</v>
      </c>
      <c r="H16" s="112">
        <v>231533.50176000001</v>
      </c>
      <c r="I16" s="112">
        <v>0</v>
      </c>
      <c r="J16" s="112">
        <v>0</v>
      </c>
      <c r="K16" s="112">
        <v>0</v>
      </c>
      <c r="L16" s="112">
        <v>-25577.848507546569</v>
      </c>
      <c r="M16" s="112">
        <v>165653.25260825001</v>
      </c>
      <c r="N16" s="112">
        <v>59848.925000000003</v>
      </c>
      <c r="O16" s="112">
        <v>0</v>
      </c>
      <c r="P16" s="112">
        <v>43500</v>
      </c>
      <c r="Q16" s="151">
        <v>409573.01243189018</v>
      </c>
    </row>
    <row r="17" spans="2:17" ht="34.5" customHeight="1" x14ac:dyDescent="0.35">
      <c r="B17" s="128" t="s">
        <v>120</v>
      </c>
      <c r="C17" s="112">
        <v>474616.3568436855</v>
      </c>
      <c r="D17" s="112">
        <v>1132529.335</v>
      </c>
      <c r="E17" s="112">
        <v>587072.76800000004</v>
      </c>
      <c r="F17" s="112">
        <v>0</v>
      </c>
      <c r="G17" s="112">
        <v>374335.95400000003</v>
      </c>
      <c r="H17" s="112">
        <v>374335.95400000003</v>
      </c>
      <c r="I17" s="112">
        <v>0</v>
      </c>
      <c r="J17" s="112">
        <v>0</v>
      </c>
      <c r="K17" s="112">
        <v>0</v>
      </c>
      <c r="L17" s="112">
        <v>-27931.036</v>
      </c>
      <c r="M17" s="112">
        <v>202591.4435889445</v>
      </c>
      <c r="N17" s="112">
        <v>173978.64320641139</v>
      </c>
      <c r="O17" s="112">
        <v>1316.062912571836</v>
      </c>
      <c r="P17" s="112">
        <v>0</v>
      </c>
      <c r="Q17" s="151">
        <v>685355.34354858065</v>
      </c>
    </row>
    <row r="18" spans="2:17" ht="34.5" customHeight="1" x14ac:dyDescent="0.35">
      <c r="B18" s="128" t="s">
        <v>121</v>
      </c>
      <c r="C18" s="112">
        <v>114175.77499999999</v>
      </c>
      <c r="D18" s="112">
        <v>97092.009000000005</v>
      </c>
      <c r="E18" s="112">
        <v>28762.34</v>
      </c>
      <c r="F18" s="112">
        <v>0</v>
      </c>
      <c r="G18" s="112">
        <v>12951.44335</v>
      </c>
      <c r="H18" s="112">
        <v>12951.44335</v>
      </c>
      <c r="I18" s="112">
        <v>0</v>
      </c>
      <c r="J18" s="112">
        <v>0</v>
      </c>
      <c r="K18" s="112">
        <v>0</v>
      </c>
      <c r="L18" s="112">
        <v>5815.57456</v>
      </c>
      <c r="M18" s="112">
        <v>27907.0015355</v>
      </c>
      <c r="N18" s="112">
        <v>24356.68635963284</v>
      </c>
      <c r="O18" s="112">
        <v>0</v>
      </c>
      <c r="P18" s="112">
        <v>7500</v>
      </c>
      <c r="Q18" s="151">
        <v>113120.78191413279</v>
      </c>
    </row>
    <row r="19" spans="2:17" ht="34.5" customHeight="1" x14ac:dyDescent="0.35">
      <c r="B19" s="128" t="s">
        <v>122</v>
      </c>
      <c r="C19" s="112">
        <v>141937.9768707859</v>
      </c>
      <c r="D19" s="112">
        <v>62269.353000000003</v>
      </c>
      <c r="E19" s="112">
        <v>31443.101999999999</v>
      </c>
      <c r="F19" s="112">
        <v>0</v>
      </c>
      <c r="G19" s="112">
        <v>40572.6</v>
      </c>
      <c r="H19" s="112">
        <v>40572.6</v>
      </c>
      <c r="I19" s="112">
        <v>0</v>
      </c>
      <c r="J19" s="112">
        <v>0</v>
      </c>
      <c r="K19" s="112">
        <v>0</v>
      </c>
      <c r="L19" s="112">
        <v>-17608.130880000001</v>
      </c>
      <c r="M19" s="112">
        <v>25504.043598699991</v>
      </c>
      <c r="N19" s="112">
        <v>15211.143690000001</v>
      </c>
      <c r="O19" s="112">
        <v>0</v>
      </c>
      <c r="P19" s="112">
        <v>50000</v>
      </c>
      <c r="Q19" s="151">
        <v>90123.709842085867</v>
      </c>
    </row>
    <row r="20" spans="2:17" ht="34.5" customHeight="1" x14ac:dyDescent="0.35">
      <c r="B20" s="128" t="s">
        <v>123</v>
      </c>
      <c r="C20" s="112">
        <v>0</v>
      </c>
      <c r="D20" s="112">
        <v>0</v>
      </c>
      <c r="E20" s="112">
        <v>0</v>
      </c>
      <c r="F20" s="112">
        <v>0</v>
      </c>
      <c r="G20" s="112">
        <v>0</v>
      </c>
      <c r="H20" s="112">
        <v>0</v>
      </c>
      <c r="I20" s="112">
        <v>0</v>
      </c>
      <c r="J20" s="112">
        <v>0</v>
      </c>
      <c r="K20" s="112">
        <v>0</v>
      </c>
      <c r="L20" s="112">
        <v>0</v>
      </c>
      <c r="M20" s="112">
        <v>0</v>
      </c>
      <c r="N20" s="112">
        <v>0</v>
      </c>
      <c r="O20" s="112">
        <v>0</v>
      </c>
      <c r="P20" s="112">
        <v>0</v>
      </c>
      <c r="Q20" s="151">
        <v>0</v>
      </c>
    </row>
    <row r="21" spans="2:17" ht="34.5" customHeight="1" x14ac:dyDescent="0.35">
      <c r="B21" s="152" t="s">
        <v>124</v>
      </c>
      <c r="C21" s="112">
        <v>631491.31202537543</v>
      </c>
      <c r="D21" s="112">
        <v>847288.78467000159</v>
      </c>
      <c r="E21" s="112">
        <v>640584.17467000161</v>
      </c>
      <c r="F21" s="112">
        <v>0</v>
      </c>
      <c r="G21" s="112">
        <v>356230.12825999991</v>
      </c>
      <c r="H21" s="112">
        <v>356230.12825999991</v>
      </c>
      <c r="I21" s="112">
        <v>0</v>
      </c>
      <c r="J21" s="112">
        <v>0</v>
      </c>
      <c r="K21" s="112">
        <v>0</v>
      </c>
      <c r="L21" s="112">
        <v>84993.616999999998</v>
      </c>
      <c r="M21" s="112">
        <v>153994.644</v>
      </c>
      <c r="N21" s="112">
        <v>105906.79320862811</v>
      </c>
      <c r="O21" s="112">
        <v>11965.790999999999</v>
      </c>
      <c r="P21" s="112">
        <v>0</v>
      </c>
      <c r="Q21" s="151">
        <v>770798.0996440053</v>
      </c>
    </row>
    <row r="22" spans="2:17" ht="34.5" customHeight="1" x14ac:dyDescent="0.35">
      <c r="B22" s="152" t="s">
        <v>87</v>
      </c>
      <c r="C22" s="112">
        <v>-131621.486</v>
      </c>
      <c r="D22" s="112">
        <v>614928.04159904632</v>
      </c>
      <c r="E22" s="112">
        <v>407160.06501262542</v>
      </c>
      <c r="F22" s="112">
        <v>0</v>
      </c>
      <c r="G22" s="112">
        <v>439843.85084999999</v>
      </c>
      <c r="H22" s="112">
        <v>439843.85084999999</v>
      </c>
      <c r="I22" s="112">
        <v>0</v>
      </c>
      <c r="J22" s="112">
        <v>0</v>
      </c>
      <c r="K22" s="112">
        <v>0</v>
      </c>
      <c r="L22" s="112">
        <v>25354.235919999999</v>
      </c>
      <c r="M22" s="112">
        <v>154862.97596472001</v>
      </c>
      <c r="N22" s="112">
        <v>3742.4926008438729</v>
      </c>
      <c r="O22" s="112">
        <v>426.36795370936358</v>
      </c>
      <c r="P22" s="112">
        <v>0</v>
      </c>
      <c r="Q22" s="151">
        <v>-341206.35907496017</v>
      </c>
    </row>
    <row r="23" spans="2:17" ht="34.5" customHeight="1" x14ac:dyDescent="0.35">
      <c r="B23" s="128" t="s">
        <v>125</v>
      </c>
      <c r="C23" s="112">
        <v>3346789.5423727878</v>
      </c>
      <c r="D23" s="112">
        <v>2290379.305949999</v>
      </c>
      <c r="E23" s="112">
        <v>1758554.279619999</v>
      </c>
      <c r="F23" s="112">
        <v>-200717.07123650401</v>
      </c>
      <c r="G23" s="112">
        <v>1045188.640237608</v>
      </c>
      <c r="H23" s="112">
        <v>1045188.640237608</v>
      </c>
      <c r="I23" s="112">
        <v>0</v>
      </c>
      <c r="J23" s="112">
        <v>0</v>
      </c>
      <c r="K23" s="112">
        <v>0</v>
      </c>
      <c r="L23" s="112">
        <v>135816.0003617598</v>
      </c>
      <c r="M23" s="112">
        <v>644408.06105308258</v>
      </c>
      <c r="N23" s="112">
        <v>300356.21193800448</v>
      </c>
      <c r="O23" s="112">
        <v>0</v>
      </c>
      <c r="P23" s="112">
        <v>0</v>
      </c>
      <c r="Q23" s="151">
        <v>3379570.2610418382</v>
      </c>
    </row>
    <row r="24" spans="2:17" ht="34.5" customHeight="1" x14ac:dyDescent="0.35">
      <c r="B24" s="128" t="s">
        <v>126</v>
      </c>
      <c r="C24" s="112">
        <v>1124708.253178214</v>
      </c>
      <c r="D24" s="112">
        <v>1317555.3149999999</v>
      </c>
      <c r="E24" s="112">
        <v>1069714.49</v>
      </c>
      <c r="F24" s="112">
        <v>0</v>
      </c>
      <c r="G24" s="112">
        <v>471278.05271983001</v>
      </c>
      <c r="H24" s="112">
        <v>471278.05271983001</v>
      </c>
      <c r="I24" s="112">
        <v>0</v>
      </c>
      <c r="J24" s="112">
        <v>0</v>
      </c>
      <c r="K24" s="112">
        <v>0</v>
      </c>
      <c r="L24" s="112">
        <v>229901.68765000001</v>
      </c>
      <c r="M24" s="112">
        <v>215626.34880000001</v>
      </c>
      <c r="N24" s="112">
        <v>5030.0820000000003</v>
      </c>
      <c r="O24" s="112">
        <v>0</v>
      </c>
      <c r="P24" s="112">
        <v>0</v>
      </c>
      <c r="Q24" s="151">
        <v>1282646.736008384</v>
      </c>
    </row>
    <row r="25" spans="2:17" ht="34.5" customHeight="1" x14ac:dyDescent="0.35">
      <c r="B25" s="128" t="s">
        <v>127</v>
      </c>
      <c r="C25" s="112">
        <v>256038.64403474139</v>
      </c>
      <c r="D25" s="112">
        <v>726750.36991000001</v>
      </c>
      <c r="E25" s="112">
        <v>534465.5859399999</v>
      </c>
      <c r="F25" s="112">
        <v>46988.625999999997</v>
      </c>
      <c r="G25" s="112">
        <v>417763.00172</v>
      </c>
      <c r="H25" s="112">
        <v>417763.00172</v>
      </c>
      <c r="I25" s="112">
        <v>0</v>
      </c>
      <c r="J25" s="112">
        <v>0</v>
      </c>
      <c r="K25" s="112">
        <v>0</v>
      </c>
      <c r="L25" s="112">
        <v>56842.030500000001</v>
      </c>
      <c r="M25" s="112">
        <v>284200.87641000003</v>
      </c>
      <c r="N25" s="112">
        <v>133243.28339999999</v>
      </c>
      <c r="O25" s="112">
        <v>3477.915015</v>
      </c>
      <c r="P25" s="112">
        <v>0</v>
      </c>
      <c r="Q25" s="151">
        <v>208452.3157297413</v>
      </c>
    </row>
    <row r="26" spans="2:17" ht="34.5" customHeight="1" x14ac:dyDescent="0.35">
      <c r="B26" s="128" t="s">
        <v>128</v>
      </c>
      <c r="C26" s="112">
        <v>206816.85831990879</v>
      </c>
      <c r="D26" s="112">
        <v>753895.85252000007</v>
      </c>
      <c r="E26" s="112">
        <v>343182.86523000011</v>
      </c>
      <c r="F26" s="112">
        <v>0</v>
      </c>
      <c r="G26" s="112">
        <v>280047.84829074459</v>
      </c>
      <c r="H26" s="112">
        <v>280047.84829074459</v>
      </c>
      <c r="I26" s="112">
        <v>0</v>
      </c>
      <c r="J26" s="112">
        <v>0</v>
      </c>
      <c r="K26" s="112">
        <v>0</v>
      </c>
      <c r="L26" s="112">
        <v>38346.126252276234</v>
      </c>
      <c r="M26" s="112">
        <v>200503.02420265309</v>
      </c>
      <c r="N26" s="112">
        <v>48005.899347647763</v>
      </c>
      <c r="O26" s="112">
        <v>0</v>
      </c>
      <c r="P26" s="112">
        <v>0</v>
      </c>
      <c r="Q26" s="151">
        <v>79108.624151882745</v>
      </c>
    </row>
    <row r="27" spans="2:17" ht="34.5" customHeight="1" x14ac:dyDescent="0.35">
      <c r="B27" s="128" t="s">
        <v>129</v>
      </c>
      <c r="C27" s="112">
        <v>546648.07085393381</v>
      </c>
      <c r="D27" s="112">
        <v>40189.758309999997</v>
      </c>
      <c r="E27" s="112">
        <v>39220.624309999999</v>
      </c>
      <c r="F27" s="112">
        <v>0</v>
      </c>
      <c r="G27" s="112">
        <v>100507.08100000001</v>
      </c>
      <c r="H27" s="112">
        <v>100507.08100000001</v>
      </c>
      <c r="I27" s="112">
        <v>0</v>
      </c>
      <c r="J27" s="112">
        <v>0</v>
      </c>
      <c r="K27" s="112">
        <v>0</v>
      </c>
      <c r="L27" s="112">
        <v>6230.4790499999999</v>
      </c>
      <c r="M27" s="112">
        <v>27454.01127333333</v>
      </c>
      <c r="N27" s="112">
        <v>4048.2278464139199</v>
      </c>
      <c r="O27" s="112">
        <v>0</v>
      </c>
      <c r="P27" s="112">
        <v>0</v>
      </c>
      <c r="Q27" s="151">
        <v>455725.35168701439</v>
      </c>
    </row>
    <row r="28" spans="2:17" ht="34.5" customHeight="1" x14ac:dyDescent="0.35">
      <c r="B28" s="128" t="s">
        <v>130</v>
      </c>
      <c r="C28" s="112">
        <v>313456.51268632611</v>
      </c>
      <c r="D28" s="112">
        <v>262382.94</v>
      </c>
      <c r="E28" s="112">
        <v>254166.77564551801</v>
      </c>
      <c r="F28" s="112">
        <v>0</v>
      </c>
      <c r="G28" s="112">
        <v>164789.44253999999</v>
      </c>
      <c r="H28" s="112">
        <v>164789.44253999999</v>
      </c>
      <c r="I28" s="112">
        <v>0</v>
      </c>
      <c r="J28" s="112">
        <v>0</v>
      </c>
      <c r="K28" s="112">
        <v>0</v>
      </c>
      <c r="L28" s="112">
        <v>1643.82248</v>
      </c>
      <c r="M28" s="112">
        <v>159910.12830119199</v>
      </c>
      <c r="N28" s="112">
        <v>27512.7090239217</v>
      </c>
      <c r="O28" s="112">
        <v>0</v>
      </c>
      <c r="P28" s="112">
        <v>0</v>
      </c>
      <c r="Q28" s="151">
        <v>268792.60403457389</v>
      </c>
    </row>
    <row r="29" spans="2:17" ht="34.5" customHeight="1" x14ac:dyDescent="0.35">
      <c r="B29" s="128" t="s">
        <v>131</v>
      </c>
      <c r="C29" s="112">
        <v>0</v>
      </c>
      <c r="D29" s="112">
        <v>0</v>
      </c>
      <c r="E29" s="112">
        <v>0</v>
      </c>
      <c r="F29" s="112">
        <v>0</v>
      </c>
      <c r="G29" s="112">
        <v>0</v>
      </c>
      <c r="H29" s="112">
        <v>0</v>
      </c>
      <c r="I29" s="112">
        <v>0</v>
      </c>
      <c r="J29" s="112">
        <v>0</v>
      </c>
      <c r="K29" s="112">
        <v>0</v>
      </c>
      <c r="L29" s="112">
        <v>0</v>
      </c>
      <c r="M29" s="112">
        <v>0</v>
      </c>
      <c r="N29" s="112">
        <v>0</v>
      </c>
      <c r="O29" s="112">
        <v>0</v>
      </c>
      <c r="P29" s="112">
        <v>0</v>
      </c>
      <c r="Q29" s="151">
        <v>0</v>
      </c>
    </row>
    <row r="30" spans="2:17" ht="34.5" customHeight="1" x14ac:dyDescent="0.35">
      <c r="B30" s="137" t="s">
        <v>24</v>
      </c>
      <c r="C30" s="142">
        <f t="shared" ref="C30:Q30" si="0">SUM(C6:C29)</f>
        <v>15104036.765381947</v>
      </c>
      <c r="D30" s="142">
        <f t="shared" si="0"/>
        <v>21540253.76582</v>
      </c>
      <c r="E30" s="142">
        <f t="shared" si="0"/>
        <v>10883801.211212311</v>
      </c>
      <c r="F30" s="142">
        <f t="shared" si="0"/>
        <v>-153728.44523650402</v>
      </c>
      <c r="G30" s="142">
        <f t="shared" si="0"/>
        <v>7129352.995600122</v>
      </c>
      <c r="H30" s="142">
        <f t="shared" si="0"/>
        <v>7129352.995600122</v>
      </c>
      <c r="I30" s="142">
        <f t="shared" si="0"/>
        <v>0</v>
      </c>
      <c r="J30" s="142">
        <f t="shared" si="0"/>
        <v>0</v>
      </c>
      <c r="K30" s="142">
        <f t="shared" si="0"/>
        <v>0</v>
      </c>
      <c r="L30" s="142">
        <f t="shared" si="0"/>
        <v>360841.649287323</v>
      </c>
      <c r="M30" s="142">
        <f t="shared" si="0"/>
        <v>3959828.1497958028</v>
      </c>
      <c r="N30" s="142">
        <f t="shared" si="0"/>
        <v>4041002.6902347151</v>
      </c>
      <c r="O30" s="142">
        <f t="shared" si="0"/>
        <v>21059.654004072989</v>
      </c>
      <c r="P30" s="120">
        <f t="shared" si="0"/>
        <v>101000</v>
      </c>
      <c r="Q30" s="142">
        <f t="shared" si="0"/>
        <v>18303029.772905152</v>
      </c>
    </row>
    <row r="31" spans="2:17" ht="34.5" customHeight="1" x14ac:dyDescent="0.35">
      <c r="B31" s="316" t="s">
        <v>103</v>
      </c>
      <c r="C31" s="269"/>
      <c r="D31" s="269"/>
      <c r="E31" s="269"/>
      <c r="F31" s="269"/>
      <c r="G31" s="269"/>
      <c r="H31" s="269"/>
      <c r="I31" s="269"/>
      <c r="J31" s="269"/>
      <c r="K31" s="269"/>
      <c r="L31" s="269"/>
      <c r="M31" s="269"/>
      <c r="N31" s="269"/>
      <c r="O31" s="269"/>
      <c r="P31" s="269"/>
      <c r="Q31" s="270"/>
    </row>
    <row r="32" spans="2:17" ht="34.5" customHeight="1" x14ac:dyDescent="0.35">
      <c r="B32" s="128" t="s">
        <v>104</v>
      </c>
      <c r="C32" s="112">
        <v>0</v>
      </c>
      <c r="D32" s="112">
        <v>36252.815000000002</v>
      </c>
      <c r="E32" s="112">
        <v>30895.605</v>
      </c>
      <c r="F32" s="112">
        <v>0</v>
      </c>
      <c r="G32" s="112">
        <v>85203.153000000006</v>
      </c>
      <c r="H32" s="112">
        <v>85203.153000000006</v>
      </c>
      <c r="I32" s="112">
        <v>0</v>
      </c>
      <c r="J32" s="112">
        <v>0</v>
      </c>
      <c r="K32" s="112">
        <v>0</v>
      </c>
      <c r="L32" s="112">
        <v>8823.2099999999991</v>
      </c>
      <c r="M32" s="112">
        <v>4183.3950000000004</v>
      </c>
      <c r="N32" s="112">
        <v>68066.016000000003</v>
      </c>
      <c r="O32" s="112">
        <v>0</v>
      </c>
      <c r="P32" s="112">
        <v>0</v>
      </c>
      <c r="Q32" s="151">
        <v>751.86300000000006</v>
      </c>
    </row>
    <row r="33" spans="2:17" ht="34.5" customHeight="1" x14ac:dyDescent="0.35">
      <c r="B33" s="128" t="s">
        <v>105</v>
      </c>
      <c r="C33" s="112">
        <v>1039475.6040571</v>
      </c>
      <c r="D33" s="112">
        <v>1192249.2950299389</v>
      </c>
      <c r="E33" s="112">
        <v>930399.59891811979</v>
      </c>
      <c r="F33" s="112">
        <v>0</v>
      </c>
      <c r="G33" s="112">
        <v>479382.18604729691</v>
      </c>
      <c r="H33" s="112">
        <v>479382.18604729691</v>
      </c>
      <c r="I33" s="112">
        <v>0</v>
      </c>
      <c r="J33" s="112">
        <v>0</v>
      </c>
      <c r="K33" s="112">
        <v>0</v>
      </c>
      <c r="L33" s="112">
        <v>236045.6624010345</v>
      </c>
      <c r="M33" s="112">
        <v>168646.55175192899</v>
      </c>
      <c r="N33" s="112">
        <v>240465.84646492239</v>
      </c>
      <c r="O33" s="112">
        <v>10327.103377208479</v>
      </c>
      <c r="P33" s="112">
        <v>0</v>
      </c>
      <c r="Q33" s="151">
        <v>1315939.5458626731</v>
      </c>
    </row>
    <row r="34" spans="2:17" ht="34.5" customHeight="1" x14ac:dyDescent="0.35">
      <c r="B34" s="128" t="s">
        <v>107</v>
      </c>
      <c r="C34" s="112">
        <v>7951511.6646300014</v>
      </c>
      <c r="D34" s="112">
        <v>2779237.2117999988</v>
      </c>
      <c r="E34" s="112">
        <v>2646652.5130299991</v>
      </c>
      <c r="F34" s="112">
        <v>0</v>
      </c>
      <c r="G34" s="112">
        <v>1701404.747720001</v>
      </c>
      <c r="H34" s="112">
        <v>1701404.747720001</v>
      </c>
      <c r="I34" s="112">
        <v>0</v>
      </c>
      <c r="J34" s="112">
        <v>0</v>
      </c>
      <c r="K34" s="112">
        <v>0</v>
      </c>
      <c r="L34" s="112">
        <v>941916.26636000001</v>
      </c>
      <c r="M34" s="112">
        <v>92422.013999999996</v>
      </c>
      <c r="N34" s="112">
        <v>92422.013000000006</v>
      </c>
      <c r="O34" s="112">
        <v>0</v>
      </c>
      <c r="P34" s="112">
        <v>0</v>
      </c>
      <c r="Q34" s="151">
        <v>7954843.1625799993</v>
      </c>
    </row>
    <row r="35" spans="2:17" ht="34.5" customHeight="1" x14ac:dyDescent="0.35">
      <c r="B35" s="137" t="s">
        <v>24</v>
      </c>
      <c r="C35" s="142">
        <f t="shared" ref="C35:Q35" si="1">SUM(C32:C34)</f>
        <v>8990987.2686871011</v>
      </c>
      <c r="D35" s="142">
        <f t="shared" si="1"/>
        <v>4007739.3218299374</v>
      </c>
      <c r="E35" s="142">
        <f t="shared" si="1"/>
        <v>3607947.716948119</v>
      </c>
      <c r="F35" s="142">
        <f t="shared" si="1"/>
        <v>0</v>
      </c>
      <c r="G35" s="142">
        <f t="shared" si="1"/>
        <v>2265990.0867672982</v>
      </c>
      <c r="H35" s="142">
        <f t="shared" si="1"/>
        <v>2265990.0867672982</v>
      </c>
      <c r="I35" s="142">
        <f t="shared" si="1"/>
        <v>0</v>
      </c>
      <c r="J35" s="142">
        <f t="shared" si="1"/>
        <v>0</v>
      </c>
      <c r="K35" s="142">
        <f t="shared" si="1"/>
        <v>0</v>
      </c>
      <c r="L35" s="142">
        <f t="shared" si="1"/>
        <v>1186785.1387610345</v>
      </c>
      <c r="M35" s="142">
        <f t="shared" si="1"/>
        <v>265251.96075192897</v>
      </c>
      <c r="N35" s="142">
        <f t="shared" si="1"/>
        <v>400953.8754649224</v>
      </c>
      <c r="O35" s="142">
        <f t="shared" si="1"/>
        <v>10327.103377208479</v>
      </c>
      <c r="P35" s="142">
        <f t="shared" si="1"/>
        <v>0</v>
      </c>
      <c r="Q35" s="142">
        <f t="shared" si="1"/>
        <v>9271534.571442673</v>
      </c>
    </row>
    <row r="36" spans="2:17" ht="34.5" customHeight="1" x14ac:dyDescent="0.35">
      <c r="B36" s="275" t="s">
        <v>25</v>
      </c>
      <c r="C36" s="272"/>
      <c r="D36" s="272"/>
      <c r="E36" s="272"/>
      <c r="F36" s="272"/>
      <c r="G36" s="272"/>
      <c r="H36" s="272"/>
      <c r="I36" s="272"/>
      <c r="J36" s="272"/>
      <c r="K36" s="272"/>
      <c r="L36" s="272"/>
      <c r="M36" s="272"/>
      <c r="N36" s="272"/>
      <c r="O36" s="272"/>
      <c r="P36" s="272"/>
      <c r="Q36" s="272"/>
    </row>
    <row r="37" spans="2:17" x14ac:dyDescent="0.35">
      <c r="C37" s="153"/>
      <c r="Q37" s="76"/>
    </row>
    <row r="38" spans="2:17" x14ac:dyDescent="0.35">
      <c r="Q38" s="76"/>
    </row>
  </sheetData>
  <sheetProtection algorithmName="SHA-512" hashValue="oOQSb3LHeVzIFBTGkkWBoKgmTL0jM2PxQVUT+a7xnbB3NSh+GYiN5QnJCT8SiSs+MBoqLfwicsvKgpFflUVazg==" saltValue="I8WO3oElcLKuMmeDMDcuJA==" spinCount="100000" sheet="1" objects="1" scenarios="1"/>
  <mergeCells count="4">
    <mergeCell ref="B31:Q31"/>
    <mergeCell ref="B36:Q36"/>
    <mergeCell ref="B3:Q3"/>
    <mergeCell ref="B5:Q5"/>
  </mergeCells>
  <pageMargins left="0.7" right="0.7" top="0.75" bottom="0.75" header="0.3" footer="0.3"/>
  <pageSetup paperSize="9" scale="4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tabColor rgb="FF92D050"/>
    <pageSetUpPr fitToPage="1"/>
  </sheetPr>
  <dimension ref="B3:Q36"/>
  <sheetViews>
    <sheetView topLeftCell="P1" workbookViewId="0"/>
  </sheetViews>
  <sheetFormatPr defaultColWidth="15.54296875" defaultRowHeight="15.5" x14ac:dyDescent="0.35"/>
  <cols>
    <col min="1" max="1" width="15.54296875" style="76" customWidth="1"/>
    <col min="2" max="2" width="47.6328125" style="76" bestFit="1" customWidth="1"/>
    <col min="3" max="16" width="21" style="76" customWidth="1"/>
    <col min="17" max="17" width="21" style="140" customWidth="1"/>
    <col min="18" max="104" width="15.54296875" style="76" customWidth="1"/>
    <col min="105" max="16384" width="15.54296875" style="76"/>
  </cols>
  <sheetData>
    <row r="3" spans="2:17" ht="29" customHeight="1" x14ac:dyDescent="0.35">
      <c r="B3" s="320" t="str">
        <f>_xlfn.CONCAT('Table of Contents'!B24,": ",'Table of Contents'!C24)</f>
        <v>APPENDIX 12: SUMMARY OF GROUP CREDIT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154"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6" t="s">
        <v>17</v>
      </c>
      <c r="C5" s="269"/>
      <c r="D5" s="269"/>
      <c r="E5" s="269"/>
      <c r="F5" s="269"/>
      <c r="G5" s="269"/>
      <c r="H5" s="269"/>
      <c r="I5" s="269"/>
      <c r="J5" s="269"/>
      <c r="K5" s="269"/>
      <c r="L5" s="269"/>
      <c r="M5" s="269"/>
      <c r="N5" s="269"/>
      <c r="O5" s="269"/>
      <c r="P5" s="269"/>
      <c r="Q5" s="270"/>
    </row>
    <row r="6" spans="2:17" ht="34.5" customHeight="1" x14ac:dyDescent="0.35">
      <c r="B6" s="67" t="s">
        <v>110</v>
      </c>
      <c r="C6" s="112">
        <v>1902798.614304112</v>
      </c>
      <c r="D6" s="112">
        <v>1143702.6040000001</v>
      </c>
      <c r="E6" s="112">
        <v>1003148.651</v>
      </c>
      <c r="F6" s="112">
        <v>0</v>
      </c>
      <c r="G6" s="112">
        <v>340541.24699999997</v>
      </c>
      <c r="H6" s="112">
        <v>340541.24699999997</v>
      </c>
      <c r="I6" s="112">
        <v>0</v>
      </c>
      <c r="J6" s="112">
        <v>0</v>
      </c>
      <c r="K6" s="112">
        <v>0</v>
      </c>
      <c r="L6" s="112">
        <v>429096.73700000002</v>
      </c>
      <c r="M6" s="112">
        <v>321258.78214206011</v>
      </c>
      <c r="N6" s="112">
        <v>208424.68132328719</v>
      </c>
      <c r="O6" s="112">
        <v>0</v>
      </c>
      <c r="P6" s="112">
        <v>0</v>
      </c>
      <c r="Q6" s="151">
        <v>2023475.1804853389</v>
      </c>
    </row>
    <row r="7" spans="2:17" ht="34.5" customHeight="1" x14ac:dyDescent="0.35">
      <c r="B7" s="128" t="s">
        <v>111</v>
      </c>
      <c r="C7" s="112">
        <v>1019232.298</v>
      </c>
      <c r="D7" s="112">
        <v>1315454.1192300001</v>
      </c>
      <c r="E7" s="112">
        <v>900070.89138231601</v>
      </c>
      <c r="F7" s="112">
        <v>0</v>
      </c>
      <c r="G7" s="112">
        <v>650279.6862324375</v>
      </c>
      <c r="H7" s="112">
        <v>650279.6862324375</v>
      </c>
      <c r="I7" s="112">
        <v>0</v>
      </c>
      <c r="J7" s="112">
        <v>0</v>
      </c>
      <c r="K7" s="112">
        <v>0</v>
      </c>
      <c r="L7" s="112">
        <v>350756.44464950002</v>
      </c>
      <c r="M7" s="112">
        <v>11073.691081859861</v>
      </c>
      <c r="N7" s="112">
        <v>52503.257940346433</v>
      </c>
      <c r="O7" s="112">
        <v>2463.2355105469978</v>
      </c>
      <c r="P7" s="112">
        <v>0</v>
      </c>
      <c r="Q7" s="151">
        <v>957233.38984831795</v>
      </c>
    </row>
    <row r="8" spans="2:17" ht="34.5" customHeight="1" x14ac:dyDescent="0.35">
      <c r="B8" s="128" t="s">
        <v>112</v>
      </c>
      <c r="C8" s="112">
        <v>-415879.3389165001</v>
      </c>
      <c r="D8" s="112">
        <v>432715.57299999997</v>
      </c>
      <c r="E8" s="112">
        <v>406522.77309999999</v>
      </c>
      <c r="F8" s="112">
        <v>0</v>
      </c>
      <c r="G8" s="112">
        <v>163687.05003000001</v>
      </c>
      <c r="H8" s="112">
        <v>163687.05003000001</v>
      </c>
      <c r="I8" s="112">
        <v>0</v>
      </c>
      <c r="J8" s="112">
        <v>0</v>
      </c>
      <c r="K8" s="112">
        <v>0</v>
      </c>
      <c r="L8" s="112">
        <v>33747.773000000001</v>
      </c>
      <c r="M8" s="112">
        <v>246882.49799999999</v>
      </c>
      <c r="N8" s="112">
        <v>244456.495</v>
      </c>
      <c r="O8" s="112">
        <v>3976.2220000000002</v>
      </c>
      <c r="P8" s="112">
        <v>0</v>
      </c>
      <c r="Q8" s="151">
        <v>-213193.61384650011</v>
      </c>
    </row>
    <row r="9" spans="2:17" ht="34.5" customHeight="1" x14ac:dyDescent="0.35">
      <c r="B9" s="128" t="s">
        <v>113</v>
      </c>
      <c r="C9" s="112">
        <v>-4966.8408900000004</v>
      </c>
      <c r="D9" s="112">
        <v>14341.35242067233</v>
      </c>
      <c r="E9" s="112">
        <v>13515.665197543991</v>
      </c>
      <c r="F9" s="112">
        <v>0</v>
      </c>
      <c r="G9" s="112">
        <v>2700.357</v>
      </c>
      <c r="H9" s="112">
        <v>2700.357</v>
      </c>
      <c r="I9" s="112">
        <v>0</v>
      </c>
      <c r="J9" s="112">
        <v>0</v>
      </c>
      <c r="K9" s="112">
        <v>0</v>
      </c>
      <c r="L9" s="112">
        <v>987.9574568526275</v>
      </c>
      <c r="M9" s="112">
        <v>0</v>
      </c>
      <c r="N9" s="112">
        <v>0</v>
      </c>
      <c r="O9" s="112">
        <v>0</v>
      </c>
      <c r="P9" s="112">
        <v>0</v>
      </c>
      <c r="Q9" s="151">
        <v>4860.5098506913664</v>
      </c>
    </row>
    <row r="10" spans="2:17" ht="34.5" customHeight="1" x14ac:dyDescent="0.35">
      <c r="B10" s="128" t="s">
        <v>114</v>
      </c>
      <c r="C10" s="112">
        <v>28980.046364211179</v>
      </c>
      <c r="D10" s="112">
        <v>111804.0708449097</v>
      </c>
      <c r="E10" s="112">
        <v>101263.990091096</v>
      </c>
      <c r="F10" s="112">
        <v>0</v>
      </c>
      <c r="G10" s="112">
        <v>37875.388659999997</v>
      </c>
      <c r="H10" s="112">
        <v>37875.388659999997</v>
      </c>
      <c r="I10" s="112">
        <v>0</v>
      </c>
      <c r="J10" s="112">
        <v>0</v>
      </c>
      <c r="K10" s="112">
        <v>0</v>
      </c>
      <c r="L10" s="112">
        <v>17500.261754408581</v>
      </c>
      <c r="M10" s="112">
        <v>32769.856275960447</v>
      </c>
      <c r="N10" s="112">
        <v>3027.437431909731</v>
      </c>
      <c r="O10" s="112">
        <v>0</v>
      </c>
      <c r="P10" s="112">
        <v>0</v>
      </c>
      <c r="Q10" s="151">
        <v>45125.967196847887</v>
      </c>
    </row>
    <row r="11" spans="2:17" ht="34.5" customHeight="1" x14ac:dyDescent="0.35">
      <c r="B11" s="128" t="s">
        <v>115</v>
      </c>
      <c r="C11" s="112">
        <v>6623757.6608363632</v>
      </c>
      <c r="D11" s="112">
        <v>6467982.2989999996</v>
      </c>
      <c r="E11" s="112">
        <v>6414520.6869999999</v>
      </c>
      <c r="F11" s="112">
        <v>0</v>
      </c>
      <c r="G11" s="112">
        <v>1566580.2960000001</v>
      </c>
      <c r="H11" s="112">
        <v>1566580.2960000001</v>
      </c>
      <c r="I11" s="112">
        <v>0</v>
      </c>
      <c r="J11" s="112">
        <v>0</v>
      </c>
      <c r="K11" s="112">
        <v>0</v>
      </c>
      <c r="L11" s="112">
        <v>567045.57400000002</v>
      </c>
      <c r="M11" s="112">
        <v>1392299.6621718979</v>
      </c>
      <c r="N11" s="112">
        <v>0</v>
      </c>
      <c r="O11" s="112">
        <v>0</v>
      </c>
      <c r="P11" s="112">
        <v>0</v>
      </c>
      <c r="Q11" s="151">
        <v>9512352.8156644646</v>
      </c>
    </row>
    <row r="12" spans="2:17" ht="34.5" customHeight="1" x14ac:dyDescent="0.35">
      <c r="B12" s="128" t="s">
        <v>73</v>
      </c>
      <c r="C12" s="112">
        <v>0</v>
      </c>
      <c r="D12" s="112">
        <v>0</v>
      </c>
      <c r="E12" s="112">
        <v>0</v>
      </c>
      <c r="F12" s="112">
        <v>0</v>
      </c>
      <c r="G12" s="112">
        <v>0</v>
      </c>
      <c r="H12" s="112">
        <v>0</v>
      </c>
      <c r="I12" s="112">
        <v>0</v>
      </c>
      <c r="J12" s="112">
        <v>0</v>
      </c>
      <c r="K12" s="112">
        <v>0</v>
      </c>
      <c r="L12" s="112">
        <v>0</v>
      </c>
      <c r="M12" s="112">
        <v>0</v>
      </c>
      <c r="N12" s="112">
        <v>0</v>
      </c>
      <c r="O12" s="112">
        <v>0</v>
      </c>
      <c r="P12" s="112">
        <v>0</v>
      </c>
      <c r="Q12" s="151">
        <v>0</v>
      </c>
    </row>
    <row r="13" spans="2:17" ht="34.5" customHeight="1" x14ac:dyDescent="0.35">
      <c r="B13" s="128" t="s">
        <v>116</v>
      </c>
      <c r="C13" s="112">
        <v>6283361.0274879998</v>
      </c>
      <c r="D13" s="112">
        <v>2338846.5950000002</v>
      </c>
      <c r="E13" s="112">
        <v>2422334.61</v>
      </c>
      <c r="F13" s="112">
        <v>0</v>
      </c>
      <c r="G13" s="112">
        <v>281660.49204999988</v>
      </c>
      <c r="H13" s="112">
        <v>281660.49204999988</v>
      </c>
      <c r="I13" s="112">
        <v>0</v>
      </c>
      <c r="J13" s="112">
        <v>0</v>
      </c>
      <c r="K13" s="112">
        <v>0</v>
      </c>
      <c r="L13" s="112">
        <v>240988.37925593281</v>
      </c>
      <c r="M13" s="112">
        <v>605946.97502999997</v>
      </c>
      <c r="N13" s="112">
        <v>837097.29778886097</v>
      </c>
      <c r="O13" s="112">
        <v>0</v>
      </c>
      <c r="P13" s="112">
        <v>0</v>
      </c>
      <c r="Q13" s="151">
        <v>8414197.0889409278</v>
      </c>
    </row>
    <row r="14" spans="2:17" ht="34.5" customHeight="1" x14ac:dyDescent="0.35">
      <c r="B14" s="128" t="s">
        <v>117</v>
      </c>
      <c r="C14" s="112">
        <v>1843.319</v>
      </c>
      <c r="D14" s="112">
        <v>3027.5379699999989</v>
      </c>
      <c r="E14" s="112">
        <v>169.59796999999881</v>
      </c>
      <c r="F14" s="112">
        <v>0</v>
      </c>
      <c r="G14" s="112">
        <v>175.35</v>
      </c>
      <c r="H14" s="112">
        <v>175.35</v>
      </c>
      <c r="I14" s="112">
        <v>0</v>
      </c>
      <c r="J14" s="112">
        <v>0</v>
      </c>
      <c r="K14" s="112">
        <v>0</v>
      </c>
      <c r="L14" s="112">
        <v>-663.57399999999996</v>
      </c>
      <c r="M14" s="112">
        <v>709.86760933797268</v>
      </c>
      <c r="N14" s="112">
        <v>201.71100000000001</v>
      </c>
      <c r="O14" s="112">
        <v>0</v>
      </c>
      <c r="P14" s="112">
        <v>0</v>
      </c>
      <c r="Q14" s="151">
        <v>1992.9843606620259</v>
      </c>
    </row>
    <row r="15" spans="2:17" ht="34.5" customHeight="1" x14ac:dyDescent="0.35">
      <c r="B15" s="128" t="s">
        <v>118</v>
      </c>
      <c r="C15" s="112">
        <v>384576.65399999998</v>
      </c>
      <c r="D15" s="112">
        <v>511593.43885999999</v>
      </c>
      <c r="E15" s="112">
        <v>474821.08386000001</v>
      </c>
      <c r="F15" s="112">
        <v>0</v>
      </c>
      <c r="G15" s="112">
        <v>48705.58806000006</v>
      </c>
      <c r="H15" s="112">
        <v>48705.58806000006</v>
      </c>
      <c r="I15" s="112">
        <v>0</v>
      </c>
      <c r="J15" s="112">
        <v>0</v>
      </c>
      <c r="K15" s="112">
        <v>0</v>
      </c>
      <c r="L15" s="112">
        <v>48131.71011</v>
      </c>
      <c r="M15" s="112">
        <v>147295.55728115299</v>
      </c>
      <c r="N15" s="112">
        <v>0</v>
      </c>
      <c r="O15" s="112">
        <v>0</v>
      </c>
      <c r="P15" s="112">
        <v>0</v>
      </c>
      <c r="Q15" s="151">
        <v>615264.88240884687</v>
      </c>
    </row>
    <row r="16" spans="2:17" ht="34.5" customHeight="1" x14ac:dyDescent="0.35">
      <c r="B16" s="128" t="s">
        <v>119</v>
      </c>
      <c r="C16" s="112">
        <v>125908.6513214852</v>
      </c>
      <c r="D16" s="112">
        <v>355779.25153000001</v>
      </c>
      <c r="E16" s="112">
        <v>280287.41428783123</v>
      </c>
      <c r="F16" s="112">
        <v>0</v>
      </c>
      <c r="G16" s="112">
        <v>162453.52137</v>
      </c>
      <c r="H16" s="112">
        <v>162453.52137</v>
      </c>
      <c r="I16" s="112">
        <v>0</v>
      </c>
      <c r="J16" s="112">
        <v>0</v>
      </c>
      <c r="K16" s="112">
        <v>0</v>
      </c>
      <c r="L16" s="112">
        <v>10450.20155947085</v>
      </c>
      <c r="M16" s="112">
        <v>138268.95763024999</v>
      </c>
      <c r="N16" s="112">
        <v>28027.800999999999</v>
      </c>
      <c r="O16" s="112">
        <v>0</v>
      </c>
      <c r="P16" s="112">
        <v>26100</v>
      </c>
      <c r="Q16" s="151">
        <v>96951.186049595533</v>
      </c>
    </row>
    <row r="17" spans="2:17" ht="34.5" customHeight="1" x14ac:dyDescent="0.35">
      <c r="B17" s="128" t="s">
        <v>120</v>
      </c>
      <c r="C17" s="112">
        <v>304867.37793105957</v>
      </c>
      <c r="D17" s="112">
        <v>251953.05489999999</v>
      </c>
      <c r="E17" s="112">
        <v>228090.94989999989</v>
      </c>
      <c r="F17" s="112">
        <v>0</v>
      </c>
      <c r="G17" s="112">
        <v>50820.536</v>
      </c>
      <c r="H17" s="112">
        <v>50820.536</v>
      </c>
      <c r="I17" s="112">
        <v>0</v>
      </c>
      <c r="J17" s="112">
        <v>0</v>
      </c>
      <c r="K17" s="112">
        <v>0</v>
      </c>
      <c r="L17" s="112">
        <v>38922.595000000001</v>
      </c>
      <c r="M17" s="112">
        <v>45598.781645166673</v>
      </c>
      <c r="N17" s="112">
        <v>40478.395455755628</v>
      </c>
      <c r="O17" s="112">
        <v>290.69120410539608</v>
      </c>
      <c r="P17" s="112">
        <v>0</v>
      </c>
      <c r="Q17" s="151">
        <v>437804.11943754309</v>
      </c>
    </row>
    <row r="18" spans="2:17" ht="34.5" customHeight="1" x14ac:dyDescent="0.35">
      <c r="B18" s="128" t="s">
        <v>121</v>
      </c>
      <c r="C18" s="112">
        <v>0</v>
      </c>
      <c r="D18" s="112">
        <v>4835.0510000000004</v>
      </c>
      <c r="E18" s="112">
        <v>4835.0510000000004</v>
      </c>
      <c r="F18" s="112">
        <v>0</v>
      </c>
      <c r="G18" s="112">
        <v>0</v>
      </c>
      <c r="H18" s="112">
        <v>0</v>
      </c>
      <c r="I18" s="112">
        <v>0</v>
      </c>
      <c r="J18" s="112">
        <v>0</v>
      </c>
      <c r="K18" s="112">
        <v>0</v>
      </c>
      <c r="L18" s="112">
        <v>0</v>
      </c>
      <c r="M18" s="112">
        <v>0</v>
      </c>
      <c r="N18" s="112">
        <v>0</v>
      </c>
      <c r="O18" s="112">
        <v>0</v>
      </c>
      <c r="P18" s="112">
        <v>0</v>
      </c>
      <c r="Q18" s="151">
        <v>4835.0510000000004</v>
      </c>
    </row>
    <row r="19" spans="2:17" ht="34.5" customHeight="1" x14ac:dyDescent="0.35">
      <c r="B19" s="128" t="s">
        <v>122</v>
      </c>
      <c r="C19" s="112">
        <v>1198719.7242594829</v>
      </c>
      <c r="D19" s="112">
        <v>713588.67443000001</v>
      </c>
      <c r="E19" s="112">
        <v>606470.19043000008</v>
      </c>
      <c r="F19" s="112">
        <v>0</v>
      </c>
      <c r="G19" s="112">
        <v>83573.679000000004</v>
      </c>
      <c r="H19" s="112">
        <v>83573.679000000004</v>
      </c>
      <c r="I19" s="112">
        <v>0</v>
      </c>
      <c r="J19" s="112">
        <v>0</v>
      </c>
      <c r="K19" s="112">
        <v>0</v>
      </c>
      <c r="L19" s="112">
        <v>23767.760150000009</v>
      </c>
      <c r="M19" s="112">
        <v>313931.55511625012</v>
      </c>
      <c r="N19" s="112">
        <v>176827.53532098449</v>
      </c>
      <c r="O19" s="112">
        <v>0</v>
      </c>
      <c r="P19" s="112">
        <v>439111.81599999999</v>
      </c>
      <c r="Q19" s="151">
        <v>1121632.639744218</v>
      </c>
    </row>
    <row r="20" spans="2:17" ht="34.5" customHeight="1" x14ac:dyDescent="0.35">
      <c r="B20" s="128" t="s">
        <v>123</v>
      </c>
      <c r="C20" s="112">
        <v>0</v>
      </c>
      <c r="D20" s="112">
        <v>0</v>
      </c>
      <c r="E20" s="112">
        <v>0</v>
      </c>
      <c r="F20" s="112">
        <v>0</v>
      </c>
      <c r="G20" s="112">
        <v>0</v>
      </c>
      <c r="H20" s="112">
        <v>0</v>
      </c>
      <c r="I20" s="112">
        <v>0</v>
      </c>
      <c r="J20" s="112">
        <v>0</v>
      </c>
      <c r="K20" s="112">
        <v>0</v>
      </c>
      <c r="L20" s="112">
        <v>0</v>
      </c>
      <c r="M20" s="112">
        <v>0</v>
      </c>
      <c r="N20" s="112">
        <v>0</v>
      </c>
      <c r="O20" s="112">
        <v>0</v>
      </c>
      <c r="P20" s="112">
        <v>0</v>
      </c>
      <c r="Q20" s="151">
        <v>0</v>
      </c>
    </row>
    <row r="21" spans="2:17" ht="34.5" customHeight="1" x14ac:dyDescent="0.35">
      <c r="B21" s="152" t="s">
        <v>124</v>
      </c>
      <c r="C21" s="112">
        <v>837608.36174437229</v>
      </c>
      <c r="D21" s="112">
        <v>987472.64341999881</v>
      </c>
      <c r="E21" s="112">
        <v>880821.29341999872</v>
      </c>
      <c r="F21" s="112">
        <v>0</v>
      </c>
      <c r="G21" s="112">
        <v>529283.08837999997</v>
      </c>
      <c r="H21" s="112">
        <v>529283.08837999997</v>
      </c>
      <c r="I21" s="112">
        <v>0</v>
      </c>
      <c r="J21" s="112">
        <v>0</v>
      </c>
      <c r="K21" s="112">
        <v>0</v>
      </c>
      <c r="L21" s="112">
        <v>225289.92199999999</v>
      </c>
      <c r="M21" s="112">
        <v>153651.052</v>
      </c>
      <c r="N21" s="112">
        <v>60921.591</v>
      </c>
      <c r="O21" s="112">
        <v>12264.873</v>
      </c>
      <c r="P21" s="112">
        <v>0</v>
      </c>
      <c r="Q21" s="151">
        <v>858862.31078437099</v>
      </c>
    </row>
    <row r="22" spans="2:17" ht="34.5" customHeight="1" x14ac:dyDescent="0.35">
      <c r="B22" s="152" t="s">
        <v>87</v>
      </c>
      <c r="C22" s="112">
        <v>278691.83299999998</v>
      </c>
      <c r="D22" s="112">
        <v>632051.03467095294</v>
      </c>
      <c r="E22" s="112">
        <v>282249.09187271021</v>
      </c>
      <c r="F22" s="112">
        <v>0</v>
      </c>
      <c r="G22" s="112">
        <v>311108.98114999989</v>
      </c>
      <c r="H22" s="112">
        <v>311108.98114999989</v>
      </c>
      <c r="I22" s="112">
        <v>0</v>
      </c>
      <c r="J22" s="112">
        <v>0</v>
      </c>
      <c r="K22" s="112">
        <v>0</v>
      </c>
      <c r="L22" s="112">
        <v>-30438.593669999991</v>
      </c>
      <c r="M22" s="112">
        <v>157109.87872472001</v>
      </c>
      <c r="N22" s="112">
        <v>3595.7281851245052</v>
      </c>
      <c r="O22" s="112">
        <v>409.64764179919251</v>
      </c>
      <c r="P22" s="112">
        <v>0</v>
      </c>
      <c r="Q22" s="151">
        <v>126346.73921131559</v>
      </c>
    </row>
    <row r="23" spans="2:17" ht="34.5" customHeight="1" x14ac:dyDescent="0.35">
      <c r="B23" s="128" t="s">
        <v>125</v>
      </c>
      <c r="C23" s="112">
        <v>1113057.423117511</v>
      </c>
      <c r="D23" s="112">
        <v>1515501.81819</v>
      </c>
      <c r="E23" s="112">
        <v>879714.35100000014</v>
      </c>
      <c r="F23" s="112">
        <v>-132810.79060157001</v>
      </c>
      <c r="G23" s="112">
        <v>691582.08010206709</v>
      </c>
      <c r="H23" s="112">
        <v>691582.08010206709</v>
      </c>
      <c r="I23" s="112">
        <v>0</v>
      </c>
      <c r="J23" s="112">
        <v>0</v>
      </c>
      <c r="K23" s="112">
        <v>0</v>
      </c>
      <c r="L23" s="112">
        <v>89866.946908240221</v>
      </c>
      <c r="M23" s="112">
        <v>0</v>
      </c>
      <c r="N23" s="112">
        <v>0</v>
      </c>
      <c r="O23" s="112">
        <v>0</v>
      </c>
      <c r="P23" s="112">
        <v>0</v>
      </c>
      <c r="Q23" s="151">
        <v>1078511.9565056339</v>
      </c>
    </row>
    <row r="24" spans="2:17" ht="34.5" customHeight="1" x14ac:dyDescent="0.35">
      <c r="B24" s="128" t="s">
        <v>126</v>
      </c>
      <c r="C24" s="112">
        <v>485385.70225767163</v>
      </c>
      <c r="D24" s="112">
        <v>327789.69900000002</v>
      </c>
      <c r="E24" s="112">
        <v>220110.91800000001</v>
      </c>
      <c r="F24" s="112">
        <v>0</v>
      </c>
      <c r="G24" s="112">
        <v>168980.3856284825</v>
      </c>
      <c r="H24" s="112">
        <v>168980.3856284825</v>
      </c>
      <c r="I24" s="112">
        <v>0</v>
      </c>
      <c r="J24" s="112">
        <v>0</v>
      </c>
      <c r="K24" s="112">
        <v>0</v>
      </c>
      <c r="L24" s="112">
        <v>24520.305</v>
      </c>
      <c r="M24" s="112">
        <v>64687.904639999993</v>
      </c>
      <c r="N24" s="112">
        <v>4730.0820000000003</v>
      </c>
      <c r="O24" s="112">
        <v>0</v>
      </c>
      <c r="P24" s="112">
        <v>0</v>
      </c>
      <c r="Q24" s="151">
        <v>452038.10698918911</v>
      </c>
    </row>
    <row r="25" spans="2:17" ht="34.5" customHeight="1" x14ac:dyDescent="0.35">
      <c r="B25" s="128" t="s">
        <v>127</v>
      </c>
      <c r="C25" s="112">
        <v>340554.45244697802</v>
      </c>
      <c r="D25" s="112">
        <v>113375.1367</v>
      </c>
      <c r="E25" s="112">
        <v>87799.777340000001</v>
      </c>
      <c r="F25" s="112">
        <v>7033.2250000000004</v>
      </c>
      <c r="G25" s="112">
        <v>347158.80787000002</v>
      </c>
      <c r="H25" s="112">
        <v>347158.80787000002</v>
      </c>
      <c r="I25" s="112">
        <v>0</v>
      </c>
      <c r="J25" s="112">
        <v>0</v>
      </c>
      <c r="K25" s="112">
        <v>0</v>
      </c>
      <c r="L25" s="112">
        <v>10101.311449999999</v>
      </c>
      <c r="M25" s="112">
        <v>94733.625470000014</v>
      </c>
      <c r="N25" s="112">
        <v>44414.427799999998</v>
      </c>
      <c r="O25" s="112">
        <v>1159.3050049999999</v>
      </c>
      <c r="P25" s="112">
        <v>0</v>
      </c>
      <c r="Q25" s="151">
        <v>26648.83279197794</v>
      </c>
    </row>
    <row r="26" spans="2:17" ht="34.5" customHeight="1" x14ac:dyDescent="0.35">
      <c r="B26" s="128" t="s">
        <v>128</v>
      </c>
      <c r="C26" s="112">
        <v>682168.89204528509</v>
      </c>
      <c r="D26" s="112">
        <v>772649.87195000006</v>
      </c>
      <c r="E26" s="112">
        <v>566320.21292000008</v>
      </c>
      <c r="F26" s="112">
        <v>0</v>
      </c>
      <c r="G26" s="112">
        <v>-17208.222898294331</v>
      </c>
      <c r="H26" s="112">
        <v>-17208.222898294331</v>
      </c>
      <c r="I26" s="112">
        <v>0</v>
      </c>
      <c r="J26" s="112">
        <v>0</v>
      </c>
      <c r="K26" s="112">
        <v>0</v>
      </c>
      <c r="L26" s="112">
        <v>127321.7295277238</v>
      </c>
      <c r="M26" s="112">
        <v>103525.73566629209</v>
      </c>
      <c r="N26" s="112">
        <v>58460.048122352237</v>
      </c>
      <c r="O26" s="112">
        <v>0</v>
      </c>
      <c r="P26" s="112">
        <v>0</v>
      </c>
      <c r="Q26" s="151">
        <v>1093309.9107919161</v>
      </c>
    </row>
    <row r="27" spans="2:17" ht="34.5" customHeight="1" x14ac:dyDescent="0.35">
      <c r="B27" s="128" t="s">
        <v>129</v>
      </c>
      <c r="C27" s="112">
        <v>0</v>
      </c>
      <c r="D27" s="112">
        <v>0</v>
      </c>
      <c r="E27" s="112">
        <v>0</v>
      </c>
      <c r="F27" s="112">
        <v>0</v>
      </c>
      <c r="G27" s="112">
        <v>0</v>
      </c>
      <c r="H27" s="112">
        <v>0</v>
      </c>
      <c r="I27" s="112">
        <v>0</v>
      </c>
      <c r="J27" s="112">
        <v>0</v>
      </c>
      <c r="K27" s="112">
        <v>0</v>
      </c>
      <c r="L27" s="112">
        <v>0</v>
      </c>
      <c r="M27" s="112">
        <v>0</v>
      </c>
      <c r="N27" s="112">
        <v>0</v>
      </c>
      <c r="O27" s="112">
        <v>0</v>
      </c>
      <c r="P27" s="112">
        <v>0</v>
      </c>
      <c r="Q27" s="151">
        <v>0</v>
      </c>
    </row>
    <row r="28" spans="2:17" ht="34.5" customHeight="1" x14ac:dyDescent="0.35">
      <c r="B28" s="128" t="s">
        <v>130</v>
      </c>
      <c r="C28" s="112">
        <v>21527.135999999999</v>
      </c>
      <c r="D28" s="112">
        <v>15346.795</v>
      </c>
      <c r="E28" s="112">
        <v>15346.795</v>
      </c>
      <c r="F28" s="112">
        <v>0</v>
      </c>
      <c r="G28" s="112">
        <v>0</v>
      </c>
      <c r="H28" s="112">
        <v>0</v>
      </c>
      <c r="I28" s="112">
        <v>0</v>
      </c>
      <c r="J28" s="112">
        <v>0</v>
      </c>
      <c r="K28" s="112">
        <v>0</v>
      </c>
      <c r="L28" s="112">
        <v>0</v>
      </c>
      <c r="M28" s="112">
        <v>3030.5241901747199</v>
      </c>
      <c r="N28" s="112">
        <v>1609.2201165394999</v>
      </c>
      <c r="O28" s="112">
        <v>0</v>
      </c>
      <c r="P28" s="112">
        <v>0</v>
      </c>
      <c r="Q28" s="151">
        <v>35452.626926364799</v>
      </c>
    </row>
    <row r="29" spans="2:17" ht="34.5" customHeight="1" x14ac:dyDescent="0.35">
      <c r="B29" s="128" t="s">
        <v>131</v>
      </c>
      <c r="C29" s="112">
        <v>0</v>
      </c>
      <c r="D29" s="112">
        <v>0</v>
      </c>
      <c r="E29" s="112">
        <v>0</v>
      </c>
      <c r="F29" s="112">
        <v>0</v>
      </c>
      <c r="G29" s="112">
        <v>0</v>
      </c>
      <c r="H29" s="112">
        <v>0</v>
      </c>
      <c r="I29" s="112">
        <v>0</v>
      </c>
      <c r="J29" s="112">
        <v>0</v>
      </c>
      <c r="K29" s="112">
        <v>0</v>
      </c>
      <c r="L29" s="112">
        <v>0</v>
      </c>
      <c r="M29" s="112">
        <v>0</v>
      </c>
      <c r="N29" s="112">
        <v>0</v>
      </c>
      <c r="O29" s="112">
        <v>0</v>
      </c>
      <c r="P29" s="112">
        <v>0</v>
      </c>
      <c r="Q29" s="151">
        <v>0</v>
      </c>
    </row>
    <row r="30" spans="2:17" ht="34.5" customHeight="1" x14ac:dyDescent="0.35">
      <c r="B30" s="137" t="s">
        <v>24</v>
      </c>
      <c r="C30" s="142">
        <f t="shared" ref="C30:Q30" si="0">SUM(C6:C29)</f>
        <v>21212192.994310036</v>
      </c>
      <c r="D30" s="142">
        <f t="shared" si="0"/>
        <v>18029810.621116538</v>
      </c>
      <c r="E30" s="142">
        <f t="shared" si="0"/>
        <v>15788413.994771497</v>
      </c>
      <c r="F30" s="142">
        <f t="shared" si="0"/>
        <v>-125777.56560157001</v>
      </c>
      <c r="G30" s="142">
        <f t="shared" si="0"/>
        <v>5419958.3116346933</v>
      </c>
      <c r="H30" s="142">
        <f t="shared" si="0"/>
        <v>5419958.3116346933</v>
      </c>
      <c r="I30" s="142">
        <f t="shared" si="0"/>
        <v>0</v>
      </c>
      <c r="J30" s="142">
        <f t="shared" si="0"/>
        <v>0</v>
      </c>
      <c r="K30" s="142">
        <f t="shared" si="0"/>
        <v>0</v>
      </c>
      <c r="L30" s="142">
        <f t="shared" si="0"/>
        <v>2207393.4411521289</v>
      </c>
      <c r="M30" s="142">
        <f t="shared" si="0"/>
        <v>3832774.9046751228</v>
      </c>
      <c r="N30" s="142">
        <f t="shared" si="0"/>
        <v>1764775.7094851602</v>
      </c>
      <c r="O30" s="142">
        <f t="shared" si="0"/>
        <v>20563.974361451583</v>
      </c>
      <c r="P30" s="142">
        <f t="shared" si="0"/>
        <v>465211.81599999999</v>
      </c>
      <c r="Q30" s="142">
        <f t="shared" si="0"/>
        <v>26693702.68514172</v>
      </c>
    </row>
    <row r="31" spans="2:17" ht="34.5" customHeight="1" x14ac:dyDescent="0.35">
      <c r="B31" s="316" t="s">
        <v>103</v>
      </c>
      <c r="C31" s="269"/>
      <c r="D31" s="269"/>
      <c r="E31" s="269"/>
      <c r="F31" s="269"/>
      <c r="G31" s="269"/>
      <c r="H31" s="269"/>
      <c r="I31" s="269"/>
      <c r="J31" s="269"/>
      <c r="K31" s="269"/>
      <c r="L31" s="269"/>
      <c r="M31" s="269"/>
      <c r="N31" s="269"/>
      <c r="O31" s="269"/>
      <c r="P31" s="269"/>
      <c r="Q31" s="270"/>
    </row>
    <row r="32" spans="2:17" ht="34.5" customHeight="1" x14ac:dyDescent="0.35">
      <c r="B32" s="128" t="s">
        <v>104</v>
      </c>
      <c r="C32" s="112">
        <v>0</v>
      </c>
      <c r="D32" s="112">
        <v>0</v>
      </c>
      <c r="E32" s="112">
        <v>0</v>
      </c>
      <c r="F32" s="112">
        <v>0</v>
      </c>
      <c r="G32" s="112">
        <v>0</v>
      </c>
      <c r="H32" s="112">
        <v>0</v>
      </c>
      <c r="I32" s="112">
        <v>0</v>
      </c>
      <c r="J32" s="112">
        <v>0</v>
      </c>
      <c r="K32" s="112">
        <v>0</v>
      </c>
      <c r="L32" s="112">
        <v>0</v>
      </c>
      <c r="M32" s="112">
        <v>0</v>
      </c>
      <c r="N32" s="112">
        <v>0</v>
      </c>
      <c r="O32" s="112">
        <v>0</v>
      </c>
      <c r="P32" s="112">
        <v>0</v>
      </c>
      <c r="Q32" s="151">
        <v>0</v>
      </c>
    </row>
    <row r="33" spans="2:17" ht="34.5" customHeight="1" x14ac:dyDescent="0.35">
      <c r="B33" s="128" t="s">
        <v>105</v>
      </c>
      <c r="C33" s="112">
        <v>0</v>
      </c>
      <c r="D33" s="112">
        <v>0</v>
      </c>
      <c r="E33" s="112">
        <v>0</v>
      </c>
      <c r="F33" s="112">
        <v>0</v>
      </c>
      <c r="G33" s="112">
        <v>0</v>
      </c>
      <c r="H33" s="112">
        <v>0</v>
      </c>
      <c r="I33" s="112">
        <v>0</v>
      </c>
      <c r="J33" s="112">
        <v>0</v>
      </c>
      <c r="K33" s="112">
        <v>0</v>
      </c>
      <c r="L33" s="112">
        <v>0</v>
      </c>
      <c r="M33" s="112">
        <v>0</v>
      </c>
      <c r="N33" s="112">
        <v>0</v>
      </c>
      <c r="O33" s="112">
        <v>0</v>
      </c>
      <c r="P33" s="112">
        <v>0</v>
      </c>
      <c r="Q33" s="151">
        <v>0</v>
      </c>
    </row>
    <row r="34" spans="2:17" ht="34.5" customHeight="1" x14ac:dyDescent="0.35">
      <c r="B34" s="128" t="s">
        <v>107</v>
      </c>
      <c r="C34" s="112">
        <v>0</v>
      </c>
      <c r="D34" s="112">
        <v>0</v>
      </c>
      <c r="E34" s="112">
        <v>0</v>
      </c>
      <c r="F34" s="112">
        <v>0</v>
      </c>
      <c r="G34" s="112">
        <v>0</v>
      </c>
      <c r="H34" s="112">
        <v>0</v>
      </c>
      <c r="I34" s="112">
        <v>0</v>
      </c>
      <c r="J34" s="112">
        <v>0</v>
      </c>
      <c r="K34" s="112">
        <v>0</v>
      </c>
      <c r="L34" s="112">
        <v>0</v>
      </c>
      <c r="M34" s="112">
        <v>0</v>
      </c>
      <c r="N34" s="112">
        <v>0</v>
      </c>
      <c r="O34" s="112">
        <v>0</v>
      </c>
      <c r="P34" s="112">
        <v>0</v>
      </c>
      <c r="Q34" s="151">
        <v>0</v>
      </c>
    </row>
    <row r="35" spans="2:17" ht="34.5" customHeight="1" x14ac:dyDescent="0.35">
      <c r="B35" s="137" t="s">
        <v>24</v>
      </c>
      <c r="C35" s="142">
        <f t="shared" ref="C35:Q35" si="1">SUM(C32:C34)</f>
        <v>0</v>
      </c>
      <c r="D35" s="142">
        <f t="shared" si="1"/>
        <v>0</v>
      </c>
      <c r="E35" s="142">
        <f t="shared" si="1"/>
        <v>0</v>
      </c>
      <c r="F35" s="142">
        <f t="shared" si="1"/>
        <v>0</v>
      </c>
      <c r="G35" s="142">
        <f t="shared" si="1"/>
        <v>0</v>
      </c>
      <c r="H35" s="142">
        <f t="shared" si="1"/>
        <v>0</v>
      </c>
      <c r="I35" s="142">
        <f t="shared" si="1"/>
        <v>0</v>
      </c>
      <c r="J35" s="142">
        <f t="shared" si="1"/>
        <v>0</v>
      </c>
      <c r="K35" s="142">
        <f t="shared" si="1"/>
        <v>0</v>
      </c>
      <c r="L35" s="142">
        <f t="shared" si="1"/>
        <v>0</v>
      </c>
      <c r="M35" s="142">
        <f t="shared" si="1"/>
        <v>0</v>
      </c>
      <c r="N35" s="142">
        <f t="shared" si="1"/>
        <v>0</v>
      </c>
      <c r="O35" s="142">
        <f t="shared" si="1"/>
        <v>0</v>
      </c>
      <c r="P35" s="142">
        <f t="shared" si="1"/>
        <v>0</v>
      </c>
      <c r="Q35" s="142">
        <f t="shared" si="1"/>
        <v>0</v>
      </c>
    </row>
    <row r="36" spans="2:17" ht="34.5" customHeight="1" x14ac:dyDescent="0.35">
      <c r="B36" s="275" t="s">
        <v>25</v>
      </c>
      <c r="C36" s="272"/>
      <c r="D36" s="272"/>
      <c r="E36" s="272"/>
      <c r="F36" s="272"/>
      <c r="G36" s="272"/>
      <c r="H36" s="272"/>
      <c r="I36" s="272"/>
      <c r="J36" s="272"/>
      <c r="K36" s="272"/>
      <c r="L36" s="272"/>
      <c r="M36" s="272"/>
      <c r="N36" s="272"/>
      <c r="O36" s="272"/>
      <c r="P36" s="272"/>
      <c r="Q36" s="272"/>
    </row>
  </sheetData>
  <sheetProtection algorithmName="SHA-512" hashValue="Qlkk4ajdNxDH2g+ISAwJDU4IP+tssucgL4cEcDBKDvvjEL8ZdjSdUBsvXn5hYzU8kzRtKB2sh33k03yaz0ad/A==" saltValue="c3PQnR1YISAw6kTvsy78sA==" spinCount="100000" sheet="1" objects="1" scenarios="1"/>
  <mergeCells count="4">
    <mergeCell ref="B31:Q31"/>
    <mergeCell ref="B36:Q36"/>
    <mergeCell ref="B3:Q3"/>
    <mergeCell ref="B5:Q5"/>
  </mergeCells>
  <pageMargins left="0.7" right="0.7" top="0.75" bottom="0.75" header="0.3" footer="0.3"/>
  <pageSetup paperSize="9" scale="35"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rgb="FF92D050"/>
    <pageSetUpPr fitToPage="1"/>
  </sheetPr>
  <dimension ref="B3:Q36"/>
  <sheetViews>
    <sheetView workbookViewId="0"/>
  </sheetViews>
  <sheetFormatPr defaultColWidth="15.54296875" defaultRowHeight="15.5" x14ac:dyDescent="0.35"/>
  <cols>
    <col min="1" max="1" width="15.54296875" style="76" customWidth="1"/>
    <col min="2" max="2" width="49" style="76" customWidth="1"/>
    <col min="3" max="16" width="18.54296875" style="76" customWidth="1"/>
    <col min="17" max="17" width="18.54296875" style="140" customWidth="1"/>
    <col min="18" max="104" width="15.54296875" style="76" customWidth="1"/>
    <col min="105" max="16384" width="15.54296875" style="76"/>
  </cols>
  <sheetData>
    <row r="3" spans="2:17" ht="30" customHeight="1" x14ac:dyDescent="0.35">
      <c r="B3" s="320" t="str">
        <f>_xlfn.CONCAT('Table of Contents'!B25,": ",'Table of Contents'!C25)</f>
        <v>APPENDIX 13: SUMMARY OF INVESTMENTS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6" t="s">
        <v>17</v>
      </c>
      <c r="C5" s="269"/>
      <c r="D5" s="269"/>
      <c r="E5" s="269"/>
      <c r="F5" s="269"/>
      <c r="G5" s="269"/>
      <c r="H5" s="269"/>
      <c r="I5" s="269"/>
      <c r="J5" s="269"/>
      <c r="K5" s="269"/>
      <c r="L5" s="269"/>
      <c r="M5" s="269"/>
      <c r="N5" s="269"/>
      <c r="O5" s="269"/>
      <c r="P5" s="269"/>
      <c r="Q5" s="270"/>
    </row>
    <row r="6" spans="2:17" ht="35.5" customHeight="1" x14ac:dyDescent="0.35">
      <c r="B6" s="67" t="str">
        <f>LINKED!B6</f>
        <v>ABSA LIFE ASSURANCE</v>
      </c>
      <c r="C6" s="112">
        <f>+LINKED!C6+'NON-LINKED'!C6</f>
        <v>0</v>
      </c>
      <c r="D6" s="112">
        <f>+LINKED!D6+'NON-LINKED'!D6</f>
        <v>0</v>
      </c>
      <c r="E6" s="112">
        <f>+LINKED!E6+'NON-LINKED'!E6</f>
        <v>0</v>
      </c>
      <c r="F6" s="112">
        <f>+LINKED!F6+'NON-LINKED'!F6</f>
        <v>0</v>
      </c>
      <c r="G6" s="112">
        <f>+LINKED!G6+'NON-LINKED'!G6</f>
        <v>0</v>
      </c>
      <c r="H6" s="112">
        <f>+LINKED!H6+'NON-LINKED'!H6</f>
        <v>0</v>
      </c>
      <c r="I6" s="112">
        <f>+LINKED!I6+'NON-LINKED'!I6</f>
        <v>0</v>
      </c>
      <c r="J6" s="112">
        <f>+LINKED!J6+'NON-LINKED'!J6</f>
        <v>0</v>
      </c>
      <c r="K6" s="112">
        <f>+LINKED!K6+'NON-LINKED'!K6</f>
        <v>0</v>
      </c>
      <c r="L6" s="112">
        <f>+LINKED!L6+'NON-LINKED'!L6</f>
        <v>0</v>
      </c>
      <c r="M6" s="112">
        <f>+LINKED!M6+'NON-LINKED'!M6</f>
        <v>0</v>
      </c>
      <c r="N6" s="112">
        <f>+LINKED!N6+'NON-LINKED'!N6</f>
        <v>0</v>
      </c>
      <c r="O6" s="112">
        <f>+LINKED!O6+'NON-LINKED'!O6</f>
        <v>0</v>
      </c>
      <c r="P6" s="112">
        <f>+LINKED!P6+'NON-LINKED'!P6</f>
        <v>0</v>
      </c>
      <c r="Q6" s="151">
        <f>+LINKED!Q6+'NON-LINKED'!Q6</f>
        <v>0</v>
      </c>
    </row>
    <row r="7" spans="2:17" ht="35.5" customHeight="1" x14ac:dyDescent="0.35">
      <c r="B7" s="67" t="str">
        <f>LINKED!B7</f>
        <v xml:space="preserve">APA LIFE ASSURANCE COMPANY </v>
      </c>
      <c r="C7" s="112">
        <f>+LINKED!C7+'NON-LINKED'!C7</f>
        <v>1808290.453</v>
      </c>
      <c r="D7" s="112">
        <f>+LINKED!D7+'NON-LINKED'!D7</f>
        <v>8662218.0120000001</v>
      </c>
      <c r="E7" s="112">
        <f>+LINKED!E7+'NON-LINKED'!E7</f>
        <v>8662218.0120000001</v>
      </c>
      <c r="F7" s="112">
        <f>+LINKED!F7+'NON-LINKED'!F7</f>
        <v>0</v>
      </c>
      <c r="G7" s="112">
        <f>+LINKED!G7+'NON-LINKED'!G7</f>
        <v>184289.56367999999</v>
      </c>
      <c r="H7" s="112">
        <f>+LINKED!H7+'NON-LINKED'!H7</f>
        <v>184289.56367999999</v>
      </c>
      <c r="I7" s="112">
        <f>+LINKED!I7+'NON-LINKED'!I7</f>
        <v>0</v>
      </c>
      <c r="J7" s="112">
        <f>+LINKED!J7+'NON-LINKED'!J7</f>
        <v>0</v>
      </c>
      <c r="K7" s="112">
        <f>+LINKED!K7+'NON-LINKED'!K7</f>
        <v>0</v>
      </c>
      <c r="L7" s="112">
        <f>+LINKED!L7+'NON-LINKED'!L7</f>
        <v>441169.36144000001</v>
      </c>
      <c r="M7" s="112">
        <f>+LINKED!M7+'NON-LINKED'!M7</f>
        <v>0</v>
      </c>
      <c r="N7" s="112">
        <f>+LINKED!N7+'NON-LINKED'!N7</f>
        <v>816886.54406743986</v>
      </c>
      <c r="O7" s="112">
        <f>+LINKED!O7+'NON-LINKED'!O7</f>
        <v>12394.20744031633</v>
      </c>
      <c r="P7" s="112">
        <f>+LINKED!P7+'NON-LINKED'!P7</f>
        <v>0</v>
      </c>
      <c r="Q7" s="151">
        <f>+LINKED!Q7+'NON-LINKED'!Q7</f>
        <v>10649541.87650712</v>
      </c>
    </row>
    <row r="8" spans="2:17" ht="35.5" customHeight="1" x14ac:dyDescent="0.35">
      <c r="B8" s="67" t="str">
        <f>LINKED!B8</f>
        <v>BRITAM LIFE ASSURANCE</v>
      </c>
      <c r="C8" s="112">
        <f>+LINKED!C8+'NON-LINKED'!C8</f>
        <v>7519675.8206193</v>
      </c>
      <c r="D8" s="112">
        <f>+LINKED!D8+'NON-LINKED'!D8</f>
        <v>13503522</v>
      </c>
      <c r="E8" s="112">
        <f>+LINKED!E8+'NON-LINKED'!E8</f>
        <v>13503522</v>
      </c>
      <c r="F8" s="112">
        <f>+LINKED!F8+'NON-LINKED'!F8</f>
        <v>0</v>
      </c>
      <c r="G8" s="112">
        <f>+LINKED!G8+'NON-LINKED'!G8</f>
        <v>4674019.5402457677</v>
      </c>
      <c r="H8" s="112">
        <f>+LINKED!H8+'NON-LINKED'!H8</f>
        <v>4674019.5402457677</v>
      </c>
      <c r="I8" s="112">
        <f>+LINKED!I8+'NON-LINKED'!I8</f>
        <v>0</v>
      </c>
      <c r="J8" s="112">
        <f>+LINKED!J8+'NON-LINKED'!J8</f>
        <v>0</v>
      </c>
      <c r="K8" s="112">
        <f>+LINKED!K8+'NON-LINKED'!K8</f>
        <v>0</v>
      </c>
      <c r="L8" s="112">
        <f>+LINKED!L8+'NON-LINKED'!L8</f>
        <v>45214.18</v>
      </c>
      <c r="M8" s="112">
        <f>+LINKED!M8+'NON-LINKED'!M8</f>
        <v>134986.508</v>
      </c>
      <c r="N8" s="112">
        <f>+LINKED!N8+'NON-LINKED'!N8</f>
        <v>2024500.257</v>
      </c>
      <c r="O8" s="112">
        <f>+LINKED!O8+'NON-LINKED'!O8</f>
        <v>26373.734</v>
      </c>
      <c r="P8" s="112">
        <f>+LINKED!P8+'NON-LINKED'!P8</f>
        <v>0</v>
      </c>
      <c r="Q8" s="151">
        <f>+LINKED!Q8+'NON-LINKED'!Q8</f>
        <v>18167104.115373529</v>
      </c>
    </row>
    <row r="9" spans="2:17" ht="35.5" customHeight="1" x14ac:dyDescent="0.35">
      <c r="B9" s="67" t="str">
        <f>LINKED!B9</f>
        <v>CANNON LIFE ASSURANCE (K) LIMITED</v>
      </c>
      <c r="C9" s="112">
        <f>+LINKED!C9+'NON-LINKED'!C9</f>
        <v>118268.3088749766</v>
      </c>
      <c r="D9" s="112">
        <f>+LINKED!D9+'NON-LINKED'!D9</f>
        <v>0</v>
      </c>
      <c r="E9" s="112">
        <f>+LINKED!E9+'NON-LINKED'!E9</f>
        <v>0</v>
      </c>
      <c r="F9" s="112">
        <f>+LINKED!F9+'NON-LINKED'!F9</f>
        <v>0</v>
      </c>
      <c r="G9" s="112">
        <f>+LINKED!G9+'NON-LINKED'!G9</f>
        <v>0</v>
      </c>
      <c r="H9" s="112">
        <f>+LINKED!H9+'NON-LINKED'!H9</f>
        <v>0</v>
      </c>
      <c r="I9" s="112">
        <f>+LINKED!I9+'NON-LINKED'!I9</f>
        <v>0</v>
      </c>
      <c r="J9" s="112">
        <f>+LINKED!J9+'NON-LINKED'!J9</f>
        <v>0</v>
      </c>
      <c r="K9" s="112">
        <f>+LINKED!K9+'NON-LINKED'!K9</f>
        <v>0</v>
      </c>
      <c r="L9" s="112">
        <f>+LINKED!L9+'NON-LINKED'!L9</f>
        <v>0</v>
      </c>
      <c r="M9" s="112">
        <f>+LINKED!M9+'NON-LINKED'!M9</f>
        <v>0</v>
      </c>
      <c r="N9" s="112">
        <f>+LINKED!N9+'NON-LINKED'!N9</f>
        <v>0</v>
      </c>
      <c r="O9" s="112">
        <f>+LINKED!O9+'NON-LINKED'!O9</f>
        <v>0</v>
      </c>
      <c r="P9" s="112">
        <f>+LINKED!P9+'NON-LINKED'!P9</f>
        <v>0</v>
      </c>
      <c r="Q9" s="151">
        <f>+LINKED!Q9+'NON-LINKED'!Q9</f>
        <v>118268.3088749766</v>
      </c>
    </row>
    <row r="10" spans="2:17" ht="35.5" customHeight="1" x14ac:dyDescent="0.35">
      <c r="B10" s="67" t="str">
        <f>LINKED!B10</f>
        <v>CAPEX LIFE ASSURANCE COMPANY</v>
      </c>
      <c r="C10" s="112">
        <f>+LINKED!C10+'NON-LINKED'!C10</f>
        <v>0</v>
      </c>
      <c r="D10" s="112">
        <f>+LINKED!D10+'NON-LINKED'!D10</f>
        <v>0</v>
      </c>
      <c r="E10" s="112">
        <f>+LINKED!E10+'NON-LINKED'!E10</f>
        <v>0</v>
      </c>
      <c r="F10" s="112">
        <f>+LINKED!F10+'NON-LINKED'!F10</f>
        <v>0</v>
      </c>
      <c r="G10" s="112">
        <f>+LINKED!G10+'NON-LINKED'!G10</f>
        <v>0</v>
      </c>
      <c r="H10" s="112">
        <f>+LINKED!H10+'NON-LINKED'!H10</f>
        <v>0</v>
      </c>
      <c r="I10" s="112">
        <f>+LINKED!I10+'NON-LINKED'!I10</f>
        <v>0</v>
      </c>
      <c r="J10" s="112">
        <f>+LINKED!J10+'NON-LINKED'!J10</f>
        <v>0</v>
      </c>
      <c r="K10" s="112">
        <f>+LINKED!K10+'NON-LINKED'!K10</f>
        <v>0</v>
      </c>
      <c r="L10" s="112">
        <f>+LINKED!L10+'NON-LINKED'!L10</f>
        <v>0</v>
      </c>
      <c r="M10" s="112">
        <f>+LINKED!M10+'NON-LINKED'!M10</f>
        <v>0</v>
      </c>
      <c r="N10" s="112">
        <f>+LINKED!N10+'NON-LINKED'!N10</f>
        <v>0</v>
      </c>
      <c r="O10" s="112">
        <f>+LINKED!O10+'NON-LINKED'!O10</f>
        <v>0</v>
      </c>
      <c r="P10" s="112">
        <f>+LINKED!P10+'NON-LINKED'!P10</f>
        <v>0</v>
      </c>
      <c r="Q10" s="151">
        <f>+LINKED!Q10+'NON-LINKED'!Q10</f>
        <v>0</v>
      </c>
    </row>
    <row r="11" spans="2:17" ht="35.5" customHeight="1" x14ac:dyDescent="0.35">
      <c r="B11" s="67" t="str">
        <f>LINKED!B11</f>
        <v>CIC LIFE ASSURANCE COMPANY</v>
      </c>
      <c r="C11" s="112">
        <f>+LINKED!C11+'NON-LINKED'!C11</f>
        <v>0</v>
      </c>
      <c r="D11" s="112">
        <f>+LINKED!D11+'NON-LINKED'!D11</f>
        <v>0</v>
      </c>
      <c r="E11" s="112">
        <f>+LINKED!E11+'NON-LINKED'!E11</f>
        <v>0</v>
      </c>
      <c r="F11" s="112">
        <f>+LINKED!F11+'NON-LINKED'!F11</f>
        <v>0</v>
      </c>
      <c r="G11" s="112">
        <f>+LINKED!G11+'NON-LINKED'!G11</f>
        <v>0</v>
      </c>
      <c r="H11" s="112">
        <f>+LINKED!H11+'NON-LINKED'!H11</f>
        <v>0</v>
      </c>
      <c r="I11" s="112">
        <f>+LINKED!I11+'NON-LINKED'!I11</f>
        <v>0</v>
      </c>
      <c r="J11" s="112">
        <f>+LINKED!J11+'NON-LINKED'!J11</f>
        <v>0</v>
      </c>
      <c r="K11" s="112">
        <f>+LINKED!K11+'NON-LINKED'!K11</f>
        <v>0</v>
      </c>
      <c r="L11" s="112">
        <f>+LINKED!L11+'NON-LINKED'!L11</f>
        <v>0</v>
      </c>
      <c r="M11" s="112">
        <f>+LINKED!M11+'NON-LINKED'!M11</f>
        <v>0</v>
      </c>
      <c r="N11" s="112">
        <f>+LINKED!N11+'NON-LINKED'!N11</f>
        <v>0</v>
      </c>
      <c r="O11" s="112">
        <f>+LINKED!O11+'NON-LINKED'!O11</f>
        <v>0</v>
      </c>
      <c r="P11" s="112">
        <f>+LINKED!P11+'NON-LINKED'!P11</f>
        <v>0</v>
      </c>
      <c r="Q11" s="151">
        <f>+LINKED!Q11+'NON-LINKED'!Q11</f>
        <v>0</v>
      </c>
    </row>
    <row r="12" spans="2:17" ht="35.5" customHeight="1" x14ac:dyDescent="0.35">
      <c r="B12" s="67" t="str">
        <f>LINKED!B12</f>
        <v>CORPORATE INSURANCE COMPANY</v>
      </c>
      <c r="C12" s="112">
        <f>+LINKED!C12+'NON-LINKED'!C12</f>
        <v>0</v>
      </c>
      <c r="D12" s="112">
        <f>+LINKED!D12+'NON-LINKED'!D12</f>
        <v>0</v>
      </c>
      <c r="E12" s="112">
        <f>+LINKED!E12+'NON-LINKED'!E12</f>
        <v>0</v>
      </c>
      <c r="F12" s="112">
        <f>+LINKED!F12+'NON-LINKED'!F12</f>
        <v>0</v>
      </c>
      <c r="G12" s="112">
        <f>+LINKED!G12+'NON-LINKED'!G12</f>
        <v>0</v>
      </c>
      <c r="H12" s="112">
        <f>+LINKED!H12+'NON-LINKED'!H12</f>
        <v>0</v>
      </c>
      <c r="I12" s="112">
        <f>+LINKED!I12+'NON-LINKED'!I12</f>
        <v>0</v>
      </c>
      <c r="J12" s="112">
        <f>+LINKED!J12+'NON-LINKED'!J12</f>
        <v>0</v>
      </c>
      <c r="K12" s="112">
        <f>+LINKED!K12+'NON-LINKED'!K12</f>
        <v>0</v>
      </c>
      <c r="L12" s="112">
        <f>+LINKED!L12+'NON-LINKED'!L12</f>
        <v>0</v>
      </c>
      <c r="M12" s="112">
        <f>+LINKED!M12+'NON-LINKED'!M12</f>
        <v>0</v>
      </c>
      <c r="N12" s="112">
        <f>+LINKED!N12+'NON-LINKED'!N12</f>
        <v>0</v>
      </c>
      <c r="O12" s="112">
        <f>+LINKED!O12+'NON-LINKED'!O12</f>
        <v>0</v>
      </c>
      <c r="P12" s="112">
        <f>+LINKED!P12+'NON-LINKED'!P12</f>
        <v>0</v>
      </c>
      <c r="Q12" s="151">
        <f>+LINKED!Q12+'NON-LINKED'!Q12</f>
        <v>0</v>
      </c>
    </row>
    <row r="13" spans="2:17" ht="35.5" customHeight="1" x14ac:dyDescent="0.35">
      <c r="B13" s="67" t="str">
        <f>LINKED!B13</f>
        <v xml:space="preserve">EQUITY LIFE ASSURANCE </v>
      </c>
      <c r="C13" s="112">
        <f>+LINKED!C13+'NON-LINKED'!C13</f>
        <v>317288.83100000001</v>
      </c>
      <c r="D13" s="112">
        <f>+LINKED!D13+'NON-LINKED'!D13</f>
        <v>321400.65399999998</v>
      </c>
      <c r="E13" s="112">
        <f>+LINKED!E13+'NON-LINKED'!E13</f>
        <v>321400.65399999998</v>
      </c>
      <c r="F13" s="112">
        <f>+LINKED!F13+'NON-LINKED'!F13</f>
        <v>0</v>
      </c>
      <c r="G13" s="112">
        <f>+LINKED!G13+'NON-LINKED'!G13</f>
        <v>317288.83094303991</v>
      </c>
      <c r="H13" s="112">
        <f>+LINKED!H13+'NON-LINKED'!H13</f>
        <v>317288.83094303991</v>
      </c>
      <c r="I13" s="112">
        <f>+LINKED!I13+'NON-LINKED'!I13</f>
        <v>0</v>
      </c>
      <c r="J13" s="112">
        <f>+LINKED!J13+'NON-LINKED'!J13</f>
        <v>0</v>
      </c>
      <c r="K13" s="112">
        <f>+LINKED!K13+'NON-LINKED'!K13</f>
        <v>0</v>
      </c>
      <c r="L13" s="112">
        <f>+LINKED!L13+'NON-LINKED'!L13</f>
        <v>0</v>
      </c>
      <c r="M13" s="112">
        <f>+LINKED!M13+'NON-LINKED'!M13</f>
        <v>0</v>
      </c>
      <c r="N13" s="112">
        <f>+LINKED!N13+'NON-LINKED'!N13</f>
        <v>0</v>
      </c>
      <c r="O13" s="112">
        <f>+LINKED!O13+'NON-LINKED'!O13</f>
        <v>0</v>
      </c>
      <c r="P13" s="112">
        <f>+LINKED!P13+'NON-LINKED'!P13</f>
        <v>0</v>
      </c>
      <c r="Q13" s="151">
        <f>+LINKED!Q13+'NON-LINKED'!Q13</f>
        <v>321400.65405696008</v>
      </c>
    </row>
    <row r="14" spans="2:17" ht="35.5" customHeight="1" x14ac:dyDescent="0.35">
      <c r="B14" s="67" t="str">
        <f>LINKED!B14</f>
        <v xml:space="preserve">GA LIFE ASSURANCE COMPANY </v>
      </c>
      <c r="C14" s="112">
        <f>+LINKED!C14+'NON-LINKED'!C14</f>
        <v>0</v>
      </c>
      <c r="D14" s="112">
        <f>+LINKED!D14+'NON-LINKED'!D14</f>
        <v>0</v>
      </c>
      <c r="E14" s="112">
        <f>+LINKED!E14+'NON-LINKED'!E14</f>
        <v>0</v>
      </c>
      <c r="F14" s="112">
        <f>+LINKED!F14+'NON-LINKED'!F14</f>
        <v>0</v>
      </c>
      <c r="G14" s="112">
        <f>+LINKED!G14+'NON-LINKED'!G14</f>
        <v>0</v>
      </c>
      <c r="H14" s="112">
        <f>+LINKED!H14+'NON-LINKED'!H14</f>
        <v>0</v>
      </c>
      <c r="I14" s="112">
        <f>+LINKED!I14+'NON-LINKED'!I14</f>
        <v>0</v>
      </c>
      <c r="J14" s="112">
        <f>+LINKED!J14+'NON-LINKED'!J14</f>
        <v>0</v>
      </c>
      <c r="K14" s="112">
        <f>+LINKED!K14+'NON-LINKED'!K14</f>
        <v>0</v>
      </c>
      <c r="L14" s="112">
        <f>+LINKED!L14+'NON-LINKED'!L14</f>
        <v>0</v>
      </c>
      <c r="M14" s="112">
        <f>+LINKED!M14+'NON-LINKED'!M14</f>
        <v>0</v>
      </c>
      <c r="N14" s="112">
        <f>+LINKED!N14+'NON-LINKED'!N14</f>
        <v>0</v>
      </c>
      <c r="O14" s="112">
        <f>+LINKED!O14+'NON-LINKED'!O14</f>
        <v>0</v>
      </c>
      <c r="P14" s="112">
        <f>+LINKED!P14+'NON-LINKED'!P14</f>
        <v>0</v>
      </c>
      <c r="Q14" s="151">
        <f>+LINKED!Q14+'NON-LINKED'!Q14</f>
        <v>0</v>
      </c>
    </row>
    <row r="15" spans="2:17" ht="35.5" customHeight="1" x14ac:dyDescent="0.35">
      <c r="B15" s="67" t="str">
        <f>LINKED!B15</f>
        <v>GEMINIA LIFE INSURANCE COMPANY</v>
      </c>
      <c r="C15" s="112">
        <f>+LINKED!C15+'NON-LINKED'!C15</f>
        <v>90519.785999999993</v>
      </c>
      <c r="D15" s="112">
        <f>+LINKED!D15+'NON-LINKED'!D15</f>
        <v>574003.62115000002</v>
      </c>
      <c r="E15" s="112">
        <f>+LINKED!E15+'NON-LINKED'!E15</f>
        <v>574003.62115000002</v>
      </c>
      <c r="F15" s="112">
        <f>+LINKED!F15+'NON-LINKED'!F15</f>
        <v>0</v>
      </c>
      <c r="G15" s="112">
        <f>+LINKED!G15+'NON-LINKED'!G15</f>
        <v>0</v>
      </c>
      <c r="H15" s="112">
        <f>+LINKED!H15+'NON-LINKED'!H15</f>
        <v>0</v>
      </c>
      <c r="I15" s="112">
        <f>+LINKED!I15+'NON-LINKED'!I15</f>
        <v>0</v>
      </c>
      <c r="J15" s="112">
        <f>+LINKED!J15+'NON-LINKED'!J15</f>
        <v>0</v>
      </c>
      <c r="K15" s="112">
        <f>+LINKED!K15+'NON-LINKED'!K15</f>
        <v>0</v>
      </c>
      <c r="L15" s="112">
        <f>+LINKED!L15+'NON-LINKED'!L15</f>
        <v>0</v>
      </c>
      <c r="M15" s="112">
        <f>+LINKED!M15+'NON-LINKED'!M15</f>
        <v>34492.280382557103</v>
      </c>
      <c r="N15" s="112">
        <f>+LINKED!N15+'NON-LINKED'!N15</f>
        <v>0</v>
      </c>
      <c r="O15" s="112">
        <f>+LINKED!O15+'NON-LINKED'!O15</f>
        <v>0</v>
      </c>
      <c r="P15" s="112">
        <f>+LINKED!P15+'NON-LINKED'!P15</f>
        <v>0</v>
      </c>
      <c r="Q15" s="151">
        <f>+LINKED!Q15+'NON-LINKED'!Q15</f>
        <v>630031.12676744291</v>
      </c>
    </row>
    <row r="16" spans="2:17" ht="35.5" customHeight="1" x14ac:dyDescent="0.35">
      <c r="B16" s="67" t="str">
        <f>LINKED!B16</f>
        <v xml:space="preserve">ICEA LION LIFE ASSURANCE </v>
      </c>
      <c r="C16" s="112">
        <f>+LINKED!C16+'NON-LINKED'!C16</f>
        <v>440263.47932580003</v>
      </c>
      <c r="D16" s="112">
        <f>+LINKED!D16+'NON-LINKED'!D16</f>
        <v>5030.2792399999998</v>
      </c>
      <c r="E16" s="112">
        <f>+LINKED!E16+'NON-LINKED'!E16</f>
        <v>5030.2792399999998</v>
      </c>
      <c r="F16" s="112">
        <f>+LINKED!F16+'NON-LINKED'!F16</f>
        <v>0</v>
      </c>
      <c r="G16" s="112">
        <f>+LINKED!G16+'NON-LINKED'!G16</f>
        <v>32905.700510000002</v>
      </c>
      <c r="H16" s="112">
        <f>+LINKED!H16+'NON-LINKED'!H16</f>
        <v>28134.59618</v>
      </c>
      <c r="I16" s="112">
        <f>+LINKED!I16+'NON-LINKED'!I16</f>
        <v>4771.1043300000001</v>
      </c>
      <c r="J16" s="112">
        <f>+LINKED!J16+'NON-LINKED'!J16</f>
        <v>0</v>
      </c>
      <c r="K16" s="112">
        <f>+LINKED!K16+'NON-LINKED'!K16</f>
        <v>0</v>
      </c>
      <c r="L16" s="112">
        <f>+LINKED!L16+'NON-LINKED'!L16</f>
        <v>0</v>
      </c>
      <c r="M16" s="112">
        <f>+LINKED!M16+'NON-LINKED'!M16</f>
        <v>0</v>
      </c>
      <c r="N16" s="112">
        <f>+LINKED!N16+'NON-LINKED'!N16</f>
        <v>0</v>
      </c>
      <c r="O16" s="112">
        <f>+LINKED!O16+'NON-LINKED'!O16</f>
        <v>0</v>
      </c>
      <c r="P16" s="112">
        <f>+LINKED!P16+'NON-LINKED'!P16</f>
        <v>546.2812899999999</v>
      </c>
      <c r="Q16" s="151">
        <f>+LINKED!Q16+'NON-LINKED'!Q16</f>
        <v>411841.77676580002</v>
      </c>
    </row>
    <row r="17" spans="2:17" ht="35.5" customHeight="1" x14ac:dyDescent="0.35">
      <c r="B17" s="67" t="str">
        <f>LINKED!B17</f>
        <v>JUBILEE LIFE INSURANCE</v>
      </c>
      <c r="C17" s="112">
        <f>+LINKED!C17+'NON-LINKED'!C17</f>
        <v>70346.667963600004</v>
      </c>
      <c r="D17" s="112">
        <f>+LINKED!D17+'NON-LINKED'!D17</f>
        <v>2710479.08574</v>
      </c>
      <c r="E17" s="112">
        <f>+LINKED!E17+'NON-LINKED'!E17</f>
        <v>2710479.08574</v>
      </c>
      <c r="F17" s="112">
        <f>+LINKED!F17+'NON-LINKED'!F17</f>
        <v>0</v>
      </c>
      <c r="G17" s="112">
        <f>+LINKED!G17+'NON-LINKED'!G17</f>
        <v>0</v>
      </c>
      <c r="H17" s="112">
        <f>+LINKED!H17+'NON-LINKED'!H17</f>
        <v>0</v>
      </c>
      <c r="I17" s="112">
        <f>+LINKED!I17+'NON-LINKED'!I17</f>
        <v>0</v>
      </c>
      <c r="J17" s="112">
        <f>+LINKED!J17+'NON-LINKED'!J17</f>
        <v>0</v>
      </c>
      <c r="K17" s="112">
        <f>+LINKED!K17+'NON-LINKED'!K17</f>
        <v>0</v>
      </c>
      <c r="L17" s="112">
        <f>+LINKED!L17+'NON-LINKED'!L17</f>
        <v>0</v>
      </c>
      <c r="M17" s="112">
        <f>+LINKED!M17+'NON-LINKED'!M17</f>
        <v>5282.1477008611128</v>
      </c>
      <c r="N17" s="112">
        <f>+LINKED!N17+'NON-LINKED'!N17</f>
        <v>0</v>
      </c>
      <c r="O17" s="112">
        <f>+LINKED!O17+'NON-LINKED'!O17</f>
        <v>0</v>
      </c>
      <c r="P17" s="112">
        <f>+LINKED!P17+'NON-LINKED'!P17</f>
        <v>0</v>
      </c>
      <c r="Q17" s="151">
        <f>+LINKED!Q17+'NON-LINKED'!Q17</f>
        <v>2775543.6060027392</v>
      </c>
    </row>
    <row r="18" spans="2:17" ht="35.5" customHeight="1" x14ac:dyDescent="0.35">
      <c r="B18" s="67" t="str">
        <f>LINKED!B18</f>
        <v>KENINDIA ASSURANCE COMPANY</v>
      </c>
      <c r="C18" s="112">
        <f>+LINKED!C18+'NON-LINKED'!C18</f>
        <v>0</v>
      </c>
      <c r="D18" s="112">
        <f>+LINKED!D18+'NON-LINKED'!D18</f>
        <v>0</v>
      </c>
      <c r="E18" s="112">
        <f>+LINKED!E18+'NON-LINKED'!E18</f>
        <v>0</v>
      </c>
      <c r="F18" s="112">
        <f>+LINKED!F18+'NON-LINKED'!F18</f>
        <v>0</v>
      </c>
      <c r="G18" s="112">
        <f>+LINKED!G18+'NON-LINKED'!G18</f>
        <v>0</v>
      </c>
      <c r="H18" s="112">
        <f>+LINKED!H18+'NON-LINKED'!H18</f>
        <v>0</v>
      </c>
      <c r="I18" s="112">
        <f>+LINKED!I18+'NON-LINKED'!I18</f>
        <v>0</v>
      </c>
      <c r="J18" s="112">
        <f>+LINKED!J18+'NON-LINKED'!J18</f>
        <v>0</v>
      </c>
      <c r="K18" s="112">
        <f>+LINKED!K18+'NON-LINKED'!K18</f>
        <v>0</v>
      </c>
      <c r="L18" s="112">
        <f>+LINKED!L18+'NON-LINKED'!L18</f>
        <v>0</v>
      </c>
      <c r="M18" s="112">
        <f>+LINKED!M18+'NON-LINKED'!M18</f>
        <v>0</v>
      </c>
      <c r="N18" s="112">
        <f>+LINKED!N18+'NON-LINKED'!N18</f>
        <v>0</v>
      </c>
      <c r="O18" s="112">
        <f>+LINKED!O18+'NON-LINKED'!O18</f>
        <v>0</v>
      </c>
      <c r="P18" s="112">
        <f>+LINKED!P18+'NON-LINKED'!P18</f>
        <v>0</v>
      </c>
      <c r="Q18" s="151">
        <f>+LINKED!Q18+'NON-LINKED'!Q18</f>
        <v>0</v>
      </c>
    </row>
    <row r="19" spans="2:17" ht="35.5" customHeight="1" x14ac:dyDescent="0.35">
      <c r="B19" s="67" t="str">
        <f>LINKED!B19</f>
        <v>KENYA ORIENT LIFE ASSURANCE</v>
      </c>
      <c r="C19" s="112">
        <f>+LINKED!C19+'NON-LINKED'!C19</f>
        <v>0</v>
      </c>
      <c r="D19" s="112">
        <f>+LINKED!D19+'NON-LINKED'!D19</f>
        <v>0</v>
      </c>
      <c r="E19" s="112">
        <f>+LINKED!E19+'NON-LINKED'!E19</f>
        <v>0</v>
      </c>
      <c r="F19" s="112">
        <f>+LINKED!F19+'NON-LINKED'!F19</f>
        <v>0</v>
      </c>
      <c r="G19" s="112">
        <f>+LINKED!G19+'NON-LINKED'!G19</f>
        <v>0</v>
      </c>
      <c r="H19" s="112">
        <f>+LINKED!H19+'NON-LINKED'!H19</f>
        <v>0</v>
      </c>
      <c r="I19" s="112">
        <f>+LINKED!I19+'NON-LINKED'!I19</f>
        <v>0</v>
      </c>
      <c r="J19" s="112">
        <f>+LINKED!J19+'NON-LINKED'!J19</f>
        <v>0</v>
      </c>
      <c r="K19" s="112">
        <f>+LINKED!K19+'NON-LINKED'!K19</f>
        <v>0</v>
      </c>
      <c r="L19" s="112">
        <f>+LINKED!L19+'NON-LINKED'!L19</f>
        <v>0</v>
      </c>
      <c r="M19" s="112">
        <f>+LINKED!M19+'NON-LINKED'!M19</f>
        <v>0</v>
      </c>
      <c r="N19" s="112">
        <f>+LINKED!N19+'NON-LINKED'!N19</f>
        <v>0</v>
      </c>
      <c r="O19" s="112">
        <f>+LINKED!O19+'NON-LINKED'!O19</f>
        <v>0</v>
      </c>
      <c r="P19" s="112">
        <f>+LINKED!P19+'NON-LINKED'!P19</f>
        <v>0</v>
      </c>
      <c r="Q19" s="151">
        <f>+LINKED!Q19+'NON-LINKED'!Q19</f>
        <v>0</v>
      </c>
    </row>
    <row r="20" spans="2:17" ht="35.5" customHeight="1" x14ac:dyDescent="0.35">
      <c r="B20" s="67" t="str">
        <f>LINKED!B20</f>
        <v>KUSCCO MUTUAL ASSURANCE LIMITED</v>
      </c>
      <c r="C20" s="112">
        <f>+LINKED!C20+'NON-LINKED'!C20</f>
        <v>0</v>
      </c>
      <c r="D20" s="112">
        <f>+LINKED!D20+'NON-LINKED'!D20</f>
        <v>0</v>
      </c>
      <c r="E20" s="112">
        <f>+LINKED!E20+'NON-LINKED'!E20</f>
        <v>0</v>
      </c>
      <c r="F20" s="112">
        <f>+LINKED!F20+'NON-LINKED'!F20</f>
        <v>0</v>
      </c>
      <c r="G20" s="112">
        <f>+LINKED!G20+'NON-LINKED'!G20</f>
        <v>0</v>
      </c>
      <c r="H20" s="112">
        <f>+LINKED!H20+'NON-LINKED'!H20</f>
        <v>0</v>
      </c>
      <c r="I20" s="112">
        <f>+LINKED!I20+'NON-LINKED'!I20</f>
        <v>0</v>
      </c>
      <c r="J20" s="112">
        <f>+LINKED!J20+'NON-LINKED'!J20</f>
        <v>0</v>
      </c>
      <c r="K20" s="112">
        <f>+LINKED!K20+'NON-LINKED'!K20</f>
        <v>0</v>
      </c>
      <c r="L20" s="112">
        <f>+LINKED!L20+'NON-LINKED'!L20</f>
        <v>0</v>
      </c>
      <c r="M20" s="112">
        <f>+LINKED!M20+'NON-LINKED'!M20</f>
        <v>0</v>
      </c>
      <c r="N20" s="112">
        <f>+LINKED!N20+'NON-LINKED'!N20</f>
        <v>0</v>
      </c>
      <c r="O20" s="112">
        <f>+LINKED!O20+'NON-LINKED'!O20</f>
        <v>0</v>
      </c>
      <c r="P20" s="112">
        <f>+LINKED!P20+'NON-LINKED'!P20</f>
        <v>0</v>
      </c>
      <c r="Q20" s="151">
        <f>+LINKED!Q20+'NON-LINKED'!Q20</f>
        <v>0</v>
      </c>
    </row>
    <row r="21" spans="2:17" ht="35.5" customHeight="1" x14ac:dyDescent="0.35">
      <c r="B21" s="67" t="str">
        <f>LINKED!B21</f>
        <v>LIBERTY LIFE ASSURANCE COMPANY</v>
      </c>
      <c r="C21" s="112">
        <f>+LINKED!C21+'NON-LINKED'!C21</f>
        <v>3343805.0048485189</v>
      </c>
      <c r="D21" s="112">
        <f>+LINKED!D21+'NON-LINKED'!D21</f>
        <v>840836.56599001843</v>
      </c>
      <c r="E21" s="112">
        <f>+LINKED!E21+'NON-LINKED'!E21</f>
        <v>840836.56599001843</v>
      </c>
      <c r="F21" s="112">
        <f>+LINKED!F21+'NON-LINKED'!F21</f>
        <v>0</v>
      </c>
      <c r="G21" s="112">
        <f>+LINKED!G21+'NON-LINKED'!G21</f>
        <v>794069.22467923688</v>
      </c>
      <c r="H21" s="112">
        <f>+LINKED!H21+'NON-LINKED'!H21</f>
        <v>286384.1996792368</v>
      </c>
      <c r="I21" s="112">
        <f>+LINKED!I21+'NON-LINKED'!I21</f>
        <v>507685.02500000002</v>
      </c>
      <c r="J21" s="112">
        <f>+LINKED!J21+'NON-LINKED'!J21</f>
        <v>0</v>
      </c>
      <c r="K21" s="112">
        <f>+LINKED!K21+'NON-LINKED'!K21</f>
        <v>0</v>
      </c>
      <c r="L21" s="112">
        <f>+LINKED!L21+'NON-LINKED'!L21</f>
        <v>37426.79</v>
      </c>
      <c r="M21" s="112">
        <f>+LINKED!M21+'NON-LINKED'!M21</f>
        <v>665277.71499999997</v>
      </c>
      <c r="N21" s="112">
        <f>+LINKED!N21+'NON-LINKED'!N21</f>
        <v>1214493.3416275205</v>
      </c>
      <c r="O21" s="112">
        <f>+LINKED!O21+'NON-LINKED'!O21</f>
        <v>36191.288253320206</v>
      </c>
      <c r="P21" s="112">
        <f>+LINKED!P21+'NON-LINKED'!P21</f>
        <v>0</v>
      </c>
      <c r="Q21" s="151">
        <f>+LINKED!Q21+'NON-LINKED'!Q21</f>
        <v>3866169.8945335001</v>
      </c>
    </row>
    <row r="22" spans="2:17" ht="35.5" customHeight="1" x14ac:dyDescent="0.35">
      <c r="B22" s="67" t="str">
        <f>LINKED!B22</f>
        <v>MADISON INSURANCE COMPANY</v>
      </c>
      <c r="C22" s="112">
        <f>+LINKED!C22+'NON-LINKED'!C22</f>
        <v>-15507.071</v>
      </c>
      <c r="D22" s="112">
        <f>+LINKED!D22+'NON-LINKED'!D22</f>
        <v>1436300.7089265801</v>
      </c>
      <c r="E22" s="112">
        <f>+LINKED!E22+'NON-LINKED'!E22</f>
        <v>1436300.7089265801</v>
      </c>
      <c r="F22" s="112">
        <f>+LINKED!F22+'NON-LINKED'!F22</f>
        <v>0</v>
      </c>
      <c r="G22" s="112">
        <f>+LINKED!G22+'NON-LINKED'!G22</f>
        <v>832343.1972975001</v>
      </c>
      <c r="H22" s="112">
        <f>+LINKED!H22+'NON-LINKED'!H22</f>
        <v>832343.1972975001</v>
      </c>
      <c r="I22" s="112">
        <f>+LINKED!I22+'NON-LINKED'!I22</f>
        <v>0</v>
      </c>
      <c r="J22" s="112">
        <f>+LINKED!J22+'NON-LINKED'!J22</f>
        <v>0</v>
      </c>
      <c r="K22" s="112">
        <f>+LINKED!K22+'NON-LINKED'!K22</f>
        <v>0</v>
      </c>
      <c r="L22" s="112">
        <f>+LINKED!L22+'NON-LINKED'!L22</f>
        <v>0</v>
      </c>
      <c r="M22" s="112">
        <f>+LINKED!M22+'NON-LINKED'!M22</f>
        <v>0</v>
      </c>
      <c r="N22" s="112">
        <f>+LINKED!N22+'NON-LINKED'!N22</f>
        <v>0</v>
      </c>
      <c r="O22" s="112">
        <f>+LINKED!O22+'NON-LINKED'!O22</f>
        <v>0</v>
      </c>
      <c r="P22" s="112">
        <f>+LINKED!P22+'NON-LINKED'!P22</f>
        <v>0</v>
      </c>
      <c r="Q22" s="151">
        <f>+LINKED!Q22+'NON-LINKED'!Q22</f>
        <v>588450.44062908017</v>
      </c>
    </row>
    <row r="23" spans="2:17" ht="35.5" customHeight="1" x14ac:dyDescent="0.35">
      <c r="B23" s="67" t="str">
        <f>LINKED!B23</f>
        <v>OLD MUTUAL LIFE ASSURANCE KENYA</v>
      </c>
      <c r="C23" s="112">
        <f>+LINKED!C23+'NON-LINKED'!C23</f>
        <v>10996236.257563364</v>
      </c>
      <c r="D23" s="112">
        <f>+LINKED!D23+'NON-LINKED'!D23</f>
        <v>1883083.29693</v>
      </c>
      <c r="E23" s="112">
        <f>+LINKED!E23+'NON-LINKED'!E23</f>
        <v>1858110.0708000001</v>
      </c>
      <c r="F23" s="112">
        <f>+LINKED!F23+'NON-LINKED'!F23</f>
        <v>7480.4862750883112</v>
      </c>
      <c r="G23" s="112">
        <f>+LINKED!G23+'NON-LINKED'!G23</f>
        <v>3235809.741489999</v>
      </c>
      <c r="H23" s="112">
        <f>+LINKED!H23+'NON-LINKED'!H23</f>
        <v>3235809.741489999</v>
      </c>
      <c r="I23" s="112">
        <f>+LINKED!I23+'NON-LINKED'!I23</f>
        <v>0</v>
      </c>
      <c r="J23" s="112">
        <f>+LINKED!J23+'NON-LINKED'!J23</f>
        <v>0</v>
      </c>
      <c r="K23" s="112">
        <f>+LINKED!K23+'NON-LINKED'!K23</f>
        <v>0</v>
      </c>
      <c r="L23" s="112">
        <f>+LINKED!L23+'NON-LINKED'!L23</f>
        <v>82179.075379999995</v>
      </c>
      <c r="M23" s="112">
        <f>+LINKED!M23+'NON-LINKED'!M23</f>
        <v>979944.81840568152</v>
      </c>
      <c r="N23" s="112">
        <f>+LINKED!N23+'NON-LINKED'!N23</f>
        <v>2314357.7616516342</v>
      </c>
      <c r="O23" s="112">
        <f>+LINKED!O23+'NON-LINKED'!O23</f>
        <v>0</v>
      </c>
      <c r="P23" s="112">
        <f>+LINKED!P23+'NON-LINKED'!P23</f>
        <v>0</v>
      </c>
      <c r="Q23" s="151">
        <f>+LINKED!Q23+'NON-LINKED'!Q23</f>
        <v>10878250.941014403</v>
      </c>
    </row>
    <row r="24" spans="2:17" ht="35.5" customHeight="1" x14ac:dyDescent="0.35">
      <c r="B24" s="67" t="str">
        <f>LINKED!B24</f>
        <v xml:space="preserve">PIONEER ASSURANCE COMPANY </v>
      </c>
      <c r="C24" s="112">
        <f>+LINKED!C24+'NON-LINKED'!C24</f>
        <v>346386.59876600001</v>
      </c>
      <c r="D24" s="112">
        <f>+LINKED!D24+'NON-LINKED'!D24</f>
        <v>214940.83100000001</v>
      </c>
      <c r="E24" s="112">
        <f>+LINKED!E24+'NON-LINKED'!E24</f>
        <v>214940.83100000001</v>
      </c>
      <c r="F24" s="112">
        <f>+LINKED!F24+'NON-LINKED'!F24</f>
        <v>0</v>
      </c>
      <c r="G24" s="112">
        <f>+LINKED!G24+'NON-LINKED'!G24</f>
        <v>94402.938999999998</v>
      </c>
      <c r="H24" s="112">
        <f>+LINKED!H24+'NON-LINKED'!H24</f>
        <v>94402.938999999998</v>
      </c>
      <c r="I24" s="112">
        <f>+LINKED!I24+'NON-LINKED'!I24</f>
        <v>0</v>
      </c>
      <c r="J24" s="112">
        <f>+LINKED!J24+'NON-LINKED'!J24</f>
        <v>0</v>
      </c>
      <c r="K24" s="112">
        <f>+LINKED!K24+'NON-LINKED'!K24</f>
        <v>0</v>
      </c>
      <c r="L24" s="112">
        <f>+LINKED!L24+'NON-LINKED'!L24</f>
        <v>0</v>
      </c>
      <c r="M24" s="112">
        <f>+LINKED!M24+'NON-LINKED'!M24</f>
        <v>0</v>
      </c>
      <c r="N24" s="112">
        <f>+LINKED!N24+'NON-LINKED'!N24</f>
        <v>6246.2979696297643</v>
      </c>
      <c r="O24" s="112">
        <f>+LINKED!O24+'NON-LINKED'!O24</f>
        <v>0</v>
      </c>
      <c r="P24" s="112">
        <f>+LINKED!P24+'NON-LINKED'!P24</f>
        <v>0</v>
      </c>
      <c r="Q24" s="151">
        <f>+LINKED!Q24+'NON-LINKED'!Q24</f>
        <v>473170.78873562982</v>
      </c>
    </row>
    <row r="25" spans="2:17" ht="35.5" customHeight="1" x14ac:dyDescent="0.35">
      <c r="B25" s="67" t="str">
        <f>LINKED!B25</f>
        <v>PRUDENTIAL LIFE ASSURANCE</v>
      </c>
      <c r="C25" s="112">
        <f>+LINKED!C25+'NON-LINKED'!C25</f>
        <v>0</v>
      </c>
      <c r="D25" s="112">
        <f>+LINKED!D25+'NON-LINKED'!D25</f>
        <v>0</v>
      </c>
      <c r="E25" s="112">
        <f>+LINKED!E25+'NON-LINKED'!E25</f>
        <v>0</v>
      </c>
      <c r="F25" s="112">
        <f>+LINKED!F25+'NON-LINKED'!F25</f>
        <v>0</v>
      </c>
      <c r="G25" s="112">
        <f>+LINKED!G25+'NON-LINKED'!G25</f>
        <v>0</v>
      </c>
      <c r="H25" s="112">
        <f>+LINKED!H25+'NON-LINKED'!H25</f>
        <v>0</v>
      </c>
      <c r="I25" s="112">
        <f>+LINKED!I25+'NON-LINKED'!I25</f>
        <v>0</v>
      </c>
      <c r="J25" s="112">
        <f>+LINKED!J25+'NON-LINKED'!J25</f>
        <v>0</v>
      </c>
      <c r="K25" s="112">
        <f>+LINKED!K25+'NON-LINKED'!K25</f>
        <v>0</v>
      </c>
      <c r="L25" s="112">
        <f>+LINKED!L25+'NON-LINKED'!L25</f>
        <v>0</v>
      </c>
      <c r="M25" s="112">
        <f>+LINKED!M25+'NON-LINKED'!M25</f>
        <v>0</v>
      </c>
      <c r="N25" s="112">
        <f>+LINKED!N25+'NON-LINKED'!N25</f>
        <v>0</v>
      </c>
      <c r="O25" s="112">
        <f>+LINKED!O25+'NON-LINKED'!O25</f>
        <v>0</v>
      </c>
      <c r="P25" s="112">
        <f>+LINKED!P25+'NON-LINKED'!P25</f>
        <v>0</v>
      </c>
      <c r="Q25" s="151">
        <f>+LINKED!Q25+'NON-LINKED'!Q25</f>
        <v>0</v>
      </c>
    </row>
    <row r="26" spans="2:17" ht="35.5" customHeight="1" x14ac:dyDescent="0.35">
      <c r="B26" s="67" t="str">
        <f>LINKED!B26</f>
        <v>SANLAM LIFE ASSURANCE</v>
      </c>
      <c r="C26" s="112">
        <f>+LINKED!C26+'NON-LINKED'!C26</f>
        <v>1223094.28245176</v>
      </c>
      <c r="D26" s="112">
        <f>+LINKED!D26+'NON-LINKED'!D26</f>
        <v>136274.41318999999</v>
      </c>
      <c r="E26" s="112">
        <f>+LINKED!E26+'NON-LINKED'!E26</f>
        <v>136274.41318999999</v>
      </c>
      <c r="F26" s="112">
        <f>+LINKED!F26+'NON-LINKED'!F26</f>
        <v>0</v>
      </c>
      <c r="G26" s="112">
        <f>+LINKED!G26+'NON-LINKED'!G26</f>
        <v>668909.97405000008</v>
      </c>
      <c r="H26" s="112">
        <f>+LINKED!H26+'NON-LINKED'!H26</f>
        <v>668909.97405000008</v>
      </c>
      <c r="I26" s="112">
        <f>+LINKED!I26+'NON-LINKED'!I26</f>
        <v>0</v>
      </c>
      <c r="J26" s="112">
        <f>+LINKED!J26+'NON-LINKED'!J26</f>
        <v>0</v>
      </c>
      <c r="K26" s="112">
        <f>+LINKED!K26+'NON-LINKED'!K26</f>
        <v>0</v>
      </c>
      <c r="L26" s="112">
        <f>+LINKED!L26+'NON-LINKED'!L26</f>
        <v>0</v>
      </c>
      <c r="M26" s="112">
        <f>+LINKED!M26+'NON-LINKED'!M26</f>
        <v>51627.371738760979</v>
      </c>
      <c r="N26" s="112">
        <f>+LINKED!N26+'NON-LINKED'!N26</f>
        <v>351016.19636</v>
      </c>
      <c r="O26" s="112">
        <f>+LINKED!O26+'NON-LINKED'!O26</f>
        <v>0</v>
      </c>
      <c r="P26" s="112">
        <f>+LINKED!P26+'NON-LINKED'!P26</f>
        <v>0</v>
      </c>
      <c r="Q26" s="151">
        <f>+LINKED!Q26+'NON-LINKED'!Q26</f>
        <v>989847.5462129995</v>
      </c>
    </row>
    <row r="27" spans="2:17" ht="35.5" customHeight="1" x14ac:dyDescent="0.35">
      <c r="B27" s="67" t="str">
        <f>LINKED!B27</f>
        <v>STAR DISCOVER LIFE INSURANCE</v>
      </c>
      <c r="C27" s="112">
        <f>+LINKED!C27+'NON-LINKED'!C27</f>
        <v>0</v>
      </c>
      <c r="D27" s="112">
        <f>+LINKED!D27+'NON-LINKED'!D27</f>
        <v>0</v>
      </c>
      <c r="E27" s="112">
        <f>+LINKED!E27+'NON-LINKED'!E27</f>
        <v>0</v>
      </c>
      <c r="F27" s="112">
        <f>+LINKED!F27+'NON-LINKED'!F27</f>
        <v>0</v>
      </c>
      <c r="G27" s="112">
        <f>+LINKED!G27+'NON-LINKED'!G27</f>
        <v>0</v>
      </c>
      <c r="H27" s="112">
        <f>+LINKED!H27+'NON-LINKED'!H27</f>
        <v>0</v>
      </c>
      <c r="I27" s="112">
        <f>+LINKED!I27+'NON-LINKED'!I27</f>
        <v>0</v>
      </c>
      <c r="J27" s="112">
        <f>+LINKED!J27+'NON-LINKED'!J27</f>
        <v>0</v>
      </c>
      <c r="K27" s="112">
        <f>+LINKED!K27+'NON-LINKED'!K27</f>
        <v>0</v>
      </c>
      <c r="L27" s="112">
        <f>+LINKED!L27+'NON-LINKED'!L27</f>
        <v>0</v>
      </c>
      <c r="M27" s="112">
        <f>+LINKED!M27+'NON-LINKED'!M27</f>
        <v>0</v>
      </c>
      <c r="N27" s="112">
        <f>+LINKED!N27+'NON-LINKED'!N27</f>
        <v>0</v>
      </c>
      <c r="O27" s="112">
        <f>+LINKED!O27+'NON-LINKED'!O27</f>
        <v>0</v>
      </c>
      <c r="P27" s="112">
        <f>+LINKED!P27+'NON-LINKED'!P27</f>
        <v>0</v>
      </c>
      <c r="Q27" s="151">
        <f>+LINKED!Q27+'NON-LINKED'!Q27</f>
        <v>0</v>
      </c>
    </row>
    <row r="28" spans="2:17" ht="35.5" customHeight="1" x14ac:dyDescent="0.35">
      <c r="B28" s="67" t="str">
        <f>LINKED!B28</f>
        <v>THE KENYAN ALLIANCE INSURANCE</v>
      </c>
      <c r="C28" s="112">
        <f>+LINKED!C28+'NON-LINKED'!C28</f>
        <v>100080.33</v>
      </c>
      <c r="D28" s="112">
        <f>+LINKED!D28+'NON-LINKED'!D28</f>
        <v>9041.7724999999991</v>
      </c>
      <c r="E28" s="112">
        <f>+LINKED!E28+'NON-LINKED'!E28</f>
        <v>9041.7724999999991</v>
      </c>
      <c r="F28" s="112">
        <f>+LINKED!F28+'NON-LINKED'!F28</f>
        <v>0</v>
      </c>
      <c r="G28" s="112">
        <f>+LINKED!G28+'NON-LINKED'!G28</f>
        <v>17004.168000000001</v>
      </c>
      <c r="H28" s="112">
        <f>+LINKED!H28+'NON-LINKED'!H28</f>
        <v>17004.168000000001</v>
      </c>
      <c r="I28" s="112">
        <f>+LINKED!I28+'NON-LINKED'!I28</f>
        <v>0</v>
      </c>
      <c r="J28" s="112">
        <f>+LINKED!J28+'NON-LINKED'!J28</f>
        <v>0</v>
      </c>
      <c r="K28" s="112">
        <f>+LINKED!K28+'NON-LINKED'!K28</f>
        <v>0</v>
      </c>
      <c r="L28" s="112">
        <f>+LINKED!L28+'NON-LINKED'!L28</f>
        <v>263.06945000000002</v>
      </c>
      <c r="M28" s="112">
        <f>+LINKED!M28+'NON-LINKED'!M28</f>
        <v>1785.47444487963</v>
      </c>
      <c r="N28" s="112">
        <f>+LINKED!N28+'NON-LINKED'!N28</f>
        <v>948.09386560344603</v>
      </c>
      <c r="O28" s="112">
        <f>+LINKED!O28+'NON-LINKED'!O28</f>
        <v>0</v>
      </c>
      <c r="P28" s="112">
        <f>+LINKED!P28+'NON-LINKED'!P28</f>
        <v>0</v>
      </c>
      <c r="Q28" s="151">
        <f>+LINKED!Q28+'NON-LINKED'!Q28</f>
        <v>91017.484470723793</v>
      </c>
    </row>
    <row r="29" spans="2:17" ht="35.5" customHeight="1" x14ac:dyDescent="0.35">
      <c r="B29" s="67" t="str">
        <f>LINKED!B29</f>
        <v>THE MONARCH INSURANCE</v>
      </c>
      <c r="C29" s="112">
        <f>+LINKED!C29+'NON-LINKED'!C29</f>
        <v>0</v>
      </c>
      <c r="D29" s="112">
        <f>+LINKED!D29+'NON-LINKED'!D29</f>
        <v>0</v>
      </c>
      <c r="E29" s="112">
        <f>+LINKED!E29+'NON-LINKED'!E29</f>
        <v>0</v>
      </c>
      <c r="F29" s="112">
        <f>+LINKED!F29+'NON-LINKED'!F29</f>
        <v>0</v>
      </c>
      <c r="G29" s="112">
        <f>+LINKED!G29+'NON-LINKED'!G29</f>
        <v>0</v>
      </c>
      <c r="H29" s="112">
        <f>+LINKED!H29+'NON-LINKED'!H29</f>
        <v>0</v>
      </c>
      <c r="I29" s="112">
        <f>+LINKED!I29+'NON-LINKED'!I29</f>
        <v>0</v>
      </c>
      <c r="J29" s="112">
        <f>+LINKED!J29+'NON-LINKED'!J29</f>
        <v>0</v>
      </c>
      <c r="K29" s="112">
        <f>+LINKED!K29+'NON-LINKED'!K29</f>
        <v>0</v>
      </c>
      <c r="L29" s="112">
        <f>+LINKED!L29+'NON-LINKED'!L29</f>
        <v>0</v>
      </c>
      <c r="M29" s="112">
        <f>+LINKED!M29+'NON-LINKED'!M29</f>
        <v>0</v>
      </c>
      <c r="N29" s="112">
        <f>+LINKED!N29+'NON-LINKED'!N29</f>
        <v>0</v>
      </c>
      <c r="O29" s="112">
        <f>+LINKED!O29+'NON-LINKED'!O29</f>
        <v>0</v>
      </c>
      <c r="P29" s="112">
        <f>+LINKED!P29+'NON-LINKED'!P29</f>
        <v>0</v>
      </c>
      <c r="Q29" s="151">
        <f>+LINKED!Q29+'NON-LINKED'!Q29</f>
        <v>0</v>
      </c>
    </row>
    <row r="30" spans="2:17" ht="35.5" customHeight="1" x14ac:dyDescent="0.35">
      <c r="B30" s="137" t="s">
        <v>24</v>
      </c>
      <c r="C30" s="142">
        <f t="shared" ref="C30:Q30" si="0">SUM(C6:C29)</f>
        <v>26358748.749413315</v>
      </c>
      <c r="D30" s="142">
        <f t="shared" si="0"/>
        <v>30297131.240666606</v>
      </c>
      <c r="E30" s="142">
        <f t="shared" si="0"/>
        <v>30272158.014536604</v>
      </c>
      <c r="F30" s="142">
        <f t="shared" si="0"/>
        <v>7480.4862750883112</v>
      </c>
      <c r="G30" s="142">
        <f t="shared" si="0"/>
        <v>10851042.879895544</v>
      </c>
      <c r="H30" s="142">
        <f t="shared" si="0"/>
        <v>10338586.750565542</v>
      </c>
      <c r="I30" s="142">
        <f t="shared" si="0"/>
        <v>512456.12933000003</v>
      </c>
      <c r="J30" s="142">
        <f t="shared" si="0"/>
        <v>0</v>
      </c>
      <c r="K30" s="142">
        <f t="shared" si="0"/>
        <v>0</v>
      </c>
      <c r="L30" s="142">
        <f t="shared" si="0"/>
        <v>606252.47626999987</v>
      </c>
      <c r="M30" s="142">
        <f t="shared" si="0"/>
        <v>1873396.3156727403</v>
      </c>
      <c r="N30" s="142">
        <f t="shared" si="0"/>
        <v>6728448.4925418282</v>
      </c>
      <c r="O30" s="142">
        <f t="shared" si="0"/>
        <v>74959.229693636531</v>
      </c>
      <c r="P30" s="142">
        <f t="shared" si="0"/>
        <v>546.2812899999999</v>
      </c>
      <c r="Q30" s="142">
        <f t="shared" si="0"/>
        <v>49960638.559944905</v>
      </c>
    </row>
    <row r="31" spans="2:17" ht="35.5" customHeight="1" x14ac:dyDescent="0.35">
      <c r="B31" s="316" t="s">
        <v>103</v>
      </c>
      <c r="C31" s="269"/>
      <c r="D31" s="269"/>
      <c r="E31" s="269"/>
      <c r="F31" s="269"/>
      <c r="G31" s="269"/>
      <c r="H31" s="269"/>
      <c r="I31" s="269"/>
      <c r="J31" s="269"/>
      <c r="K31" s="269"/>
      <c r="L31" s="269"/>
      <c r="M31" s="269"/>
      <c r="N31" s="269"/>
      <c r="O31" s="269"/>
      <c r="P31" s="269"/>
      <c r="Q31" s="270"/>
    </row>
    <row r="32" spans="2:17" ht="35.5" customHeight="1" x14ac:dyDescent="0.35">
      <c r="B32" s="67" t="str">
        <f>LINKED!B32</f>
        <v>CONTINENTAL REINSURANCE</v>
      </c>
      <c r="C32" s="112">
        <f>+LINKED!C32+'NON-LINKED'!C32</f>
        <v>0</v>
      </c>
      <c r="D32" s="112">
        <f>+LINKED!D32+'NON-LINKED'!D32</f>
        <v>0</v>
      </c>
      <c r="E32" s="112">
        <f>+LINKED!E32+'NON-LINKED'!E32</f>
        <v>0</v>
      </c>
      <c r="F32" s="112">
        <f>+LINKED!F32+'NON-LINKED'!F32</f>
        <v>0</v>
      </c>
      <c r="G32" s="112">
        <f>+LINKED!G32+'NON-LINKED'!G32</f>
        <v>0</v>
      </c>
      <c r="H32" s="112">
        <f>+LINKED!H32+'NON-LINKED'!H32</f>
        <v>0</v>
      </c>
      <c r="I32" s="112">
        <f>+LINKED!I32+'NON-LINKED'!I32</f>
        <v>0</v>
      </c>
      <c r="J32" s="112">
        <f>+LINKED!J32+'NON-LINKED'!J32</f>
        <v>0</v>
      </c>
      <c r="K32" s="112">
        <f>+LINKED!K32+'NON-LINKED'!K32</f>
        <v>0</v>
      </c>
      <c r="L32" s="112">
        <f>+LINKED!L32+'NON-LINKED'!L32</f>
        <v>0</v>
      </c>
      <c r="M32" s="112">
        <f>+LINKED!M32+'NON-LINKED'!M32</f>
        <v>0</v>
      </c>
      <c r="N32" s="112">
        <f>+LINKED!N32+'NON-LINKED'!N32</f>
        <v>0</v>
      </c>
      <c r="O32" s="112">
        <f>+LINKED!O32+'NON-LINKED'!O32</f>
        <v>0</v>
      </c>
      <c r="P32" s="112">
        <f>+LINKED!P32+'NON-LINKED'!P32</f>
        <v>0</v>
      </c>
      <c r="Q32" s="151">
        <f>+LINKED!Q32+'NON-LINKED'!Q32</f>
        <v>0</v>
      </c>
    </row>
    <row r="33" spans="2:17" ht="35.5" customHeight="1" x14ac:dyDescent="0.35">
      <c r="B33" s="67" t="str">
        <f>LINKED!B33</f>
        <v xml:space="preserve">EAST AFRICA REINSURANCE </v>
      </c>
      <c r="C33" s="112">
        <f>+LINKED!C33+'NON-LINKED'!C33</f>
        <v>0</v>
      </c>
      <c r="D33" s="112">
        <f>+LINKED!D33+'NON-LINKED'!D33</f>
        <v>0</v>
      </c>
      <c r="E33" s="112">
        <f>+LINKED!E33+'NON-LINKED'!E33</f>
        <v>0</v>
      </c>
      <c r="F33" s="112">
        <f>+LINKED!F33+'NON-LINKED'!F33</f>
        <v>0</v>
      </c>
      <c r="G33" s="112">
        <f>+LINKED!G33+'NON-LINKED'!G33</f>
        <v>0</v>
      </c>
      <c r="H33" s="112">
        <f>+LINKED!H33+'NON-LINKED'!H33</f>
        <v>0</v>
      </c>
      <c r="I33" s="112">
        <f>+LINKED!I33+'NON-LINKED'!I33</f>
        <v>0</v>
      </c>
      <c r="J33" s="112">
        <f>+LINKED!J33+'NON-LINKED'!J33</f>
        <v>0</v>
      </c>
      <c r="K33" s="112">
        <f>+LINKED!K33+'NON-LINKED'!K33</f>
        <v>0</v>
      </c>
      <c r="L33" s="112">
        <f>+LINKED!L33+'NON-LINKED'!L33</f>
        <v>0</v>
      </c>
      <c r="M33" s="112">
        <f>+LINKED!M33+'NON-LINKED'!M33</f>
        <v>0</v>
      </c>
      <c r="N33" s="112">
        <f>+LINKED!N33+'NON-LINKED'!N33</f>
        <v>0</v>
      </c>
      <c r="O33" s="112">
        <f>+LINKED!O33+'NON-LINKED'!O33</f>
        <v>0</v>
      </c>
      <c r="P33" s="112">
        <f>+LINKED!P33+'NON-LINKED'!P33</f>
        <v>0</v>
      </c>
      <c r="Q33" s="151">
        <f>+LINKED!Q33+'NON-LINKED'!Q33</f>
        <v>0</v>
      </c>
    </row>
    <row r="34" spans="2:17" ht="35.5" customHeight="1" x14ac:dyDescent="0.35">
      <c r="B34" s="67" t="str">
        <f>LINKED!B34</f>
        <v>KENYA REINSURANCE CORPORATION</v>
      </c>
      <c r="C34" s="112">
        <f>+LINKED!C34+'NON-LINKED'!C34</f>
        <v>0</v>
      </c>
      <c r="D34" s="112">
        <f>+LINKED!D34+'NON-LINKED'!D34</f>
        <v>0</v>
      </c>
      <c r="E34" s="112">
        <f>+LINKED!E34+'NON-LINKED'!E34</f>
        <v>0</v>
      </c>
      <c r="F34" s="112">
        <f>+LINKED!F34+'NON-LINKED'!F34</f>
        <v>0</v>
      </c>
      <c r="G34" s="112">
        <f>+LINKED!G34+'NON-LINKED'!G34</f>
        <v>0</v>
      </c>
      <c r="H34" s="112">
        <f>+LINKED!H34+'NON-LINKED'!H34</f>
        <v>0</v>
      </c>
      <c r="I34" s="112">
        <f>+LINKED!I34+'NON-LINKED'!I34</f>
        <v>0</v>
      </c>
      <c r="J34" s="112">
        <f>+LINKED!J34+'NON-LINKED'!J34</f>
        <v>0</v>
      </c>
      <c r="K34" s="112">
        <f>+LINKED!K34+'NON-LINKED'!K34</f>
        <v>0</v>
      </c>
      <c r="L34" s="112">
        <f>+LINKED!L34+'NON-LINKED'!L34</f>
        <v>0</v>
      </c>
      <c r="M34" s="112">
        <f>+LINKED!M34+'NON-LINKED'!M34</f>
        <v>0</v>
      </c>
      <c r="N34" s="112">
        <f>+LINKED!N34+'NON-LINKED'!N34</f>
        <v>0</v>
      </c>
      <c r="O34" s="112">
        <f>+LINKED!O34+'NON-LINKED'!O34</f>
        <v>0</v>
      </c>
      <c r="P34" s="112">
        <f>+LINKED!P34+'NON-LINKED'!P34</f>
        <v>0</v>
      </c>
      <c r="Q34" s="151">
        <f>+LINKED!Q34+'NON-LINKED'!Q34</f>
        <v>0</v>
      </c>
    </row>
    <row r="35" spans="2:17" ht="35.5" customHeight="1" x14ac:dyDescent="0.35">
      <c r="B35" s="137" t="s">
        <v>24</v>
      </c>
      <c r="C35" s="142">
        <f t="shared" ref="C35:Q35" si="1">SUM(C32:C34)</f>
        <v>0</v>
      </c>
      <c r="D35" s="142">
        <f t="shared" si="1"/>
        <v>0</v>
      </c>
      <c r="E35" s="142">
        <f t="shared" si="1"/>
        <v>0</v>
      </c>
      <c r="F35" s="142">
        <f t="shared" si="1"/>
        <v>0</v>
      </c>
      <c r="G35" s="142">
        <f t="shared" si="1"/>
        <v>0</v>
      </c>
      <c r="H35" s="142">
        <f t="shared" si="1"/>
        <v>0</v>
      </c>
      <c r="I35" s="142">
        <f t="shared" si="1"/>
        <v>0</v>
      </c>
      <c r="J35" s="142">
        <f t="shared" si="1"/>
        <v>0</v>
      </c>
      <c r="K35" s="142">
        <f t="shared" si="1"/>
        <v>0</v>
      </c>
      <c r="L35" s="142">
        <f t="shared" si="1"/>
        <v>0</v>
      </c>
      <c r="M35" s="142">
        <f t="shared" si="1"/>
        <v>0</v>
      </c>
      <c r="N35" s="142">
        <f t="shared" si="1"/>
        <v>0</v>
      </c>
      <c r="O35" s="142">
        <f t="shared" si="1"/>
        <v>0</v>
      </c>
      <c r="P35" s="142">
        <f t="shared" si="1"/>
        <v>0</v>
      </c>
      <c r="Q35" s="142">
        <f t="shared" si="1"/>
        <v>0</v>
      </c>
    </row>
    <row r="36" spans="2:17" ht="35.5" customHeight="1" x14ac:dyDescent="0.35">
      <c r="B36" s="275" t="s">
        <v>25</v>
      </c>
      <c r="C36" s="272"/>
      <c r="D36" s="272"/>
      <c r="E36" s="272"/>
      <c r="F36" s="272"/>
      <c r="G36" s="272"/>
      <c r="H36" s="272"/>
      <c r="I36" s="272"/>
      <c r="J36" s="272"/>
      <c r="K36" s="272"/>
      <c r="L36" s="272"/>
      <c r="M36" s="272"/>
      <c r="N36" s="272"/>
      <c r="O36" s="272"/>
      <c r="P36" s="272"/>
      <c r="Q36" s="272"/>
    </row>
  </sheetData>
  <sheetProtection algorithmName="SHA-512" hashValue="8MgZa/TEK0OkirfpodTkkRNmn+WGCiCpFVldnxRtpcuSLPcwsIE6x+WDM3KUqbiKG9nQvbQLV4HAsYbS4aa7Ag==" saltValue="uE7Txj1Gkq+5/3izKPMWzg==" spinCount="100000" sheet="1" objects="1" scenarios="1"/>
  <mergeCells count="4">
    <mergeCell ref="B31:Q31"/>
    <mergeCell ref="B36:Q36"/>
    <mergeCell ref="B3:Q3"/>
    <mergeCell ref="B5:Q5"/>
  </mergeCells>
  <pageMargins left="0.7" right="0.7" top="0.75" bottom="0.75" header="0.3" footer="0.3"/>
  <pageSetup paperSize="9" scale="37"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tabColor rgb="FF92D050"/>
  </sheetPr>
  <dimension ref="B3:Q36"/>
  <sheetViews>
    <sheetView topLeftCell="K1" workbookViewId="0"/>
  </sheetViews>
  <sheetFormatPr defaultColWidth="14.36328125" defaultRowHeight="14" x14ac:dyDescent="0.3"/>
  <cols>
    <col min="1" max="1" width="9.6328125" style="48" customWidth="1"/>
    <col min="2" max="2" width="43.54296875" style="48" customWidth="1"/>
    <col min="3" max="16" width="17.90625" style="48" customWidth="1"/>
    <col min="17" max="17" width="17.90625" style="49" customWidth="1"/>
    <col min="18" max="256" width="14.36328125" style="48" customWidth="1"/>
    <col min="257" max="257" width="9.6328125" style="48" customWidth="1"/>
    <col min="258" max="258" width="43.54296875" style="48" customWidth="1"/>
    <col min="259" max="273" width="17.90625" style="48" customWidth="1"/>
    <col min="274" max="512" width="14.36328125" style="48" customWidth="1"/>
    <col min="513" max="513" width="9.6328125" style="48" customWidth="1"/>
    <col min="514" max="514" width="43.54296875" style="48" customWidth="1"/>
    <col min="515" max="529" width="17.90625" style="48" customWidth="1"/>
    <col min="530" max="768" width="14.36328125" style="48" customWidth="1"/>
    <col min="769" max="769" width="9.6328125" style="48" customWidth="1"/>
    <col min="770" max="770" width="43.54296875" style="48" customWidth="1"/>
    <col min="771" max="785" width="17.90625" style="48" customWidth="1"/>
    <col min="786" max="1024" width="14.36328125" style="48" customWidth="1"/>
    <col min="1025" max="1025" width="9.6328125" style="48" customWidth="1"/>
    <col min="1026" max="1026" width="43.54296875" style="48" customWidth="1"/>
    <col min="1027" max="1041" width="17.90625" style="48" customWidth="1"/>
    <col min="1042" max="1280" width="14.36328125" style="48" customWidth="1"/>
    <col min="1281" max="1281" width="9.6328125" style="48" customWidth="1"/>
    <col min="1282" max="1282" width="43.54296875" style="48" customWidth="1"/>
    <col min="1283" max="1297" width="17.90625" style="48" customWidth="1"/>
    <col min="1298" max="1536" width="14.36328125" style="48" customWidth="1"/>
    <col min="1537" max="1537" width="9.6328125" style="48" customWidth="1"/>
    <col min="1538" max="1538" width="43.54296875" style="48" customWidth="1"/>
    <col min="1539" max="1553" width="17.90625" style="48" customWidth="1"/>
    <col min="1554" max="1792" width="14.36328125" style="48" customWidth="1"/>
    <col min="1793" max="1793" width="9.6328125" style="48" customWidth="1"/>
    <col min="1794" max="1794" width="43.54296875" style="48" customWidth="1"/>
    <col min="1795" max="1809" width="17.90625" style="48" customWidth="1"/>
    <col min="1810" max="2048" width="14.36328125" style="48" customWidth="1"/>
    <col min="2049" max="2049" width="9.6328125" style="48" customWidth="1"/>
    <col min="2050" max="2050" width="43.54296875" style="48" customWidth="1"/>
    <col min="2051" max="2065" width="17.90625" style="48" customWidth="1"/>
    <col min="2066" max="2304" width="14.36328125" style="48" customWidth="1"/>
    <col min="2305" max="2305" width="9.6328125" style="48" customWidth="1"/>
    <col min="2306" max="2306" width="43.54296875" style="48" customWidth="1"/>
    <col min="2307" max="2321" width="17.90625" style="48" customWidth="1"/>
    <col min="2322" max="2560" width="14.36328125" style="48" customWidth="1"/>
    <col min="2561" max="2561" width="9.6328125" style="48" customWidth="1"/>
    <col min="2562" max="2562" width="43.54296875" style="48" customWidth="1"/>
    <col min="2563" max="2577" width="17.90625" style="48" customWidth="1"/>
    <col min="2578" max="2816" width="14.36328125" style="48" customWidth="1"/>
    <col min="2817" max="2817" width="9.6328125" style="48" customWidth="1"/>
    <col min="2818" max="2818" width="43.54296875" style="48" customWidth="1"/>
    <col min="2819" max="2833" width="17.90625" style="48" customWidth="1"/>
    <col min="2834" max="3072" width="14.36328125" style="48" customWidth="1"/>
    <col min="3073" max="3073" width="9.6328125" style="48" customWidth="1"/>
    <col min="3074" max="3074" width="43.54296875" style="48" customWidth="1"/>
    <col min="3075" max="3089" width="17.90625" style="48" customWidth="1"/>
    <col min="3090" max="3328" width="14.36328125" style="48" customWidth="1"/>
    <col min="3329" max="3329" width="9.6328125" style="48" customWidth="1"/>
    <col min="3330" max="3330" width="43.54296875" style="48" customWidth="1"/>
    <col min="3331" max="3345" width="17.90625" style="48" customWidth="1"/>
    <col min="3346" max="3584" width="14.36328125" style="48" customWidth="1"/>
    <col min="3585" max="3585" width="9.6328125" style="48" customWidth="1"/>
    <col min="3586" max="3586" width="43.54296875" style="48" customWidth="1"/>
    <col min="3587" max="3601" width="17.90625" style="48" customWidth="1"/>
    <col min="3602" max="3840" width="14.36328125" style="48" customWidth="1"/>
    <col min="3841" max="3841" width="9.6328125" style="48" customWidth="1"/>
    <col min="3842" max="3842" width="43.54296875" style="48" customWidth="1"/>
    <col min="3843" max="3857" width="17.90625" style="48" customWidth="1"/>
    <col min="3858" max="4096" width="14.36328125" style="48" customWidth="1"/>
    <col min="4097" max="4097" width="9.6328125" style="48" customWidth="1"/>
    <col min="4098" max="4098" width="43.54296875" style="48" customWidth="1"/>
    <col min="4099" max="4113" width="17.90625" style="48" customWidth="1"/>
    <col min="4114" max="4352" width="14.36328125" style="48" customWidth="1"/>
    <col min="4353" max="4353" width="9.6328125" style="48" customWidth="1"/>
    <col min="4354" max="4354" width="43.54296875" style="48" customWidth="1"/>
    <col min="4355" max="4369" width="17.90625" style="48" customWidth="1"/>
    <col min="4370" max="4608" width="14.36328125" style="48" customWidth="1"/>
    <col min="4609" max="4609" width="9.6328125" style="48" customWidth="1"/>
    <col min="4610" max="4610" width="43.54296875" style="48" customWidth="1"/>
    <col min="4611" max="4625" width="17.90625" style="48" customWidth="1"/>
    <col min="4626" max="4864" width="14.36328125" style="48" customWidth="1"/>
    <col min="4865" max="4865" width="9.6328125" style="48" customWidth="1"/>
    <col min="4866" max="4866" width="43.54296875" style="48" customWidth="1"/>
    <col min="4867" max="4881" width="17.90625" style="48" customWidth="1"/>
    <col min="4882" max="5120" width="14.36328125" style="48" customWidth="1"/>
    <col min="5121" max="5121" width="9.6328125" style="48" customWidth="1"/>
    <col min="5122" max="5122" width="43.54296875" style="48" customWidth="1"/>
    <col min="5123" max="5137" width="17.90625" style="48" customWidth="1"/>
    <col min="5138" max="5376" width="14.36328125" style="48" customWidth="1"/>
    <col min="5377" max="5377" width="9.6328125" style="48" customWidth="1"/>
    <col min="5378" max="5378" width="43.54296875" style="48" customWidth="1"/>
    <col min="5379" max="5393" width="17.90625" style="48" customWidth="1"/>
    <col min="5394" max="5632" width="14.36328125" style="48" customWidth="1"/>
    <col min="5633" max="5633" width="9.6328125" style="48" customWidth="1"/>
    <col min="5634" max="5634" width="43.54296875" style="48" customWidth="1"/>
    <col min="5635" max="5649" width="17.90625" style="48" customWidth="1"/>
    <col min="5650" max="5888" width="14.36328125" style="48" customWidth="1"/>
    <col min="5889" max="5889" width="9.6328125" style="48" customWidth="1"/>
    <col min="5890" max="5890" width="43.54296875" style="48" customWidth="1"/>
    <col min="5891" max="5905" width="17.90625" style="48" customWidth="1"/>
    <col min="5906" max="6144" width="14.36328125" style="48" customWidth="1"/>
    <col min="6145" max="6145" width="9.6328125" style="48" customWidth="1"/>
    <col min="6146" max="6146" width="43.54296875" style="48" customWidth="1"/>
    <col min="6147" max="6161" width="17.90625" style="48" customWidth="1"/>
    <col min="6162" max="6400" width="14.36328125" style="48" customWidth="1"/>
    <col min="6401" max="6401" width="9.6328125" style="48" customWidth="1"/>
    <col min="6402" max="6402" width="43.54296875" style="48" customWidth="1"/>
    <col min="6403" max="6417" width="17.90625" style="48" customWidth="1"/>
    <col min="6418" max="6656" width="14.36328125" style="48" customWidth="1"/>
    <col min="6657" max="6657" width="9.6328125" style="48" customWidth="1"/>
    <col min="6658" max="6658" width="43.54296875" style="48" customWidth="1"/>
    <col min="6659" max="6673" width="17.90625" style="48" customWidth="1"/>
    <col min="6674" max="6912" width="14.36328125" style="48" customWidth="1"/>
    <col min="6913" max="6913" width="9.6328125" style="48" customWidth="1"/>
    <col min="6914" max="6914" width="43.54296875" style="48" customWidth="1"/>
    <col min="6915" max="6929" width="17.90625" style="48" customWidth="1"/>
    <col min="6930" max="7168" width="14.36328125" style="48" customWidth="1"/>
    <col min="7169" max="7169" width="9.6328125" style="48" customWidth="1"/>
    <col min="7170" max="7170" width="43.54296875" style="48" customWidth="1"/>
    <col min="7171" max="7185" width="17.90625" style="48" customWidth="1"/>
    <col min="7186" max="7424" width="14.36328125" style="48" customWidth="1"/>
    <col min="7425" max="7425" width="9.6328125" style="48" customWidth="1"/>
    <col min="7426" max="7426" width="43.54296875" style="48" customWidth="1"/>
    <col min="7427" max="7441" width="17.90625" style="48" customWidth="1"/>
    <col min="7442" max="7680" width="14.36328125" style="48" customWidth="1"/>
    <col min="7681" max="7681" width="9.6328125" style="48" customWidth="1"/>
    <col min="7682" max="7682" width="43.54296875" style="48" customWidth="1"/>
    <col min="7683" max="7697" width="17.90625" style="48" customWidth="1"/>
    <col min="7698" max="7936" width="14.36328125" style="48" customWidth="1"/>
    <col min="7937" max="7937" width="9.6328125" style="48" customWidth="1"/>
    <col min="7938" max="7938" width="43.54296875" style="48" customWidth="1"/>
    <col min="7939" max="7953" width="17.90625" style="48" customWidth="1"/>
    <col min="7954" max="8192" width="14.36328125" style="48" customWidth="1"/>
    <col min="8193" max="8193" width="9.6328125" style="48" customWidth="1"/>
    <col min="8194" max="8194" width="43.54296875" style="48" customWidth="1"/>
    <col min="8195" max="8209" width="17.90625" style="48" customWidth="1"/>
    <col min="8210" max="8448" width="14.36328125" style="48" customWidth="1"/>
    <col min="8449" max="8449" width="9.6328125" style="48" customWidth="1"/>
    <col min="8450" max="8450" width="43.54296875" style="48" customWidth="1"/>
    <col min="8451" max="8465" width="17.90625" style="48" customWidth="1"/>
    <col min="8466" max="8704" width="14.36328125" style="48" customWidth="1"/>
    <col min="8705" max="8705" width="9.6328125" style="48" customWidth="1"/>
    <col min="8706" max="8706" width="43.54296875" style="48" customWidth="1"/>
    <col min="8707" max="8721" width="17.90625" style="48" customWidth="1"/>
    <col min="8722" max="8960" width="14.36328125" style="48" customWidth="1"/>
    <col min="8961" max="8961" width="9.6328125" style="48" customWidth="1"/>
    <col min="8962" max="8962" width="43.54296875" style="48" customWidth="1"/>
    <col min="8963" max="8977" width="17.90625" style="48" customWidth="1"/>
    <col min="8978" max="9216" width="14.36328125" style="48" customWidth="1"/>
    <col min="9217" max="9217" width="9.6328125" style="48" customWidth="1"/>
    <col min="9218" max="9218" width="43.54296875" style="48" customWidth="1"/>
    <col min="9219" max="9233" width="17.90625" style="48" customWidth="1"/>
    <col min="9234" max="9472" width="14.36328125" style="48" customWidth="1"/>
    <col min="9473" max="9473" width="9.6328125" style="48" customWidth="1"/>
    <col min="9474" max="9474" width="43.54296875" style="48" customWidth="1"/>
    <col min="9475" max="9489" width="17.90625" style="48" customWidth="1"/>
    <col min="9490" max="9728" width="14.36328125" style="48" customWidth="1"/>
    <col min="9729" max="9729" width="9.6328125" style="48" customWidth="1"/>
    <col min="9730" max="9730" width="43.54296875" style="48" customWidth="1"/>
    <col min="9731" max="9745" width="17.90625" style="48" customWidth="1"/>
    <col min="9746" max="9984" width="14.36328125" style="48" customWidth="1"/>
    <col min="9985" max="9985" width="9.6328125" style="48" customWidth="1"/>
    <col min="9986" max="9986" width="43.54296875" style="48" customWidth="1"/>
    <col min="9987" max="10001" width="17.90625" style="48" customWidth="1"/>
    <col min="10002" max="10240" width="14.36328125" style="48" customWidth="1"/>
    <col min="10241" max="10241" width="9.6328125" style="48" customWidth="1"/>
    <col min="10242" max="10242" width="43.54296875" style="48" customWidth="1"/>
    <col min="10243" max="10257" width="17.90625" style="48" customWidth="1"/>
    <col min="10258" max="10496" width="14.36328125" style="48" customWidth="1"/>
    <col min="10497" max="10497" width="9.6328125" style="48" customWidth="1"/>
    <col min="10498" max="10498" width="43.54296875" style="48" customWidth="1"/>
    <col min="10499" max="10513" width="17.90625" style="48" customWidth="1"/>
    <col min="10514" max="10752" width="14.36328125" style="48" customWidth="1"/>
    <col min="10753" max="10753" width="9.6328125" style="48" customWidth="1"/>
    <col min="10754" max="10754" width="43.54296875" style="48" customWidth="1"/>
    <col min="10755" max="10769" width="17.90625" style="48" customWidth="1"/>
    <col min="10770" max="11008" width="14.36328125" style="48" customWidth="1"/>
    <col min="11009" max="11009" width="9.6328125" style="48" customWidth="1"/>
    <col min="11010" max="11010" width="43.54296875" style="48" customWidth="1"/>
    <col min="11011" max="11025" width="17.90625" style="48" customWidth="1"/>
    <col min="11026" max="11264" width="14.36328125" style="48" customWidth="1"/>
    <col min="11265" max="11265" width="9.6328125" style="48" customWidth="1"/>
    <col min="11266" max="11266" width="43.54296875" style="48" customWidth="1"/>
    <col min="11267" max="11281" width="17.90625" style="48" customWidth="1"/>
    <col min="11282" max="11520" width="14.36328125" style="48" customWidth="1"/>
    <col min="11521" max="11521" width="9.6328125" style="48" customWidth="1"/>
    <col min="11522" max="11522" width="43.54296875" style="48" customWidth="1"/>
    <col min="11523" max="11537" width="17.90625" style="48" customWidth="1"/>
    <col min="11538" max="11776" width="14.36328125" style="48" customWidth="1"/>
    <col min="11777" max="11777" width="9.6328125" style="48" customWidth="1"/>
    <col min="11778" max="11778" width="43.54296875" style="48" customWidth="1"/>
    <col min="11779" max="11793" width="17.90625" style="48" customWidth="1"/>
    <col min="11794" max="12032" width="14.36328125" style="48" customWidth="1"/>
    <col min="12033" max="12033" width="9.6328125" style="48" customWidth="1"/>
    <col min="12034" max="12034" width="43.54296875" style="48" customWidth="1"/>
    <col min="12035" max="12049" width="17.90625" style="48" customWidth="1"/>
    <col min="12050" max="12288" width="14.36328125" style="48" customWidth="1"/>
    <col min="12289" max="12289" width="9.6328125" style="48" customWidth="1"/>
    <col min="12290" max="12290" width="43.54296875" style="48" customWidth="1"/>
    <col min="12291" max="12305" width="17.90625" style="48" customWidth="1"/>
    <col min="12306" max="12544" width="14.36328125" style="48" customWidth="1"/>
    <col min="12545" max="12545" width="9.6328125" style="48" customWidth="1"/>
    <col min="12546" max="12546" width="43.54296875" style="48" customWidth="1"/>
    <col min="12547" max="12561" width="17.90625" style="48" customWidth="1"/>
    <col min="12562" max="12800" width="14.36328125" style="48" customWidth="1"/>
    <col min="12801" max="12801" width="9.6328125" style="48" customWidth="1"/>
    <col min="12802" max="12802" width="43.54296875" style="48" customWidth="1"/>
    <col min="12803" max="12817" width="17.90625" style="48" customWidth="1"/>
    <col min="12818" max="13056" width="14.36328125" style="48" customWidth="1"/>
    <col min="13057" max="13057" width="9.6328125" style="48" customWidth="1"/>
    <col min="13058" max="13058" width="43.54296875" style="48" customWidth="1"/>
    <col min="13059" max="13073" width="17.90625" style="48" customWidth="1"/>
    <col min="13074" max="13312" width="14.36328125" style="48" customWidth="1"/>
    <col min="13313" max="13313" width="9.6328125" style="48" customWidth="1"/>
    <col min="13314" max="13314" width="43.54296875" style="48" customWidth="1"/>
    <col min="13315" max="13329" width="17.90625" style="48" customWidth="1"/>
    <col min="13330" max="13568" width="14.36328125" style="48" customWidth="1"/>
    <col min="13569" max="13569" width="9.6328125" style="48" customWidth="1"/>
    <col min="13570" max="13570" width="43.54296875" style="48" customWidth="1"/>
    <col min="13571" max="13585" width="17.90625" style="48" customWidth="1"/>
    <col min="13586" max="13824" width="14.36328125" style="48" customWidth="1"/>
    <col min="13825" max="13825" width="9.6328125" style="48" customWidth="1"/>
    <col min="13826" max="13826" width="43.54296875" style="48" customWidth="1"/>
    <col min="13827" max="13841" width="17.90625" style="48" customWidth="1"/>
    <col min="13842" max="14080" width="14.36328125" style="48" customWidth="1"/>
    <col min="14081" max="14081" width="9.6328125" style="48" customWidth="1"/>
    <col min="14082" max="14082" width="43.54296875" style="48" customWidth="1"/>
    <col min="14083" max="14097" width="17.90625" style="48" customWidth="1"/>
    <col min="14098" max="14336" width="14.36328125" style="48" customWidth="1"/>
    <col min="14337" max="14337" width="9.6328125" style="48" customWidth="1"/>
    <col min="14338" max="14338" width="43.54296875" style="48" customWidth="1"/>
    <col min="14339" max="14353" width="17.90625" style="48" customWidth="1"/>
    <col min="14354" max="14592" width="14.36328125" style="48" customWidth="1"/>
    <col min="14593" max="14593" width="9.6328125" style="48" customWidth="1"/>
    <col min="14594" max="14594" width="43.54296875" style="48" customWidth="1"/>
    <col min="14595" max="14609" width="17.90625" style="48" customWidth="1"/>
    <col min="14610" max="14848" width="14.36328125" style="48" customWidth="1"/>
    <col min="14849" max="14849" width="9.6328125" style="48" customWidth="1"/>
    <col min="14850" max="14850" width="43.54296875" style="48" customWidth="1"/>
    <col min="14851" max="14865" width="17.90625" style="48" customWidth="1"/>
    <col min="14866" max="15104" width="14.36328125" style="48" customWidth="1"/>
    <col min="15105" max="15105" width="9.6328125" style="48" customWidth="1"/>
    <col min="15106" max="15106" width="43.54296875" style="48" customWidth="1"/>
    <col min="15107" max="15121" width="17.90625" style="48" customWidth="1"/>
    <col min="15122" max="15360" width="14.36328125" style="48" customWidth="1"/>
    <col min="15361" max="15361" width="9.6328125" style="48" customWidth="1"/>
    <col min="15362" max="15362" width="43.54296875" style="48" customWidth="1"/>
    <col min="15363" max="15377" width="17.90625" style="48" customWidth="1"/>
    <col min="15378" max="15616" width="14.36328125" style="48" customWidth="1"/>
    <col min="15617" max="15617" width="9.6328125" style="48" customWidth="1"/>
    <col min="15618" max="15618" width="43.54296875" style="48" customWidth="1"/>
    <col min="15619" max="15633" width="17.90625" style="48" customWidth="1"/>
    <col min="15634" max="15872" width="14.36328125" style="48" customWidth="1"/>
    <col min="15873" max="15873" width="9.6328125" style="48" customWidth="1"/>
    <col min="15874" max="15874" width="43.54296875" style="48" customWidth="1"/>
    <col min="15875" max="15889" width="17.90625" style="48" customWidth="1"/>
    <col min="15890" max="16128" width="14.36328125" style="48" customWidth="1"/>
    <col min="16129" max="16129" width="9.6328125" style="48" customWidth="1"/>
    <col min="16130" max="16130" width="43.54296875" style="48" customWidth="1"/>
    <col min="16131" max="16145" width="17.90625" style="48" customWidth="1"/>
    <col min="16146" max="16384" width="14.36328125" style="48" customWidth="1"/>
  </cols>
  <sheetData>
    <row r="3" spans="2:17" ht="14.5" customHeight="1" x14ac:dyDescent="0.35">
      <c r="B3" s="323" t="str">
        <f>_xlfn.CONCAT("LINKED INVESTMENTS"," ",Details!F18)</f>
        <v>LINKED INVESTMENTS 31.12.2025</v>
      </c>
      <c r="C3" s="269"/>
      <c r="D3" s="269"/>
      <c r="E3" s="269"/>
      <c r="F3" s="269"/>
      <c r="G3" s="269"/>
      <c r="H3" s="269"/>
      <c r="I3" s="269"/>
      <c r="J3" s="269"/>
      <c r="K3" s="269"/>
      <c r="L3" s="269"/>
      <c r="M3" s="269"/>
      <c r="N3" s="269"/>
      <c r="O3" s="269"/>
      <c r="P3" s="269"/>
      <c r="Q3" s="270"/>
    </row>
    <row r="4" spans="2:17" s="54" customFormat="1" ht="26" customHeight="1" x14ac:dyDescent="0.3">
      <c r="B4" s="50" t="s">
        <v>0</v>
      </c>
      <c r="C4" s="51" t="s">
        <v>200</v>
      </c>
      <c r="D4" s="51" t="s">
        <v>201</v>
      </c>
      <c r="E4" s="51" t="s">
        <v>202</v>
      </c>
      <c r="F4" s="51" t="s">
        <v>203</v>
      </c>
      <c r="G4" s="51" t="s">
        <v>204</v>
      </c>
      <c r="H4" s="51" t="s">
        <v>205</v>
      </c>
      <c r="I4" s="52" t="s">
        <v>206</v>
      </c>
      <c r="J4" s="51" t="s">
        <v>207</v>
      </c>
      <c r="K4" s="53" t="s">
        <v>208</v>
      </c>
      <c r="L4" s="53" t="s">
        <v>209</v>
      </c>
      <c r="M4" s="53" t="s">
        <v>210</v>
      </c>
      <c r="N4" s="53" t="s">
        <v>211</v>
      </c>
      <c r="O4" s="53" t="s">
        <v>212</v>
      </c>
      <c r="P4" s="53" t="s">
        <v>213</v>
      </c>
      <c r="Q4" s="53" t="s">
        <v>214</v>
      </c>
    </row>
    <row r="5" spans="2:17" ht="14.5" customHeight="1" x14ac:dyDescent="0.35">
      <c r="B5" s="321" t="s">
        <v>17</v>
      </c>
      <c r="C5" s="269"/>
      <c r="D5" s="269"/>
      <c r="E5" s="269"/>
      <c r="F5" s="269"/>
      <c r="G5" s="269"/>
      <c r="H5" s="269"/>
      <c r="I5" s="269"/>
      <c r="J5" s="269"/>
      <c r="K5" s="269"/>
      <c r="L5" s="269"/>
      <c r="M5" s="269"/>
      <c r="N5" s="269"/>
      <c r="O5" s="269"/>
      <c r="P5" s="269"/>
      <c r="Q5" s="270"/>
    </row>
    <row r="6" spans="2:17" x14ac:dyDescent="0.3">
      <c r="B6" s="6" t="s">
        <v>110</v>
      </c>
      <c r="C6" s="56">
        <v>0</v>
      </c>
      <c r="D6" s="56">
        <v>0</v>
      </c>
      <c r="E6" s="56">
        <v>0</v>
      </c>
      <c r="F6" s="56">
        <v>0</v>
      </c>
      <c r="G6" s="56">
        <v>0</v>
      </c>
      <c r="H6" s="56">
        <v>0</v>
      </c>
      <c r="I6" s="56">
        <v>0</v>
      </c>
      <c r="J6" s="56">
        <v>0</v>
      </c>
      <c r="K6" s="56">
        <v>0</v>
      </c>
      <c r="L6" s="56">
        <v>0</v>
      </c>
      <c r="M6" s="56">
        <v>0</v>
      </c>
      <c r="N6" s="56">
        <v>0</v>
      </c>
      <c r="O6" s="56">
        <v>0</v>
      </c>
      <c r="P6" s="56">
        <v>0</v>
      </c>
      <c r="Q6" s="57">
        <v>0</v>
      </c>
    </row>
    <row r="7" spans="2:17" x14ac:dyDescent="0.3">
      <c r="B7" s="55" t="s">
        <v>111</v>
      </c>
      <c r="C7" s="56">
        <v>0</v>
      </c>
      <c r="D7" s="56">
        <v>9925.9809999999998</v>
      </c>
      <c r="E7" s="56">
        <v>9925.9809999999998</v>
      </c>
      <c r="F7" s="56">
        <v>0</v>
      </c>
      <c r="G7" s="56">
        <v>0</v>
      </c>
      <c r="H7" s="56">
        <v>0</v>
      </c>
      <c r="I7" s="56">
        <v>0</v>
      </c>
      <c r="J7" s="56">
        <v>0</v>
      </c>
      <c r="K7" s="56">
        <v>0</v>
      </c>
      <c r="L7" s="56">
        <v>0</v>
      </c>
      <c r="M7" s="56">
        <v>0</v>
      </c>
      <c r="N7" s="56">
        <v>0</v>
      </c>
      <c r="O7" s="56">
        <v>0</v>
      </c>
      <c r="P7" s="56">
        <v>0</v>
      </c>
      <c r="Q7" s="57">
        <v>9925.9809999999998</v>
      </c>
    </row>
    <row r="8" spans="2:17" x14ac:dyDescent="0.3">
      <c r="B8" s="55" t="s">
        <v>112</v>
      </c>
      <c r="C8" s="56">
        <v>7519675.8206193</v>
      </c>
      <c r="D8" s="56">
        <v>13503522</v>
      </c>
      <c r="E8" s="56">
        <v>13503522</v>
      </c>
      <c r="F8" s="56">
        <v>0</v>
      </c>
      <c r="G8" s="56">
        <v>4674019.5402457677</v>
      </c>
      <c r="H8" s="56">
        <v>4674019.5402457677</v>
      </c>
      <c r="I8" s="56">
        <v>0</v>
      </c>
      <c r="J8" s="56">
        <v>0</v>
      </c>
      <c r="K8" s="56">
        <v>0</v>
      </c>
      <c r="L8" s="56">
        <v>45214.18</v>
      </c>
      <c r="M8" s="56">
        <v>134986.508</v>
      </c>
      <c r="N8" s="56">
        <v>2024500.257</v>
      </c>
      <c r="O8" s="56">
        <v>26373.734</v>
      </c>
      <c r="P8" s="56">
        <v>0</v>
      </c>
      <c r="Q8" s="57">
        <v>18167104.115373529</v>
      </c>
    </row>
    <row r="9" spans="2:17" x14ac:dyDescent="0.3">
      <c r="B9" s="55" t="s">
        <v>113</v>
      </c>
      <c r="C9" s="56">
        <v>118268.3088749766</v>
      </c>
      <c r="D9" s="56">
        <v>0</v>
      </c>
      <c r="E9" s="56">
        <v>0</v>
      </c>
      <c r="F9" s="56">
        <v>0</v>
      </c>
      <c r="G9" s="56">
        <v>0</v>
      </c>
      <c r="H9" s="56">
        <v>0</v>
      </c>
      <c r="I9" s="56">
        <v>0</v>
      </c>
      <c r="J9" s="56">
        <v>0</v>
      </c>
      <c r="K9" s="56">
        <v>0</v>
      </c>
      <c r="L9" s="56">
        <v>0</v>
      </c>
      <c r="M9" s="56">
        <v>0</v>
      </c>
      <c r="N9" s="56">
        <v>0</v>
      </c>
      <c r="O9" s="56">
        <v>0</v>
      </c>
      <c r="P9" s="56">
        <v>0</v>
      </c>
      <c r="Q9" s="57">
        <v>118268.3088749766</v>
      </c>
    </row>
    <row r="10" spans="2:17" x14ac:dyDescent="0.3">
      <c r="B10" s="55" t="s">
        <v>114</v>
      </c>
      <c r="C10" s="56">
        <v>0</v>
      </c>
      <c r="D10" s="56">
        <v>0</v>
      </c>
      <c r="E10" s="56">
        <v>0</v>
      </c>
      <c r="F10" s="56">
        <v>0</v>
      </c>
      <c r="G10" s="56">
        <v>0</v>
      </c>
      <c r="H10" s="56">
        <v>0</v>
      </c>
      <c r="I10" s="56">
        <v>0</v>
      </c>
      <c r="J10" s="56">
        <v>0</v>
      </c>
      <c r="K10" s="56">
        <v>0</v>
      </c>
      <c r="L10" s="56">
        <v>0</v>
      </c>
      <c r="M10" s="56">
        <v>0</v>
      </c>
      <c r="N10" s="56">
        <v>0</v>
      </c>
      <c r="O10" s="56">
        <v>0</v>
      </c>
      <c r="P10" s="56">
        <v>0</v>
      </c>
      <c r="Q10" s="57">
        <v>0</v>
      </c>
    </row>
    <row r="11" spans="2:17" x14ac:dyDescent="0.3">
      <c r="B11" s="55" t="s">
        <v>115</v>
      </c>
      <c r="C11" s="56">
        <v>0</v>
      </c>
      <c r="D11" s="56">
        <v>0</v>
      </c>
      <c r="E11" s="56">
        <v>0</v>
      </c>
      <c r="F11" s="56">
        <v>0</v>
      </c>
      <c r="G11" s="56">
        <v>0</v>
      </c>
      <c r="H11" s="56">
        <v>0</v>
      </c>
      <c r="I11" s="56">
        <v>0</v>
      </c>
      <c r="J11" s="56">
        <v>0</v>
      </c>
      <c r="K11" s="56">
        <v>0</v>
      </c>
      <c r="L11" s="56">
        <v>0</v>
      </c>
      <c r="M11" s="56">
        <v>0</v>
      </c>
      <c r="N11" s="56">
        <v>0</v>
      </c>
      <c r="O11" s="56">
        <v>0</v>
      </c>
      <c r="P11" s="56">
        <v>0</v>
      </c>
      <c r="Q11" s="57">
        <v>0</v>
      </c>
    </row>
    <row r="12" spans="2:17" x14ac:dyDescent="0.3">
      <c r="B12" s="55" t="s">
        <v>73</v>
      </c>
      <c r="C12" s="56">
        <v>0</v>
      </c>
      <c r="D12" s="56">
        <v>0</v>
      </c>
      <c r="E12" s="56">
        <v>0</v>
      </c>
      <c r="F12" s="56">
        <v>0</v>
      </c>
      <c r="G12" s="56">
        <v>0</v>
      </c>
      <c r="H12" s="56">
        <v>0</v>
      </c>
      <c r="I12" s="56">
        <v>0</v>
      </c>
      <c r="J12" s="56">
        <v>0</v>
      </c>
      <c r="K12" s="56">
        <v>0</v>
      </c>
      <c r="L12" s="56">
        <v>0</v>
      </c>
      <c r="M12" s="56">
        <v>0</v>
      </c>
      <c r="N12" s="56">
        <v>0</v>
      </c>
      <c r="O12" s="56">
        <v>0</v>
      </c>
      <c r="P12" s="56">
        <v>0</v>
      </c>
      <c r="Q12" s="57">
        <v>0</v>
      </c>
    </row>
    <row r="13" spans="2:17" x14ac:dyDescent="0.3">
      <c r="B13" s="55" t="s">
        <v>116</v>
      </c>
      <c r="C13" s="56">
        <v>0</v>
      </c>
      <c r="D13" s="56">
        <v>0</v>
      </c>
      <c r="E13" s="56">
        <v>0</v>
      </c>
      <c r="F13" s="56">
        <v>0</v>
      </c>
      <c r="G13" s="56">
        <v>0</v>
      </c>
      <c r="H13" s="56">
        <v>0</v>
      </c>
      <c r="I13" s="56">
        <v>0</v>
      </c>
      <c r="J13" s="56">
        <v>0</v>
      </c>
      <c r="K13" s="56">
        <v>0</v>
      </c>
      <c r="L13" s="56">
        <v>0</v>
      </c>
      <c r="M13" s="56">
        <v>0</v>
      </c>
      <c r="N13" s="56">
        <v>0</v>
      </c>
      <c r="O13" s="56">
        <v>0</v>
      </c>
      <c r="P13" s="56">
        <v>0</v>
      </c>
      <c r="Q13" s="57">
        <v>0</v>
      </c>
    </row>
    <row r="14" spans="2:17" x14ac:dyDescent="0.3">
      <c r="B14" s="3" t="s">
        <v>117</v>
      </c>
      <c r="C14" s="56">
        <v>0</v>
      </c>
      <c r="D14" s="56">
        <v>0</v>
      </c>
      <c r="E14" s="56">
        <v>0</v>
      </c>
      <c r="F14" s="56">
        <v>0</v>
      </c>
      <c r="G14" s="56">
        <v>0</v>
      </c>
      <c r="H14" s="56">
        <v>0</v>
      </c>
      <c r="I14" s="56">
        <v>0</v>
      </c>
      <c r="J14" s="56">
        <v>0</v>
      </c>
      <c r="K14" s="56">
        <v>0</v>
      </c>
      <c r="L14" s="56">
        <v>0</v>
      </c>
      <c r="M14" s="56">
        <v>0</v>
      </c>
      <c r="N14" s="56">
        <v>0</v>
      </c>
      <c r="O14" s="56">
        <v>0</v>
      </c>
      <c r="P14" s="56">
        <v>0</v>
      </c>
      <c r="Q14" s="57">
        <v>0</v>
      </c>
    </row>
    <row r="15" spans="2:17" x14ac:dyDescent="0.3">
      <c r="B15" s="55" t="s">
        <v>118</v>
      </c>
      <c r="C15" s="56">
        <v>0</v>
      </c>
      <c r="D15" s="56">
        <v>0</v>
      </c>
      <c r="E15" s="56">
        <v>0</v>
      </c>
      <c r="F15" s="56">
        <v>0</v>
      </c>
      <c r="G15" s="56">
        <v>0</v>
      </c>
      <c r="H15" s="56">
        <v>0</v>
      </c>
      <c r="I15" s="56">
        <v>0</v>
      </c>
      <c r="J15" s="56">
        <v>0</v>
      </c>
      <c r="K15" s="56">
        <v>0</v>
      </c>
      <c r="L15" s="56">
        <v>0</v>
      </c>
      <c r="M15" s="56">
        <v>0</v>
      </c>
      <c r="N15" s="56">
        <v>0</v>
      </c>
      <c r="O15" s="56">
        <v>0</v>
      </c>
      <c r="P15" s="56">
        <v>0</v>
      </c>
      <c r="Q15" s="57">
        <v>0</v>
      </c>
    </row>
    <row r="16" spans="2:17" x14ac:dyDescent="0.3">
      <c r="B16" s="55" t="s">
        <v>119</v>
      </c>
      <c r="C16" s="56">
        <v>440263.47932580003</v>
      </c>
      <c r="D16" s="56">
        <v>5030.2792399999998</v>
      </c>
      <c r="E16" s="56">
        <v>5030.2792399999998</v>
      </c>
      <c r="F16" s="56">
        <v>0</v>
      </c>
      <c r="G16" s="56">
        <v>32905.700510000002</v>
      </c>
      <c r="H16" s="56">
        <v>28134.59618</v>
      </c>
      <c r="I16" s="56">
        <v>4771.1043300000001</v>
      </c>
      <c r="J16" s="56">
        <v>0</v>
      </c>
      <c r="K16" s="56">
        <v>0</v>
      </c>
      <c r="L16" s="56">
        <v>0</v>
      </c>
      <c r="M16" s="56">
        <v>0</v>
      </c>
      <c r="N16" s="56">
        <v>0</v>
      </c>
      <c r="O16" s="56">
        <v>0</v>
      </c>
      <c r="P16" s="56">
        <v>546.2812899999999</v>
      </c>
      <c r="Q16" s="57">
        <v>411841.77676580002</v>
      </c>
    </row>
    <row r="17" spans="2:17" x14ac:dyDescent="0.3">
      <c r="B17" s="55" t="s">
        <v>120</v>
      </c>
      <c r="C17" s="56">
        <v>70346.667963600004</v>
      </c>
      <c r="D17" s="56">
        <v>2710479.08574</v>
      </c>
      <c r="E17" s="56">
        <v>2710479.08574</v>
      </c>
      <c r="F17" s="56">
        <v>0</v>
      </c>
      <c r="G17" s="56">
        <v>0</v>
      </c>
      <c r="H17" s="56">
        <v>0</v>
      </c>
      <c r="I17" s="56">
        <v>0</v>
      </c>
      <c r="J17" s="56">
        <v>0</v>
      </c>
      <c r="K17" s="56">
        <v>0</v>
      </c>
      <c r="L17" s="56">
        <v>0</v>
      </c>
      <c r="M17" s="56">
        <v>5282.1477008611128</v>
      </c>
      <c r="N17" s="56">
        <v>0</v>
      </c>
      <c r="O17" s="56">
        <v>0</v>
      </c>
      <c r="P17" s="56">
        <v>0</v>
      </c>
      <c r="Q17" s="57">
        <v>2775543.6060027392</v>
      </c>
    </row>
    <row r="18" spans="2:17" x14ac:dyDescent="0.3">
      <c r="B18" s="55" t="s">
        <v>121</v>
      </c>
      <c r="C18" s="56">
        <v>0</v>
      </c>
      <c r="D18" s="56">
        <v>0</v>
      </c>
      <c r="E18" s="56">
        <v>0</v>
      </c>
      <c r="F18" s="56">
        <v>0</v>
      </c>
      <c r="G18" s="56">
        <v>0</v>
      </c>
      <c r="H18" s="56">
        <v>0</v>
      </c>
      <c r="I18" s="56">
        <v>0</v>
      </c>
      <c r="J18" s="56">
        <v>0</v>
      </c>
      <c r="K18" s="56">
        <v>0</v>
      </c>
      <c r="L18" s="56">
        <v>0</v>
      </c>
      <c r="M18" s="56">
        <v>0</v>
      </c>
      <c r="N18" s="56">
        <v>0</v>
      </c>
      <c r="O18" s="56">
        <v>0</v>
      </c>
      <c r="P18" s="56">
        <v>0</v>
      </c>
      <c r="Q18" s="57">
        <v>0</v>
      </c>
    </row>
    <row r="19" spans="2:17" x14ac:dyDescent="0.3">
      <c r="B19" s="55" t="s">
        <v>122</v>
      </c>
      <c r="C19" s="56">
        <v>0</v>
      </c>
      <c r="D19" s="56">
        <v>0</v>
      </c>
      <c r="E19" s="56">
        <v>0</v>
      </c>
      <c r="F19" s="56">
        <v>0</v>
      </c>
      <c r="G19" s="56">
        <v>0</v>
      </c>
      <c r="H19" s="56">
        <v>0</v>
      </c>
      <c r="I19" s="56">
        <v>0</v>
      </c>
      <c r="J19" s="56">
        <v>0</v>
      </c>
      <c r="K19" s="56">
        <v>0</v>
      </c>
      <c r="L19" s="56">
        <v>0</v>
      </c>
      <c r="M19" s="56">
        <v>0</v>
      </c>
      <c r="N19" s="56">
        <v>0</v>
      </c>
      <c r="O19" s="56">
        <v>0</v>
      </c>
      <c r="P19" s="56">
        <v>0</v>
      </c>
      <c r="Q19" s="57">
        <v>0</v>
      </c>
    </row>
    <row r="20" spans="2:17" x14ac:dyDescent="0.3">
      <c r="B20" s="55" t="s">
        <v>123</v>
      </c>
      <c r="C20" s="56">
        <v>0</v>
      </c>
      <c r="D20" s="56">
        <v>0</v>
      </c>
      <c r="E20" s="56">
        <v>0</v>
      </c>
      <c r="F20" s="56">
        <v>0</v>
      </c>
      <c r="G20" s="56">
        <v>0</v>
      </c>
      <c r="H20" s="56">
        <v>0</v>
      </c>
      <c r="I20" s="56">
        <v>0</v>
      </c>
      <c r="J20" s="56">
        <v>0</v>
      </c>
      <c r="K20" s="56">
        <v>0</v>
      </c>
      <c r="L20" s="56">
        <v>0</v>
      </c>
      <c r="M20" s="56">
        <v>0</v>
      </c>
      <c r="N20" s="56">
        <v>0</v>
      </c>
      <c r="O20" s="56">
        <v>0</v>
      </c>
      <c r="P20" s="56">
        <v>0</v>
      </c>
      <c r="Q20" s="57">
        <v>0</v>
      </c>
    </row>
    <row r="21" spans="2:17" x14ac:dyDescent="0.3">
      <c r="B21" s="55" t="s">
        <v>124</v>
      </c>
      <c r="C21" s="56">
        <v>2434638.9687186931</v>
      </c>
      <c r="D21" s="56">
        <v>840836.56599001843</v>
      </c>
      <c r="E21" s="56">
        <v>840836.56599001843</v>
      </c>
      <c r="F21" s="56">
        <v>0</v>
      </c>
      <c r="G21" s="56">
        <v>794069.22467923688</v>
      </c>
      <c r="H21" s="56">
        <v>286384.1996792368</v>
      </c>
      <c r="I21" s="56">
        <v>507685.02500000002</v>
      </c>
      <c r="J21" s="56">
        <v>0</v>
      </c>
      <c r="K21" s="56">
        <v>0</v>
      </c>
      <c r="L21" s="56">
        <v>37426.79</v>
      </c>
      <c r="M21" s="56">
        <v>665277.71499999997</v>
      </c>
      <c r="N21" s="56">
        <v>859850.70851942012</v>
      </c>
      <c r="O21" s="56">
        <v>18474.910253320209</v>
      </c>
      <c r="P21" s="56">
        <v>0</v>
      </c>
      <c r="Q21" s="57">
        <v>2620077.603295574</v>
      </c>
    </row>
    <row r="22" spans="2:17" x14ac:dyDescent="0.3">
      <c r="B22" s="55" t="s">
        <v>87</v>
      </c>
      <c r="C22" s="56">
        <v>-15507.071</v>
      </c>
      <c r="D22" s="56">
        <v>13057.279167680001</v>
      </c>
      <c r="E22" s="56">
        <v>13057.279167680001</v>
      </c>
      <c r="F22" s="56">
        <v>0</v>
      </c>
      <c r="G22" s="56">
        <v>6064.4313100000008</v>
      </c>
      <c r="H22" s="56">
        <v>6064.4313100000008</v>
      </c>
      <c r="I22" s="56">
        <v>0</v>
      </c>
      <c r="J22" s="56">
        <v>0</v>
      </c>
      <c r="K22" s="56">
        <v>0</v>
      </c>
      <c r="L22" s="56">
        <v>0</v>
      </c>
      <c r="M22" s="56">
        <v>0</v>
      </c>
      <c r="N22" s="56">
        <v>0</v>
      </c>
      <c r="O22" s="56">
        <v>0</v>
      </c>
      <c r="P22" s="56">
        <v>0</v>
      </c>
      <c r="Q22" s="57">
        <v>-8514.2231423199992</v>
      </c>
    </row>
    <row r="23" spans="2:17" x14ac:dyDescent="0.3">
      <c r="B23" s="55" t="s">
        <v>125</v>
      </c>
      <c r="C23" s="56">
        <v>10149862.200242659</v>
      </c>
      <c r="D23" s="56">
        <v>1394889.79155</v>
      </c>
      <c r="E23" s="56">
        <v>1392333.4411500001</v>
      </c>
      <c r="F23" s="56">
        <v>624.17451138059221</v>
      </c>
      <c r="G23" s="56">
        <v>2788235.8786499989</v>
      </c>
      <c r="H23" s="56">
        <v>2788235.8786499989</v>
      </c>
      <c r="I23" s="56">
        <v>0</v>
      </c>
      <c r="J23" s="56">
        <v>0</v>
      </c>
      <c r="K23" s="56">
        <v>0</v>
      </c>
      <c r="L23" s="56">
        <v>55139.609156973602</v>
      </c>
      <c r="M23" s="56">
        <v>469732.18096101918</v>
      </c>
      <c r="N23" s="56">
        <v>1811570.889841615</v>
      </c>
      <c r="O23" s="56">
        <v>0</v>
      </c>
      <c r="P23" s="56">
        <v>0</v>
      </c>
      <c r="Q23" s="57">
        <v>10041283.03697766</v>
      </c>
    </row>
    <row r="24" spans="2:17" x14ac:dyDescent="0.3">
      <c r="B24" s="55" t="s">
        <v>126</v>
      </c>
      <c r="C24" s="56">
        <v>0</v>
      </c>
      <c r="D24" s="56">
        <v>0</v>
      </c>
      <c r="E24" s="56">
        <v>0</v>
      </c>
      <c r="F24" s="56">
        <v>0</v>
      </c>
      <c r="G24" s="56">
        <v>0</v>
      </c>
      <c r="H24" s="56">
        <v>0</v>
      </c>
      <c r="I24" s="56">
        <v>0</v>
      </c>
      <c r="J24" s="56">
        <v>0</v>
      </c>
      <c r="K24" s="56">
        <v>0</v>
      </c>
      <c r="L24" s="56">
        <v>0</v>
      </c>
      <c r="M24" s="56">
        <v>0</v>
      </c>
      <c r="N24" s="56">
        <v>0</v>
      </c>
      <c r="O24" s="56">
        <v>0</v>
      </c>
      <c r="P24" s="56">
        <v>0</v>
      </c>
      <c r="Q24" s="57">
        <v>0</v>
      </c>
    </row>
    <row r="25" spans="2:17" x14ac:dyDescent="0.3">
      <c r="B25" s="55" t="s">
        <v>127</v>
      </c>
      <c r="C25" s="56">
        <v>0</v>
      </c>
      <c r="D25" s="56">
        <v>0</v>
      </c>
      <c r="E25" s="56">
        <v>0</v>
      </c>
      <c r="F25" s="56">
        <v>0</v>
      </c>
      <c r="G25" s="56">
        <v>0</v>
      </c>
      <c r="H25" s="56">
        <v>0</v>
      </c>
      <c r="I25" s="56">
        <v>0</v>
      </c>
      <c r="J25" s="56">
        <v>0</v>
      </c>
      <c r="K25" s="56">
        <v>0</v>
      </c>
      <c r="L25" s="56">
        <v>0</v>
      </c>
      <c r="M25" s="56">
        <v>0</v>
      </c>
      <c r="N25" s="56">
        <v>0</v>
      </c>
      <c r="O25" s="56">
        <v>0</v>
      </c>
      <c r="P25" s="56">
        <v>0</v>
      </c>
      <c r="Q25" s="57">
        <v>0</v>
      </c>
    </row>
    <row r="26" spans="2:17" x14ac:dyDescent="0.3">
      <c r="B26" s="55" t="s">
        <v>128</v>
      </c>
      <c r="C26" s="56">
        <v>1223094.28245176</v>
      </c>
      <c r="D26" s="56">
        <v>136274.41318999999</v>
      </c>
      <c r="E26" s="56">
        <v>136274.41318999999</v>
      </c>
      <c r="F26" s="56">
        <v>0</v>
      </c>
      <c r="G26" s="56">
        <v>668909.97405000008</v>
      </c>
      <c r="H26" s="56">
        <v>668909.97405000008</v>
      </c>
      <c r="I26" s="56">
        <v>0</v>
      </c>
      <c r="J26" s="56">
        <v>0</v>
      </c>
      <c r="K26" s="56">
        <v>0</v>
      </c>
      <c r="L26" s="56">
        <v>0</v>
      </c>
      <c r="M26" s="56">
        <v>51627.371738760979</v>
      </c>
      <c r="N26" s="56">
        <v>351016.19636</v>
      </c>
      <c r="O26" s="56">
        <v>0</v>
      </c>
      <c r="P26" s="56">
        <v>0</v>
      </c>
      <c r="Q26" s="57">
        <v>989847.5462129995</v>
      </c>
    </row>
    <row r="27" spans="2:17" x14ac:dyDescent="0.3">
      <c r="B27" s="55" t="s">
        <v>129</v>
      </c>
      <c r="C27" s="56">
        <v>0</v>
      </c>
      <c r="D27" s="56">
        <v>0</v>
      </c>
      <c r="E27" s="56">
        <v>0</v>
      </c>
      <c r="F27" s="56">
        <v>0</v>
      </c>
      <c r="G27" s="56">
        <v>0</v>
      </c>
      <c r="H27" s="56">
        <v>0</v>
      </c>
      <c r="I27" s="56">
        <v>0</v>
      </c>
      <c r="J27" s="56">
        <v>0</v>
      </c>
      <c r="K27" s="56">
        <v>0</v>
      </c>
      <c r="L27" s="56">
        <v>0</v>
      </c>
      <c r="M27" s="56">
        <v>0</v>
      </c>
      <c r="N27" s="56">
        <v>0</v>
      </c>
      <c r="O27" s="56">
        <v>0</v>
      </c>
      <c r="P27" s="56">
        <v>0</v>
      </c>
      <c r="Q27" s="57">
        <v>0</v>
      </c>
    </row>
    <row r="28" spans="2:17" x14ac:dyDescent="0.3">
      <c r="B28" s="55" t="s">
        <v>130</v>
      </c>
      <c r="C28" s="56">
        <v>0</v>
      </c>
      <c r="D28" s="56">
        <v>0</v>
      </c>
      <c r="E28" s="56">
        <v>0</v>
      </c>
      <c r="F28" s="56">
        <v>0</v>
      </c>
      <c r="G28" s="56">
        <v>0</v>
      </c>
      <c r="H28" s="56">
        <v>0</v>
      </c>
      <c r="I28" s="56">
        <v>0</v>
      </c>
      <c r="J28" s="56">
        <v>0</v>
      </c>
      <c r="K28" s="56">
        <v>0</v>
      </c>
      <c r="L28" s="56">
        <v>0</v>
      </c>
      <c r="M28" s="56">
        <v>0</v>
      </c>
      <c r="N28" s="56">
        <v>0</v>
      </c>
      <c r="O28" s="56">
        <v>0</v>
      </c>
      <c r="P28" s="56">
        <v>0</v>
      </c>
      <c r="Q28" s="57">
        <v>0</v>
      </c>
    </row>
    <row r="29" spans="2:17" x14ac:dyDescent="0.3">
      <c r="B29" s="55" t="s">
        <v>131</v>
      </c>
      <c r="C29" s="56">
        <v>0</v>
      </c>
      <c r="D29" s="56">
        <v>0</v>
      </c>
      <c r="E29" s="56">
        <v>0</v>
      </c>
      <c r="F29" s="56">
        <v>0</v>
      </c>
      <c r="G29" s="56">
        <v>0</v>
      </c>
      <c r="H29" s="56">
        <v>0</v>
      </c>
      <c r="I29" s="56">
        <v>0</v>
      </c>
      <c r="J29" s="56">
        <v>0</v>
      </c>
      <c r="K29" s="56">
        <v>0</v>
      </c>
      <c r="L29" s="56">
        <v>0</v>
      </c>
      <c r="M29" s="56">
        <v>0</v>
      </c>
      <c r="N29" s="56">
        <v>0</v>
      </c>
      <c r="O29" s="56">
        <v>0</v>
      </c>
      <c r="P29" s="56">
        <v>0</v>
      </c>
      <c r="Q29" s="57">
        <v>0</v>
      </c>
    </row>
    <row r="30" spans="2:17" x14ac:dyDescent="0.3">
      <c r="B30" s="58" t="s">
        <v>24</v>
      </c>
      <c r="C30" s="59">
        <f t="shared" ref="C30:Q30" si="0">SUM(C6:C29)</f>
        <v>21940642.657196786</v>
      </c>
      <c r="D30" s="59">
        <f t="shared" si="0"/>
        <v>18614015.395877697</v>
      </c>
      <c r="E30" s="59">
        <f t="shared" si="0"/>
        <v>18611459.045477696</v>
      </c>
      <c r="F30" s="59">
        <f t="shared" si="0"/>
        <v>624.17451138059221</v>
      </c>
      <c r="G30" s="59">
        <f t="shared" si="0"/>
        <v>8964204.7494450044</v>
      </c>
      <c r="H30" s="59">
        <f t="shared" si="0"/>
        <v>8451748.6201150045</v>
      </c>
      <c r="I30" s="59">
        <f t="shared" si="0"/>
        <v>512456.12933000003</v>
      </c>
      <c r="J30" s="59">
        <f t="shared" si="0"/>
        <v>0</v>
      </c>
      <c r="K30" s="59">
        <f t="shared" si="0"/>
        <v>0</v>
      </c>
      <c r="L30" s="59">
        <f t="shared" si="0"/>
        <v>137780.5791569736</v>
      </c>
      <c r="M30" s="59">
        <f t="shared" si="0"/>
        <v>1326905.9234006412</v>
      </c>
      <c r="N30" s="59">
        <f t="shared" si="0"/>
        <v>5046938.0517210355</v>
      </c>
      <c r="O30" s="59">
        <f t="shared" si="0"/>
        <v>44848.644253320206</v>
      </c>
      <c r="P30" s="59">
        <f t="shared" si="0"/>
        <v>546.2812899999999</v>
      </c>
      <c r="Q30" s="59">
        <f t="shared" si="0"/>
        <v>35125377.751360968</v>
      </c>
    </row>
    <row r="31" spans="2:17" ht="14.5" customHeight="1" x14ac:dyDescent="0.35">
      <c r="B31" s="321" t="s">
        <v>103</v>
      </c>
      <c r="C31" s="269"/>
      <c r="D31" s="269"/>
      <c r="E31" s="269"/>
      <c r="F31" s="269"/>
      <c r="G31" s="269"/>
      <c r="H31" s="269"/>
      <c r="I31" s="269"/>
      <c r="J31" s="269"/>
      <c r="K31" s="269"/>
      <c r="L31" s="269"/>
      <c r="M31" s="269"/>
      <c r="N31" s="269"/>
      <c r="O31" s="269"/>
      <c r="P31" s="269"/>
      <c r="Q31" s="270"/>
    </row>
    <row r="32" spans="2:17" x14ac:dyDescent="0.3">
      <c r="B32" s="55" t="s">
        <v>104</v>
      </c>
      <c r="C32" s="56">
        <v>0</v>
      </c>
      <c r="D32" s="56">
        <v>0</v>
      </c>
      <c r="E32" s="56">
        <v>0</v>
      </c>
      <c r="F32" s="56">
        <v>0</v>
      </c>
      <c r="G32" s="56">
        <v>0</v>
      </c>
      <c r="H32" s="56">
        <v>0</v>
      </c>
      <c r="I32" s="56">
        <v>0</v>
      </c>
      <c r="J32" s="56">
        <v>0</v>
      </c>
      <c r="K32" s="56">
        <v>0</v>
      </c>
      <c r="L32" s="56">
        <v>0</v>
      </c>
      <c r="M32" s="56">
        <v>0</v>
      </c>
      <c r="N32" s="56">
        <v>0</v>
      </c>
      <c r="O32" s="56">
        <v>0</v>
      </c>
      <c r="P32" s="56">
        <v>0</v>
      </c>
      <c r="Q32" s="57">
        <v>0</v>
      </c>
    </row>
    <row r="33" spans="2:17" x14ac:dyDescent="0.3">
      <c r="B33" s="55" t="s">
        <v>105</v>
      </c>
      <c r="C33" s="56">
        <v>0</v>
      </c>
      <c r="D33" s="56">
        <v>0</v>
      </c>
      <c r="E33" s="56">
        <v>0</v>
      </c>
      <c r="F33" s="56">
        <v>0</v>
      </c>
      <c r="G33" s="56">
        <v>0</v>
      </c>
      <c r="H33" s="56">
        <v>0</v>
      </c>
      <c r="I33" s="56">
        <v>0</v>
      </c>
      <c r="J33" s="56">
        <v>0</v>
      </c>
      <c r="K33" s="56">
        <v>0</v>
      </c>
      <c r="L33" s="56">
        <v>0</v>
      </c>
      <c r="M33" s="56">
        <v>0</v>
      </c>
      <c r="N33" s="56">
        <v>0</v>
      </c>
      <c r="O33" s="56">
        <v>0</v>
      </c>
      <c r="P33" s="56">
        <v>0</v>
      </c>
      <c r="Q33" s="57">
        <v>0</v>
      </c>
    </row>
    <row r="34" spans="2:17" x14ac:dyDescent="0.3">
      <c r="B34" s="55" t="s">
        <v>107</v>
      </c>
      <c r="C34" s="56">
        <v>0</v>
      </c>
      <c r="D34" s="56">
        <v>0</v>
      </c>
      <c r="E34" s="56">
        <v>0</v>
      </c>
      <c r="F34" s="56">
        <v>0</v>
      </c>
      <c r="G34" s="56">
        <v>0</v>
      </c>
      <c r="H34" s="56">
        <v>0</v>
      </c>
      <c r="I34" s="56">
        <v>0</v>
      </c>
      <c r="J34" s="56">
        <v>0</v>
      </c>
      <c r="K34" s="56">
        <v>0</v>
      </c>
      <c r="L34" s="56">
        <v>0</v>
      </c>
      <c r="M34" s="56">
        <v>0</v>
      </c>
      <c r="N34" s="56">
        <v>0</v>
      </c>
      <c r="O34" s="56">
        <v>0</v>
      </c>
      <c r="P34" s="56">
        <v>0</v>
      </c>
      <c r="Q34" s="57">
        <v>0</v>
      </c>
    </row>
    <row r="35" spans="2:17" x14ac:dyDescent="0.3">
      <c r="B35" s="58" t="s">
        <v>24</v>
      </c>
      <c r="C35" s="59">
        <v>0</v>
      </c>
      <c r="D35" s="59">
        <v>0</v>
      </c>
      <c r="E35" s="59">
        <v>0</v>
      </c>
      <c r="F35" s="59">
        <v>0</v>
      </c>
      <c r="G35" s="59">
        <v>0</v>
      </c>
      <c r="H35" s="59">
        <v>0</v>
      </c>
      <c r="I35" s="59">
        <v>0</v>
      </c>
      <c r="J35" s="59">
        <v>0</v>
      </c>
      <c r="K35" s="59">
        <v>0</v>
      </c>
      <c r="L35" s="59">
        <v>0</v>
      </c>
      <c r="M35" s="59">
        <v>0</v>
      </c>
      <c r="N35" s="59">
        <v>0</v>
      </c>
      <c r="O35" s="59">
        <v>0</v>
      </c>
      <c r="P35" s="59">
        <v>0</v>
      </c>
      <c r="Q35" s="59">
        <v>0</v>
      </c>
    </row>
    <row r="36" spans="2:17" ht="14.5" customHeight="1" x14ac:dyDescent="0.35">
      <c r="B36" s="322" t="s">
        <v>25</v>
      </c>
      <c r="C36" s="272"/>
      <c r="D36" s="272"/>
      <c r="E36" s="272"/>
      <c r="F36" s="272"/>
      <c r="G36" s="272"/>
      <c r="H36" s="272"/>
      <c r="I36" s="272"/>
      <c r="J36" s="272"/>
      <c r="K36" s="272"/>
      <c r="L36" s="272"/>
      <c r="M36" s="272"/>
      <c r="N36" s="272"/>
      <c r="O36" s="272"/>
      <c r="P36" s="272"/>
      <c r="Q36" s="272"/>
    </row>
  </sheetData>
  <sheetProtection algorithmName="SHA-512" hashValue="O52lHIJ1PJzCNOM3m8gJiZ7fS4/E59x8eg6frMR1fTMg0tySc2AN3mzD4ad4kBhXCZx51RvsfwuWtnz5A55bpw==" saltValue="yeTAC6zpHbJLCeG8LrVGDw==" spinCount="100000" sheet="1" objects="1" scenarios="1"/>
  <mergeCells count="4">
    <mergeCell ref="B31:Q31"/>
    <mergeCell ref="B36:Q36"/>
    <mergeCell ref="B3:Q3"/>
    <mergeCell ref="B5:Q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7">
    <tabColor rgb="FF92D050"/>
  </sheetPr>
  <dimension ref="B3:Q36"/>
  <sheetViews>
    <sheetView workbookViewId="0"/>
  </sheetViews>
  <sheetFormatPr defaultColWidth="14.36328125" defaultRowHeight="14" x14ac:dyDescent="0.3"/>
  <cols>
    <col min="1" max="1" width="9.6328125" style="48" customWidth="1"/>
    <col min="2" max="2" width="43.54296875" style="48" customWidth="1"/>
    <col min="3" max="16" width="17.90625" style="48" customWidth="1"/>
    <col min="17" max="17" width="17.90625" style="49" customWidth="1"/>
    <col min="18" max="18" width="14.54296875" style="48" bestFit="1" customWidth="1"/>
    <col min="19" max="19" width="15.90625" style="48" bestFit="1" customWidth="1"/>
    <col min="20" max="256" width="14.36328125" style="48" customWidth="1"/>
    <col min="257" max="257" width="9.6328125" style="48" customWidth="1"/>
    <col min="258" max="258" width="43.54296875" style="48" customWidth="1"/>
    <col min="259" max="273" width="17.90625" style="48" customWidth="1"/>
    <col min="274" max="274" width="14.54296875" style="48" bestFit="1" customWidth="1"/>
    <col min="275" max="275" width="15.90625" style="48" bestFit="1" customWidth="1"/>
    <col min="276" max="512" width="14.36328125" style="48" customWidth="1"/>
    <col min="513" max="513" width="9.6328125" style="48" customWidth="1"/>
    <col min="514" max="514" width="43.54296875" style="48" customWidth="1"/>
    <col min="515" max="529" width="17.90625" style="48" customWidth="1"/>
    <col min="530" max="530" width="14.54296875" style="48" bestFit="1" customWidth="1"/>
    <col min="531" max="531" width="15.90625" style="48" bestFit="1" customWidth="1"/>
    <col min="532" max="768" width="14.36328125" style="48" customWidth="1"/>
    <col min="769" max="769" width="9.6328125" style="48" customWidth="1"/>
    <col min="770" max="770" width="43.54296875" style="48" customWidth="1"/>
    <col min="771" max="785" width="17.90625" style="48" customWidth="1"/>
    <col min="786" max="786" width="14.54296875" style="48" bestFit="1" customWidth="1"/>
    <col min="787" max="787" width="15.90625" style="48" bestFit="1" customWidth="1"/>
    <col min="788" max="1024" width="14.36328125" style="48" customWidth="1"/>
    <col min="1025" max="1025" width="9.6328125" style="48" customWidth="1"/>
    <col min="1026" max="1026" width="43.54296875" style="48" customWidth="1"/>
    <col min="1027" max="1041" width="17.90625" style="48" customWidth="1"/>
    <col min="1042" max="1042" width="14.54296875" style="48" bestFit="1" customWidth="1"/>
    <col min="1043" max="1043" width="15.90625" style="48" bestFit="1" customWidth="1"/>
    <col min="1044" max="1280" width="14.36328125" style="48" customWidth="1"/>
    <col min="1281" max="1281" width="9.6328125" style="48" customWidth="1"/>
    <col min="1282" max="1282" width="43.54296875" style="48" customWidth="1"/>
    <col min="1283" max="1297" width="17.90625" style="48" customWidth="1"/>
    <col min="1298" max="1298" width="14.54296875" style="48" bestFit="1" customWidth="1"/>
    <col min="1299" max="1299" width="15.90625" style="48" bestFit="1" customWidth="1"/>
    <col min="1300" max="1536" width="14.36328125" style="48" customWidth="1"/>
    <col min="1537" max="1537" width="9.6328125" style="48" customWidth="1"/>
    <col min="1538" max="1538" width="43.54296875" style="48" customWidth="1"/>
    <col min="1539" max="1553" width="17.90625" style="48" customWidth="1"/>
    <col min="1554" max="1554" width="14.54296875" style="48" bestFit="1" customWidth="1"/>
    <col min="1555" max="1555" width="15.90625" style="48" bestFit="1" customWidth="1"/>
    <col min="1556" max="1792" width="14.36328125" style="48" customWidth="1"/>
    <col min="1793" max="1793" width="9.6328125" style="48" customWidth="1"/>
    <col min="1794" max="1794" width="43.54296875" style="48" customWidth="1"/>
    <col min="1795" max="1809" width="17.90625" style="48" customWidth="1"/>
    <col min="1810" max="1810" width="14.54296875" style="48" bestFit="1" customWidth="1"/>
    <col min="1811" max="1811" width="15.90625" style="48" bestFit="1" customWidth="1"/>
    <col min="1812" max="2048" width="14.36328125" style="48" customWidth="1"/>
    <col min="2049" max="2049" width="9.6328125" style="48" customWidth="1"/>
    <col min="2050" max="2050" width="43.54296875" style="48" customWidth="1"/>
    <col min="2051" max="2065" width="17.90625" style="48" customWidth="1"/>
    <col min="2066" max="2066" width="14.54296875" style="48" bestFit="1" customWidth="1"/>
    <col min="2067" max="2067" width="15.90625" style="48" bestFit="1" customWidth="1"/>
    <col min="2068" max="2304" width="14.36328125" style="48" customWidth="1"/>
    <col min="2305" max="2305" width="9.6328125" style="48" customWidth="1"/>
    <col min="2306" max="2306" width="43.54296875" style="48" customWidth="1"/>
    <col min="2307" max="2321" width="17.90625" style="48" customWidth="1"/>
    <col min="2322" max="2322" width="14.54296875" style="48" bestFit="1" customWidth="1"/>
    <col min="2323" max="2323" width="15.90625" style="48" bestFit="1" customWidth="1"/>
    <col min="2324" max="2560" width="14.36328125" style="48" customWidth="1"/>
    <col min="2561" max="2561" width="9.6328125" style="48" customWidth="1"/>
    <col min="2562" max="2562" width="43.54296875" style="48" customWidth="1"/>
    <col min="2563" max="2577" width="17.90625" style="48" customWidth="1"/>
    <col min="2578" max="2578" width="14.54296875" style="48" bestFit="1" customWidth="1"/>
    <col min="2579" max="2579" width="15.90625" style="48" bestFit="1" customWidth="1"/>
    <col min="2580" max="2816" width="14.36328125" style="48" customWidth="1"/>
    <col min="2817" max="2817" width="9.6328125" style="48" customWidth="1"/>
    <col min="2818" max="2818" width="43.54296875" style="48" customWidth="1"/>
    <col min="2819" max="2833" width="17.90625" style="48" customWidth="1"/>
    <col min="2834" max="2834" width="14.54296875" style="48" bestFit="1" customWidth="1"/>
    <col min="2835" max="2835" width="15.90625" style="48" bestFit="1" customWidth="1"/>
    <col min="2836" max="3072" width="14.36328125" style="48" customWidth="1"/>
    <col min="3073" max="3073" width="9.6328125" style="48" customWidth="1"/>
    <col min="3074" max="3074" width="43.54296875" style="48" customWidth="1"/>
    <col min="3075" max="3089" width="17.90625" style="48" customWidth="1"/>
    <col min="3090" max="3090" width="14.54296875" style="48" bestFit="1" customWidth="1"/>
    <col min="3091" max="3091" width="15.90625" style="48" bestFit="1" customWidth="1"/>
    <col min="3092" max="3328" width="14.36328125" style="48" customWidth="1"/>
    <col min="3329" max="3329" width="9.6328125" style="48" customWidth="1"/>
    <col min="3330" max="3330" width="43.54296875" style="48" customWidth="1"/>
    <col min="3331" max="3345" width="17.90625" style="48" customWidth="1"/>
    <col min="3346" max="3346" width="14.54296875" style="48" bestFit="1" customWidth="1"/>
    <col min="3347" max="3347" width="15.90625" style="48" bestFit="1" customWidth="1"/>
    <col min="3348" max="3584" width="14.36328125" style="48" customWidth="1"/>
    <col min="3585" max="3585" width="9.6328125" style="48" customWidth="1"/>
    <col min="3586" max="3586" width="43.54296875" style="48" customWidth="1"/>
    <col min="3587" max="3601" width="17.90625" style="48" customWidth="1"/>
    <col min="3602" max="3602" width="14.54296875" style="48" bestFit="1" customWidth="1"/>
    <col min="3603" max="3603" width="15.90625" style="48" bestFit="1" customWidth="1"/>
    <col min="3604" max="3840" width="14.36328125" style="48" customWidth="1"/>
    <col min="3841" max="3841" width="9.6328125" style="48" customWidth="1"/>
    <col min="3842" max="3842" width="43.54296875" style="48" customWidth="1"/>
    <col min="3843" max="3857" width="17.90625" style="48" customWidth="1"/>
    <col min="3858" max="3858" width="14.54296875" style="48" bestFit="1" customWidth="1"/>
    <col min="3859" max="3859" width="15.90625" style="48" bestFit="1" customWidth="1"/>
    <col min="3860" max="4096" width="14.36328125" style="48" customWidth="1"/>
    <col min="4097" max="4097" width="9.6328125" style="48" customWidth="1"/>
    <col min="4098" max="4098" width="43.54296875" style="48" customWidth="1"/>
    <col min="4099" max="4113" width="17.90625" style="48" customWidth="1"/>
    <col min="4114" max="4114" width="14.54296875" style="48" bestFit="1" customWidth="1"/>
    <col min="4115" max="4115" width="15.90625" style="48" bestFit="1" customWidth="1"/>
    <col min="4116" max="4352" width="14.36328125" style="48" customWidth="1"/>
    <col min="4353" max="4353" width="9.6328125" style="48" customWidth="1"/>
    <col min="4354" max="4354" width="43.54296875" style="48" customWidth="1"/>
    <col min="4355" max="4369" width="17.90625" style="48" customWidth="1"/>
    <col min="4370" max="4370" width="14.54296875" style="48" bestFit="1" customWidth="1"/>
    <col min="4371" max="4371" width="15.90625" style="48" bestFit="1" customWidth="1"/>
    <col min="4372" max="4608" width="14.36328125" style="48" customWidth="1"/>
    <col min="4609" max="4609" width="9.6328125" style="48" customWidth="1"/>
    <col min="4610" max="4610" width="43.54296875" style="48" customWidth="1"/>
    <col min="4611" max="4625" width="17.90625" style="48" customWidth="1"/>
    <col min="4626" max="4626" width="14.54296875" style="48" bestFit="1" customWidth="1"/>
    <col min="4627" max="4627" width="15.90625" style="48" bestFit="1" customWidth="1"/>
    <col min="4628" max="4864" width="14.36328125" style="48" customWidth="1"/>
    <col min="4865" max="4865" width="9.6328125" style="48" customWidth="1"/>
    <col min="4866" max="4866" width="43.54296875" style="48" customWidth="1"/>
    <col min="4867" max="4881" width="17.90625" style="48" customWidth="1"/>
    <col min="4882" max="4882" width="14.54296875" style="48" bestFit="1" customWidth="1"/>
    <col min="4883" max="4883" width="15.90625" style="48" bestFit="1" customWidth="1"/>
    <col min="4884" max="5120" width="14.36328125" style="48" customWidth="1"/>
    <col min="5121" max="5121" width="9.6328125" style="48" customWidth="1"/>
    <col min="5122" max="5122" width="43.54296875" style="48" customWidth="1"/>
    <col min="5123" max="5137" width="17.90625" style="48" customWidth="1"/>
    <col min="5138" max="5138" width="14.54296875" style="48" bestFit="1" customWidth="1"/>
    <col min="5139" max="5139" width="15.90625" style="48" bestFit="1" customWidth="1"/>
    <col min="5140" max="5376" width="14.36328125" style="48" customWidth="1"/>
    <col min="5377" max="5377" width="9.6328125" style="48" customWidth="1"/>
    <col min="5378" max="5378" width="43.54296875" style="48" customWidth="1"/>
    <col min="5379" max="5393" width="17.90625" style="48" customWidth="1"/>
    <col min="5394" max="5394" width="14.54296875" style="48" bestFit="1" customWidth="1"/>
    <col min="5395" max="5395" width="15.90625" style="48" bestFit="1" customWidth="1"/>
    <col min="5396" max="5632" width="14.36328125" style="48" customWidth="1"/>
    <col min="5633" max="5633" width="9.6328125" style="48" customWidth="1"/>
    <col min="5634" max="5634" width="43.54296875" style="48" customWidth="1"/>
    <col min="5635" max="5649" width="17.90625" style="48" customWidth="1"/>
    <col min="5650" max="5650" width="14.54296875" style="48" bestFit="1" customWidth="1"/>
    <col min="5651" max="5651" width="15.90625" style="48" bestFit="1" customWidth="1"/>
    <col min="5652" max="5888" width="14.36328125" style="48" customWidth="1"/>
    <col min="5889" max="5889" width="9.6328125" style="48" customWidth="1"/>
    <col min="5890" max="5890" width="43.54296875" style="48" customWidth="1"/>
    <col min="5891" max="5905" width="17.90625" style="48" customWidth="1"/>
    <col min="5906" max="5906" width="14.54296875" style="48" bestFit="1" customWidth="1"/>
    <col min="5907" max="5907" width="15.90625" style="48" bestFit="1" customWidth="1"/>
    <col min="5908" max="6144" width="14.36328125" style="48" customWidth="1"/>
    <col min="6145" max="6145" width="9.6328125" style="48" customWidth="1"/>
    <col min="6146" max="6146" width="43.54296875" style="48" customWidth="1"/>
    <col min="6147" max="6161" width="17.90625" style="48" customWidth="1"/>
    <col min="6162" max="6162" width="14.54296875" style="48" bestFit="1" customWidth="1"/>
    <col min="6163" max="6163" width="15.90625" style="48" bestFit="1" customWidth="1"/>
    <col min="6164" max="6400" width="14.36328125" style="48" customWidth="1"/>
    <col min="6401" max="6401" width="9.6328125" style="48" customWidth="1"/>
    <col min="6402" max="6402" width="43.54296875" style="48" customWidth="1"/>
    <col min="6403" max="6417" width="17.90625" style="48" customWidth="1"/>
    <col min="6418" max="6418" width="14.54296875" style="48" bestFit="1" customWidth="1"/>
    <col min="6419" max="6419" width="15.90625" style="48" bestFit="1" customWidth="1"/>
    <col min="6420" max="6656" width="14.36328125" style="48" customWidth="1"/>
    <col min="6657" max="6657" width="9.6328125" style="48" customWidth="1"/>
    <col min="6658" max="6658" width="43.54296875" style="48" customWidth="1"/>
    <col min="6659" max="6673" width="17.90625" style="48" customWidth="1"/>
    <col min="6674" max="6674" width="14.54296875" style="48" bestFit="1" customWidth="1"/>
    <col min="6675" max="6675" width="15.90625" style="48" bestFit="1" customWidth="1"/>
    <col min="6676" max="6912" width="14.36328125" style="48" customWidth="1"/>
    <col min="6913" max="6913" width="9.6328125" style="48" customWidth="1"/>
    <col min="6914" max="6914" width="43.54296875" style="48" customWidth="1"/>
    <col min="6915" max="6929" width="17.90625" style="48" customWidth="1"/>
    <col min="6930" max="6930" width="14.54296875" style="48" bestFit="1" customWidth="1"/>
    <col min="6931" max="6931" width="15.90625" style="48" bestFit="1" customWidth="1"/>
    <col min="6932" max="7168" width="14.36328125" style="48" customWidth="1"/>
    <col min="7169" max="7169" width="9.6328125" style="48" customWidth="1"/>
    <col min="7170" max="7170" width="43.54296875" style="48" customWidth="1"/>
    <col min="7171" max="7185" width="17.90625" style="48" customWidth="1"/>
    <col min="7186" max="7186" width="14.54296875" style="48" bestFit="1" customWidth="1"/>
    <col min="7187" max="7187" width="15.90625" style="48" bestFit="1" customWidth="1"/>
    <col min="7188" max="7424" width="14.36328125" style="48" customWidth="1"/>
    <col min="7425" max="7425" width="9.6328125" style="48" customWidth="1"/>
    <col min="7426" max="7426" width="43.54296875" style="48" customWidth="1"/>
    <col min="7427" max="7441" width="17.90625" style="48" customWidth="1"/>
    <col min="7442" max="7442" width="14.54296875" style="48" bestFit="1" customWidth="1"/>
    <col min="7443" max="7443" width="15.90625" style="48" bestFit="1" customWidth="1"/>
    <col min="7444" max="7680" width="14.36328125" style="48" customWidth="1"/>
    <col min="7681" max="7681" width="9.6328125" style="48" customWidth="1"/>
    <col min="7682" max="7682" width="43.54296875" style="48" customWidth="1"/>
    <col min="7683" max="7697" width="17.90625" style="48" customWidth="1"/>
    <col min="7698" max="7698" width="14.54296875" style="48" bestFit="1" customWidth="1"/>
    <col min="7699" max="7699" width="15.90625" style="48" bestFit="1" customWidth="1"/>
    <col min="7700" max="7936" width="14.36328125" style="48" customWidth="1"/>
    <col min="7937" max="7937" width="9.6328125" style="48" customWidth="1"/>
    <col min="7938" max="7938" width="43.54296875" style="48" customWidth="1"/>
    <col min="7939" max="7953" width="17.90625" style="48" customWidth="1"/>
    <col min="7954" max="7954" width="14.54296875" style="48" bestFit="1" customWidth="1"/>
    <col min="7955" max="7955" width="15.90625" style="48" bestFit="1" customWidth="1"/>
    <col min="7956" max="8192" width="14.36328125" style="48" customWidth="1"/>
    <col min="8193" max="8193" width="9.6328125" style="48" customWidth="1"/>
    <col min="8194" max="8194" width="43.54296875" style="48" customWidth="1"/>
    <col min="8195" max="8209" width="17.90625" style="48" customWidth="1"/>
    <col min="8210" max="8210" width="14.54296875" style="48" bestFit="1" customWidth="1"/>
    <col min="8211" max="8211" width="15.90625" style="48" bestFit="1" customWidth="1"/>
    <col min="8212" max="8448" width="14.36328125" style="48" customWidth="1"/>
    <col min="8449" max="8449" width="9.6328125" style="48" customWidth="1"/>
    <col min="8450" max="8450" width="43.54296875" style="48" customWidth="1"/>
    <col min="8451" max="8465" width="17.90625" style="48" customWidth="1"/>
    <col min="8466" max="8466" width="14.54296875" style="48" bestFit="1" customWidth="1"/>
    <col min="8467" max="8467" width="15.90625" style="48" bestFit="1" customWidth="1"/>
    <col min="8468" max="8704" width="14.36328125" style="48" customWidth="1"/>
    <col min="8705" max="8705" width="9.6328125" style="48" customWidth="1"/>
    <col min="8706" max="8706" width="43.54296875" style="48" customWidth="1"/>
    <col min="8707" max="8721" width="17.90625" style="48" customWidth="1"/>
    <col min="8722" max="8722" width="14.54296875" style="48" bestFit="1" customWidth="1"/>
    <col min="8723" max="8723" width="15.90625" style="48" bestFit="1" customWidth="1"/>
    <col min="8724" max="8960" width="14.36328125" style="48" customWidth="1"/>
    <col min="8961" max="8961" width="9.6328125" style="48" customWidth="1"/>
    <col min="8962" max="8962" width="43.54296875" style="48" customWidth="1"/>
    <col min="8963" max="8977" width="17.90625" style="48" customWidth="1"/>
    <col min="8978" max="8978" width="14.54296875" style="48" bestFit="1" customWidth="1"/>
    <col min="8979" max="8979" width="15.90625" style="48" bestFit="1" customWidth="1"/>
    <col min="8980" max="9216" width="14.36328125" style="48" customWidth="1"/>
    <col min="9217" max="9217" width="9.6328125" style="48" customWidth="1"/>
    <col min="9218" max="9218" width="43.54296875" style="48" customWidth="1"/>
    <col min="9219" max="9233" width="17.90625" style="48" customWidth="1"/>
    <col min="9234" max="9234" width="14.54296875" style="48" bestFit="1" customWidth="1"/>
    <col min="9235" max="9235" width="15.90625" style="48" bestFit="1" customWidth="1"/>
    <col min="9236" max="9472" width="14.36328125" style="48" customWidth="1"/>
    <col min="9473" max="9473" width="9.6328125" style="48" customWidth="1"/>
    <col min="9474" max="9474" width="43.54296875" style="48" customWidth="1"/>
    <col min="9475" max="9489" width="17.90625" style="48" customWidth="1"/>
    <col min="9490" max="9490" width="14.54296875" style="48" bestFit="1" customWidth="1"/>
    <col min="9491" max="9491" width="15.90625" style="48" bestFit="1" customWidth="1"/>
    <col min="9492" max="9728" width="14.36328125" style="48" customWidth="1"/>
    <col min="9729" max="9729" width="9.6328125" style="48" customWidth="1"/>
    <col min="9730" max="9730" width="43.54296875" style="48" customWidth="1"/>
    <col min="9731" max="9745" width="17.90625" style="48" customWidth="1"/>
    <col min="9746" max="9746" width="14.54296875" style="48" bestFit="1" customWidth="1"/>
    <col min="9747" max="9747" width="15.90625" style="48" bestFit="1" customWidth="1"/>
    <col min="9748" max="9984" width="14.36328125" style="48" customWidth="1"/>
    <col min="9985" max="9985" width="9.6328125" style="48" customWidth="1"/>
    <col min="9986" max="9986" width="43.54296875" style="48" customWidth="1"/>
    <col min="9987" max="10001" width="17.90625" style="48" customWidth="1"/>
    <col min="10002" max="10002" width="14.54296875" style="48" bestFit="1" customWidth="1"/>
    <col min="10003" max="10003" width="15.90625" style="48" bestFit="1" customWidth="1"/>
    <col min="10004" max="10240" width="14.36328125" style="48" customWidth="1"/>
    <col min="10241" max="10241" width="9.6328125" style="48" customWidth="1"/>
    <col min="10242" max="10242" width="43.54296875" style="48" customWidth="1"/>
    <col min="10243" max="10257" width="17.90625" style="48" customWidth="1"/>
    <col min="10258" max="10258" width="14.54296875" style="48" bestFit="1" customWidth="1"/>
    <col min="10259" max="10259" width="15.90625" style="48" bestFit="1" customWidth="1"/>
    <col min="10260" max="10496" width="14.36328125" style="48" customWidth="1"/>
    <col min="10497" max="10497" width="9.6328125" style="48" customWidth="1"/>
    <col min="10498" max="10498" width="43.54296875" style="48" customWidth="1"/>
    <col min="10499" max="10513" width="17.90625" style="48" customWidth="1"/>
    <col min="10514" max="10514" width="14.54296875" style="48" bestFit="1" customWidth="1"/>
    <col min="10515" max="10515" width="15.90625" style="48" bestFit="1" customWidth="1"/>
    <col min="10516" max="10752" width="14.36328125" style="48" customWidth="1"/>
    <col min="10753" max="10753" width="9.6328125" style="48" customWidth="1"/>
    <col min="10754" max="10754" width="43.54296875" style="48" customWidth="1"/>
    <col min="10755" max="10769" width="17.90625" style="48" customWidth="1"/>
    <col min="10770" max="10770" width="14.54296875" style="48" bestFit="1" customWidth="1"/>
    <col min="10771" max="10771" width="15.90625" style="48" bestFit="1" customWidth="1"/>
    <col min="10772" max="11008" width="14.36328125" style="48" customWidth="1"/>
    <col min="11009" max="11009" width="9.6328125" style="48" customWidth="1"/>
    <col min="11010" max="11010" width="43.54296875" style="48" customWidth="1"/>
    <col min="11011" max="11025" width="17.90625" style="48" customWidth="1"/>
    <col min="11026" max="11026" width="14.54296875" style="48" bestFit="1" customWidth="1"/>
    <col min="11027" max="11027" width="15.90625" style="48" bestFit="1" customWidth="1"/>
    <col min="11028" max="11264" width="14.36328125" style="48" customWidth="1"/>
    <col min="11265" max="11265" width="9.6328125" style="48" customWidth="1"/>
    <col min="11266" max="11266" width="43.54296875" style="48" customWidth="1"/>
    <col min="11267" max="11281" width="17.90625" style="48" customWidth="1"/>
    <col min="11282" max="11282" width="14.54296875" style="48" bestFit="1" customWidth="1"/>
    <col min="11283" max="11283" width="15.90625" style="48" bestFit="1" customWidth="1"/>
    <col min="11284" max="11520" width="14.36328125" style="48" customWidth="1"/>
    <col min="11521" max="11521" width="9.6328125" style="48" customWidth="1"/>
    <col min="11522" max="11522" width="43.54296875" style="48" customWidth="1"/>
    <col min="11523" max="11537" width="17.90625" style="48" customWidth="1"/>
    <col min="11538" max="11538" width="14.54296875" style="48" bestFit="1" customWidth="1"/>
    <col min="11539" max="11539" width="15.90625" style="48" bestFit="1" customWidth="1"/>
    <col min="11540" max="11776" width="14.36328125" style="48" customWidth="1"/>
    <col min="11777" max="11777" width="9.6328125" style="48" customWidth="1"/>
    <col min="11778" max="11778" width="43.54296875" style="48" customWidth="1"/>
    <col min="11779" max="11793" width="17.90625" style="48" customWidth="1"/>
    <col min="11794" max="11794" width="14.54296875" style="48" bestFit="1" customWidth="1"/>
    <col min="11795" max="11795" width="15.90625" style="48" bestFit="1" customWidth="1"/>
    <col min="11796" max="12032" width="14.36328125" style="48" customWidth="1"/>
    <col min="12033" max="12033" width="9.6328125" style="48" customWidth="1"/>
    <col min="12034" max="12034" width="43.54296875" style="48" customWidth="1"/>
    <col min="12035" max="12049" width="17.90625" style="48" customWidth="1"/>
    <col min="12050" max="12050" width="14.54296875" style="48" bestFit="1" customWidth="1"/>
    <col min="12051" max="12051" width="15.90625" style="48" bestFit="1" customWidth="1"/>
    <col min="12052" max="12288" width="14.36328125" style="48" customWidth="1"/>
    <col min="12289" max="12289" width="9.6328125" style="48" customWidth="1"/>
    <col min="12290" max="12290" width="43.54296875" style="48" customWidth="1"/>
    <col min="12291" max="12305" width="17.90625" style="48" customWidth="1"/>
    <col min="12306" max="12306" width="14.54296875" style="48" bestFit="1" customWidth="1"/>
    <col min="12307" max="12307" width="15.90625" style="48" bestFit="1" customWidth="1"/>
    <col min="12308" max="12544" width="14.36328125" style="48" customWidth="1"/>
    <col min="12545" max="12545" width="9.6328125" style="48" customWidth="1"/>
    <col min="12546" max="12546" width="43.54296875" style="48" customWidth="1"/>
    <col min="12547" max="12561" width="17.90625" style="48" customWidth="1"/>
    <col min="12562" max="12562" width="14.54296875" style="48" bestFit="1" customWidth="1"/>
    <col min="12563" max="12563" width="15.90625" style="48" bestFit="1" customWidth="1"/>
    <col min="12564" max="12800" width="14.36328125" style="48" customWidth="1"/>
    <col min="12801" max="12801" width="9.6328125" style="48" customWidth="1"/>
    <col min="12802" max="12802" width="43.54296875" style="48" customWidth="1"/>
    <col min="12803" max="12817" width="17.90625" style="48" customWidth="1"/>
    <col min="12818" max="12818" width="14.54296875" style="48" bestFit="1" customWidth="1"/>
    <col min="12819" max="12819" width="15.90625" style="48" bestFit="1" customWidth="1"/>
    <col min="12820" max="13056" width="14.36328125" style="48" customWidth="1"/>
    <col min="13057" max="13057" width="9.6328125" style="48" customWidth="1"/>
    <col min="13058" max="13058" width="43.54296875" style="48" customWidth="1"/>
    <col min="13059" max="13073" width="17.90625" style="48" customWidth="1"/>
    <col min="13074" max="13074" width="14.54296875" style="48" bestFit="1" customWidth="1"/>
    <col min="13075" max="13075" width="15.90625" style="48" bestFit="1" customWidth="1"/>
    <col min="13076" max="13312" width="14.36328125" style="48" customWidth="1"/>
    <col min="13313" max="13313" width="9.6328125" style="48" customWidth="1"/>
    <col min="13314" max="13314" width="43.54296875" style="48" customWidth="1"/>
    <col min="13315" max="13329" width="17.90625" style="48" customWidth="1"/>
    <col min="13330" max="13330" width="14.54296875" style="48" bestFit="1" customWidth="1"/>
    <col min="13331" max="13331" width="15.90625" style="48" bestFit="1" customWidth="1"/>
    <col min="13332" max="13568" width="14.36328125" style="48" customWidth="1"/>
    <col min="13569" max="13569" width="9.6328125" style="48" customWidth="1"/>
    <col min="13570" max="13570" width="43.54296875" style="48" customWidth="1"/>
    <col min="13571" max="13585" width="17.90625" style="48" customWidth="1"/>
    <col min="13586" max="13586" width="14.54296875" style="48" bestFit="1" customWidth="1"/>
    <col min="13587" max="13587" width="15.90625" style="48" bestFit="1" customWidth="1"/>
    <col min="13588" max="13824" width="14.36328125" style="48" customWidth="1"/>
    <col min="13825" max="13825" width="9.6328125" style="48" customWidth="1"/>
    <col min="13826" max="13826" width="43.54296875" style="48" customWidth="1"/>
    <col min="13827" max="13841" width="17.90625" style="48" customWidth="1"/>
    <col min="13842" max="13842" width="14.54296875" style="48" bestFit="1" customWidth="1"/>
    <col min="13843" max="13843" width="15.90625" style="48" bestFit="1" customWidth="1"/>
    <col min="13844" max="14080" width="14.36328125" style="48" customWidth="1"/>
    <col min="14081" max="14081" width="9.6328125" style="48" customWidth="1"/>
    <col min="14082" max="14082" width="43.54296875" style="48" customWidth="1"/>
    <col min="14083" max="14097" width="17.90625" style="48" customWidth="1"/>
    <col min="14098" max="14098" width="14.54296875" style="48" bestFit="1" customWidth="1"/>
    <col min="14099" max="14099" width="15.90625" style="48" bestFit="1" customWidth="1"/>
    <col min="14100" max="14336" width="14.36328125" style="48" customWidth="1"/>
    <col min="14337" max="14337" width="9.6328125" style="48" customWidth="1"/>
    <col min="14338" max="14338" width="43.54296875" style="48" customWidth="1"/>
    <col min="14339" max="14353" width="17.90625" style="48" customWidth="1"/>
    <col min="14354" max="14354" width="14.54296875" style="48" bestFit="1" customWidth="1"/>
    <col min="14355" max="14355" width="15.90625" style="48" bestFit="1" customWidth="1"/>
    <col min="14356" max="14592" width="14.36328125" style="48" customWidth="1"/>
    <col min="14593" max="14593" width="9.6328125" style="48" customWidth="1"/>
    <col min="14594" max="14594" width="43.54296875" style="48" customWidth="1"/>
    <col min="14595" max="14609" width="17.90625" style="48" customWidth="1"/>
    <col min="14610" max="14610" width="14.54296875" style="48" bestFit="1" customWidth="1"/>
    <col min="14611" max="14611" width="15.90625" style="48" bestFit="1" customWidth="1"/>
    <col min="14612" max="14848" width="14.36328125" style="48" customWidth="1"/>
    <col min="14849" max="14849" width="9.6328125" style="48" customWidth="1"/>
    <col min="14850" max="14850" width="43.54296875" style="48" customWidth="1"/>
    <col min="14851" max="14865" width="17.90625" style="48" customWidth="1"/>
    <col min="14866" max="14866" width="14.54296875" style="48" bestFit="1" customWidth="1"/>
    <col min="14867" max="14867" width="15.90625" style="48" bestFit="1" customWidth="1"/>
    <col min="14868" max="15104" width="14.36328125" style="48" customWidth="1"/>
    <col min="15105" max="15105" width="9.6328125" style="48" customWidth="1"/>
    <col min="15106" max="15106" width="43.54296875" style="48" customWidth="1"/>
    <col min="15107" max="15121" width="17.90625" style="48" customWidth="1"/>
    <col min="15122" max="15122" width="14.54296875" style="48" bestFit="1" customWidth="1"/>
    <col min="15123" max="15123" width="15.90625" style="48" bestFit="1" customWidth="1"/>
    <col min="15124" max="15360" width="14.36328125" style="48" customWidth="1"/>
    <col min="15361" max="15361" width="9.6328125" style="48" customWidth="1"/>
    <col min="15362" max="15362" width="43.54296875" style="48" customWidth="1"/>
    <col min="15363" max="15377" width="17.90625" style="48" customWidth="1"/>
    <col min="15378" max="15378" width="14.54296875" style="48" bestFit="1" customWidth="1"/>
    <col min="15379" max="15379" width="15.90625" style="48" bestFit="1" customWidth="1"/>
    <col min="15380" max="15616" width="14.36328125" style="48" customWidth="1"/>
    <col min="15617" max="15617" width="9.6328125" style="48" customWidth="1"/>
    <col min="15618" max="15618" width="43.54296875" style="48" customWidth="1"/>
    <col min="15619" max="15633" width="17.90625" style="48" customWidth="1"/>
    <col min="15634" max="15634" width="14.54296875" style="48" bestFit="1" customWidth="1"/>
    <col min="15635" max="15635" width="15.90625" style="48" bestFit="1" customWidth="1"/>
    <col min="15636" max="15872" width="14.36328125" style="48" customWidth="1"/>
    <col min="15873" max="15873" width="9.6328125" style="48" customWidth="1"/>
    <col min="15874" max="15874" width="43.54296875" style="48" customWidth="1"/>
    <col min="15875" max="15889" width="17.90625" style="48" customWidth="1"/>
    <col min="15890" max="15890" width="14.54296875" style="48" bestFit="1" customWidth="1"/>
    <col min="15891" max="15891" width="15.90625" style="48" bestFit="1" customWidth="1"/>
    <col min="15892" max="16128" width="14.36328125" style="48" customWidth="1"/>
    <col min="16129" max="16129" width="9.6328125" style="48" customWidth="1"/>
    <col min="16130" max="16130" width="43.54296875" style="48" customWidth="1"/>
    <col min="16131" max="16145" width="17.90625" style="48" customWidth="1"/>
    <col min="16146" max="16146" width="14.54296875" style="48" bestFit="1" customWidth="1"/>
    <col min="16147" max="16147" width="15.90625" style="48" bestFit="1" customWidth="1"/>
    <col min="16148" max="16384" width="14.36328125" style="48" customWidth="1"/>
  </cols>
  <sheetData>
    <row r="3" spans="2:17" ht="14.5" customHeight="1" x14ac:dyDescent="0.35">
      <c r="B3" s="323" t="str">
        <f>_xlfn.CONCAT("NON-LINKED INVESTMENTS"," ",Details!F18)</f>
        <v>NON-LINKED INVESTMENTS 31.12.2025</v>
      </c>
      <c r="C3" s="269"/>
      <c r="D3" s="269"/>
      <c r="E3" s="269"/>
      <c r="F3" s="269"/>
      <c r="G3" s="269"/>
      <c r="H3" s="269"/>
      <c r="I3" s="269"/>
      <c r="J3" s="269"/>
      <c r="K3" s="269"/>
      <c r="L3" s="269"/>
      <c r="M3" s="269"/>
      <c r="N3" s="269"/>
      <c r="O3" s="269"/>
      <c r="P3" s="269"/>
      <c r="Q3" s="270"/>
    </row>
    <row r="4" spans="2:17" s="54" customFormat="1" ht="26" customHeight="1" x14ac:dyDescent="0.3">
      <c r="B4" s="50" t="s">
        <v>0</v>
      </c>
      <c r="C4" s="51" t="s">
        <v>200</v>
      </c>
      <c r="D4" s="51" t="s">
        <v>201</v>
      </c>
      <c r="E4" s="51" t="s">
        <v>202</v>
      </c>
      <c r="F4" s="51" t="s">
        <v>203</v>
      </c>
      <c r="G4" s="51" t="s">
        <v>204</v>
      </c>
      <c r="H4" s="51" t="s">
        <v>205</v>
      </c>
      <c r="I4" s="52" t="s">
        <v>206</v>
      </c>
      <c r="J4" s="51" t="s">
        <v>207</v>
      </c>
      <c r="K4" s="53" t="s">
        <v>208</v>
      </c>
      <c r="L4" s="53" t="s">
        <v>209</v>
      </c>
      <c r="M4" s="53" t="s">
        <v>210</v>
      </c>
      <c r="N4" s="53" t="s">
        <v>211</v>
      </c>
      <c r="O4" s="53" t="s">
        <v>212</v>
      </c>
      <c r="P4" s="53" t="s">
        <v>213</v>
      </c>
      <c r="Q4" s="53" t="s">
        <v>214</v>
      </c>
    </row>
    <row r="5" spans="2:17" ht="14.5" customHeight="1" x14ac:dyDescent="0.35">
      <c r="B5" s="321" t="s">
        <v>17</v>
      </c>
      <c r="C5" s="269"/>
      <c r="D5" s="269"/>
      <c r="E5" s="269"/>
      <c r="F5" s="269"/>
      <c r="G5" s="269"/>
      <c r="H5" s="269"/>
      <c r="I5" s="269"/>
      <c r="J5" s="269"/>
      <c r="K5" s="269"/>
      <c r="L5" s="269"/>
      <c r="M5" s="269"/>
      <c r="N5" s="269"/>
      <c r="O5" s="269"/>
      <c r="P5" s="269"/>
      <c r="Q5" s="270"/>
    </row>
    <row r="6" spans="2:17" x14ac:dyDescent="0.3">
      <c r="B6" s="6" t="s">
        <v>110</v>
      </c>
      <c r="C6" s="56">
        <v>0</v>
      </c>
      <c r="D6" s="56">
        <v>0</v>
      </c>
      <c r="E6" s="56">
        <v>0</v>
      </c>
      <c r="F6" s="56">
        <v>0</v>
      </c>
      <c r="G6" s="56">
        <v>0</v>
      </c>
      <c r="H6" s="56">
        <v>0</v>
      </c>
      <c r="I6" s="56">
        <v>0</v>
      </c>
      <c r="J6" s="56">
        <v>0</v>
      </c>
      <c r="K6" s="56">
        <v>0</v>
      </c>
      <c r="L6" s="56">
        <v>0</v>
      </c>
      <c r="M6" s="56">
        <v>0</v>
      </c>
      <c r="N6" s="56">
        <v>0</v>
      </c>
      <c r="O6" s="56">
        <v>0</v>
      </c>
      <c r="P6" s="56">
        <v>0</v>
      </c>
      <c r="Q6" s="57">
        <v>0</v>
      </c>
    </row>
    <row r="7" spans="2:17" x14ac:dyDescent="0.3">
      <c r="B7" s="55" t="s">
        <v>111</v>
      </c>
      <c r="C7" s="56">
        <v>1808290.453</v>
      </c>
      <c r="D7" s="56">
        <v>8652292.0309999995</v>
      </c>
      <c r="E7" s="56">
        <v>8652292.0309999995</v>
      </c>
      <c r="F7" s="56">
        <v>0</v>
      </c>
      <c r="G7" s="56">
        <v>184289.56367999999</v>
      </c>
      <c r="H7" s="56">
        <v>184289.56367999999</v>
      </c>
      <c r="I7" s="56">
        <v>0</v>
      </c>
      <c r="J7" s="56">
        <v>0</v>
      </c>
      <c r="K7" s="56">
        <v>0</v>
      </c>
      <c r="L7" s="56">
        <v>441169.36144000001</v>
      </c>
      <c r="M7" s="56">
        <v>0</v>
      </c>
      <c r="N7" s="56">
        <v>816886.54406743986</v>
      </c>
      <c r="O7" s="56">
        <v>12394.20744031633</v>
      </c>
      <c r="P7" s="56">
        <v>0</v>
      </c>
      <c r="Q7" s="57">
        <v>10639615.89550712</v>
      </c>
    </row>
    <row r="8" spans="2:17" x14ac:dyDescent="0.3">
      <c r="B8" s="55" t="s">
        <v>112</v>
      </c>
      <c r="C8" s="56">
        <v>0</v>
      </c>
      <c r="D8" s="56">
        <v>0</v>
      </c>
      <c r="E8" s="56">
        <v>0</v>
      </c>
      <c r="F8" s="56">
        <v>0</v>
      </c>
      <c r="G8" s="56">
        <v>0</v>
      </c>
      <c r="H8" s="56">
        <v>0</v>
      </c>
      <c r="I8" s="56">
        <v>0</v>
      </c>
      <c r="J8" s="56">
        <v>0</v>
      </c>
      <c r="K8" s="56">
        <v>0</v>
      </c>
      <c r="L8" s="56">
        <v>0</v>
      </c>
      <c r="M8" s="56">
        <v>0</v>
      </c>
      <c r="N8" s="56">
        <v>0</v>
      </c>
      <c r="O8" s="56">
        <v>0</v>
      </c>
      <c r="P8" s="56">
        <v>0</v>
      </c>
      <c r="Q8" s="57">
        <v>0</v>
      </c>
    </row>
    <row r="9" spans="2:17" x14ac:dyDescent="0.3">
      <c r="B9" s="55" t="s">
        <v>113</v>
      </c>
      <c r="C9" s="56">
        <v>0</v>
      </c>
      <c r="D9" s="56">
        <v>0</v>
      </c>
      <c r="E9" s="56">
        <v>0</v>
      </c>
      <c r="F9" s="56">
        <v>0</v>
      </c>
      <c r="G9" s="56">
        <v>0</v>
      </c>
      <c r="H9" s="56">
        <v>0</v>
      </c>
      <c r="I9" s="56">
        <v>0</v>
      </c>
      <c r="J9" s="56">
        <v>0</v>
      </c>
      <c r="K9" s="56">
        <v>0</v>
      </c>
      <c r="L9" s="56">
        <v>0</v>
      </c>
      <c r="M9" s="56">
        <v>0</v>
      </c>
      <c r="N9" s="56">
        <v>0</v>
      </c>
      <c r="O9" s="56">
        <v>0</v>
      </c>
      <c r="P9" s="56">
        <v>0</v>
      </c>
      <c r="Q9" s="57">
        <v>0</v>
      </c>
    </row>
    <row r="10" spans="2:17" x14ac:dyDescent="0.3">
      <c r="B10" s="55" t="s">
        <v>114</v>
      </c>
      <c r="C10" s="56">
        <v>0</v>
      </c>
      <c r="D10" s="56">
        <v>0</v>
      </c>
      <c r="E10" s="56">
        <v>0</v>
      </c>
      <c r="F10" s="56">
        <v>0</v>
      </c>
      <c r="G10" s="56">
        <v>0</v>
      </c>
      <c r="H10" s="56">
        <v>0</v>
      </c>
      <c r="I10" s="56">
        <v>0</v>
      </c>
      <c r="J10" s="56">
        <v>0</v>
      </c>
      <c r="K10" s="56">
        <v>0</v>
      </c>
      <c r="L10" s="56">
        <v>0</v>
      </c>
      <c r="M10" s="56">
        <v>0</v>
      </c>
      <c r="N10" s="56">
        <v>0</v>
      </c>
      <c r="O10" s="56">
        <v>0</v>
      </c>
      <c r="P10" s="56">
        <v>0</v>
      </c>
      <c r="Q10" s="57">
        <v>0</v>
      </c>
    </row>
    <row r="11" spans="2:17" x14ac:dyDescent="0.3">
      <c r="B11" s="55" t="s">
        <v>115</v>
      </c>
      <c r="C11" s="56">
        <v>0</v>
      </c>
      <c r="D11" s="56">
        <v>0</v>
      </c>
      <c r="E11" s="56">
        <v>0</v>
      </c>
      <c r="F11" s="56">
        <v>0</v>
      </c>
      <c r="G11" s="56">
        <v>0</v>
      </c>
      <c r="H11" s="56">
        <v>0</v>
      </c>
      <c r="I11" s="56">
        <v>0</v>
      </c>
      <c r="J11" s="56">
        <v>0</v>
      </c>
      <c r="K11" s="56">
        <v>0</v>
      </c>
      <c r="L11" s="56">
        <v>0</v>
      </c>
      <c r="M11" s="56">
        <v>0</v>
      </c>
      <c r="N11" s="56">
        <v>0</v>
      </c>
      <c r="O11" s="56">
        <v>0</v>
      </c>
      <c r="P11" s="56">
        <v>0</v>
      </c>
      <c r="Q11" s="57">
        <v>0</v>
      </c>
    </row>
    <row r="12" spans="2:17" x14ac:dyDescent="0.3">
      <c r="B12" s="55" t="s">
        <v>73</v>
      </c>
      <c r="C12" s="56">
        <v>0</v>
      </c>
      <c r="D12" s="56">
        <v>0</v>
      </c>
      <c r="E12" s="56">
        <v>0</v>
      </c>
      <c r="F12" s="56">
        <v>0</v>
      </c>
      <c r="G12" s="56">
        <v>0</v>
      </c>
      <c r="H12" s="56">
        <v>0</v>
      </c>
      <c r="I12" s="56">
        <v>0</v>
      </c>
      <c r="J12" s="56">
        <v>0</v>
      </c>
      <c r="K12" s="56">
        <v>0</v>
      </c>
      <c r="L12" s="56">
        <v>0</v>
      </c>
      <c r="M12" s="56">
        <v>0</v>
      </c>
      <c r="N12" s="56">
        <v>0</v>
      </c>
      <c r="O12" s="56">
        <v>0</v>
      </c>
      <c r="P12" s="56">
        <v>0</v>
      </c>
      <c r="Q12" s="57">
        <v>0</v>
      </c>
    </row>
    <row r="13" spans="2:17" x14ac:dyDescent="0.3">
      <c r="B13" s="55" t="s">
        <v>116</v>
      </c>
      <c r="C13" s="56">
        <v>317288.83100000001</v>
      </c>
      <c r="D13" s="56">
        <v>321400.65399999998</v>
      </c>
      <c r="E13" s="56">
        <v>321400.65399999998</v>
      </c>
      <c r="F13" s="56">
        <v>0</v>
      </c>
      <c r="G13" s="56">
        <v>317288.83094303991</v>
      </c>
      <c r="H13" s="56">
        <v>317288.83094303991</v>
      </c>
      <c r="I13" s="56">
        <v>0</v>
      </c>
      <c r="J13" s="56">
        <v>0</v>
      </c>
      <c r="K13" s="56">
        <v>0</v>
      </c>
      <c r="L13" s="56">
        <v>0</v>
      </c>
      <c r="M13" s="56">
        <v>0</v>
      </c>
      <c r="N13" s="56">
        <v>0</v>
      </c>
      <c r="O13" s="56">
        <v>0</v>
      </c>
      <c r="P13" s="56">
        <v>0</v>
      </c>
      <c r="Q13" s="57">
        <v>321400.65405696008</v>
      </c>
    </row>
    <row r="14" spans="2:17" x14ac:dyDescent="0.3">
      <c r="B14" s="3" t="s">
        <v>117</v>
      </c>
      <c r="C14" s="56">
        <v>0</v>
      </c>
      <c r="D14" s="56">
        <v>0</v>
      </c>
      <c r="E14" s="56">
        <v>0</v>
      </c>
      <c r="F14" s="56">
        <v>0</v>
      </c>
      <c r="G14" s="56">
        <v>0</v>
      </c>
      <c r="H14" s="56">
        <v>0</v>
      </c>
      <c r="I14" s="56">
        <v>0</v>
      </c>
      <c r="J14" s="56">
        <v>0</v>
      </c>
      <c r="K14" s="56">
        <v>0</v>
      </c>
      <c r="L14" s="56">
        <v>0</v>
      </c>
      <c r="M14" s="56">
        <v>0</v>
      </c>
      <c r="N14" s="56">
        <v>0</v>
      </c>
      <c r="O14" s="56">
        <v>0</v>
      </c>
      <c r="P14" s="56">
        <v>0</v>
      </c>
      <c r="Q14" s="57">
        <v>0</v>
      </c>
    </row>
    <row r="15" spans="2:17" x14ac:dyDescent="0.3">
      <c r="B15" s="55" t="s">
        <v>118</v>
      </c>
      <c r="C15" s="56">
        <v>90519.785999999993</v>
      </c>
      <c r="D15" s="56">
        <v>574003.62115000002</v>
      </c>
      <c r="E15" s="56">
        <v>574003.62115000002</v>
      </c>
      <c r="F15" s="56">
        <v>0</v>
      </c>
      <c r="G15" s="56">
        <v>0</v>
      </c>
      <c r="H15" s="56">
        <v>0</v>
      </c>
      <c r="I15" s="56">
        <v>0</v>
      </c>
      <c r="J15" s="56">
        <v>0</v>
      </c>
      <c r="K15" s="56">
        <v>0</v>
      </c>
      <c r="L15" s="56">
        <v>0</v>
      </c>
      <c r="M15" s="56">
        <v>34492.280382557103</v>
      </c>
      <c r="N15" s="56">
        <v>0</v>
      </c>
      <c r="O15" s="56">
        <v>0</v>
      </c>
      <c r="P15" s="56">
        <v>0</v>
      </c>
      <c r="Q15" s="57">
        <v>630031.12676744291</v>
      </c>
    </row>
    <row r="16" spans="2:17" x14ac:dyDescent="0.3">
      <c r="B16" s="55" t="s">
        <v>119</v>
      </c>
      <c r="C16" s="56">
        <v>0</v>
      </c>
      <c r="D16" s="56">
        <v>0</v>
      </c>
      <c r="E16" s="56">
        <v>0</v>
      </c>
      <c r="F16" s="56">
        <v>0</v>
      </c>
      <c r="G16" s="56">
        <v>0</v>
      </c>
      <c r="H16" s="56">
        <v>0</v>
      </c>
      <c r="I16" s="56">
        <v>0</v>
      </c>
      <c r="J16" s="56">
        <v>0</v>
      </c>
      <c r="K16" s="56">
        <v>0</v>
      </c>
      <c r="L16" s="56">
        <v>0</v>
      </c>
      <c r="M16" s="56">
        <v>0</v>
      </c>
      <c r="N16" s="56">
        <v>0</v>
      </c>
      <c r="O16" s="56">
        <v>0</v>
      </c>
      <c r="P16" s="56">
        <v>0</v>
      </c>
      <c r="Q16" s="57">
        <v>0</v>
      </c>
    </row>
    <row r="17" spans="2:17" x14ac:dyDescent="0.3">
      <c r="B17" s="55" t="s">
        <v>120</v>
      </c>
      <c r="C17" s="56">
        <v>0</v>
      </c>
      <c r="D17" s="56">
        <v>0</v>
      </c>
      <c r="E17" s="56">
        <v>0</v>
      </c>
      <c r="F17" s="56">
        <v>0</v>
      </c>
      <c r="G17" s="56">
        <v>0</v>
      </c>
      <c r="H17" s="56">
        <v>0</v>
      </c>
      <c r="I17" s="56">
        <v>0</v>
      </c>
      <c r="J17" s="56">
        <v>0</v>
      </c>
      <c r="K17" s="56">
        <v>0</v>
      </c>
      <c r="L17" s="56">
        <v>0</v>
      </c>
      <c r="M17" s="56">
        <v>0</v>
      </c>
      <c r="N17" s="56">
        <v>0</v>
      </c>
      <c r="O17" s="56">
        <v>0</v>
      </c>
      <c r="P17" s="56">
        <v>0</v>
      </c>
      <c r="Q17" s="57">
        <v>0</v>
      </c>
    </row>
    <row r="18" spans="2:17" x14ac:dyDescent="0.3">
      <c r="B18" s="55" t="s">
        <v>121</v>
      </c>
      <c r="C18" s="56">
        <v>0</v>
      </c>
      <c r="D18" s="56">
        <v>0</v>
      </c>
      <c r="E18" s="56">
        <v>0</v>
      </c>
      <c r="F18" s="56">
        <v>0</v>
      </c>
      <c r="G18" s="56">
        <v>0</v>
      </c>
      <c r="H18" s="56">
        <v>0</v>
      </c>
      <c r="I18" s="56">
        <v>0</v>
      </c>
      <c r="J18" s="56">
        <v>0</v>
      </c>
      <c r="K18" s="56">
        <v>0</v>
      </c>
      <c r="L18" s="56">
        <v>0</v>
      </c>
      <c r="M18" s="56">
        <v>0</v>
      </c>
      <c r="N18" s="56">
        <v>0</v>
      </c>
      <c r="O18" s="56">
        <v>0</v>
      </c>
      <c r="P18" s="56">
        <v>0</v>
      </c>
      <c r="Q18" s="57">
        <v>0</v>
      </c>
    </row>
    <row r="19" spans="2:17" x14ac:dyDescent="0.3">
      <c r="B19" s="55" t="s">
        <v>122</v>
      </c>
      <c r="C19" s="60">
        <v>0</v>
      </c>
      <c r="D19" s="56">
        <v>0</v>
      </c>
      <c r="E19" s="56">
        <v>0</v>
      </c>
      <c r="F19" s="56">
        <v>0</v>
      </c>
      <c r="G19" s="56">
        <v>0</v>
      </c>
      <c r="H19" s="56">
        <v>0</v>
      </c>
      <c r="I19" s="56">
        <v>0</v>
      </c>
      <c r="J19" s="56">
        <v>0</v>
      </c>
      <c r="K19" s="56">
        <v>0</v>
      </c>
      <c r="L19" s="56">
        <v>0</v>
      </c>
      <c r="M19" s="56">
        <v>0</v>
      </c>
      <c r="N19" s="56">
        <v>0</v>
      </c>
      <c r="O19" s="56">
        <v>0</v>
      </c>
      <c r="P19" s="56">
        <v>0</v>
      </c>
      <c r="Q19" s="57">
        <v>0</v>
      </c>
    </row>
    <row r="20" spans="2:17" x14ac:dyDescent="0.3">
      <c r="B20" s="55" t="s">
        <v>123</v>
      </c>
      <c r="C20" s="60">
        <v>0</v>
      </c>
      <c r="D20" s="56">
        <v>0</v>
      </c>
      <c r="E20" s="56">
        <v>0</v>
      </c>
      <c r="F20" s="56">
        <v>0</v>
      </c>
      <c r="G20" s="56">
        <v>0</v>
      </c>
      <c r="H20" s="56">
        <v>0</v>
      </c>
      <c r="I20" s="56">
        <v>0</v>
      </c>
      <c r="J20" s="56">
        <v>0</v>
      </c>
      <c r="K20" s="56">
        <v>0</v>
      </c>
      <c r="L20" s="56">
        <v>0</v>
      </c>
      <c r="M20" s="56">
        <v>0</v>
      </c>
      <c r="N20" s="56">
        <v>0</v>
      </c>
      <c r="O20" s="56">
        <v>0</v>
      </c>
      <c r="P20" s="56">
        <v>0</v>
      </c>
      <c r="Q20" s="57">
        <v>0</v>
      </c>
    </row>
    <row r="21" spans="2:17" x14ac:dyDescent="0.3">
      <c r="B21" s="55" t="s">
        <v>124</v>
      </c>
      <c r="C21" s="60">
        <v>909166.03612982563</v>
      </c>
      <c r="D21" s="56">
        <v>0</v>
      </c>
      <c r="E21" s="56">
        <v>0</v>
      </c>
      <c r="F21" s="56">
        <v>0</v>
      </c>
      <c r="G21" s="56">
        <v>0</v>
      </c>
      <c r="H21" s="56">
        <v>0</v>
      </c>
      <c r="I21" s="56">
        <v>0</v>
      </c>
      <c r="J21" s="56">
        <v>0</v>
      </c>
      <c r="K21" s="56">
        <v>0</v>
      </c>
      <c r="L21" s="56">
        <v>0</v>
      </c>
      <c r="M21" s="56">
        <v>0</v>
      </c>
      <c r="N21" s="56">
        <v>354642.6331081005</v>
      </c>
      <c r="O21" s="56">
        <v>17716.378000000001</v>
      </c>
      <c r="P21" s="56">
        <v>0</v>
      </c>
      <c r="Q21" s="57">
        <v>1246092.2912379261</v>
      </c>
    </row>
    <row r="22" spans="2:17" x14ac:dyDescent="0.3">
      <c r="B22" s="55" t="s">
        <v>87</v>
      </c>
      <c r="C22" s="60">
        <v>0</v>
      </c>
      <c r="D22" s="56">
        <v>1423243.4297589001</v>
      </c>
      <c r="E22" s="56">
        <v>1423243.4297589001</v>
      </c>
      <c r="F22" s="56">
        <v>0</v>
      </c>
      <c r="G22" s="56">
        <v>826278.76598750008</v>
      </c>
      <c r="H22" s="56">
        <v>826278.76598750008</v>
      </c>
      <c r="I22" s="56">
        <v>0</v>
      </c>
      <c r="J22" s="56">
        <v>0</v>
      </c>
      <c r="K22" s="56">
        <v>0</v>
      </c>
      <c r="L22" s="56">
        <v>0</v>
      </c>
      <c r="M22" s="56">
        <v>0</v>
      </c>
      <c r="N22" s="56">
        <v>0</v>
      </c>
      <c r="O22" s="56">
        <v>0</v>
      </c>
      <c r="P22" s="56">
        <v>0</v>
      </c>
      <c r="Q22" s="57">
        <v>596964.66377140011</v>
      </c>
    </row>
    <row r="23" spans="2:17" x14ac:dyDescent="0.3">
      <c r="B23" s="55" t="s">
        <v>125</v>
      </c>
      <c r="C23" s="60">
        <v>846374.05732070445</v>
      </c>
      <c r="D23" s="56">
        <v>488193.50537999999</v>
      </c>
      <c r="E23" s="56">
        <v>465776.62965000002</v>
      </c>
      <c r="F23" s="56">
        <v>6856.3117637077194</v>
      </c>
      <c r="G23" s="56">
        <v>447573.86284000002</v>
      </c>
      <c r="H23" s="56">
        <v>447573.86284000002</v>
      </c>
      <c r="I23" s="56">
        <v>0</v>
      </c>
      <c r="J23" s="56">
        <v>0</v>
      </c>
      <c r="K23" s="56">
        <v>0</v>
      </c>
      <c r="L23" s="56">
        <v>27039.4662230264</v>
      </c>
      <c r="M23" s="56">
        <v>510212.63744466228</v>
      </c>
      <c r="N23" s="56">
        <v>502786.87181001948</v>
      </c>
      <c r="O23" s="56">
        <v>0</v>
      </c>
      <c r="P23" s="56">
        <v>0</v>
      </c>
      <c r="Q23" s="57">
        <v>836967.90403674287</v>
      </c>
    </row>
    <row r="24" spans="2:17" x14ac:dyDescent="0.3">
      <c r="B24" s="55" t="s">
        <v>126</v>
      </c>
      <c r="C24" s="60">
        <v>346386.59876600001</v>
      </c>
      <c r="D24" s="56">
        <v>214940.83100000001</v>
      </c>
      <c r="E24" s="56">
        <v>214940.83100000001</v>
      </c>
      <c r="F24" s="56">
        <v>0</v>
      </c>
      <c r="G24" s="56">
        <v>94402.938999999998</v>
      </c>
      <c r="H24" s="56">
        <v>94402.938999999998</v>
      </c>
      <c r="I24" s="56">
        <v>0</v>
      </c>
      <c r="J24" s="56">
        <v>0</v>
      </c>
      <c r="K24" s="56">
        <v>0</v>
      </c>
      <c r="L24" s="56">
        <v>0</v>
      </c>
      <c r="M24" s="56">
        <v>0</v>
      </c>
      <c r="N24" s="56">
        <v>6246.2979696297643</v>
      </c>
      <c r="O24" s="56">
        <v>0</v>
      </c>
      <c r="P24" s="56">
        <v>0</v>
      </c>
      <c r="Q24" s="57">
        <v>473170.78873562982</v>
      </c>
    </row>
    <row r="25" spans="2:17" x14ac:dyDescent="0.3">
      <c r="B25" s="55" t="s">
        <v>127</v>
      </c>
      <c r="C25" s="60">
        <v>0</v>
      </c>
      <c r="D25" s="56">
        <v>0</v>
      </c>
      <c r="E25" s="56">
        <v>0</v>
      </c>
      <c r="F25" s="56">
        <v>0</v>
      </c>
      <c r="G25" s="56">
        <v>0</v>
      </c>
      <c r="H25" s="56">
        <v>0</v>
      </c>
      <c r="I25" s="56">
        <v>0</v>
      </c>
      <c r="J25" s="56">
        <v>0</v>
      </c>
      <c r="K25" s="56">
        <v>0</v>
      </c>
      <c r="L25" s="56">
        <v>0</v>
      </c>
      <c r="M25" s="56">
        <v>0</v>
      </c>
      <c r="N25" s="56">
        <v>0</v>
      </c>
      <c r="O25" s="56">
        <v>0</v>
      </c>
      <c r="P25" s="56">
        <v>0</v>
      </c>
      <c r="Q25" s="57">
        <v>0</v>
      </c>
    </row>
    <row r="26" spans="2:17" x14ac:dyDescent="0.3">
      <c r="B26" s="55" t="s">
        <v>128</v>
      </c>
      <c r="C26" s="60">
        <v>0</v>
      </c>
      <c r="D26" s="56">
        <v>0</v>
      </c>
      <c r="E26" s="56">
        <v>0</v>
      </c>
      <c r="F26" s="56">
        <v>0</v>
      </c>
      <c r="G26" s="56">
        <v>0</v>
      </c>
      <c r="H26" s="56">
        <v>0</v>
      </c>
      <c r="I26" s="56">
        <v>0</v>
      </c>
      <c r="J26" s="56">
        <v>0</v>
      </c>
      <c r="K26" s="56">
        <v>0</v>
      </c>
      <c r="L26" s="56">
        <v>0</v>
      </c>
      <c r="M26" s="56">
        <v>0</v>
      </c>
      <c r="N26" s="56">
        <v>0</v>
      </c>
      <c r="O26" s="56">
        <v>0</v>
      </c>
      <c r="P26" s="56">
        <v>0</v>
      </c>
      <c r="Q26" s="57">
        <v>0</v>
      </c>
    </row>
    <row r="27" spans="2:17" x14ac:dyDescent="0.3">
      <c r="B27" s="55" t="s">
        <v>129</v>
      </c>
      <c r="C27" s="60">
        <v>0</v>
      </c>
      <c r="D27" s="56">
        <v>0</v>
      </c>
      <c r="E27" s="56">
        <v>0</v>
      </c>
      <c r="F27" s="56">
        <v>0</v>
      </c>
      <c r="G27" s="56">
        <v>0</v>
      </c>
      <c r="H27" s="56">
        <v>0</v>
      </c>
      <c r="I27" s="56">
        <v>0</v>
      </c>
      <c r="J27" s="56">
        <v>0</v>
      </c>
      <c r="K27" s="56">
        <v>0</v>
      </c>
      <c r="L27" s="56">
        <v>0</v>
      </c>
      <c r="M27" s="56">
        <v>0</v>
      </c>
      <c r="N27" s="56">
        <v>0</v>
      </c>
      <c r="O27" s="56">
        <v>0</v>
      </c>
      <c r="P27" s="56">
        <v>0</v>
      </c>
      <c r="Q27" s="57">
        <v>0</v>
      </c>
    </row>
    <row r="28" spans="2:17" x14ac:dyDescent="0.3">
      <c r="B28" s="55" t="s">
        <v>130</v>
      </c>
      <c r="C28" s="60">
        <v>100080.33</v>
      </c>
      <c r="D28" s="56">
        <v>9041.7724999999991</v>
      </c>
      <c r="E28" s="56">
        <v>9041.7724999999991</v>
      </c>
      <c r="F28" s="56">
        <v>0</v>
      </c>
      <c r="G28" s="56">
        <v>17004.168000000001</v>
      </c>
      <c r="H28" s="56">
        <v>17004.168000000001</v>
      </c>
      <c r="I28" s="56">
        <v>0</v>
      </c>
      <c r="J28" s="56">
        <v>0</v>
      </c>
      <c r="K28" s="56">
        <v>0</v>
      </c>
      <c r="L28" s="56">
        <v>263.06945000000002</v>
      </c>
      <c r="M28" s="56">
        <v>1785.47444487963</v>
      </c>
      <c r="N28" s="56">
        <v>948.09386560344603</v>
      </c>
      <c r="O28" s="56">
        <v>0</v>
      </c>
      <c r="P28" s="56">
        <v>0</v>
      </c>
      <c r="Q28" s="57">
        <v>91017.484470723793</v>
      </c>
    </row>
    <row r="29" spans="2:17" x14ac:dyDescent="0.3">
      <c r="B29" s="55" t="s">
        <v>131</v>
      </c>
      <c r="C29" s="60">
        <v>0</v>
      </c>
      <c r="D29" s="56">
        <v>0</v>
      </c>
      <c r="E29" s="56">
        <v>0</v>
      </c>
      <c r="F29" s="56">
        <v>0</v>
      </c>
      <c r="G29" s="56">
        <v>0</v>
      </c>
      <c r="H29" s="56">
        <v>0</v>
      </c>
      <c r="I29" s="56">
        <v>0</v>
      </c>
      <c r="J29" s="56">
        <v>0</v>
      </c>
      <c r="K29" s="56">
        <v>0</v>
      </c>
      <c r="L29" s="56">
        <v>0</v>
      </c>
      <c r="M29" s="56">
        <v>0</v>
      </c>
      <c r="N29" s="56">
        <v>0</v>
      </c>
      <c r="O29" s="56">
        <v>0</v>
      </c>
      <c r="P29" s="56">
        <v>0</v>
      </c>
      <c r="Q29" s="57">
        <v>0</v>
      </c>
    </row>
    <row r="30" spans="2:17" x14ac:dyDescent="0.3">
      <c r="B30" s="58" t="s">
        <v>24</v>
      </c>
      <c r="C30" s="59">
        <f t="shared" ref="C30:Q30" si="0">SUM(C6:C29)</f>
        <v>4418106.0922165299</v>
      </c>
      <c r="D30" s="59">
        <f t="shared" si="0"/>
        <v>11683115.844788902</v>
      </c>
      <c r="E30" s="59">
        <f t="shared" si="0"/>
        <v>11660698.969058901</v>
      </c>
      <c r="F30" s="59">
        <f t="shared" si="0"/>
        <v>6856.3117637077194</v>
      </c>
      <c r="G30" s="59">
        <f t="shared" si="0"/>
        <v>1886838.13045054</v>
      </c>
      <c r="H30" s="59">
        <f t="shared" si="0"/>
        <v>1886838.13045054</v>
      </c>
      <c r="I30" s="59">
        <f t="shared" si="0"/>
        <v>0</v>
      </c>
      <c r="J30" s="59">
        <f t="shared" si="0"/>
        <v>0</v>
      </c>
      <c r="K30" s="59">
        <f t="shared" si="0"/>
        <v>0</v>
      </c>
      <c r="L30" s="59">
        <f t="shared" si="0"/>
        <v>468471.89711302641</v>
      </c>
      <c r="M30" s="59">
        <f t="shared" si="0"/>
        <v>546490.39227209904</v>
      </c>
      <c r="N30" s="59">
        <f t="shared" si="0"/>
        <v>1681510.4408207932</v>
      </c>
      <c r="O30" s="59">
        <f t="shared" si="0"/>
        <v>30110.585440316332</v>
      </c>
      <c r="P30" s="59">
        <f t="shared" si="0"/>
        <v>0</v>
      </c>
      <c r="Q30" s="59">
        <f t="shared" si="0"/>
        <v>14835260.808583947</v>
      </c>
    </row>
    <row r="31" spans="2:17" ht="14.5" customHeight="1" x14ac:dyDescent="0.35">
      <c r="B31" s="321" t="s">
        <v>103</v>
      </c>
      <c r="C31" s="269"/>
      <c r="D31" s="269"/>
      <c r="E31" s="269"/>
      <c r="F31" s="269"/>
      <c r="G31" s="269"/>
      <c r="H31" s="269"/>
      <c r="I31" s="269"/>
      <c r="J31" s="269"/>
      <c r="K31" s="269"/>
      <c r="L31" s="269"/>
      <c r="M31" s="269"/>
      <c r="N31" s="269"/>
      <c r="O31" s="269"/>
      <c r="P31" s="269"/>
      <c r="Q31" s="270"/>
    </row>
    <row r="32" spans="2:17" x14ac:dyDescent="0.3">
      <c r="B32" s="55" t="s">
        <v>104</v>
      </c>
      <c r="C32" s="56">
        <v>0</v>
      </c>
      <c r="D32" s="56">
        <v>0</v>
      </c>
      <c r="E32" s="56">
        <v>0</v>
      </c>
      <c r="F32" s="56">
        <v>0</v>
      </c>
      <c r="G32" s="56">
        <v>0</v>
      </c>
      <c r="H32" s="56">
        <v>0</v>
      </c>
      <c r="I32" s="56">
        <v>0</v>
      </c>
      <c r="J32" s="56">
        <v>0</v>
      </c>
      <c r="K32" s="56">
        <v>0</v>
      </c>
      <c r="L32" s="56">
        <v>0</v>
      </c>
      <c r="M32" s="56">
        <v>0</v>
      </c>
      <c r="N32" s="56">
        <v>0</v>
      </c>
      <c r="O32" s="56">
        <v>0</v>
      </c>
      <c r="P32" s="56">
        <v>0</v>
      </c>
      <c r="Q32" s="57">
        <v>0</v>
      </c>
    </row>
    <row r="33" spans="2:17" x14ac:dyDescent="0.3">
      <c r="B33" s="55" t="s">
        <v>105</v>
      </c>
      <c r="C33" s="56">
        <v>0</v>
      </c>
      <c r="D33" s="56">
        <v>0</v>
      </c>
      <c r="E33" s="56">
        <v>0</v>
      </c>
      <c r="F33" s="56">
        <v>0</v>
      </c>
      <c r="G33" s="56">
        <v>0</v>
      </c>
      <c r="H33" s="56">
        <v>0</v>
      </c>
      <c r="I33" s="56">
        <v>0</v>
      </c>
      <c r="J33" s="56">
        <v>0</v>
      </c>
      <c r="K33" s="56">
        <v>0</v>
      </c>
      <c r="L33" s="56">
        <v>0</v>
      </c>
      <c r="M33" s="56">
        <v>0</v>
      </c>
      <c r="N33" s="56">
        <v>0</v>
      </c>
      <c r="O33" s="56">
        <v>0</v>
      </c>
      <c r="P33" s="56">
        <v>0</v>
      </c>
      <c r="Q33" s="57">
        <v>0</v>
      </c>
    </row>
    <row r="34" spans="2:17" x14ac:dyDescent="0.3">
      <c r="B34" s="55" t="s">
        <v>107</v>
      </c>
      <c r="C34" s="56">
        <v>0</v>
      </c>
      <c r="D34" s="56">
        <v>0</v>
      </c>
      <c r="E34" s="56">
        <v>0</v>
      </c>
      <c r="F34" s="56">
        <v>0</v>
      </c>
      <c r="G34" s="56">
        <v>0</v>
      </c>
      <c r="H34" s="56">
        <v>0</v>
      </c>
      <c r="I34" s="56">
        <v>0</v>
      </c>
      <c r="J34" s="56">
        <v>0</v>
      </c>
      <c r="K34" s="56">
        <v>0</v>
      </c>
      <c r="L34" s="56">
        <v>0</v>
      </c>
      <c r="M34" s="56">
        <v>0</v>
      </c>
      <c r="N34" s="56">
        <v>0</v>
      </c>
      <c r="O34" s="56">
        <v>0</v>
      </c>
      <c r="P34" s="56">
        <v>0</v>
      </c>
      <c r="Q34" s="57">
        <v>0</v>
      </c>
    </row>
    <row r="35" spans="2:17" x14ac:dyDescent="0.3">
      <c r="B35" s="58" t="s">
        <v>24</v>
      </c>
      <c r="C35" s="59">
        <f t="shared" ref="C35:Q35" si="1">SUM(C32:C34)</f>
        <v>0</v>
      </c>
      <c r="D35" s="59">
        <f t="shared" si="1"/>
        <v>0</v>
      </c>
      <c r="E35" s="59">
        <f t="shared" si="1"/>
        <v>0</v>
      </c>
      <c r="F35" s="59">
        <f t="shared" si="1"/>
        <v>0</v>
      </c>
      <c r="G35" s="59">
        <f t="shared" si="1"/>
        <v>0</v>
      </c>
      <c r="H35" s="59">
        <f t="shared" si="1"/>
        <v>0</v>
      </c>
      <c r="I35" s="59">
        <f t="shared" si="1"/>
        <v>0</v>
      </c>
      <c r="J35" s="59">
        <f t="shared" si="1"/>
        <v>0</v>
      </c>
      <c r="K35" s="59">
        <f t="shared" si="1"/>
        <v>0</v>
      </c>
      <c r="L35" s="59">
        <f t="shared" si="1"/>
        <v>0</v>
      </c>
      <c r="M35" s="59">
        <f t="shared" si="1"/>
        <v>0</v>
      </c>
      <c r="N35" s="59">
        <f t="shared" si="1"/>
        <v>0</v>
      </c>
      <c r="O35" s="59">
        <f t="shared" si="1"/>
        <v>0</v>
      </c>
      <c r="P35" s="59">
        <f t="shared" si="1"/>
        <v>0</v>
      </c>
      <c r="Q35" s="59">
        <f t="shared" si="1"/>
        <v>0</v>
      </c>
    </row>
    <row r="36" spans="2:17" ht="14.5" customHeight="1" x14ac:dyDescent="0.35">
      <c r="B36" s="322" t="s">
        <v>25</v>
      </c>
      <c r="C36" s="272"/>
      <c r="D36" s="272"/>
      <c r="E36" s="272"/>
      <c r="F36" s="272"/>
      <c r="G36" s="272"/>
      <c r="H36" s="272"/>
      <c r="I36" s="272"/>
      <c r="J36" s="272"/>
      <c r="K36" s="272"/>
      <c r="L36" s="272"/>
      <c r="M36" s="272"/>
      <c r="N36" s="272"/>
      <c r="O36" s="272"/>
      <c r="P36" s="272"/>
      <c r="Q36" s="272"/>
    </row>
  </sheetData>
  <sheetProtection algorithmName="SHA-512" hashValue="IdmZ2jkTPvmhQ6joHp/dXN+/oSDmRXZCLde8jG/TBIDXO9Vpts+hnqkmA2viDt5UoxxAGZxWAKItsVUjI9DmVg==" saltValue="kUY9H6DJT23GpaO7jEfIxw==" spinCount="100000" sheet="1" objects="1" scenarios="1"/>
  <mergeCells count="4">
    <mergeCell ref="B31:Q31"/>
    <mergeCell ref="B36:Q36"/>
    <mergeCell ref="B3:Q3"/>
    <mergeCell ref="B5:Q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5">
    <tabColor rgb="FF92D050"/>
    <pageSetUpPr fitToPage="1"/>
  </sheetPr>
  <dimension ref="B3:Q36"/>
  <sheetViews>
    <sheetView zoomScale="59" workbookViewId="0"/>
  </sheetViews>
  <sheetFormatPr defaultColWidth="15.54296875" defaultRowHeight="15.5" x14ac:dyDescent="0.35"/>
  <cols>
    <col min="1" max="1" width="15.54296875" style="76" customWidth="1"/>
    <col min="2" max="2" width="47.6328125" style="76" bestFit="1" customWidth="1"/>
    <col min="3" max="16" width="20.453125" style="76" customWidth="1"/>
    <col min="17" max="17" width="20.453125" style="140" customWidth="1"/>
    <col min="18" max="104" width="15.54296875" style="76" customWidth="1"/>
    <col min="105" max="16384" width="15.54296875" style="76"/>
  </cols>
  <sheetData>
    <row r="3" spans="2:17" ht="34" customHeight="1" x14ac:dyDescent="0.35">
      <c r="B3" s="320" t="str">
        <f>_xlfn.CONCAT('Table of Contents'!B26,": ",'Table of Contents'!C26)</f>
        <v>APPENDIX 14: SUMMARY OF PERMANENT HEALTH BUSINESS REVENUE ACCOUNTS FOR THE PERIOD ENDED 31.12.2025</v>
      </c>
      <c r="C3" s="269"/>
      <c r="D3" s="269"/>
      <c r="E3" s="269"/>
      <c r="F3" s="269"/>
      <c r="G3" s="269"/>
      <c r="H3" s="269"/>
      <c r="I3" s="269"/>
      <c r="J3" s="269"/>
      <c r="K3" s="269"/>
      <c r="L3" s="269"/>
      <c r="M3" s="269"/>
      <c r="N3" s="269"/>
      <c r="O3" s="269"/>
      <c r="P3" s="269"/>
      <c r="Q3" s="270"/>
    </row>
    <row r="4" spans="2:17" s="150"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6" t="s">
        <v>17</v>
      </c>
      <c r="C5" s="269"/>
      <c r="D5" s="269"/>
      <c r="E5" s="269"/>
      <c r="F5" s="269"/>
      <c r="G5" s="269"/>
      <c r="H5" s="269"/>
      <c r="I5" s="269"/>
      <c r="J5" s="269"/>
      <c r="K5" s="269"/>
      <c r="L5" s="269"/>
      <c r="M5" s="269"/>
      <c r="N5" s="269"/>
      <c r="O5" s="269"/>
      <c r="P5" s="269"/>
      <c r="Q5" s="270"/>
    </row>
    <row r="6" spans="2:17" ht="34.5" customHeight="1" x14ac:dyDescent="0.35">
      <c r="B6" s="67" t="s">
        <v>110</v>
      </c>
      <c r="C6" s="112">
        <v>0</v>
      </c>
      <c r="D6" s="112">
        <v>0</v>
      </c>
      <c r="E6" s="112">
        <v>0</v>
      </c>
      <c r="F6" s="112">
        <v>0</v>
      </c>
      <c r="G6" s="112">
        <v>0</v>
      </c>
      <c r="H6" s="112">
        <v>0</v>
      </c>
      <c r="I6" s="112">
        <v>0</v>
      </c>
      <c r="J6" s="112">
        <v>0</v>
      </c>
      <c r="K6" s="112">
        <v>0</v>
      </c>
      <c r="L6" s="112">
        <v>0</v>
      </c>
      <c r="M6" s="112">
        <v>0</v>
      </c>
      <c r="N6" s="112">
        <v>0</v>
      </c>
      <c r="O6" s="112">
        <v>0</v>
      </c>
      <c r="P6" s="112">
        <v>0</v>
      </c>
      <c r="Q6" s="112">
        <v>0</v>
      </c>
    </row>
    <row r="7" spans="2:17" ht="34.5" customHeight="1" x14ac:dyDescent="0.35">
      <c r="B7" s="67" t="s">
        <v>111</v>
      </c>
      <c r="C7" s="112">
        <v>0</v>
      </c>
      <c r="D7" s="112">
        <v>0</v>
      </c>
      <c r="E7" s="112">
        <v>0</v>
      </c>
      <c r="F7" s="112">
        <v>0</v>
      </c>
      <c r="G7" s="112">
        <v>0</v>
      </c>
      <c r="H7" s="112">
        <v>0</v>
      </c>
      <c r="I7" s="112">
        <v>0</v>
      </c>
      <c r="J7" s="112">
        <v>0</v>
      </c>
      <c r="K7" s="112">
        <v>0</v>
      </c>
      <c r="L7" s="112">
        <v>0</v>
      </c>
      <c r="M7" s="112">
        <v>0</v>
      </c>
      <c r="N7" s="112">
        <v>0</v>
      </c>
      <c r="O7" s="112">
        <v>0</v>
      </c>
      <c r="P7" s="112">
        <v>0</v>
      </c>
      <c r="Q7" s="112">
        <v>0</v>
      </c>
    </row>
    <row r="8" spans="2:17" ht="34.5" customHeight="1" x14ac:dyDescent="0.35">
      <c r="B8" s="67" t="s">
        <v>112</v>
      </c>
      <c r="C8" s="112">
        <v>0</v>
      </c>
      <c r="D8" s="112">
        <v>0</v>
      </c>
      <c r="E8" s="112">
        <v>0</v>
      </c>
      <c r="F8" s="112">
        <v>0</v>
      </c>
      <c r="G8" s="112">
        <v>0</v>
      </c>
      <c r="H8" s="112">
        <v>0</v>
      </c>
      <c r="I8" s="112">
        <v>0</v>
      </c>
      <c r="J8" s="112">
        <v>0</v>
      </c>
      <c r="K8" s="112">
        <v>0</v>
      </c>
      <c r="L8" s="112">
        <v>0</v>
      </c>
      <c r="M8" s="112">
        <v>0</v>
      </c>
      <c r="N8" s="112">
        <v>0</v>
      </c>
      <c r="O8" s="112">
        <v>0</v>
      </c>
      <c r="P8" s="112">
        <v>0</v>
      </c>
      <c r="Q8" s="112">
        <v>0</v>
      </c>
    </row>
    <row r="9" spans="2:17" ht="34.5" customHeight="1" x14ac:dyDescent="0.35">
      <c r="B9" s="67" t="s">
        <v>113</v>
      </c>
      <c r="C9" s="112">
        <v>0</v>
      </c>
      <c r="D9" s="112">
        <v>0</v>
      </c>
      <c r="E9" s="112">
        <v>0</v>
      </c>
      <c r="F9" s="112">
        <v>0</v>
      </c>
      <c r="G9" s="112">
        <v>0</v>
      </c>
      <c r="H9" s="112">
        <v>0</v>
      </c>
      <c r="I9" s="112">
        <v>0</v>
      </c>
      <c r="J9" s="112">
        <v>0</v>
      </c>
      <c r="K9" s="112">
        <v>0</v>
      </c>
      <c r="L9" s="112">
        <v>0</v>
      </c>
      <c r="M9" s="112">
        <v>146356.32699999999</v>
      </c>
      <c r="N9" s="112">
        <v>70997.793000000005</v>
      </c>
      <c r="O9" s="112">
        <v>0</v>
      </c>
      <c r="P9" s="112">
        <v>0</v>
      </c>
      <c r="Q9" s="112">
        <v>-75358.534</v>
      </c>
    </row>
    <row r="10" spans="2:17" ht="34.5" customHeight="1" x14ac:dyDescent="0.35">
      <c r="B10" s="67" t="s">
        <v>114</v>
      </c>
      <c r="C10" s="112">
        <v>0</v>
      </c>
      <c r="D10" s="112">
        <v>0</v>
      </c>
      <c r="E10" s="112">
        <v>0</v>
      </c>
      <c r="F10" s="112">
        <v>0</v>
      </c>
      <c r="G10" s="112">
        <v>0</v>
      </c>
      <c r="H10" s="112">
        <v>0</v>
      </c>
      <c r="I10" s="112">
        <v>0</v>
      </c>
      <c r="J10" s="112">
        <v>0</v>
      </c>
      <c r="K10" s="112">
        <v>0</v>
      </c>
      <c r="L10" s="112">
        <v>0</v>
      </c>
      <c r="M10" s="112">
        <v>0</v>
      </c>
      <c r="N10" s="112">
        <v>0</v>
      </c>
      <c r="O10" s="112">
        <v>0</v>
      </c>
      <c r="P10" s="112">
        <v>0</v>
      </c>
      <c r="Q10" s="112">
        <v>0</v>
      </c>
    </row>
    <row r="11" spans="2:17" ht="34.5" customHeight="1" x14ac:dyDescent="0.35">
      <c r="B11" s="67" t="s">
        <v>115</v>
      </c>
      <c r="C11" s="112">
        <v>0</v>
      </c>
      <c r="D11" s="112">
        <v>0</v>
      </c>
      <c r="E11" s="112">
        <v>0</v>
      </c>
      <c r="F11" s="112">
        <v>0</v>
      </c>
      <c r="G11" s="112">
        <v>0</v>
      </c>
      <c r="H11" s="112">
        <v>0</v>
      </c>
      <c r="I11" s="112">
        <v>0</v>
      </c>
      <c r="J11" s="112">
        <v>0</v>
      </c>
      <c r="K11" s="112">
        <v>0</v>
      </c>
      <c r="L11" s="112">
        <v>0</v>
      </c>
      <c r="M11" s="112">
        <v>0</v>
      </c>
      <c r="N11" s="112">
        <v>0</v>
      </c>
      <c r="O11" s="112">
        <v>0</v>
      </c>
      <c r="P11" s="112">
        <v>0</v>
      </c>
      <c r="Q11" s="112">
        <v>0</v>
      </c>
    </row>
    <row r="12" spans="2:17" ht="34.5" customHeight="1" x14ac:dyDescent="0.35">
      <c r="B12" s="67" t="s">
        <v>73</v>
      </c>
      <c r="C12" s="112">
        <v>0</v>
      </c>
      <c r="D12" s="112">
        <v>0</v>
      </c>
      <c r="E12" s="112">
        <v>0</v>
      </c>
      <c r="F12" s="112">
        <v>0</v>
      </c>
      <c r="G12" s="112">
        <v>0</v>
      </c>
      <c r="H12" s="112">
        <v>0</v>
      </c>
      <c r="I12" s="112">
        <v>0</v>
      </c>
      <c r="J12" s="112">
        <v>0</v>
      </c>
      <c r="K12" s="112">
        <v>0</v>
      </c>
      <c r="L12" s="112">
        <v>0</v>
      </c>
      <c r="M12" s="112">
        <v>0</v>
      </c>
      <c r="N12" s="112">
        <v>0</v>
      </c>
      <c r="O12" s="112">
        <v>0</v>
      </c>
      <c r="P12" s="112">
        <v>0</v>
      </c>
      <c r="Q12" s="112">
        <v>0</v>
      </c>
    </row>
    <row r="13" spans="2:17" ht="34.5" customHeight="1" x14ac:dyDescent="0.35">
      <c r="B13" s="67" t="s">
        <v>116</v>
      </c>
      <c r="C13" s="112">
        <v>0</v>
      </c>
      <c r="D13" s="112">
        <v>0</v>
      </c>
      <c r="E13" s="112">
        <v>0</v>
      </c>
      <c r="F13" s="112">
        <v>0</v>
      </c>
      <c r="G13" s="112">
        <v>0</v>
      </c>
      <c r="H13" s="112">
        <v>0</v>
      </c>
      <c r="I13" s="112">
        <v>0</v>
      </c>
      <c r="J13" s="112">
        <v>0</v>
      </c>
      <c r="K13" s="112">
        <v>0</v>
      </c>
      <c r="L13" s="112">
        <v>0</v>
      </c>
      <c r="M13" s="112">
        <v>0</v>
      </c>
      <c r="N13" s="112">
        <v>0</v>
      </c>
      <c r="O13" s="112">
        <v>0</v>
      </c>
      <c r="P13" s="112">
        <v>0</v>
      </c>
      <c r="Q13" s="112">
        <v>0</v>
      </c>
    </row>
    <row r="14" spans="2:17" ht="34.5" customHeight="1" x14ac:dyDescent="0.35">
      <c r="B14" s="67" t="s">
        <v>117</v>
      </c>
      <c r="C14" s="112">
        <v>0</v>
      </c>
      <c r="D14" s="112">
        <v>0</v>
      </c>
      <c r="E14" s="112">
        <v>0</v>
      </c>
      <c r="F14" s="112">
        <v>0</v>
      </c>
      <c r="G14" s="112">
        <v>0</v>
      </c>
      <c r="H14" s="112">
        <v>0</v>
      </c>
      <c r="I14" s="112">
        <v>0</v>
      </c>
      <c r="J14" s="112">
        <v>0</v>
      </c>
      <c r="K14" s="112">
        <v>0</v>
      </c>
      <c r="L14" s="112">
        <v>0</v>
      </c>
      <c r="M14" s="112">
        <v>0</v>
      </c>
      <c r="N14" s="112">
        <v>0</v>
      </c>
      <c r="O14" s="112">
        <v>0</v>
      </c>
      <c r="P14" s="112">
        <v>0</v>
      </c>
      <c r="Q14" s="112">
        <v>0</v>
      </c>
    </row>
    <row r="15" spans="2:17" ht="34.5" customHeight="1" x14ac:dyDescent="0.35">
      <c r="B15" s="67" t="s">
        <v>118</v>
      </c>
      <c r="C15" s="112">
        <v>0</v>
      </c>
      <c r="D15" s="112">
        <v>0</v>
      </c>
      <c r="E15" s="112">
        <v>0</v>
      </c>
      <c r="F15" s="112">
        <v>0</v>
      </c>
      <c r="G15" s="112">
        <v>0</v>
      </c>
      <c r="H15" s="112">
        <v>0</v>
      </c>
      <c r="I15" s="112">
        <v>0</v>
      </c>
      <c r="J15" s="112">
        <v>0</v>
      </c>
      <c r="K15" s="112">
        <v>0</v>
      </c>
      <c r="L15" s="112">
        <v>0</v>
      </c>
      <c r="M15" s="112">
        <v>0</v>
      </c>
      <c r="N15" s="112">
        <v>0</v>
      </c>
      <c r="O15" s="112">
        <v>0</v>
      </c>
      <c r="P15" s="112">
        <v>0</v>
      </c>
      <c r="Q15" s="112">
        <v>0</v>
      </c>
    </row>
    <row r="16" spans="2:17" ht="34.5" customHeight="1" x14ac:dyDescent="0.35">
      <c r="B16" s="67" t="s">
        <v>119</v>
      </c>
      <c r="C16" s="112">
        <v>0</v>
      </c>
      <c r="D16" s="112">
        <v>0</v>
      </c>
      <c r="E16" s="112">
        <v>0</v>
      </c>
      <c r="F16" s="112">
        <v>0</v>
      </c>
      <c r="G16" s="112">
        <v>0</v>
      </c>
      <c r="H16" s="112">
        <v>0</v>
      </c>
      <c r="I16" s="112">
        <v>0</v>
      </c>
      <c r="J16" s="112">
        <v>0</v>
      </c>
      <c r="K16" s="112">
        <v>0</v>
      </c>
      <c r="L16" s="112">
        <v>0</v>
      </c>
      <c r="M16" s="112">
        <v>0</v>
      </c>
      <c r="N16" s="112">
        <v>0</v>
      </c>
      <c r="O16" s="112">
        <v>0</v>
      </c>
      <c r="P16" s="112">
        <v>0</v>
      </c>
      <c r="Q16" s="112">
        <v>0</v>
      </c>
    </row>
    <row r="17" spans="2:17" ht="34.5" customHeight="1" x14ac:dyDescent="0.35">
      <c r="B17" s="67" t="s">
        <v>120</v>
      </c>
      <c r="C17" s="112">
        <v>0</v>
      </c>
      <c r="D17" s="112">
        <v>0</v>
      </c>
      <c r="E17" s="112">
        <v>0</v>
      </c>
      <c r="F17" s="112">
        <v>0</v>
      </c>
      <c r="G17" s="112">
        <v>0</v>
      </c>
      <c r="H17" s="112">
        <v>0</v>
      </c>
      <c r="I17" s="112">
        <v>0</v>
      </c>
      <c r="J17" s="112">
        <v>0</v>
      </c>
      <c r="K17" s="112">
        <v>0</v>
      </c>
      <c r="L17" s="112">
        <v>0</v>
      </c>
      <c r="M17" s="112">
        <v>0</v>
      </c>
      <c r="N17" s="112">
        <v>0</v>
      </c>
      <c r="O17" s="112">
        <v>0</v>
      </c>
      <c r="P17" s="112">
        <v>0</v>
      </c>
      <c r="Q17" s="112">
        <v>0</v>
      </c>
    </row>
    <row r="18" spans="2:17" ht="34.5" customHeight="1" x14ac:dyDescent="0.35">
      <c r="B18" s="67" t="s">
        <v>121</v>
      </c>
      <c r="C18" s="112">
        <v>0</v>
      </c>
      <c r="D18" s="112">
        <v>0</v>
      </c>
      <c r="E18" s="112">
        <v>0</v>
      </c>
      <c r="F18" s="112">
        <v>0</v>
      </c>
      <c r="G18" s="112">
        <v>0</v>
      </c>
      <c r="H18" s="112">
        <v>0</v>
      </c>
      <c r="I18" s="112">
        <v>0</v>
      </c>
      <c r="J18" s="112">
        <v>0</v>
      </c>
      <c r="K18" s="112">
        <v>0</v>
      </c>
      <c r="L18" s="112">
        <v>0</v>
      </c>
      <c r="M18" s="112">
        <v>0</v>
      </c>
      <c r="N18" s="112">
        <v>0</v>
      </c>
      <c r="O18" s="112">
        <v>0</v>
      </c>
      <c r="P18" s="112">
        <v>0</v>
      </c>
      <c r="Q18" s="112">
        <v>0</v>
      </c>
    </row>
    <row r="19" spans="2:17" ht="34.5" customHeight="1" x14ac:dyDescent="0.35">
      <c r="B19" s="67" t="s">
        <v>122</v>
      </c>
      <c r="C19" s="112">
        <v>0</v>
      </c>
      <c r="D19" s="112">
        <v>0</v>
      </c>
      <c r="E19" s="112">
        <v>0</v>
      </c>
      <c r="F19" s="112">
        <v>0</v>
      </c>
      <c r="G19" s="112">
        <v>0</v>
      </c>
      <c r="H19" s="112">
        <v>0</v>
      </c>
      <c r="I19" s="112">
        <v>0</v>
      </c>
      <c r="J19" s="112">
        <v>0</v>
      </c>
      <c r="K19" s="112">
        <v>0</v>
      </c>
      <c r="L19" s="112">
        <v>0</v>
      </c>
      <c r="M19" s="112">
        <v>0</v>
      </c>
      <c r="N19" s="112">
        <v>0</v>
      </c>
      <c r="O19" s="112">
        <v>0</v>
      </c>
      <c r="P19" s="112">
        <v>0</v>
      </c>
      <c r="Q19" s="112">
        <v>0</v>
      </c>
    </row>
    <row r="20" spans="2:17" ht="34.5" customHeight="1" x14ac:dyDescent="0.35">
      <c r="B20" s="67" t="s">
        <v>123</v>
      </c>
      <c r="C20" s="112">
        <v>0</v>
      </c>
      <c r="D20" s="112">
        <v>0</v>
      </c>
      <c r="E20" s="112">
        <v>0</v>
      </c>
      <c r="F20" s="112">
        <v>0</v>
      </c>
      <c r="G20" s="112">
        <v>0</v>
      </c>
      <c r="H20" s="112">
        <v>0</v>
      </c>
      <c r="I20" s="112">
        <v>0</v>
      </c>
      <c r="J20" s="112">
        <v>0</v>
      </c>
      <c r="K20" s="112">
        <v>0</v>
      </c>
      <c r="L20" s="112">
        <v>0</v>
      </c>
      <c r="M20" s="112">
        <v>0</v>
      </c>
      <c r="N20" s="112">
        <v>0</v>
      </c>
      <c r="O20" s="112">
        <v>0</v>
      </c>
      <c r="P20" s="112">
        <v>0</v>
      </c>
      <c r="Q20" s="112">
        <v>0</v>
      </c>
    </row>
    <row r="21" spans="2:17" ht="34.5" customHeight="1" x14ac:dyDescent="0.35">
      <c r="B21" s="67" t="s">
        <v>124</v>
      </c>
      <c r="C21" s="112">
        <v>0</v>
      </c>
      <c r="D21" s="112">
        <v>0</v>
      </c>
      <c r="E21" s="112">
        <v>0</v>
      </c>
      <c r="F21" s="112">
        <v>0</v>
      </c>
      <c r="G21" s="112">
        <v>0</v>
      </c>
      <c r="H21" s="112">
        <v>0</v>
      </c>
      <c r="I21" s="112">
        <v>0</v>
      </c>
      <c r="J21" s="112">
        <v>0</v>
      </c>
      <c r="K21" s="112">
        <v>0</v>
      </c>
      <c r="L21" s="112">
        <v>0</v>
      </c>
      <c r="M21" s="112">
        <v>0</v>
      </c>
      <c r="N21" s="112">
        <v>0</v>
      </c>
      <c r="O21" s="112">
        <v>0</v>
      </c>
      <c r="P21" s="112">
        <v>0</v>
      </c>
      <c r="Q21" s="112">
        <v>0</v>
      </c>
    </row>
    <row r="22" spans="2:17" ht="34.5" customHeight="1" x14ac:dyDescent="0.35">
      <c r="B22" s="67" t="s">
        <v>87</v>
      </c>
      <c r="C22" s="112">
        <v>0</v>
      </c>
      <c r="D22" s="112">
        <v>0</v>
      </c>
      <c r="E22" s="112">
        <v>0</v>
      </c>
      <c r="F22" s="112">
        <v>0</v>
      </c>
      <c r="G22" s="112">
        <v>0</v>
      </c>
      <c r="H22" s="112">
        <v>0</v>
      </c>
      <c r="I22" s="112">
        <v>0</v>
      </c>
      <c r="J22" s="112">
        <v>0</v>
      </c>
      <c r="K22" s="112">
        <v>0</v>
      </c>
      <c r="L22" s="112">
        <v>0</v>
      </c>
      <c r="M22" s="112">
        <v>0</v>
      </c>
      <c r="N22" s="112">
        <v>0</v>
      </c>
      <c r="O22" s="112">
        <v>0</v>
      </c>
      <c r="P22" s="112">
        <v>0</v>
      </c>
      <c r="Q22" s="112">
        <v>0</v>
      </c>
    </row>
    <row r="23" spans="2:17" ht="34.5" customHeight="1" x14ac:dyDescent="0.35">
      <c r="B23" s="67" t="s">
        <v>125</v>
      </c>
      <c r="C23" s="112">
        <v>0</v>
      </c>
      <c r="D23" s="112">
        <v>0</v>
      </c>
      <c r="E23" s="112">
        <v>0</v>
      </c>
      <c r="F23" s="112">
        <v>0</v>
      </c>
      <c r="G23" s="112">
        <v>0</v>
      </c>
      <c r="H23" s="112">
        <v>0</v>
      </c>
      <c r="I23" s="112">
        <v>0</v>
      </c>
      <c r="J23" s="112">
        <v>0</v>
      </c>
      <c r="K23" s="112">
        <v>0</v>
      </c>
      <c r="L23" s="112">
        <v>0</v>
      </c>
      <c r="M23" s="112">
        <v>0</v>
      </c>
      <c r="N23" s="112">
        <v>0</v>
      </c>
      <c r="O23" s="112">
        <v>0</v>
      </c>
      <c r="P23" s="112">
        <v>0</v>
      </c>
      <c r="Q23" s="112">
        <v>0</v>
      </c>
    </row>
    <row r="24" spans="2:17" ht="34.5" customHeight="1" x14ac:dyDescent="0.35">
      <c r="B24" s="67" t="s">
        <v>126</v>
      </c>
      <c r="C24" s="112">
        <v>0</v>
      </c>
      <c r="D24" s="112">
        <v>0</v>
      </c>
      <c r="E24" s="112">
        <v>0</v>
      </c>
      <c r="F24" s="112">
        <v>0</v>
      </c>
      <c r="G24" s="112">
        <v>0</v>
      </c>
      <c r="H24" s="112">
        <v>0</v>
      </c>
      <c r="I24" s="112">
        <v>0</v>
      </c>
      <c r="J24" s="112">
        <v>0</v>
      </c>
      <c r="K24" s="112">
        <v>0</v>
      </c>
      <c r="L24" s="112">
        <v>0</v>
      </c>
      <c r="M24" s="112">
        <v>0</v>
      </c>
      <c r="N24" s="112">
        <v>0</v>
      </c>
      <c r="O24" s="112">
        <v>0</v>
      </c>
      <c r="P24" s="112">
        <v>0</v>
      </c>
      <c r="Q24" s="112">
        <v>0</v>
      </c>
    </row>
    <row r="25" spans="2:17" ht="34.5" customHeight="1" x14ac:dyDescent="0.35">
      <c r="B25" s="67" t="s">
        <v>127</v>
      </c>
      <c r="C25" s="112">
        <v>0</v>
      </c>
      <c r="D25" s="112">
        <v>0</v>
      </c>
      <c r="E25" s="112">
        <v>0</v>
      </c>
      <c r="F25" s="112">
        <v>0</v>
      </c>
      <c r="G25" s="112">
        <v>0</v>
      </c>
      <c r="H25" s="112">
        <v>0</v>
      </c>
      <c r="I25" s="112">
        <v>0</v>
      </c>
      <c r="J25" s="112">
        <v>0</v>
      </c>
      <c r="K25" s="112">
        <v>0</v>
      </c>
      <c r="L25" s="112">
        <v>0</v>
      </c>
      <c r="M25" s="112">
        <v>0</v>
      </c>
      <c r="N25" s="112">
        <v>0</v>
      </c>
      <c r="O25" s="112">
        <v>0</v>
      </c>
      <c r="P25" s="112">
        <v>0</v>
      </c>
      <c r="Q25" s="112">
        <v>0</v>
      </c>
    </row>
    <row r="26" spans="2:17" ht="34.5" customHeight="1" x14ac:dyDescent="0.35">
      <c r="B26" s="67" t="s">
        <v>128</v>
      </c>
      <c r="C26" s="112">
        <v>0</v>
      </c>
      <c r="D26" s="112">
        <v>0</v>
      </c>
      <c r="E26" s="112">
        <v>0</v>
      </c>
      <c r="F26" s="112">
        <v>0</v>
      </c>
      <c r="G26" s="112">
        <v>0</v>
      </c>
      <c r="H26" s="112">
        <v>0</v>
      </c>
      <c r="I26" s="112">
        <v>0</v>
      </c>
      <c r="J26" s="112">
        <v>0</v>
      </c>
      <c r="K26" s="112">
        <v>0</v>
      </c>
      <c r="L26" s="112">
        <v>0</v>
      </c>
      <c r="M26" s="112">
        <v>0</v>
      </c>
      <c r="N26" s="112">
        <v>0</v>
      </c>
      <c r="O26" s="112">
        <v>0</v>
      </c>
      <c r="P26" s="112">
        <v>0</v>
      </c>
      <c r="Q26" s="112">
        <v>0</v>
      </c>
    </row>
    <row r="27" spans="2:17" ht="34.5" customHeight="1" x14ac:dyDescent="0.35">
      <c r="B27" s="67" t="s">
        <v>129</v>
      </c>
      <c r="C27" s="112">
        <v>0</v>
      </c>
      <c r="D27" s="112">
        <v>0</v>
      </c>
      <c r="E27" s="112">
        <v>0</v>
      </c>
      <c r="F27" s="112">
        <v>0</v>
      </c>
      <c r="G27" s="112">
        <v>0</v>
      </c>
      <c r="H27" s="112">
        <v>0</v>
      </c>
      <c r="I27" s="112">
        <v>0</v>
      </c>
      <c r="J27" s="112">
        <v>0</v>
      </c>
      <c r="K27" s="112">
        <v>0</v>
      </c>
      <c r="L27" s="112">
        <v>0</v>
      </c>
      <c r="M27" s="112">
        <v>0</v>
      </c>
      <c r="N27" s="112">
        <v>0</v>
      </c>
      <c r="O27" s="112">
        <v>0</v>
      </c>
      <c r="P27" s="112">
        <v>0</v>
      </c>
      <c r="Q27" s="112">
        <v>0</v>
      </c>
    </row>
    <row r="28" spans="2:17" ht="34.5" customHeight="1" x14ac:dyDescent="0.35">
      <c r="B28" s="67" t="s">
        <v>130</v>
      </c>
      <c r="C28" s="112">
        <v>0</v>
      </c>
      <c r="D28" s="112">
        <v>0</v>
      </c>
      <c r="E28" s="112">
        <v>0</v>
      </c>
      <c r="F28" s="112">
        <v>0</v>
      </c>
      <c r="G28" s="112">
        <v>0</v>
      </c>
      <c r="H28" s="112">
        <v>0</v>
      </c>
      <c r="I28" s="112">
        <v>0</v>
      </c>
      <c r="J28" s="112">
        <v>0</v>
      </c>
      <c r="K28" s="112">
        <v>0</v>
      </c>
      <c r="L28" s="112">
        <v>0</v>
      </c>
      <c r="M28" s="112">
        <v>0</v>
      </c>
      <c r="N28" s="112">
        <v>0</v>
      </c>
      <c r="O28" s="112">
        <v>0</v>
      </c>
      <c r="P28" s="112">
        <v>0</v>
      </c>
      <c r="Q28" s="112">
        <v>0</v>
      </c>
    </row>
    <row r="29" spans="2:17" ht="34.5" customHeight="1" x14ac:dyDescent="0.35">
      <c r="B29" s="67" t="s">
        <v>131</v>
      </c>
      <c r="C29" s="112">
        <v>0</v>
      </c>
      <c r="D29" s="112">
        <v>0</v>
      </c>
      <c r="E29" s="112">
        <v>0</v>
      </c>
      <c r="F29" s="112">
        <v>0</v>
      </c>
      <c r="G29" s="112">
        <v>0</v>
      </c>
      <c r="H29" s="112">
        <v>0</v>
      </c>
      <c r="I29" s="112">
        <v>0</v>
      </c>
      <c r="J29" s="112">
        <v>0</v>
      </c>
      <c r="K29" s="112">
        <v>0</v>
      </c>
      <c r="L29" s="112">
        <v>0</v>
      </c>
      <c r="M29" s="112">
        <v>0</v>
      </c>
      <c r="N29" s="112">
        <v>0</v>
      </c>
      <c r="O29" s="112">
        <v>0</v>
      </c>
      <c r="P29" s="112">
        <v>0</v>
      </c>
      <c r="Q29" s="112">
        <v>0</v>
      </c>
    </row>
    <row r="30" spans="2:17" ht="34.5" customHeight="1" x14ac:dyDescent="0.35">
      <c r="B30" s="137" t="s">
        <v>24</v>
      </c>
      <c r="C30" s="142">
        <f t="shared" ref="C30:Q30" si="0">SUM(C6:C29)</f>
        <v>0</v>
      </c>
      <c r="D30" s="142">
        <f t="shared" si="0"/>
        <v>0</v>
      </c>
      <c r="E30" s="142">
        <f t="shared" si="0"/>
        <v>0</v>
      </c>
      <c r="F30" s="142">
        <f t="shared" si="0"/>
        <v>0</v>
      </c>
      <c r="G30" s="142">
        <f t="shared" si="0"/>
        <v>0</v>
      </c>
      <c r="H30" s="142">
        <f t="shared" si="0"/>
        <v>0</v>
      </c>
      <c r="I30" s="142">
        <f t="shared" si="0"/>
        <v>0</v>
      </c>
      <c r="J30" s="142">
        <f t="shared" si="0"/>
        <v>0</v>
      </c>
      <c r="K30" s="142">
        <f t="shared" si="0"/>
        <v>0</v>
      </c>
      <c r="L30" s="142">
        <f t="shared" si="0"/>
        <v>0</v>
      </c>
      <c r="M30" s="142">
        <f t="shared" si="0"/>
        <v>146356.32699999999</v>
      </c>
      <c r="N30" s="142">
        <f t="shared" si="0"/>
        <v>70997.793000000005</v>
      </c>
      <c r="O30" s="142">
        <f t="shared" si="0"/>
        <v>0</v>
      </c>
      <c r="P30" s="142">
        <f t="shared" si="0"/>
        <v>0</v>
      </c>
      <c r="Q30" s="142">
        <f t="shared" si="0"/>
        <v>-75358.534</v>
      </c>
    </row>
    <row r="31" spans="2:17" ht="34.5" customHeight="1" x14ac:dyDescent="0.35">
      <c r="B31" s="316" t="s">
        <v>103</v>
      </c>
      <c r="C31" s="269"/>
      <c r="D31" s="269"/>
      <c r="E31" s="269"/>
      <c r="F31" s="269"/>
      <c r="G31" s="269"/>
      <c r="H31" s="269"/>
      <c r="I31" s="269"/>
      <c r="J31" s="269"/>
      <c r="K31" s="269"/>
      <c r="L31" s="269"/>
      <c r="M31" s="269"/>
      <c r="N31" s="269"/>
      <c r="O31" s="269"/>
      <c r="P31" s="269"/>
      <c r="Q31" s="270"/>
    </row>
    <row r="32" spans="2:17" ht="34.5" customHeight="1" x14ac:dyDescent="0.35">
      <c r="B32" s="67" t="s">
        <v>104</v>
      </c>
      <c r="C32" s="112">
        <v>0</v>
      </c>
      <c r="D32" s="112">
        <v>0</v>
      </c>
      <c r="E32" s="112">
        <v>0</v>
      </c>
      <c r="F32" s="112">
        <v>0</v>
      </c>
      <c r="G32" s="112">
        <v>0</v>
      </c>
      <c r="H32" s="112">
        <v>0</v>
      </c>
      <c r="I32" s="112">
        <v>0</v>
      </c>
      <c r="J32" s="112">
        <v>0</v>
      </c>
      <c r="K32" s="112">
        <v>0</v>
      </c>
      <c r="L32" s="112">
        <v>0</v>
      </c>
      <c r="M32" s="112">
        <v>0</v>
      </c>
      <c r="N32" s="112">
        <v>0</v>
      </c>
      <c r="O32" s="112">
        <v>0</v>
      </c>
      <c r="P32" s="112">
        <v>0</v>
      </c>
      <c r="Q32" s="112">
        <v>0</v>
      </c>
    </row>
    <row r="33" spans="2:17" ht="34.5" customHeight="1" x14ac:dyDescent="0.35">
      <c r="B33" s="67" t="s">
        <v>105</v>
      </c>
      <c r="C33" s="112">
        <v>0</v>
      </c>
      <c r="D33" s="112">
        <v>0</v>
      </c>
      <c r="E33" s="112">
        <v>0</v>
      </c>
      <c r="F33" s="112">
        <v>0</v>
      </c>
      <c r="G33" s="112">
        <v>0</v>
      </c>
      <c r="H33" s="112">
        <v>0</v>
      </c>
      <c r="I33" s="112">
        <v>0</v>
      </c>
      <c r="J33" s="112">
        <v>0</v>
      </c>
      <c r="K33" s="112">
        <v>0</v>
      </c>
      <c r="L33" s="112">
        <v>0</v>
      </c>
      <c r="M33" s="112">
        <v>0</v>
      </c>
      <c r="N33" s="112">
        <v>0</v>
      </c>
      <c r="O33" s="112">
        <v>0</v>
      </c>
      <c r="P33" s="112">
        <v>0</v>
      </c>
      <c r="Q33" s="112">
        <v>0</v>
      </c>
    </row>
    <row r="34" spans="2:17" ht="34.5" customHeight="1" x14ac:dyDescent="0.35">
      <c r="B34" s="67" t="s">
        <v>107</v>
      </c>
      <c r="C34" s="112">
        <v>0</v>
      </c>
      <c r="D34" s="112">
        <v>0</v>
      </c>
      <c r="E34" s="112">
        <v>0</v>
      </c>
      <c r="F34" s="112">
        <v>0</v>
      </c>
      <c r="G34" s="112">
        <v>0</v>
      </c>
      <c r="H34" s="112">
        <v>0</v>
      </c>
      <c r="I34" s="112">
        <v>0</v>
      </c>
      <c r="J34" s="112">
        <v>0</v>
      </c>
      <c r="K34" s="112">
        <v>0</v>
      </c>
      <c r="L34" s="112">
        <v>0</v>
      </c>
      <c r="M34" s="112">
        <v>0</v>
      </c>
      <c r="N34" s="112">
        <v>0</v>
      </c>
      <c r="O34" s="112">
        <v>0</v>
      </c>
      <c r="P34" s="112">
        <v>0</v>
      </c>
      <c r="Q34" s="112">
        <v>0</v>
      </c>
    </row>
    <row r="35" spans="2:17" ht="34.5" customHeight="1" x14ac:dyDescent="0.35">
      <c r="B35" s="137" t="s">
        <v>24</v>
      </c>
      <c r="C35" s="142">
        <f t="shared" ref="C35:Q35" si="1">SUM(C32:C34)</f>
        <v>0</v>
      </c>
      <c r="D35" s="142">
        <f t="shared" si="1"/>
        <v>0</v>
      </c>
      <c r="E35" s="142">
        <f t="shared" si="1"/>
        <v>0</v>
      </c>
      <c r="F35" s="142">
        <f t="shared" si="1"/>
        <v>0</v>
      </c>
      <c r="G35" s="142">
        <f t="shared" si="1"/>
        <v>0</v>
      </c>
      <c r="H35" s="142">
        <f t="shared" si="1"/>
        <v>0</v>
      </c>
      <c r="I35" s="142">
        <f t="shared" si="1"/>
        <v>0</v>
      </c>
      <c r="J35" s="142">
        <f t="shared" si="1"/>
        <v>0</v>
      </c>
      <c r="K35" s="142">
        <f t="shared" si="1"/>
        <v>0</v>
      </c>
      <c r="L35" s="142">
        <f t="shared" si="1"/>
        <v>0</v>
      </c>
      <c r="M35" s="142">
        <f t="shared" si="1"/>
        <v>0</v>
      </c>
      <c r="N35" s="142">
        <f t="shared" si="1"/>
        <v>0</v>
      </c>
      <c r="O35" s="142">
        <f t="shared" si="1"/>
        <v>0</v>
      </c>
      <c r="P35" s="142">
        <f t="shared" si="1"/>
        <v>0</v>
      </c>
      <c r="Q35" s="142">
        <f t="shared" si="1"/>
        <v>0</v>
      </c>
    </row>
    <row r="36" spans="2:17" ht="34.5" customHeight="1" x14ac:dyDescent="0.35">
      <c r="B36" s="318" t="s">
        <v>25</v>
      </c>
      <c r="C36" s="272"/>
      <c r="D36" s="272"/>
      <c r="E36" s="272"/>
      <c r="F36" s="272"/>
      <c r="G36" s="272"/>
      <c r="H36" s="272"/>
      <c r="I36" s="272"/>
      <c r="J36" s="272"/>
      <c r="K36" s="272"/>
      <c r="L36" s="272"/>
      <c r="M36" s="272"/>
      <c r="N36" s="272"/>
      <c r="O36" s="272"/>
      <c r="P36" s="272"/>
      <c r="Q36" s="272"/>
    </row>
  </sheetData>
  <sheetProtection algorithmName="SHA-512" hashValue="qgLo0Qu57xb6wfcwOALnbhi9VjGIvkaEZXBYaC3mXFfcjP5u0MrT1klaLsEszECDcuoYofZW+WppwXk0Fl28wg==" saltValue="RyleP5tKxJLhRHHUtGDNhw==" spinCount="100000" sheet="1" objects="1" scenarios="1"/>
  <mergeCells count="4">
    <mergeCell ref="B31:Q31"/>
    <mergeCell ref="B36:Q36"/>
    <mergeCell ref="B3:Q3"/>
    <mergeCell ref="B5:Q5"/>
  </mergeCells>
  <pageMargins left="0.7" right="0.7" top="0.75" bottom="0.75" header="0.3" footer="0.3"/>
  <pageSetup paperSize="9" scale="35"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0">
    <tabColor rgb="FF92D050"/>
    <pageSetUpPr fitToPage="1"/>
  </sheetPr>
  <dimension ref="B3:Q36"/>
  <sheetViews>
    <sheetView topLeftCell="B1" workbookViewId="0"/>
  </sheetViews>
  <sheetFormatPr defaultColWidth="9.453125" defaultRowHeight="14.5" x14ac:dyDescent="0.35"/>
  <cols>
    <col min="1" max="1" width="15.453125" customWidth="1"/>
    <col min="2" max="2" width="45.453125" bestFit="1" customWidth="1"/>
    <col min="3" max="16" width="20.453125" customWidth="1"/>
    <col min="17" max="17" width="20.453125" style="1" customWidth="1"/>
  </cols>
  <sheetData>
    <row r="3" spans="2:17" x14ac:dyDescent="0.35">
      <c r="B3" s="325" t="str">
        <f>_xlfn.CONCAT("SUMMARY OF PENSIONS BUSINESS REVENUE ACCOUNTS FOR THE PERIOD ENDED"," ",Details!F18)</f>
        <v>SUMMARY OF PENSIONS BUSINESS REVENUE ACCOUNTS FOR THE PERIOD ENDED 31.12.2025</v>
      </c>
      <c r="C3" s="269"/>
      <c r="D3" s="269"/>
      <c r="E3" s="269"/>
      <c r="F3" s="269"/>
      <c r="G3" s="269"/>
      <c r="H3" s="269"/>
      <c r="I3" s="269"/>
      <c r="J3" s="269"/>
      <c r="K3" s="269"/>
      <c r="L3" s="269"/>
      <c r="M3" s="269"/>
      <c r="N3" s="269"/>
      <c r="O3" s="269"/>
      <c r="P3" s="269"/>
      <c r="Q3" s="270"/>
    </row>
    <row r="4" spans="2:17" s="35" customFormat="1" ht="28.5" customHeight="1" x14ac:dyDescent="0.35">
      <c r="B4" s="26" t="s">
        <v>0</v>
      </c>
      <c r="C4" s="27" t="s">
        <v>200</v>
      </c>
      <c r="D4" s="27" t="s">
        <v>201</v>
      </c>
      <c r="E4" s="27" t="s">
        <v>202</v>
      </c>
      <c r="F4" s="27" t="s">
        <v>203</v>
      </c>
      <c r="G4" s="27" t="s">
        <v>204</v>
      </c>
      <c r="H4" s="27" t="s">
        <v>205</v>
      </c>
      <c r="I4" s="27" t="s">
        <v>206</v>
      </c>
      <c r="J4" s="27" t="s">
        <v>207</v>
      </c>
      <c r="K4" s="27" t="s">
        <v>208</v>
      </c>
      <c r="L4" s="27" t="s">
        <v>209</v>
      </c>
      <c r="M4" s="27" t="s">
        <v>210</v>
      </c>
      <c r="N4" s="27" t="s">
        <v>211</v>
      </c>
      <c r="O4" s="27" t="s">
        <v>212</v>
      </c>
      <c r="P4" s="27" t="s">
        <v>213</v>
      </c>
      <c r="Q4" s="27" t="s">
        <v>214</v>
      </c>
    </row>
    <row r="5" spans="2:17" x14ac:dyDescent="0.35">
      <c r="B5" s="324" t="s">
        <v>17</v>
      </c>
      <c r="C5" s="269"/>
      <c r="D5" s="269"/>
      <c r="E5" s="269"/>
      <c r="F5" s="269"/>
      <c r="G5" s="269"/>
      <c r="H5" s="269"/>
      <c r="I5" s="269"/>
      <c r="J5" s="269"/>
      <c r="K5" s="269"/>
      <c r="L5" s="269"/>
      <c r="M5" s="269"/>
      <c r="N5" s="269"/>
      <c r="O5" s="269"/>
      <c r="P5" s="269"/>
      <c r="Q5" s="270"/>
    </row>
    <row r="6" spans="2:17" x14ac:dyDescent="0.35">
      <c r="B6" s="6" t="str">
        <f>+'APPENDIX 15'!B6</f>
        <v>ABSA LIFE ASSURANCE</v>
      </c>
      <c r="C6" s="28">
        <f>+'APPENDIX 15'!C6+'APPENDIX 16'!C6</f>
        <v>0</v>
      </c>
      <c r="D6" s="28">
        <f>+'APPENDIX 15'!D6+'APPENDIX 16'!D6</f>
        <v>0</v>
      </c>
      <c r="E6" s="28">
        <f>+'APPENDIX 15'!E6+'APPENDIX 16'!E6</f>
        <v>0</v>
      </c>
      <c r="F6" s="28">
        <f>+'APPENDIX 15'!F6+'APPENDIX 16'!F6</f>
        <v>0</v>
      </c>
      <c r="G6" s="28">
        <f>+'APPENDIX 15'!G6+'APPENDIX 16'!G6</f>
        <v>0</v>
      </c>
      <c r="H6" s="28">
        <f>+'APPENDIX 15'!H6+'APPENDIX 16'!H6</f>
        <v>0</v>
      </c>
      <c r="I6" s="28">
        <f>+'APPENDIX 15'!I6+'APPENDIX 16'!I6</f>
        <v>0</v>
      </c>
      <c r="J6" s="28">
        <f>+'APPENDIX 15'!J6+'APPENDIX 16'!J6</f>
        <v>0</v>
      </c>
      <c r="K6" s="28">
        <f>+'APPENDIX 15'!K6+'APPENDIX 16'!K6</f>
        <v>0</v>
      </c>
      <c r="L6" s="28">
        <f>+'APPENDIX 15'!L6+'APPENDIX 16'!L6</f>
        <v>0</v>
      </c>
      <c r="M6" s="28">
        <f>+'APPENDIX 15'!M6+'APPENDIX 16'!M6</f>
        <v>0</v>
      </c>
      <c r="N6" s="28">
        <f>+'APPENDIX 15'!N6+'APPENDIX 16'!N6</f>
        <v>0</v>
      </c>
      <c r="O6" s="28">
        <f>+'APPENDIX 15'!O6+'APPENDIX 16'!O6</f>
        <v>0</v>
      </c>
      <c r="P6" s="28">
        <f>+'APPENDIX 15'!P6+'APPENDIX 16'!P6</f>
        <v>0</v>
      </c>
      <c r="Q6" s="40">
        <f>+'APPENDIX 15'!Q6+'APPENDIX 16'!Q6</f>
        <v>0</v>
      </c>
    </row>
    <row r="7" spans="2:17" x14ac:dyDescent="0.35">
      <c r="B7" s="3" t="str">
        <f>+'APPENDIX 15'!B7</f>
        <v xml:space="preserve">APA LIFE ASSURANCE COMPANY </v>
      </c>
      <c r="C7" s="28">
        <f>+'APPENDIX 15'!C7+'APPENDIX 16'!C7</f>
        <v>9733226.7569999993</v>
      </c>
      <c r="D7" s="28">
        <f>+'APPENDIX 15'!D7+'APPENDIX 16'!D7</f>
        <v>2080104.25455</v>
      </c>
      <c r="E7" s="28">
        <f>+'APPENDIX 15'!E7+'APPENDIX 16'!E7</f>
        <v>2080104.25455</v>
      </c>
      <c r="F7" s="28">
        <f>+'APPENDIX 15'!F7+'APPENDIX 16'!F7</f>
        <v>0</v>
      </c>
      <c r="G7" s="28">
        <f>+'APPENDIX 15'!G7+'APPENDIX 16'!G7</f>
        <v>1473357.75743</v>
      </c>
      <c r="H7" s="28">
        <f>+'APPENDIX 15'!H7+'APPENDIX 16'!H7</f>
        <v>1473357.75743</v>
      </c>
      <c r="I7" s="28">
        <f>+'APPENDIX 15'!I7+'APPENDIX 16'!I7</f>
        <v>0</v>
      </c>
      <c r="J7" s="28">
        <f>+'APPENDIX 15'!J7+'APPENDIX 16'!J7</f>
        <v>0</v>
      </c>
      <c r="K7" s="28">
        <f>+'APPENDIX 15'!K7+'APPENDIX 16'!K7</f>
        <v>0</v>
      </c>
      <c r="L7" s="28">
        <f>+'APPENDIX 15'!L7+'APPENDIX 16'!L7</f>
        <v>74016.236999999994</v>
      </c>
      <c r="M7" s="28">
        <f>+'APPENDIX 15'!M7+'APPENDIX 16'!M7</f>
        <v>103966.23191748971</v>
      </c>
      <c r="N7" s="28">
        <f>+'APPENDIX 15'!N7+'APPENDIX 16'!N7</f>
        <v>1636032.41487774</v>
      </c>
      <c r="O7" s="28">
        <f>+'APPENDIX 15'!O7+'APPENDIX 16'!O7</f>
        <v>30218.472958099403</v>
      </c>
      <c r="P7" s="28">
        <f>+'APPENDIX 15'!P7+'APPENDIX 16'!P7</f>
        <v>0</v>
      </c>
      <c r="Q7" s="40">
        <f>+'APPENDIX 15'!Q7+'APPENDIX 16'!Q7</f>
        <v>11767804.727122148</v>
      </c>
    </row>
    <row r="8" spans="2:17" x14ac:dyDescent="0.35">
      <c r="B8" s="3" t="str">
        <f>+'APPENDIX 15'!B8</f>
        <v>BRITAM LIFE ASSURANCE</v>
      </c>
      <c r="C8" s="28">
        <f>+'APPENDIX 15'!C8+'APPENDIX 16'!C8</f>
        <v>77630271.833904281</v>
      </c>
      <c r="D8" s="28">
        <f>+'APPENDIX 15'!D8+'APPENDIX 16'!D8</f>
        <v>14976432.269299999</v>
      </c>
      <c r="E8" s="28">
        <f>+'APPENDIX 15'!E8+'APPENDIX 16'!E8</f>
        <v>14976432.269299999</v>
      </c>
      <c r="F8" s="28">
        <f>+'APPENDIX 15'!F8+'APPENDIX 16'!F8</f>
        <v>0</v>
      </c>
      <c r="G8" s="28">
        <f>+'APPENDIX 15'!G8+'APPENDIX 16'!G8</f>
        <v>20277976.702399999</v>
      </c>
      <c r="H8" s="28">
        <f>+'APPENDIX 15'!H8+'APPENDIX 16'!H8</f>
        <v>20277976.702399999</v>
      </c>
      <c r="I8" s="28">
        <f>+'APPENDIX 15'!I8+'APPENDIX 16'!I8</f>
        <v>0</v>
      </c>
      <c r="J8" s="28">
        <f>+'APPENDIX 15'!J8+'APPENDIX 16'!J8</f>
        <v>0</v>
      </c>
      <c r="K8" s="28">
        <f>+'APPENDIX 15'!K8+'APPENDIX 16'!K8</f>
        <v>0</v>
      </c>
      <c r="L8" s="28">
        <f>+'APPENDIX 15'!L8+'APPENDIX 16'!L8</f>
        <v>114157.921</v>
      </c>
      <c r="M8" s="28">
        <f>+'APPENDIX 15'!M8+'APPENDIX 16'!M8</f>
        <v>1150341.523</v>
      </c>
      <c r="N8" s="28">
        <f>+'APPENDIX 15'!N8+'APPENDIX 16'!N8</f>
        <v>12634861.206</v>
      </c>
      <c r="O8" s="28">
        <f>+'APPENDIX 15'!O8+'APPENDIX 16'!O8</f>
        <v>29790.675999999999</v>
      </c>
      <c r="P8" s="28">
        <f>+'APPENDIX 15'!P8+'APPENDIX 16'!P8</f>
        <v>0</v>
      </c>
      <c r="Q8" s="40">
        <f>+'APPENDIX 15'!Q8+'APPENDIX 16'!Q8</f>
        <v>83669298.486804277</v>
      </c>
    </row>
    <row r="9" spans="2:17" x14ac:dyDescent="0.35">
      <c r="B9" s="3" t="str">
        <f>+'APPENDIX 15'!B9</f>
        <v>CANNON LIFE ASSURANCE (K) LIMITED</v>
      </c>
      <c r="C9" s="28">
        <f>+'APPENDIX 15'!C9+'APPENDIX 16'!C9</f>
        <v>0</v>
      </c>
      <c r="D9" s="28">
        <f>+'APPENDIX 15'!D9+'APPENDIX 16'!D9</f>
        <v>0</v>
      </c>
      <c r="E9" s="28">
        <f>+'APPENDIX 15'!E9+'APPENDIX 16'!E9</f>
        <v>0</v>
      </c>
      <c r="F9" s="28">
        <f>+'APPENDIX 15'!F9+'APPENDIX 16'!F9</f>
        <v>0</v>
      </c>
      <c r="G9" s="28">
        <f>+'APPENDIX 15'!G9+'APPENDIX 16'!G9</f>
        <v>0</v>
      </c>
      <c r="H9" s="28">
        <f>+'APPENDIX 15'!H9+'APPENDIX 16'!H9</f>
        <v>0</v>
      </c>
      <c r="I9" s="28">
        <f>+'APPENDIX 15'!I9+'APPENDIX 16'!I9</f>
        <v>0</v>
      </c>
      <c r="J9" s="28">
        <f>+'APPENDIX 15'!J9+'APPENDIX 16'!J9</f>
        <v>0</v>
      </c>
      <c r="K9" s="28">
        <f>+'APPENDIX 15'!K9+'APPENDIX 16'!K9</f>
        <v>0</v>
      </c>
      <c r="L9" s="28">
        <f>+'APPENDIX 15'!L9+'APPENDIX 16'!L9</f>
        <v>0</v>
      </c>
      <c r="M9" s="28">
        <f>+'APPENDIX 15'!M9+'APPENDIX 16'!M9</f>
        <v>0</v>
      </c>
      <c r="N9" s="28">
        <f>+'APPENDIX 15'!N9+'APPENDIX 16'!N9</f>
        <v>0</v>
      </c>
      <c r="O9" s="28">
        <f>+'APPENDIX 15'!O9+'APPENDIX 16'!O9</f>
        <v>0</v>
      </c>
      <c r="P9" s="28">
        <f>+'APPENDIX 15'!P9+'APPENDIX 16'!P9</f>
        <v>0</v>
      </c>
      <c r="Q9" s="40">
        <f>+'APPENDIX 15'!Q9+'APPENDIX 16'!Q9</f>
        <v>0</v>
      </c>
    </row>
    <row r="10" spans="2:17" x14ac:dyDescent="0.35">
      <c r="B10" s="3" t="str">
        <f>+'APPENDIX 15'!B10</f>
        <v>CAPEX LIFE ASSURANCE COMPANY</v>
      </c>
      <c r="C10" s="28">
        <f>+'APPENDIX 15'!C10+'APPENDIX 16'!C10</f>
        <v>0</v>
      </c>
      <c r="D10" s="28">
        <f>+'APPENDIX 15'!D10+'APPENDIX 16'!D10</f>
        <v>41254.695</v>
      </c>
      <c r="E10" s="28">
        <f>+'APPENDIX 15'!E10+'APPENDIX 16'!E10</f>
        <v>41254.695</v>
      </c>
      <c r="F10" s="28">
        <f>+'APPENDIX 15'!F10+'APPENDIX 16'!F10</f>
        <v>0</v>
      </c>
      <c r="G10" s="28">
        <f>+'APPENDIX 15'!G10+'APPENDIX 16'!G10</f>
        <v>7815.9669599999997</v>
      </c>
      <c r="H10" s="28">
        <f>+'APPENDIX 15'!H10+'APPENDIX 16'!H10</f>
        <v>7815.9669599999997</v>
      </c>
      <c r="I10" s="28">
        <f>+'APPENDIX 15'!I10+'APPENDIX 16'!I10</f>
        <v>0</v>
      </c>
      <c r="J10" s="28">
        <f>+'APPENDIX 15'!J10+'APPENDIX 16'!J10</f>
        <v>0</v>
      </c>
      <c r="K10" s="28">
        <f>+'APPENDIX 15'!K10+'APPENDIX 16'!K10</f>
        <v>0</v>
      </c>
      <c r="L10" s="28">
        <f>+'APPENDIX 15'!L10+'APPENDIX 16'!L10</f>
        <v>0</v>
      </c>
      <c r="M10" s="28">
        <f>+'APPENDIX 15'!M10+'APPENDIX 16'!M10</f>
        <v>12091.7817550542</v>
      </c>
      <c r="N10" s="28">
        <f>+'APPENDIX 15'!N10+'APPENDIX 16'!N10</f>
        <v>1117.0971393789339</v>
      </c>
      <c r="O10" s="28">
        <f>+'APPENDIX 15'!O10+'APPENDIX 16'!O10</f>
        <v>0</v>
      </c>
      <c r="P10" s="28">
        <f>+'APPENDIX 15'!P10+'APPENDIX 16'!P10</f>
        <v>0</v>
      </c>
      <c r="Q10" s="40">
        <f>+'APPENDIX 15'!Q10+'APPENDIX 16'!Q10</f>
        <v>22464.04342432474</v>
      </c>
    </row>
    <row r="11" spans="2:17" x14ac:dyDescent="0.35">
      <c r="B11" s="3" t="str">
        <f>+'APPENDIX 15'!B11</f>
        <v>CIC LIFE ASSURANCE COMPANY</v>
      </c>
      <c r="C11" s="28">
        <f>+'APPENDIX 15'!C11+'APPENDIX 16'!C11</f>
        <v>13492769.514529999</v>
      </c>
      <c r="D11" s="28">
        <f>+'APPENDIX 15'!D11+'APPENDIX 16'!D11</f>
        <v>3353751.31232</v>
      </c>
      <c r="E11" s="28">
        <f>+'APPENDIX 15'!E11+'APPENDIX 16'!E11</f>
        <v>3353751.31232</v>
      </c>
      <c r="F11" s="28">
        <f>+'APPENDIX 15'!F11+'APPENDIX 16'!F11</f>
        <v>0</v>
      </c>
      <c r="G11" s="28">
        <f>+'APPENDIX 15'!G11+'APPENDIX 16'!G11</f>
        <v>0</v>
      </c>
      <c r="H11" s="28">
        <f>+'APPENDIX 15'!H11+'APPENDIX 16'!H11</f>
        <v>0</v>
      </c>
      <c r="I11" s="28">
        <f>+'APPENDIX 15'!I11+'APPENDIX 16'!I11</f>
        <v>0</v>
      </c>
      <c r="J11" s="28">
        <f>+'APPENDIX 15'!J11+'APPENDIX 16'!J11</f>
        <v>0</v>
      </c>
      <c r="K11" s="28">
        <f>+'APPENDIX 15'!K11+'APPENDIX 16'!K11</f>
        <v>0</v>
      </c>
      <c r="L11" s="28">
        <f>+'APPENDIX 15'!L11+'APPENDIX 16'!L11</f>
        <v>67977.143769999995</v>
      </c>
      <c r="M11" s="28">
        <f>+'APPENDIX 15'!M11+'APPENDIX 16'!M11</f>
        <v>133083.58728000001</v>
      </c>
      <c r="N11" s="28">
        <f>+'APPENDIX 15'!N11+'APPENDIX 16'!N11</f>
        <v>272041.57153000002</v>
      </c>
      <c r="O11" s="28">
        <f>+'APPENDIX 15'!O11+'APPENDIX 16'!O11</f>
        <v>0</v>
      </c>
      <c r="P11" s="28">
        <f>+'APPENDIX 15'!P11+'APPENDIX 16'!P11</f>
        <v>0</v>
      </c>
      <c r="Q11" s="40">
        <f>+'APPENDIX 15'!Q11+'APPENDIX 16'!Q11</f>
        <v>16917501.667330001</v>
      </c>
    </row>
    <row r="12" spans="2:17" x14ac:dyDescent="0.35">
      <c r="B12" s="3" t="str">
        <f>+'APPENDIX 15'!B12</f>
        <v>CORPORATE INSURANCE COMPANY</v>
      </c>
      <c r="C12" s="28">
        <f>+'APPENDIX 15'!C12+'APPENDIX 16'!C12</f>
        <v>0</v>
      </c>
      <c r="D12" s="28">
        <f>+'APPENDIX 15'!D12+'APPENDIX 16'!D12</f>
        <v>0</v>
      </c>
      <c r="E12" s="28">
        <f>+'APPENDIX 15'!E12+'APPENDIX 16'!E12</f>
        <v>0</v>
      </c>
      <c r="F12" s="28">
        <f>+'APPENDIX 15'!F12+'APPENDIX 16'!F12</f>
        <v>0</v>
      </c>
      <c r="G12" s="28">
        <f>+'APPENDIX 15'!G12+'APPENDIX 16'!G12</f>
        <v>0</v>
      </c>
      <c r="H12" s="28">
        <f>+'APPENDIX 15'!H12+'APPENDIX 16'!H12</f>
        <v>0</v>
      </c>
      <c r="I12" s="28">
        <f>+'APPENDIX 15'!I12+'APPENDIX 16'!I12</f>
        <v>0</v>
      </c>
      <c r="J12" s="28">
        <f>+'APPENDIX 15'!J12+'APPENDIX 16'!J12</f>
        <v>0</v>
      </c>
      <c r="K12" s="28">
        <f>+'APPENDIX 15'!K12+'APPENDIX 16'!K12</f>
        <v>0</v>
      </c>
      <c r="L12" s="28">
        <f>+'APPENDIX 15'!L12+'APPENDIX 16'!L12</f>
        <v>0</v>
      </c>
      <c r="M12" s="28">
        <f>+'APPENDIX 15'!M12+'APPENDIX 16'!M12</f>
        <v>0</v>
      </c>
      <c r="N12" s="28">
        <f>+'APPENDIX 15'!N12+'APPENDIX 16'!N12</f>
        <v>0</v>
      </c>
      <c r="O12" s="28">
        <f>+'APPENDIX 15'!O12+'APPENDIX 16'!O12</f>
        <v>0</v>
      </c>
      <c r="P12" s="28">
        <f>+'APPENDIX 15'!P12+'APPENDIX 16'!P12</f>
        <v>0</v>
      </c>
      <c r="Q12" s="40">
        <f>+'APPENDIX 15'!Q12+'APPENDIX 16'!Q12</f>
        <v>0</v>
      </c>
    </row>
    <row r="13" spans="2:17" x14ac:dyDescent="0.35">
      <c r="B13" s="3" t="str">
        <f>+'APPENDIX 15'!B13</f>
        <v xml:space="preserve">EQUITY LIFE ASSURANCE </v>
      </c>
      <c r="C13" s="28">
        <f>+'APPENDIX 15'!C13+'APPENDIX 16'!C13</f>
        <v>13828976.860404469</v>
      </c>
      <c r="D13" s="28">
        <f>+'APPENDIX 15'!D13+'APPENDIX 16'!D13</f>
        <v>2793229.4929999998</v>
      </c>
      <c r="E13" s="28">
        <f>+'APPENDIX 15'!E13+'APPENDIX 16'!E13</f>
        <v>2793229.4929999998</v>
      </c>
      <c r="F13" s="28">
        <f>+'APPENDIX 15'!F13+'APPENDIX 16'!F13</f>
        <v>0</v>
      </c>
      <c r="G13" s="28">
        <f>+'APPENDIX 15'!G13+'APPENDIX 16'!G13</f>
        <v>1645836.551625439</v>
      </c>
      <c r="H13" s="28">
        <f>+'APPENDIX 15'!H13+'APPENDIX 16'!H13</f>
        <v>1645836.551625439</v>
      </c>
      <c r="I13" s="28">
        <f>+'APPENDIX 15'!I13+'APPENDIX 16'!I13</f>
        <v>0</v>
      </c>
      <c r="J13" s="28">
        <f>+'APPENDIX 15'!J13+'APPENDIX 16'!J13</f>
        <v>0</v>
      </c>
      <c r="K13" s="28">
        <f>+'APPENDIX 15'!K13+'APPENDIX 16'!K13</f>
        <v>0</v>
      </c>
      <c r="L13" s="28">
        <f>+'APPENDIX 15'!L13+'APPENDIX 16'!L13</f>
        <v>0</v>
      </c>
      <c r="M13" s="28">
        <f>+'APPENDIX 15'!M13+'APPENDIX 16'!M13</f>
        <v>6732.9702699999998</v>
      </c>
      <c r="N13" s="28">
        <f>+'APPENDIX 15'!N13+'APPENDIX 16'!N13</f>
        <v>2606485.3684292198</v>
      </c>
      <c r="O13" s="28">
        <f>+'APPENDIX 15'!O13+'APPENDIX 16'!O13</f>
        <v>266214.96538747067</v>
      </c>
      <c r="P13" s="28">
        <f>+'APPENDIX 15'!P13+'APPENDIX 16'!P13</f>
        <v>0</v>
      </c>
      <c r="Q13" s="40">
        <f>+'APPENDIX 15'!Q13+'APPENDIX 16'!Q13</f>
        <v>17309907.234550778</v>
      </c>
    </row>
    <row r="14" spans="2:17" x14ac:dyDescent="0.35">
      <c r="B14" s="3" t="str">
        <f>+'APPENDIX 15'!B14</f>
        <v xml:space="preserve">GA LIFE ASSURANCE COMPANY </v>
      </c>
      <c r="C14" s="28">
        <f>+'APPENDIX 15'!C14+'APPENDIX 16'!C14</f>
        <v>41439748.980000004</v>
      </c>
      <c r="D14" s="28">
        <f>+'APPENDIX 15'!D14+'APPENDIX 16'!D14</f>
        <v>11877031.614</v>
      </c>
      <c r="E14" s="28">
        <f>+'APPENDIX 15'!E14+'APPENDIX 16'!E14</f>
        <v>11877031.614</v>
      </c>
      <c r="F14" s="28">
        <f>+'APPENDIX 15'!F14+'APPENDIX 16'!F14</f>
        <v>0</v>
      </c>
      <c r="G14" s="28">
        <f>+'APPENDIX 15'!G14+'APPENDIX 16'!G14</f>
        <v>3479171.6859999998</v>
      </c>
      <c r="H14" s="28">
        <f>+'APPENDIX 15'!H14+'APPENDIX 16'!H14</f>
        <v>3479171.6859999998</v>
      </c>
      <c r="I14" s="28">
        <f>+'APPENDIX 15'!I14+'APPENDIX 16'!I14</f>
        <v>0</v>
      </c>
      <c r="J14" s="28">
        <f>+'APPENDIX 15'!J14+'APPENDIX 16'!J14</f>
        <v>0</v>
      </c>
      <c r="K14" s="28">
        <f>+'APPENDIX 15'!K14+'APPENDIX 16'!K14</f>
        <v>0</v>
      </c>
      <c r="L14" s="28">
        <f>+'APPENDIX 15'!L14+'APPENDIX 16'!L14</f>
        <v>61006.521000000001</v>
      </c>
      <c r="M14" s="28">
        <f>+'APPENDIX 15'!M14+'APPENDIX 16'!M14</f>
        <v>138921.20910780726</v>
      </c>
      <c r="N14" s="28">
        <f>+'APPENDIX 15'!N14+'APPENDIX 16'!N14</f>
        <v>7132728.4279999994</v>
      </c>
      <c r="O14" s="28">
        <f>+'APPENDIX 15'!O14+'APPENDIX 16'!O14</f>
        <v>0</v>
      </c>
      <c r="P14" s="28">
        <f>+'APPENDIX 15'!P14+'APPENDIX 16'!P14</f>
        <v>0</v>
      </c>
      <c r="Q14" s="40">
        <f>+'APPENDIX 15'!Q14+'APPENDIX 16'!Q14</f>
        <v>56770409.605892196</v>
      </c>
    </row>
    <row r="15" spans="2:17" x14ac:dyDescent="0.35">
      <c r="B15" s="3" t="str">
        <f>+'APPENDIX 15'!B15</f>
        <v>GEMINIA LIFE INSURANCE COMPANY</v>
      </c>
      <c r="C15" s="28">
        <f>+'APPENDIX 15'!C15+'APPENDIX 16'!C15</f>
        <v>872653.44799999997</v>
      </c>
      <c r="D15" s="28">
        <f>+'APPENDIX 15'!D15+'APPENDIX 16'!D15</f>
        <v>760125.32381479093</v>
      </c>
      <c r="E15" s="28">
        <f>+'APPENDIX 15'!E15+'APPENDIX 16'!E15</f>
        <v>760125.32381479093</v>
      </c>
      <c r="F15" s="28">
        <f>+'APPENDIX 15'!F15+'APPENDIX 16'!F15</f>
        <v>0</v>
      </c>
      <c r="G15" s="28">
        <f>+'APPENDIX 15'!G15+'APPENDIX 16'!G15</f>
        <v>0</v>
      </c>
      <c r="H15" s="28">
        <f>+'APPENDIX 15'!H15+'APPENDIX 16'!H15</f>
        <v>0</v>
      </c>
      <c r="I15" s="28">
        <f>+'APPENDIX 15'!I15+'APPENDIX 16'!I15</f>
        <v>0</v>
      </c>
      <c r="J15" s="28">
        <f>+'APPENDIX 15'!J15+'APPENDIX 16'!J15</f>
        <v>0</v>
      </c>
      <c r="K15" s="28">
        <f>+'APPENDIX 15'!K15+'APPENDIX 16'!K15</f>
        <v>0</v>
      </c>
      <c r="L15" s="28">
        <f>+'APPENDIX 15'!L15+'APPENDIX 16'!L15</f>
        <v>-2534.5239999999999</v>
      </c>
      <c r="M15" s="28">
        <f>+'APPENDIX 15'!M15+'APPENDIX 16'!M15</f>
        <v>40027.950293491383</v>
      </c>
      <c r="N15" s="28">
        <f>+'APPENDIX 15'!N15+'APPENDIX 16'!N15</f>
        <v>0</v>
      </c>
      <c r="O15" s="28">
        <f>+'APPENDIX 15'!O15+'APPENDIX 16'!O15</f>
        <v>0</v>
      </c>
      <c r="P15" s="28">
        <f>+'APPENDIX 15'!P15+'APPENDIX 16'!P15</f>
        <v>873557.53100000008</v>
      </c>
      <c r="Q15" s="40">
        <f>+'APPENDIX 15'!Q15+'APPENDIX 16'!Q15</f>
        <v>721727.81452129956</v>
      </c>
    </row>
    <row r="16" spans="2:17" x14ac:dyDescent="0.35">
      <c r="B16" s="3" t="str">
        <f>+'APPENDIX 15'!B16</f>
        <v xml:space="preserve">ICEA LION LIFE ASSURANCE </v>
      </c>
      <c r="C16" s="28">
        <f>+'APPENDIX 15'!C16+'APPENDIX 16'!C16</f>
        <v>129492366.690874</v>
      </c>
      <c r="D16" s="28">
        <f>+'APPENDIX 15'!D16+'APPENDIX 16'!D16</f>
        <v>19600057.44342</v>
      </c>
      <c r="E16" s="28">
        <f>+'APPENDIX 15'!E16+'APPENDIX 16'!E16</f>
        <v>19600057.44342</v>
      </c>
      <c r="F16" s="28">
        <f>+'APPENDIX 15'!F16+'APPENDIX 16'!F16</f>
        <v>0</v>
      </c>
      <c r="G16" s="28">
        <f>+'APPENDIX 15'!G16+'APPENDIX 16'!G16</f>
        <v>14878974.64535</v>
      </c>
      <c r="H16" s="28">
        <f>+'APPENDIX 15'!H16+'APPENDIX 16'!H16</f>
        <v>14878974.64535</v>
      </c>
      <c r="I16" s="28">
        <f>+'APPENDIX 15'!I16+'APPENDIX 16'!I16</f>
        <v>0</v>
      </c>
      <c r="J16" s="28">
        <f>+'APPENDIX 15'!J16+'APPENDIX 16'!J16</f>
        <v>0</v>
      </c>
      <c r="K16" s="28">
        <f>+'APPENDIX 15'!K16+'APPENDIX 16'!K16</f>
        <v>0</v>
      </c>
      <c r="L16" s="28">
        <f>+'APPENDIX 15'!L16+'APPENDIX 16'!L16</f>
        <v>369214.39500000002</v>
      </c>
      <c r="M16" s="28">
        <f>+'APPENDIX 15'!M16+'APPENDIX 16'!M16</f>
        <v>862205.98660699977</v>
      </c>
      <c r="N16" s="28">
        <f>+'APPENDIX 15'!N16+'APPENDIX 16'!N16</f>
        <v>19923775.066</v>
      </c>
      <c r="O16" s="28">
        <f>+'APPENDIX 15'!O16+'APPENDIX 16'!O16</f>
        <v>0</v>
      </c>
      <c r="P16" s="28">
        <f>+'APPENDIX 15'!P16+'APPENDIX 16'!P16</f>
        <v>580000</v>
      </c>
      <c r="Q16" s="40">
        <f>+'APPENDIX 15'!Q16+'APPENDIX 16'!Q16</f>
        <v>152325804.17333698</v>
      </c>
    </row>
    <row r="17" spans="2:17" x14ac:dyDescent="0.35">
      <c r="B17" s="3" t="str">
        <f>+'APPENDIX 15'!B17</f>
        <v>JUBILEE LIFE INSURANCE</v>
      </c>
      <c r="C17" s="28">
        <f>+'APPENDIX 15'!C17+'APPENDIX 16'!C17</f>
        <v>107553325.27752978</v>
      </c>
      <c r="D17" s="28">
        <f>+'APPENDIX 15'!D17+'APPENDIX 16'!D17</f>
        <v>20175581.044555999</v>
      </c>
      <c r="E17" s="28">
        <f>+'APPENDIX 15'!E17+'APPENDIX 16'!E17</f>
        <v>20175581.044555999</v>
      </c>
      <c r="F17" s="28">
        <f>+'APPENDIX 15'!F17+'APPENDIX 16'!F17</f>
        <v>0</v>
      </c>
      <c r="G17" s="28">
        <f>+'APPENDIX 15'!G17+'APPENDIX 16'!G17</f>
        <v>11310007.844000001</v>
      </c>
      <c r="H17" s="28">
        <f>+'APPENDIX 15'!H17+'APPENDIX 16'!H17</f>
        <v>11310007.844000001</v>
      </c>
      <c r="I17" s="28">
        <f>+'APPENDIX 15'!I17+'APPENDIX 16'!I17</f>
        <v>0</v>
      </c>
      <c r="J17" s="28">
        <f>+'APPENDIX 15'!J17+'APPENDIX 16'!J17</f>
        <v>0</v>
      </c>
      <c r="K17" s="28">
        <f>+'APPENDIX 15'!K17+'APPENDIX 16'!K17</f>
        <v>0</v>
      </c>
      <c r="L17" s="28">
        <f>+'APPENDIX 15'!L17+'APPENDIX 16'!L17</f>
        <v>284612.89</v>
      </c>
      <c r="M17" s="28">
        <f>+'APPENDIX 15'!M17+'APPENDIX 16'!M17</f>
        <v>585740.51192408148</v>
      </c>
      <c r="N17" s="28">
        <f>+'APPENDIX 15'!N17+'APPENDIX 16'!N17</f>
        <v>15567674.214</v>
      </c>
      <c r="O17" s="28">
        <f>+'APPENDIX 15'!O17+'APPENDIX 16'!O17</f>
        <v>111131.883</v>
      </c>
      <c r="P17" s="28">
        <f>+'APPENDIX 15'!P17+'APPENDIX 16'!P17</f>
        <v>0</v>
      </c>
      <c r="Q17" s="40">
        <f>+'APPENDIX 15'!Q17+'APPENDIX 16'!Q17</f>
        <v>131005087.40716167</v>
      </c>
    </row>
    <row r="18" spans="2:17" x14ac:dyDescent="0.35">
      <c r="B18" s="3" t="str">
        <f>+'APPENDIX 15'!B18</f>
        <v>KENINDIA ASSURANCE COMPANY</v>
      </c>
      <c r="C18" s="28">
        <f>+'APPENDIX 15'!C18+'APPENDIX 16'!C18</f>
        <v>63665705.278999999</v>
      </c>
      <c r="D18" s="28">
        <f>+'APPENDIX 15'!D18+'APPENDIX 16'!D18</f>
        <v>15348045.701000001</v>
      </c>
      <c r="E18" s="28">
        <f>+'APPENDIX 15'!E18+'APPENDIX 16'!E18</f>
        <v>15348045.701000001</v>
      </c>
      <c r="F18" s="28">
        <f>+'APPENDIX 15'!F18+'APPENDIX 16'!F18</f>
        <v>0</v>
      </c>
      <c r="G18" s="28">
        <f>+'APPENDIX 15'!G18+'APPENDIX 16'!G18</f>
        <v>5783449.7929999996</v>
      </c>
      <c r="H18" s="28">
        <f>+'APPENDIX 15'!H18+'APPENDIX 16'!H18</f>
        <v>5783449.7929999996</v>
      </c>
      <c r="I18" s="28">
        <f>+'APPENDIX 15'!I18+'APPENDIX 16'!I18</f>
        <v>0</v>
      </c>
      <c r="J18" s="28">
        <f>+'APPENDIX 15'!J18+'APPENDIX 16'!J18</f>
        <v>0</v>
      </c>
      <c r="K18" s="28">
        <f>+'APPENDIX 15'!K18+'APPENDIX 16'!K18</f>
        <v>0</v>
      </c>
      <c r="L18" s="28">
        <f>+'APPENDIX 15'!L18+'APPENDIX 16'!L18</f>
        <v>255648.33196000001</v>
      </c>
      <c r="M18" s="28">
        <f>+'APPENDIX 15'!M18+'APPENDIX 16'!M18</f>
        <v>517715.1959016</v>
      </c>
      <c r="N18" s="28">
        <f>+'APPENDIX 15'!N18+'APPENDIX 16'!N18</f>
        <v>9812041.578404421</v>
      </c>
      <c r="O18" s="28">
        <f>+'APPENDIX 15'!O18+'APPENDIX 16'!O18</f>
        <v>0</v>
      </c>
      <c r="P18" s="28">
        <f>+'APPENDIX 15'!P18+'APPENDIX 16'!P18</f>
        <v>187500</v>
      </c>
      <c r="Q18" s="40">
        <f>+'APPENDIX 15'!Q18+'APPENDIX 16'!Q18</f>
        <v>82081479.237542823</v>
      </c>
    </row>
    <row r="19" spans="2:17" x14ac:dyDescent="0.35">
      <c r="B19" s="3" t="str">
        <f>+'APPENDIX 15'!B19</f>
        <v>KENYA ORIENT LIFE ASSURANCE</v>
      </c>
      <c r="C19" s="28">
        <f>+'APPENDIX 15'!C19+'APPENDIX 16'!C19</f>
        <v>1874016.5908998111</v>
      </c>
      <c r="D19" s="28">
        <f>+'APPENDIX 15'!D19+'APPENDIX 16'!D19</f>
        <v>295265.10015000001</v>
      </c>
      <c r="E19" s="28">
        <f>+'APPENDIX 15'!E19+'APPENDIX 16'!E19</f>
        <v>295265.10015000001</v>
      </c>
      <c r="F19" s="28">
        <f>+'APPENDIX 15'!F19+'APPENDIX 16'!F19</f>
        <v>0</v>
      </c>
      <c r="G19" s="28">
        <f>+'APPENDIX 15'!G19+'APPENDIX 16'!G19</f>
        <v>151257.85206999999</v>
      </c>
      <c r="H19" s="28">
        <f>+'APPENDIX 15'!H19+'APPENDIX 16'!H19</f>
        <v>151257.85206999999</v>
      </c>
      <c r="I19" s="28">
        <f>+'APPENDIX 15'!I19+'APPENDIX 16'!I19</f>
        <v>0</v>
      </c>
      <c r="J19" s="28">
        <f>+'APPENDIX 15'!J19+'APPENDIX 16'!J19</f>
        <v>0</v>
      </c>
      <c r="K19" s="28">
        <f>+'APPENDIX 15'!K19+'APPENDIX 16'!K19</f>
        <v>0</v>
      </c>
      <c r="L19" s="28">
        <f>+'APPENDIX 15'!L19+'APPENDIX 16'!L19</f>
        <v>0</v>
      </c>
      <c r="M19" s="28">
        <f>+'APPENDIX 15'!M19+'APPENDIX 16'!M19</f>
        <v>10506.779359993423</v>
      </c>
      <c r="N19" s="28">
        <f>+'APPENDIX 15'!N19+'APPENDIX 16'!N19</f>
        <v>270176.89173151564</v>
      </c>
      <c r="O19" s="28">
        <f>+'APPENDIX 15'!O19+'APPENDIX 16'!O19</f>
        <v>0</v>
      </c>
      <c r="P19" s="28">
        <f>+'APPENDIX 15'!P19+'APPENDIX 16'!P19</f>
        <v>0</v>
      </c>
      <c r="Q19" s="40">
        <f>+'APPENDIX 15'!Q19+'APPENDIX 16'!Q19</f>
        <v>2277693.9513513343</v>
      </c>
    </row>
    <row r="20" spans="2:17" x14ac:dyDescent="0.35">
      <c r="B20" s="3" t="str">
        <f>+'APPENDIX 15'!B20</f>
        <v>KUSCCO MUTUAL ASSURANCE LIMITED</v>
      </c>
      <c r="C20" s="28">
        <f>+'APPENDIX 15'!C20+'APPENDIX 16'!C20</f>
        <v>0</v>
      </c>
      <c r="D20" s="28">
        <f>+'APPENDIX 15'!D20+'APPENDIX 16'!D20</f>
        <v>0</v>
      </c>
      <c r="E20" s="28">
        <f>+'APPENDIX 15'!E20+'APPENDIX 16'!E20</f>
        <v>0</v>
      </c>
      <c r="F20" s="28">
        <f>+'APPENDIX 15'!F20+'APPENDIX 16'!F20</f>
        <v>0</v>
      </c>
      <c r="G20" s="28">
        <f>+'APPENDIX 15'!G20+'APPENDIX 16'!G20</f>
        <v>0</v>
      </c>
      <c r="H20" s="28">
        <f>+'APPENDIX 15'!H20+'APPENDIX 16'!H20</f>
        <v>0</v>
      </c>
      <c r="I20" s="28">
        <f>+'APPENDIX 15'!I20+'APPENDIX 16'!I20</f>
        <v>0</v>
      </c>
      <c r="J20" s="28">
        <f>+'APPENDIX 15'!J20+'APPENDIX 16'!J20</f>
        <v>0</v>
      </c>
      <c r="K20" s="28">
        <f>+'APPENDIX 15'!K20+'APPENDIX 16'!K20</f>
        <v>0</v>
      </c>
      <c r="L20" s="28">
        <f>+'APPENDIX 15'!L20+'APPENDIX 16'!L20</f>
        <v>0</v>
      </c>
      <c r="M20" s="28">
        <f>+'APPENDIX 15'!M20+'APPENDIX 16'!M20</f>
        <v>0</v>
      </c>
      <c r="N20" s="28">
        <f>+'APPENDIX 15'!N20+'APPENDIX 16'!N20</f>
        <v>0</v>
      </c>
      <c r="O20" s="28">
        <f>+'APPENDIX 15'!O20+'APPENDIX 16'!O20</f>
        <v>0</v>
      </c>
      <c r="P20" s="28">
        <f>+'APPENDIX 15'!P20+'APPENDIX 16'!P20</f>
        <v>0</v>
      </c>
      <c r="Q20" s="40">
        <f>+'APPENDIX 15'!Q20+'APPENDIX 16'!Q20</f>
        <v>0</v>
      </c>
    </row>
    <row r="21" spans="2:17" x14ac:dyDescent="0.35">
      <c r="B21" s="43" t="str">
        <f>+'APPENDIX 15'!B21</f>
        <v>LIBERTY LIFE ASSURANCE COMPANY</v>
      </c>
      <c r="C21" s="28">
        <f>+'APPENDIX 15'!C21+'APPENDIX 16'!C21</f>
        <v>10395679.285946894</v>
      </c>
      <c r="D21" s="28">
        <f>+'APPENDIX 15'!D21+'APPENDIX 16'!D21</f>
        <v>2026065.42533</v>
      </c>
      <c r="E21" s="28">
        <f>+'APPENDIX 15'!E21+'APPENDIX 16'!E21</f>
        <v>2026065.42533</v>
      </c>
      <c r="F21" s="28">
        <f>+'APPENDIX 15'!F21+'APPENDIX 16'!F21</f>
        <v>0</v>
      </c>
      <c r="G21" s="28">
        <f>+'APPENDIX 15'!G21+'APPENDIX 16'!G21</f>
        <v>2230558.713</v>
      </c>
      <c r="H21" s="28">
        <f>+'APPENDIX 15'!H21+'APPENDIX 16'!H21</f>
        <v>2230558.713</v>
      </c>
      <c r="I21" s="28">
        <f>+'APPENDIX 15'!I21+'APPENDIX 16'!I21</f>
        <v>0</v>
      </c>
      <c r="J21" s="28">
        <f>+'APPENDIX 15'!J21+'APPENDIX 16'!J21</f>
        <v>0</v>
      </c>
      <c r="K21" s="28">
        <f>+'APPENDIX 15'!K21+'APPENDIX 16'!K21</f>
        <v>0</v>
      </c>
      <c r="L21" s="28">
        <f>+'APPENDIX 15'!L21+'APPENDIX 16'!L21</f>
        <v>31892.667999999998</v>
      </c>
      <c r="M21" s="28">
        <f>+'APPENDIX 15'!M21+'APPENDIX 16'!M21</f>
        <v>467802.81999999995</v>
      </c>
      <c r="N21" s="28">
        <f>+'APPENDIX 15'!N21+'APPENDIX 16'!N21</f>
        <v>2237337.32828</v>
      </c>
      <c r="O21" s="28">
        <f>+'APPENDIX 15'!O21+'APPENDIX 16'!O21</f>
        <v>37212.992790735807</v>
      </c>
      <c r="P21" s="28">
        <f>+'APPENDIX 15'!P21+'APPENDIX 16'!P21</f>
        <v>0</v>
      </c>
      <c r="Q21" s="40">
        <f>+'APPENDIX 15'!Q21+'APPENDIX 16'!Q21</f>
        <v>11891614.845766157</v>
      </c>
    </row>
    <row r="22" spans="2:17" x14ac:dyDescent="0.35">
      <c r="B22" s="43" t="str">
        <f>+'APPENDIX 15'!B22</f>
        <v>MADISON INSURANCE COMPANY</v>
      </c>
      <c r="C22" s="28">
        <f>+'APPENDIX 15'!C22+'APPENDIX 16'!C22</f>
        <v>5193614.3210000005</v>
      </c>
      <c r="D22" s="28">
        <f>+'APPENDIX 15'!D22+'APPENDIX 16'!D22</f>
        <v>1956071.9036099999</v>
      </c>
      <c r="E22" s="28">
        <f>+'APPENDIX 15'!E22+'APPENDIX 16'!E22</f>
        <v>1956071.9036099999</v>
      </c>
      <c r="F22" s="28">
        <f>+'APPENDIX 15'!F22+'APPENDIX 16'!F22</f>
        <v>0</v>
      </c>
      <c r="G22" s="28">
        <f>+'APPENDIX 15'!G22+'APPENDIX 16'!G22</f>
        <v>743603.41856000002</v>
      </c>
      <c r="H22" s="28">
        <f>+'APPENDIX 15'!H22+'APPENDIX 16'!H22</f>
        <v>743603.41856000002</v>
      </c>
      <c r="I22" s="28">
        <f>+'APPENDIX 15'!I22+'APPENDIX 16'!I22</f>
        <v>0</v>
      </c>
      <c r="J22" s="28">
        <f>+'APPENDIX 15'!J22+'APPENDIX 16'!J22</f>
        <v>0</v>
      </c>
      <c r="K22" s="28">
        <f>+'APPENDIX 15'!K22+'APPENDIX 16'!K22</f>
        <v>0</v>
      </c>
      <c r="L22" s="28">
        <f>+'APPENDIX 15'!L22+'APPENDIX 16'!L22</f>
        <v>52051.248710000014</v>
      </c>
      <c r="M22" s="28">
        <f>+'APPENDIX 15'!M22+'APPENDIX 16'!M22</f>
        <v>176285.79029179999</v>
      </c>
      <c r="N22" s="28">
        <f>+'APPENDIX 15'!N22+'APPENDIX 16'!N22</f>
        <v>173060.47497356602</v>
      </c>
      <c r="O22" s="28">
        <f>+'APPENDIX 15'!O22+'APPENDIX 16'!O22</f>
        <v>19716.121967966468</v>
      </c>
      <c r="P22" s="28">
        <f>+'APPENDIX 15'!P22+'APPENDIX 16'!P22</f>
        <v>0</v>
      </c>
      <c r="Q22" s="40">
        <f>+'APPENDIX 15'!Q22+'APPENDIX 16'!Q22</f>
        <v>6331090.1200537989</v>
      </c>
    </row>
    <row r="23" spans="2:17" x14ac:dyDescent="0.35">
      <c r="B23" s="3" t="str">
        <f>+'APPENDIX 15'!B23</f>
        <v>OLD MUTUAL LIFE ASSURANCE KENYA</v>
      </c>
      <c r="C23" s="28">
        <f>+'APPENDIX 15'!C23+'APPENDIX 16'!C23</f>
        <v>6401678.2657130212</v>
      </c>
      <c r="D23" s="28">
        <f>+'APPENDIX 15'!D23+'APPENDIX 16'!D23</f>
        <v>775170.62300000002</v>
      </c>
      <c r="E23" s="28">
        <f>+'APPENDIX 15'!E23+'APPENDIX 16'!E23</f>
        <v>775170.62300000002</v>
      </c>
      <c r="F23" s="28">
        <f>+'APPENDIX 15'!F23+'APPENDIX 16'!F23</f>
        <v>0</v>
      </c>
      <c r="G23" s="28">
        <f>+'APPENDIX 15'!G23+'APPENDIX 16'!G23</f>
        <v>895683.85340000002</v>
      </c>
      <c r="H23" s="28">
        <f>+'APPENDIX 15'!H23+'APPENDIX 16'!H23</f>
        <v>895683.85340000002</v>
      </c>
      <c r="I23" s="28">
        <f>+'APPENDIX 15'!I23+'APPENDIX 16'!I23</f>
        <v>0</v>
      </c>
      <c r="J23" s="28">
        <f>+'APPENDIX 15'!J23+'APPENDIX 16'!J23</f>
        <v>0</v>
      </c>
      <c r="K23" s="28">
        <f>+'APPENDIX 15'!K23+'APPENDIX 16'!K23</f>
        <v>0</v>
      </c>
      <c r="L23" s="28">
        <f>+'APPENDIX 15'!L23+'APPENDIX 16'!L23</f>
        <v>6387.7400799999996</v>
      </c>
      <c r="M23" s="28">
        <f>+'APPENDIX 15'!M23+'APPENDIX 16'!M23</f>
        <v>82530.475059935881</v>
      </c>
      <c r="N23" s="28">
        <f>+'APPENDIX 15'!N23+'APPENDIX 16'!N23</f>
        <v>1063134.9359036</v>
      </c>
      <c r="O23" s="28">
        <f>+'APPENDIX 15'!O23+'APPENDIX 16'!O23</f>
        <v>0</v>
      </c>
      <c r="P23" s="28">
        <f>+'APPENDIX 15'!P23+'APPENDIX 16'!P23</f>
        <v>0</v>
      </c>
      <c r="Q23" s="40">
        <f>+'APPENDIX 15'!Q23+'APPENDIX 16'!Q23</f>
        <v>7255381.7560766861</v>
      </c>
    </row>
    <row r="24" spans="2:17" x14ac:dyDescent="0.35">
      <c r="B24" s="3" t="str">
        <f>+'APPENDIX 15'!B24</f>
        <v xml:space="preserve">PIONEER ASSURANCE COMPANY </v>
      </c>
      <c r="C24" s="28">
        <f>+'APPENDIX 15'!C24+'APPENDIX 16'!C24</f>
        <v>7489190.2537281141</v>
      </c>
      <c r="D24" s="28">
        <f>+'APPENDIX 15'!D24+'APPENDIX 16'!D24</f>
        <v>5662530.8269999996</v>
      </c>
      <c r="E24" s="28">
        <f>+'APPENDIX 15'!E24+'APPENDIX 16'!E24</f>
        <v>5662530.8269999996</v>
      </c>
      <c r="F24" s="28">
        <f>+'APPENDIX 15'!F24+'APPENDIX 16'!F24</f>
        <v>0</v>
      </c>
      <c r="G24" s="28">
        <f>+'APPENDIX 15'!G24+'APPENDIX 16'!G24</f>
        <v>714412.56400000001</v>
      </c>
      <c r="H24" s="28">
        <f>+'APPENDIX 15'!H24+'APPENDIX 16'!H24</f>
        <v>714412.56400000001</v>
      </c>
      <c r="I24" s="28">
        <f>+'APPENDIX 15'!I24+'APPENDIX 16'!I24</f>
        <v>0</v>
      </c>
      <c r="J24" s="28">
        <f>+'APPENDIX 15'!J24+'APPENDIX 16'!J24</f>
        <v>0</v>
      </c>
      <c r="K24" s="28">
        <f>+'APPENDIX 15'!K24+'APPENDIX 16'!K24</f>
        <v>0</v>
      </c>
      <c r="L24" s="28">
        <f>+'APPENDIX 15'!L24+'APPENDIX 16'!L24</f>
        <v>192944.74</v>
      </c>
      <c r="M24" s="28">
        <f>+'APPENDIX 15'!M24+'APPENDIX 16'!M24</f>
        <v>179688.62400000001</v>
      </c>
      <c r="N24" s="28">
        <f>+'APPENDIX 15'!N24+'APPENDIX 16'!N24</f>
        <v>1803470.28764</v>
      </c>
      <c r="O24" s="28">
        <f>+'APPENDIX 15'!O24+'APPENDIX 16'!O24</f>
        <v>0</v>
      </c>
      <c r="P24" s="28">
        <f>+'APPENDIX 15'!P24+'APPENDIX 16'!P24</f>
        <v>0</v>
      </c>
      <c r="Q24" s="40">
        <f>+'APPENDIX 15'!Q24+'APPENDIX 16'!Q24</f>
        <v>13868145.440368112</v>
      </c>
    </row>
    <row r="25" spans="2:17" x14ac:dyDescent="0.35">
      <c r="B25" s="3" t="str">
        <f>+'APPENDIX 15'!B25</f>
        <v>PRUDENTIAL LIFE ASSURANCE</v>
      </c>
      <c r="C25" s="28">
        <f>+'APPENDIX 15'!C25+'APPENDIX 16'!C25</f>
        <v>2556426.154304483</v>
      </c>
      <c r="D25" s="28">
        <f>+'APPENDIX 15'!D25+'APPENDIX 16'!D25</f>
        <v>1543351.5390000001</v>
      </c>
      <c r="E25" s="28">
        <f>+'APPENDIX 15'!E25+'APPENDIX 16'!E25</f>
        <v>1543351.5390000001</v>
      </c>
      <c r="F25" s="28">
        <f>+'APPENDIX 15'!F25+'APPENDIX 16'!F25</f>
        <v>0</v>
      </c>
      <c r="G25" s="28">
        <f>+'APPENDIX 15'!G25+'APPENDIX 16'!G25</f>
        <v>232820.84305</v>
      </c>
      <c r="H25" s="28">
        <f>+'APPENDIX 15'!H25+'APPENDIX 16'!H25</f>
        <v>232820.84305</v>
      </c>
      <c r="I25" s="28">
        <f>+'APPENDIX 15'!I25+'APPENDIX 16'!I25</f>
        <v>0</v>
      </c>
      <c r="J25" s="28">
        <f>+'APPENDIX 15'!J25+'APPENDIX 16'!J25</f>
        <v>0</v>
      </c>
      <c r="K25" s="28">
        <f>+'APPENDIX 15'!K25+'APPENDIX 16'!K25</f>
        <v>0</v>
      </c>
      <c r="L25" s="28">
        <f>+'APPENDIX 15'!L25+'APPENDIX 16'!L25</f>
        <v>0</v>
      </c>
      <c r="M25" s="28">
        <f>+'APPENDIX 15'!M25+'APPENDIX 16'!M25</f>
        <v>121562.7357069773</v>
      </c>
      <c r="N25" s="28">
        <f>+'APPENDIX 15'!N25+'APPENDIX 16'!N25</f>
        <v>472982.22712999961</v>
      </c>
      <c r="O25" s="28">
        <f>+'APPENDIX 15'!O25+'APPENDIX 16'!O25</f>
        <v>0</v>
      </c>
      <c r="P25" s="28">
        <f>+'APPENDIX 15'!P25+'APPENDIX 16'!P25</f>
        <v>0</v>
      </c>
      <c r="Q25" s="40">
        <f>+'APPENDIX 15'!Q25+'APPENDIX 16'!Q25</f>
        <v>4218376.3416775065</v>
      </c>
    </row>
    <row r="26" spans="2:17" x14ac:dyDescent="0.35">
      <c r="B26" s="3" t="str">
        <f>+'APPENDIX 15'!B26</f>
        <v>SANLAM LIFE ASSURANCE</v>
      </c>
      <c r="C26" s="28">
        <f>+'APPENDIX 15'!C26+'APPENDIX 16'!C26</f>
        <v>3935282.0684653246</v>
      </c>
      <c r="D26" s="28">
        <f>+'APPENDIX 15'!D26+'APPENDIX 16'!D26</f>
        <v>855799.36710294266</v>
      </c>
      <c r="E26" s="28">
        <f>+'APPENDIX 15'!E26+'APPENDIX 16'!E26</f>
        <v>855799.36710294266</v>
      </c>
      <c r="F26" s="28">
        <f>+'APPENDIX 15'!F26+'APPENDIX 16'!F26</f>
        <v>0</v>
      </c>
      <c r="G26" s="28">
        <f>+'APPENDIX 15'!G26+'APPENDIX 16'!G26</f>
        <v>779003.24917999981</v>
      </c>
      <c r="H26" s="28">
        <f>+'APPENDIX 15'!H26+'APPENDIX 16'!H26</f>
        <v>779003.24917999981</v>
      </c>
      <c r="I26" s="28">
        <f>+'APPENDIX 15'!I26+'APPENDIX 16'!I26</f>
        <v>0</v>
      </c>
      <c r="J26" s="28">
        <f>+'APPENDIX 15'!J26+'APPENDIX 16'!J26</f>
        <v>0</v>
      </c>
      <c r="K26" s="28">
        <f>+'APPENDIX 15'!K26+'APPENDIX 16'!K26</f>
        <v>0</v>
      </c>
      <c r="L26" s="28">
        <f>+'APPENDIX 15'!L26+'APPENDIX 16'!L26</f>
        <v>9313.8655299999991</v>
      </c>
      <c r="M26" s="28">
        <f>+'APPENDIX 15'!M26+'APPENDIX 16'!M26</f>
        <v>34120.906042456001</v>
      </c>
      <c r="N26" s="28">
        <f>+'APPENDIX 15'!N26+'APPENDIX 16'!N26</f>
        <v>0</v>
      </c>
      <c r="O26" s="28">
        <f>+'APPENDIX 15'!O26+'APPENDIX 16'!O26</f>
        <v>0</v>
      </c>
      <c r="P26" s="28">
        <f>+'APPENDIX 15'!P26+'APPENDIX 16'!P26</f>
        <v>0</v>
      </c>
      <c r="Q26" s="40">
        <f>+'APPENDIX 15'!Q26+'APPENDIX 16'!Q26</f>
        <v>3968643.4148158119</v>
      </c>
    </row>
    <row r="27" spans="2:17" x14ac:dyDescent="0.35">
      <c r="B27" s="3" t="str">
        <f>+'APPENDIX 15'!B27</f>
        <v>STAR DISCOVER LIFE INSURANCE</v>
      </c>
      <c r="C27" s="28">
        <f>+'APPENDIX 15'!C27+'APPENDIX 16'!C27</f>
        <v>0</v>
      </c>
      <c r="D27" s="28">
        <f>+'APPENDIX 15'!D27+'APPENDIX 16'!D27</f>
        <v>0</v>
      </c>
      <c r="E27" s="28">
        <f>+'APPENDIX 15'!E27+'APPENDIX 16'!E27</f>
        <v>0</v>
      </c>
      <c r="F27" s="28">
        <f>+'APPENDIX 15'!F27+'APPENDIX 16'!F27</f>
        <v>0</v>
      </c>
      <c r="G27" s="28">
        <f>+'APPENDIX 15'!G27+'APPENDIX 16'!G27</f>
        <v>0</v>
      </c>
      <c r="H27" s="28">
        <f>+'APPENDIX 15'!H27+'APPENDIX 16'!H27</f>
        <v>0</v>
      </c>
      <c r="I27" s="28">
        <f>+'APPENDIX 15'!I27+'APPENDIX 16'!I27</f>
        <v>0</v>
      </c>
      <c r="J27" s="28">
        <f>+'APPENDIX 15'!J27+'APPENDIX 16'!J27</f>
        <v>0</v>
      </c>
      <c r="K27" s="28">
        <f>+'APPENDIX 15'!K27+'APPENDIX 16'!K27</f>
        <v>0</v>
      </c>
      <c r="L27" s="28">
        <f>+'APPENDIX 15'!L27+'APPENDIX 16'!L27</f>
        <v>0</v>
      </c>
      <c r="M27" s="28">
        <f>+'APPENDIX 15'!M27+'APPENDIX 16'!M27</f>
        <v>0</v>
      </c>
      <c r="N27" s="28">
        <f>+'APPENDIX 15'!N27+'APPENDIX 16'!N27</f>
        <v>0</v>
      </c>
      <c r="O27" s="28">
        <f>+'APPENDIX 15'!O27+'APPENDIX 16'!O27</f>
        <v>0</v>
      </c>
      <c r="P27" s="28">
        <f>+'APPENDIX 15'!P27+'APPENDIX 16'!P27</f>
        <v>0</v>
      </c>
      <c r="Q27" s="40">
        <f>+'APPENDIX 15'!Q27+'APPENDIX 16'!Q27</f>
        <v>0</v>
      </c>
    </row>
    <row r="28" spans="2:17" x14ac:dyDescent="0.35">
      <c r="B28" s="3" t="str">
        <f>+'APPENDIX 15'!B28</f>
        <v>THE KENYAN ALLIANCE INSURANCE</v>
      </c>
      <c r="C28" s="28">
        <f>+'APPENDIX 15'!C28+'APPENDIX 16'!C28</f>
        <v>4357115.7327998299</v>
      </c>
      <c r="D28" s="28">
        <f>+'APPENDIX 15'!D28+'APPENDIX 16'!D28</f>
        <v>602735.19256</v>
      </c>
      <c r="E28" s="28">
        <f>+'APPENDIX 15'!E28+'APPENDIX 16'!E28</f>
        <v>602735.19256</v>
      </c>
      <c r="F28" s="28">
        <f>+'APPENDIX 15'!F28+'APPENDIX 16'!F28</f>
        <v>0</v>
      </c>
      <c r="G28" s="28">
        <f>+'APPENDIX 15'!G28+'APPENDIX 16'!G28</f>
        <v>629933.12855166802</v>
      </c>
      <c r="H28" s="28">
        <f>+'APPENDIX 15'!H28+'APPENDIX 16'!H28</f>
        <v>629933.12855166802</v>
      </c>
      <c r="I28" s="28">
        <f>+'APPENDIX 15'!I28+'APPENDIX 16'!I28</f>
        <v>0</v>
      </c>
      <c r="J28" s="28">
        <f>+'APPENDIX 15'!J28+'APPENDIX 16'!J28</f>
        <v>0</v>
      </c>
      <c r="K28" s="28">
        <f>+'APPENDIX 15'!K28+'APPENDIX 16'!K28</f>
        <v>0</v>
      </c>
      <c r="L28" s="28">
        <f>+'APPENDIX 15'!L28+'APPENDIX 16'!L28</f>
        <v>5821.7283182000001</v>
      </c>
      <c r="M28" s="28">
        <f>+'APPENDIX 15'!M28+'APPENDIX 16'!M28</f>
        <v>119128.87711912778</v>
      </c>
      <c r="N28" s="28">
        <f>+'APPENDIX 15'!N28+'APPENDIX 16'!N28</f>
        <v>63201.052520338009</v>
      </c>
      <c r="O28" s="28">
        <f>+'APPENDIX 15'!O28+'APPENDIX 16'!O28</f>
        <v>0</v>
      </c>
      <c r="P28" s="28">
        <f>+'APPENDIX 15'!P28+'APPENDIX 16'!P28</f>
        <v>0</v>
      </c>
      <c r="Q28" s="40">
        <f>+'APPENDIX 15'!Q28+'APPENDIX 16'!Q28</f>
        <v>4268168.2438911702</v>
      </c>
    </row>
    <row r="29" spans="2:17" x14ac:dyDescent="0.35">
      <c r="B29" s="3" t="str">
        <f>+'APPENDIX 15'!B29</f>
        <v>THE MONARCH INSURANCE</v>
      </c>
      <c r="C29" s="28">
        <f>+'APPENDIX 15'!C29+'APPENDIX 16'!C29</f>
        <v>0</v>
      </c>
      <c r="D29" s="28">
        <f>+'APPENDIX 15'!D29+'APPENDIX 16'!D29</f>
        <v>0</v>
      </c>
      <c r="E29" s="28">
        <f>+'APPENDIX 15'!E29+'APPENDIX 16'!E29</f>
        <v>0</v>
      </c>
      <c r="F29" s="28">
        <f>+'APPENDIX 15'!F29+'APPENDIX 16'!F29</f>
        <v>0</v>
      </c>
      <c r="G29" s="28">
        <f>+'APPENDIX 15'!G29+'APPENDIX 16'!G29</f>
        <v>0</v>
      </c>
      <c r="H29" s="28">
        <f>+'APPENDIX 15'!H29+'APPENDIX 16'!H29</f>
        <v>0</v>
      </c>
      <c r="I29" s="28">
        <f>+'APPENDIX 15'!I29+'APPENDIX 16'!I29</f>
        <v>0</v>
      </c>
      <c r="J29" s="28">
        <f>+'APPENDIX 15'!J29+'APPENDIX 16'!J29</f>
        <v>0</v>
      </c>
      <c r="K29" s="28">
        <f>+'APPENDIX 15'!K29+'APPENDIX 16'!K29</f>
        <v>0</v>
      </c>
      <c r="L29" s="28">
        <f>+'APPENDIX 15'!L29+'APPENDIX 16'!L29</f>
        <v>0</v>
      </c>
      <c r="M29" s="28">
        <f>+'APPENDIX 15'!M29+'APPENDIX 16'!M29</f>
        <v>0</v>
      </c>
      <c r="N29" s="28">
        <f>+'APPENDIX 15'!N29+'APPENDIX 16'!N29</f>
        <v>0</v>
      </c>
      <c r="O29" s="28">
        <f>+'APPENDIX 15'!O29+'APPENDIX 16'!O29</f>
        <v>0</v>
      </c>
      <c r="P29" s="28">
        <f>+'APPENDIX 15'!P29+'APPENDIX 16'!P29</f>
        <v>0</v>
      </c>
      <c r="Q29" s="40">
        <f>+'APPENDIX 15'!Q29+'APPENDIX 16'!Q29</f>
        <v>0</v>
      </c>
    </row>
    <row r="30" spans="2:17" x14ac:dyDescent="0.35">
      <c r="B30" s="25" t="s">
        <v>24</v>
      </c>
      <c r="C30" s="39">
        <f t="shared" ref="C30:Q30" si="0">SUM(C6:C29)</f>
        <v>499912047.31410003</v>
      </c>
      <c r="D30" s="39">
        <f t="shared" si="0"/>
        <v>104722603.12871376</v>
      </c>
      <c r="E30" s="39">
        <f t="shared" si="0"/>
        <v>104722603.12871376</v>
      </c>
      <c r="F30" s="39">
        <f t="shared" si="0"/>
        <v>0</v>
      </c>
      <c r="G30" s="39">
        <f t="shared" si="0"/>
        <v>65233864.568577103</v>
      </c>
      <c r="H30" s="39">
        <f t="shared" si="0"/>
        <v>65233864.568577103</v>
      </c>
      <c r="I30" s="39">
        <f t="shared" si="0"/>
        <v>0</v>
      </c>
      <c r="J30" s="39">
        <f t="shared" si="0"/>
        <v>0</v>
      </c>
      <c r="K30" s="39">
        <f t="shared" si="0"/>
        <v>0</v>
      </c>
      <c r="L30" s="39">
        <f t="shared" si="0"/>
        <v>1522510.9063682</v>
      </c>
      <c r="M30" s="39">
        <f t="shared" si="0"/>
        <v>4742453.9556368142</v>
      </c>
      <c r="N30" s="39">
        <f t="shared" si="0"/>
        <v>75670120.142559767</v>
      </c>
      <c r="O30" s="39">
        <f t="shared" si="0"/>
        <v>494285.11210427241</v>
      </c>
      <c r="P30" s="39">
        <f t="shared" si="0"/>
        <v>1641057.531</v>
      </c>
      <c r="Q30" s="39">
        <f t="shared" si="0"/>
        <v>606670598.51168692</v>
      </c>
    </row>
    <row r="31" spans="2:17" x14ac:dyDescent="0.35">
      <c r="B31" s="324" t="s">
        <v>103</v>
      </c>
      <c r="C31" s="269"/>
      <c r="D31" s="269"/>
      <c r="E31" s="269"/>
      <c r="F31" s="269"/>
      <c r="G31" s="269"/>
      <c r="H31" s="269"/>
      <c r="I31" s="269"/>
      <c r="J31" s="269"/>
      <c r="K31" s="269"/>
      <c r="L31" s="269"/>
      <c r="M31" s="269"/>
      <c r="N31" s="269"/>
      <c r="O31" s="269"/>
      <c r="P31" s="269"/>
      <c r="Q31" s="270"/>
    </row>
    <row r="32" spans="2:17" x14ac:dyDescent="0.35">
      <c r="B32" s="3" t="str">
        <f>+'APPENDIX 15'!B32</f>
        <v>CONTINENTAL REINSURANCE</v>
      </c>
      <c r="C32" s="28">
        <f>+'APPENDIX 15'!C32+'APPENDIX 16'!C32</f>
        <v>0</v>
      </c>
      <c r="D32" s="28">
        <f>+'APPENDIX 15'!D32+'APPENDIX 16'!D32</f>
        <v>0</v>
      </c>
      <c r="E32" s="28">
        <f>+'APPENDIX 15'!E32+'APPENDIX 16'!E32</f>
        <v>0</v>
      </c>
      <c r="F32" s="28">
        <f>+'APPENDIX 15'!F32+'APPENDIX 16'!F32</f>
        <v>0</v>
      </c>
      <c r="G32" s="28">
        <f>+'APPENDIX 15'!G32+'APPENDIX 16'!G32</f>
        <v>0</v>
      </c>
      <c r="H32" s="28">
        <f>+'APPENDIX 15'!H32+'APPENDIX 16'!H32</f>
        <v>0</v>
      </c>
      <c r="I32" s="28">
        <f>+'APPENDIX 15'!I32+'APPENDIX 16'!I32</f>
        <v>0</v>
      </c>
      <c r="J32" s="28">
        <f>+'APPENDIX 15'!J32+'APPENDIX 16'!J32</f>
        <v>0</v>
      </c>
      <c r="K32" s="28">
        <f>+'APPENDIX 15'!K32+'APPENDIX 16'!K32</f>
        <v>0</v>
      </c>
      <c r="L32" s="28">
        <f>+'APPENDIX 15'!L32+'APPENDIX 16'!L32</f>
        <v>0</v>
      </c>
      <c r="M32" s="28">
        <f>+'APPENDIX 15'!M32+'APPENDIX 16'!M32</f>
        <v>0</v>
      </c>
      <c r="N32" s="28">
        <f>+'APPENDIX 15'!N32+'APPENDIX 16'!N32</f>
        <v>0</v>
      </c>
      <c r="O32" s="28">
        <f>+'APPENDIX 15'!O32+'APPENDIX 16'!O32</f>
        <v>0</v>
      </c>
      <c r="P32" s="28">
        <f>+'APPENDIX 15'!P32+'APPENDIX 16'!P32</f>
        <v>0</v>
      </c>
      <c r="Q32" s="40">
        <f>+'APPENDIX 15'!Q32+'APPENDIX 16'!Q32</f>
        <v>0</v>
      </c>
    </row>
    <row r="33" spans="2:17" x14ac:dyDescent="0.35">
      <c r="B33" s="3" t="str">
        <f>+'APPENDIX 15'!B33</f>
        <v xml:space="preserve">EAST AFRICA REINSURANCE </v>
      </c>
      <c r="C33" s="28">
        <f>+'APPENDIX 15'!C33+'APPENDIX 16'!C33</f>
        <v>0</v>
      </c>
      <c r="D33" s="28">
        <f>+'APPENDIX 15'!D33+'APPENDIX 16'!D33</f>
        <v>0</v>
      </c>
      <c r="E33" s="28">
        <f>+'APPENDIX 15'!E33+'APPENDIX 16'!E33</f>
        <v>0</v>
      </c>
      <c r="F33" s="28">
        <f>+'APPENDIX 15'!F33+'APPENDIX 16'!F33</f>
        <v>0</v>
      </c>
      <c r="G33" s="28">
        <f>+'APPENDIX 15'!G33+'APPENDIX 16'!G33</f>
        <v>0</v>
      </c>
      <c r="H33" s="28">
        <f>+'APPENDIX 15'!H33+'APPENDIX 16'!H33</f>
        <v>0</v>
      </c>
      <c r="I33" s="28">
        <f>+'APPENDIX 15'!I33+'APPENDIX 16'!I33</f>
        <v>0</v>
      </c>
      <c r="J33" s="28">
        <f>+'APPENDIX 15'!J33+'APPENDIX 16'!J33</f>
        <v>0</v>
      </c>
      <c r="K33" s="28">
        <f>+'APPENDIX 15'!K33+'APPENDIX 16'!K33</f>
        <v>0</v>
      </c>
      <c r="L33" s="28">
        <f>+'APPENDIX 15'!L33+'APPENDIX 16'!L33</f>
        <v>0</v>
      </c>
      <c r="M33" s="28">
        <f>+'APPENDIX 15'!M33+'APPENDIX 16'!M33</f>
        <v>0</v>
      </c>
      <c r="N33" s="28">
        <f>+'APPENDIX 15'!N33+'APPENDIX 16'!N33</f>
        <v>0</v>
      </c>
      <c r="O33" s="28">
        <f>+'APPENDIX 15'!O33+'APPENDIX 16'!O33</f>
        <v>0</v>
      </c>
      <c r="P33" s="28">
        <f>+'APPENDIX 15'!P33+'APPENDIX 16'!P33</f>
        <v>0</v>
      </c>
      <c r="Q33" s="40">
        <f>+'APPENDIX 15'!Q33+'APPENDIX 16'!Q33</f>
        <v>0</v>
      </c>
    </row>
    <row r="34" spans="2:17" x14ac:dyDescent="0.35">
      <c r="B34" s="3" t="str">
        <f>+'APPENDIX 15'!B34</f>
        <v>KENYA REINSURANCE CORPORATION</v>
      </c>
      <c r="C34" s="28">
        <f>+'APPENDIX 15'!C34+'APPENDIX 16'!C34</f>
        <v>0</v>
      </c>
      <c r="D34" s="28">
        <f>+'APPENDIX 15'!D34+'APPENDIX 16'!D34</f>
        <v>0</v>
      </c>
      <c r="E34" s="28">
        <f>+'APPENDIX 15'!E34+'APPENDIX 16'!E34</f>
        <v>0</v>
      </c>
      <c r="F34" s="28">
        <f>+'APPENDIX 15'!F34+'APPENDIX 16'!F34</f>
        <v>0</v>
      </c>
      <c r="G34" s="28">
        <f>+'APPENDIX 15'!G34+'APPENDIX 16'!G34</f>
        <v>0</v>
      </c>
      <c r="H34" s="28">
        <f>+'APPENDIX 15'!H34+'APPENDIX 16'!H34</f>
        <v>0</v>
      </c>
      <c r="I34" s="28">
        <f>+'APPENDIX 15'!I34+'APPENDIX 16'!I34</f>
        <v>0</v>
      </c>
      <c r="J34" s="28">
        <f>+'APPENDIX 15'!J34+'APPENDIX 16'!J34</f>
        <v>0</v>
      </c>
      <c r="K34" s="28">
        <f>+'APPENDIX 15'!K34+'APPENDIX 16'!K34</f>
        <v>0</v>
      </c>
      <c r="L34" s="28">
        <f>+'APPENDIX 15'!L34+'APPENDIX 16'!L34</f>
        <v>0</v>
      </c>
      <c r="M34" s="28">
        <f>+'APPENDIX 15'!M34+'APPENDIX 16'!M34</f>
        <v>0</v>
      </c>
      <c r="N34" s="28">
        <f>+'APPENDIX 15'!N34+'APPENDIX 16'!N34</f>
        <v>0</v>
      </c>
      <c r="O34" s="28">
        <f>+'APPENDIX 15'!O34+'APPENDIX 16'!O34</f>
        <v>0</v>
      </c>
      <c r="P34" s="28">
        <f>+'APPENDIX 15'!P34+'APPENDIX 16'!P34</f>
        <v>0</v>
      </c>
      <c r="Q34" s="40">
        <f>+'APPENDIX 15'!Q34+'APPENDIX 16'!Q34</f>
        <v>0</v>
      </c>
    </row>
    <row r="35" spans="2:17" x14ac:dyDescent="0.35">
      <c r="B35" s="25" t="s">
        <v>24</v>
      </c>
      <c r="C35" s="39">
        <f t="shared" ref="C35:Q35" si="1">SUM(C32:C34)</f>
        <v>0</v>
      </c>
      <c r="D35" s="39">
        <f t="shared" si="1"/>
        <v>0</v>
      </c>
      <c r="E35" s="39">
        <f t="shared" si="1"/>
        <v>0</v>
      </c>
      <c r="F35" s="39">
        <f t="shared" si="1"/>
        <v>0</v>
      </c>
      <c r="G35" s="39">
        <f t="shared" si="1"/>
        <v>0</v>
      </c>
      <c r="H35" s="39">
        <f t="shared" si="1"/>
        <v>0</v>
      </c>
      <c r="I35" s="39">
        <f t="shared" si="1"/>
        <v>0</v>
      </c>
      <c r="J35" s="39">
        <f t="shared" si="1"/>
        <v>0</v>
      </c>
      <c r="K35" s="39">
        <f t="shared" si="1"/>
        <v>0</v>
      </c>
      <c r="L35" s="39">
        <f t="shared" si="1"/>
        <v>0</v>
      </c>
      <c r="M35" s="39">
        <f t="shared" si="1"/>
        <v>0</v>
      </c>
      <c r="N35" s="39">
        <f t="shared" si="1"/>
        <v>0</v>
      </c>
      <c r="O35" s="39">
        <f t="shared" si="1"/>
        <v>0</v>
      </c>
      <c r="P35" s="39">
        <f t="shared" si="1"/>
        <v>0</v>
      </c>
      <c r="Q35" s="39">
        <f t="shared" si="1"/>
        <v>0</v>
      </c>
    </row>
    <row r="36" spans="2:17" x14ac:dyDescent="0.35">
      <c r="B36" s="103" t="s">
        <v>25</v>
      </c>
      <c r="C36" s="102"/>
      <c r="D36" s="102"/>
      <c r="E36" s="102"/>
      <c r="F36" s="102"/>
      <c r="G36" s="102"/>
      <c r="H36" s="102"/>
      <c r="I36" s="102"/>
      <c r="J36" s="102"/>
      <c r="K36" s="102"/>
      <c r="L36" s="102"/>
      <c r="M36" s="102"/>
      <c r="N36" s="102"/>
      <c r="O36" s="102"/>
      <c r="P36" s="102"/>
      <c r="Q36" s="102"/>
    </row>
  </sheetData>
  <sheetProtection algorithmName="SHA-512" hashValue="y2Jjav8ykq814/S4FXj62fi4x5dbJIcorKpxGfzcFlov50V+pTaRtnLVWk2qe0eNV+ceZm8eXTVor7RiMUmMiQ==" saltValue="MwiFcvCgStlErTB6OlIILw==" spinCount="100000" sheet="1" objects="1" scenarios="1"/>
  <mergeCells count="3">
    <mergeCell ref="B31:Q31"/>
    <mergeCell ref="B3:Q3"/>
    <mergeCell ref="B5:Q5"/>
  </mergeCells>
  <pageMargins left="0.7" right="0.7" top="0.75" bottom="0.75" header="0.3" footer="0.3"/>
  <pageSetup paperSize="9" scale="36"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9">
    <tabColor rgb="FF92D050"/>
  </sheetPr>
  <dimension ref="B3:Q36"/>
  <sheetViews>
    <sheetView workbookViewId="0"/>
  </sheetViews>
  <sheetFormatPr defaultColWidth="14.36328125" defaultRowHeight="15.5" x14ac:dyDescent="0.35"/>
  <cols>
    <col min="1" max="1" width="9.6328125" style="155" customWidth="1"/>
    <col min="2" max="2" width="48.26953125" style="155" bestFit="1" customWidth="1"/>
    <col min="3" max="16" width="17.90625" style="155" customWidth="1"/>
    <col min="17" max="17" width="17.90625" style="166" customWidth="1"/>
    <col min="18" max="18" width="15.453125" style="155" bestFit="1" customWidth="1"/>
    <col min="19" max="19" width="15.90625" style="155" bestFit="1" customWidth="1"/>
    <col min="20" max="256" width="14.36328125" style="155" customWidth="1"/>
    <col min="257" max="257" width="9.6328125" style="155" customWidth="1"/>
    <col min="258" max="258" width="43.54296875" style="155" customWidth="1"/>
    <col min="259" max="273" width="17.90625" style="155" customWidth="1"/>
    <col min="274" max="274" width="15.453125" style="155" bestFit="1" customWidth="1"/>
    <col min="275" max="275" width="15.90625" style="155" bestFit="1" customWidth="1"/>
    <col min="276" max="512" width="14.36328125" style="155" customWidth="1"/>
    <col min="513" max="513" width="9.6328125" style="155" customWidth="1"/>
    <col min="514" max="514" width="43.54296875" style="155" customWidth="1"/>
    <col min="515" max="529" width="17.90625" style="155" customWidth="1"/>
    <col min="530" max="530" width="15.453125" style="155" bestFit="1" customWidth="1"/>
    <col min="531" max="531" width="15.90625" style="155" bestFit="1" customWidth="1"/>
    <col min="532" max="768" width="14.36328125" style="155" customWidth="1"/>
    <col min="769" max="769" width="9.6328125" style="155" customWidth="1"/>
    <col min="770" max="770" width="43.54296875" style="155" customWidth="1"/>
    <col min="771" max="785" width="17.90625" style="155" customWidth="1"/>
    <col min="786" max="786" width="15.453125" style="155" bestFit="1" customWidth="1"/>
    <col min="787" max="787" width="15.90625" style="155" bestFit="1" customWidth="1"/>
    <col min="788" max="1024" width="14.36328125" style="155" customWidth="1"/>
    <col min="1025" max="1025" width="9.6328125" style="155" customWidth="1"/>
    <col min="1026" max="1026" width="43.54296875" style="155" customWidth="1"/>
    <col min="1027" max="1041" width="17.90625" style="155" customWidth="1"/>
    <col min="1042" max="1042" width="15.453125" style="155" bestFit="1" customWidth="1"/>
    <col min="1043" max="1043" width="15.90625" style="155" bestFit="1" customWidth="1"/>
    <col min="1044" max="1280" width="14.36328125" style="155" customWidth="1"/>
    <col min="1281" max="1281" width="9.6328125" style="155" customWidth="1"/>
    <col min="1282" max="1282" width="43.54296875" style="155" customWidth="1"/>
    <col min="1283" max="1297" width="17.90625" style="155" customWidth="1"/>
    <col min="1298" max="1298" width="15.453125" style="155" bestFit="1" customWidth="1"/>
    <col min="1299" max="1299" width="15.90625" style="155" bestFit="1" customWidth="1"/>
    <col min="1300" max="1536" width="14.36328125" style="155" customWidth="1"/>
    <col min="1537" max="1537" width="9.6328125" style="155" customWidth="1"/>
    <col min="1538" max="1538" width="43.54296875" style="155" customWidth="1"/>
    <col min="1539" max="1553" width="17.90625" style="155" customWidth="1"/>
    <col min="1554" max="1554" width="15.453125" style="155" bestFit="1" customWidth="1"/>
    <col min="1555" max="1555" width="15.90625" style="155" bestFit="1" customWidth="1"/>
    <col min="1556" max="1792" width="14.36328125" style="155" customWidth="1"/>
    <col min="1793" max="1793" width="9.6328125" style="155" customWidth="1"/>
    <col min="1794" max="1794" width="43.54296875" style="155" customWidth="1"/>
    <col min="1795" max="1809" width="17.90625" style="155" customWidth="1"/>
    <col min="1810" max="1810" width="15.453125" style="155" bestFit="1" customWidth="1"/>
    <col min="1811" max="1811" width="15.90625" style="155" bestFit="1" customWidth="1"/>
    <col min="1812" max="2048" width="14.36328125" style="155" customWidth="1"/>
    <col min="2049" max="2049" width="9.6328125" style="155" customWidth="1"/>
    <col min="2050" max="2050" width="43.54296875" style="155" customWidth="1"/>
    <col min="2051" max="2065" width="17.90625" style="155" customWidth="1"/>
    <col min="2066" max="2066" width="15.453125" style="155" bestFit="1" customWidth="1"/>
    <col min="2067" max="2067" width="15.90625" style="155" bestFit="1" customWidth="1"/>
    <col min="2068" max="2304" width="14.36328125" style="155" customWidth="1"/>
    <col min="2305" max="2305" width="9.6328125" style="155" customWidth="1"/>
    <col min="2306" max="2306" width="43.54296875" style="155" customWidth="1"/>
    <col min="2307" max="2321" width="17.90625" style="155" customWidth="1"/>
    <col min="2322" max="2322" width="15.453125" style="155" bestFit="1" customWidth="1"/>
    <col min="2323" max="2323" width="15.90625" style="155" bestFit="1" customWidth="1"/>
    <col min="2324" max="2560" width="14.36328125" style="155" customWidth="1"/>
    <col min="2561" max="2561" width="9.6328125" style="155" customWidth="1"/>
    <col min="2562" max="2562" width="43.54296875" style="155" customWidth="1"/>
    <col min="2563" max="2577" width="17.90625" style="155" customWidth="1"/>
    <col min="2578" max="2578" width="15.453125" style="155" bestFit="1" customWidth="1"/>
    <col min="2579" max="2579" width="15.90625" style="155" bestFit="1" customWidth="1"/>
    <col min="2580" max="2816" width="14.36328125" style="155" customWidth="1"/>
    <col min="2817" max="2817" width="9.6328125" style="155" customWidth="1"/>
    <col min="2818" max="2818" width="43.54296875" style="155" customWidth="1"/>
    <col min="2819" max="2833" width="17.90625" style="155" customWidth="1"/>
    <col min="2834" max="2834" width="15.453125" style="155" bestFit="1" customWidth="1"/>
    <col min="2835" max="2835" width="15.90625" style="155" bestFit="1" customWidth="1"/>
    <col min="2836" max="3072" width="14.36328125" style="155" customWidth="1"/>
    <col min="3073" max="3073" width="9.6328125" style="155" customWidth="1"/>
    <col min="3074" max="3074" width="43.54296875" style="155" customWidth="1"/>
    <col min="3075" max="3089" width="17.90625" style="155" customWidth="1"/>
    <col min="3090" max="3090" width="15.453125" style="155" bestFit="1" customWidth="1"/>
    <col min="3091" max="3091" width="15.90625" style="155" bestFit="1" customWidth="1"/>
    <col min="3092" max="3328" width="14.36328125" style="155" customWidth="1"/>
    <col min="3329" max="3329" width="9.6328125" style="155" customWidth="1"/>
    <col min="3330" max="3330" width="43.54296875" style="155" customWidth="1"/>
    <col min="3331" max="3345" width="17.90625" style="155" customWidth="1"/>
    <col min="3346" max="3346" width="15.453125" style="155" bestFit="1" customWidth="1"/>
    <col min="3347" max="3347" width="15.90625" style="155" bestFit="1" customWidth="1"/>
    <col min="3348" max="3584" width="14.36328125" style="155" customWidth="1"/>
    <col min="3585" max="3585" width="9.6328125" style="155" customWidth="1"/>
    <col min="3586" max="3586" width="43.54296875" style="155" customWidth="1"/>
    <col min="3587" max="3601" width="17.90625" style="155" customWidth="1"/>
    <col min="3602" max="3602" width="15.453125" style="155" bestFit="1" customWidth="1"/>
    <col min="3603" max="3603" width="15.90625" style="155" bestFit="1" customWidth="1"/>
    <col min="3604" max="3840" width="14.36328125" style="155" customWidth="1"/>
    <col min="3841" max="3841" width="9.6328125" style="155" customWidth="1"/>
    <col min="3842" max="3842" width="43.54296875" style="155" customWidth="1"/>
    <col min="3843" max="3857" width="17.90625" style="155" customWidth="1"/>
    <col min="3858" max="3858" width="15.453125" style="155" bestFit="1" customWidth="1"/>
    <col min="3859" max="3859" width="15.90625" style="155" bestFit="1" customWidth="1"/>
    <col min="3860" max="4096" width="14.36328125" style="155" customWidth="1"/>
    <col min="4097" max="4097" width="9.6328125" style="155" customWidth="1"/>
    <col min="4098" max="4098" width="43.54296875" style="155" customWidth="1"/>
    <col min="4099" max="4113" width="17.90625" style="155" customWidth="1"/>
    <col min="4114" max="4114" width="15.453125" style="155" bestFit="1" customWidth="1"/>
    <col min="4115" max="4115" width="15.90625" style="155" bestFit="1" customWidth="1"/>
    <col min="4116" max="4352" width="14.36328125" style="155" customWidth="1"/>
    <col min="4353" max="4353" width="9.6328125" style="155" customWidth="1"/>
    <col min="4354" max="4354" width="43.54296875" style="155" customWidth="1"/>
    <col min="4355" max="4369" width="17.90625" style="155" customWidth="1"/>
    <col min="4370" max="4370" width="15.453125" style="155" bestFit="1" customWidth="1"/>
    <col min="4371" max="4371" width="15.90625" style="155" bestFit="1" customWidth="1"/>
    <col min="4372" max="4608" width="14.36328125" style="155" customWidth="1"/>
    <col min="4609" max="4609" width="9.6328125" style="155" customWidth="1"/>
    <col min="4610" max="4610" width="43.54296875" style="155" customWidth="1"/>
    <col min="4611" max="4625" width="17.90625" style="155" customWidth="1"/>
    <col min="4626" max="4626" width="15.453125" style="155" bestFit="1" customWidth="1"/>
    <col min="4627" max="4627" width="15.90625" style="155" bestFit="1" customWidth="1"/>
    <col min="4628" max="4864" width="14.36328125" style="155" customWidth="1"/>
    <col min="4865" max="4865" width="9.6328125" style="155" customWidth="1"/>
    <col min="4866" max="4866" width="43.54296875" style="155" customWidth="1"/>
    <col min="4867" max="4881" width="17.90625" style="155" customWidth="1"/>
    <col min="4882" max="4882" width="15.453125" style="155" bestFit="1" customWidth="1"/>
    <col min="4883" max="4883" width="15.90625" style="155" bestFit="1" customWidth="1"/>
    <col min="4884" max="5120" width="14.36328125" style="155" customWidth="1"/>
    <col min="5121" max="5121" width="9.6328125" style="155" customWidth="1"/>
    <col min="5122" max="5122" width="43.54296875" style="155" customWidth="1"/>
    <col min="5123" max="5137" width="17.90625" style="155" customWidth="1"/>
    <col min="5138" max="5138" width="15.453125" style="155" bestFit="1" customWidth="1"/>
    <col min="5139" max="5139" width="15.90625" style="155" bestFit="1" customWidth="1"/>
    <col min="5140" max="5376" width="14.36328125" style="155" customWidth="1"/>
    <col min="5377" max="5377" width="9.6328125" style="155" customWidth="1"/>
    <col min="5378" max="5378" width="43.54296875" style="155" customWidth="1"/>
    <col min="5379" max="5393" width="17.90625" style="155" customWidth="1"/>
    <col min="5394" max="5394" width="15.453125" style="155" bestFit="1" customWidth="1"/>
    <col min="5395" max="5395" width="15.90625" style="155" bestFit="1" customWidth="1"/>
    <col min="5396" max="5632" width="14.36328125" style="155" customWidth="1"/>
    <col min="5633" max="5633" width="9.6328125" style="155" customWidth="1"/>
    <col min="5634" max="5634" width="43.54296875" style="155" customWidth="1"/>
    <col min="5635" max="5649" width="17.90625" style="155" customWidth="1"/>
    <col min="5650" max="5650" width="15.453125" style="155" bestFit="1" customWidth="1"/>
    <col min="5651" max="5651" width="15.90625" style="155" bestFit="1" customWidth="1"/>
    <col min="5652" max="5888" width="14.36328125" style="155" customWidth="1"/>
    <col min="5889" max="5889" width="9.6328125" style="155" customWidth="1"/>
    <col min="5890" max="5890" width="43.54296875" style="155" customWidth="1"/>
    <col min="5891" max="5905" width="17.90625" style="155" customWidth="1"/>
    <col min="5906" max="5906" width="15.453125" style="155" bestFit="1" customWidth="1"/>
    <col min="5907" max="5907" width="15.90625" style="155" bestFit="1" customWidth="1"/>
    <col min="5908" max="6144" width="14.36328125" style="155" customWidth="1"/>
    <col min="6145" max="6145" width="9.6328125" style="155" customWidth="1"/>
    <col min="6146" max="6146" width="43.54296875" style="155" customWidth="1"/>
    <col min="6147" max="6161" width="17.90625" style="155" customWidth="1"/>
    <col min="6162" max="6162" width="15.453125" style="155" bestFit="1" customWidth="1"/>
    <col min="6163" max="6163" width="15.90625" style="155" bestFit="1" customWidth="1"/>
    <col min="6164" max="6400" width="14.36328125" style="155" customWidth="1"/>
    <col min="6401" max="6401" width="9.6328125" style="155" customWidth="1"/>
    <col min="6402" max="6402" width="43.54296875" style="155" customWidth="1"/>
    <col min="6403" max="6417" width="17.90625" style="155" customWidth="1"/>
    <col min="6418" max="6418" width="15.453125" style="155" bestFit="1" customWidth="1"/>
    <col min="6419" max="6419" width="15.90625" style="155" bestFit="1" customWidth="1"/>
    <col min="6420" max="6656" width="14.36328125" style="155" customWidth="1"/>
    <col min="6657" max="6657" width="9.6328125" style="155" customWidth="1"/>
    <col min="6658" max="6658" width="43.54296875" style="155" customWidth="1"/>
    <col min="6659" max="6673" width="17.90625" style="155" customWidth="1"/>
    <col min="6674" max="6674" width="15.453125" style="155" bestFit="1" customWidth="1"/>
    <col min="6675" max="6675" width="15.90625" style="155" bestFit="1" customWidth="1"/>
    <col min="6676" max="6912" width="14.36328125" style="155" customWidth="1"/>
    <col min="6913" max="6913" width="9.6328125" style="155" customWidth="1"/>
    <col min="6914" max="6914" width="43.54296875" style="155" customWidth="1"/>
    <col min="6915" max="6929" width="17.90625" style="155" customWidth="1"/>
    <col min="6930" max="6930" width="15.453125" style="155" bestFit="1" customWidth="1"/>
    <col min="6931" max="6931" width="15.90625" style="155" bestFit="1" customWidth="1"/>
    <col min="6932" max="7168" width="14.36328125" style="155" customWidth="1"/>
    <col min="7169" max="7169" width="9.6328125" style="155" customWidth="1"/>
    <col min="7170" max="7170" width="43.54296875" style="155" customWidth="1"/>
    <col min="7171" max="7185" width="17.90625" style="155" customWidth="1"/>
    <col min="7186" max="7186" width="15.453125" style="155" bestFit="1" customWidth="1"/>
    <col min="7187" max="7187" width="15.90625" style="155" bestFit="1" customWidth="1"/>
    <col min="7188" max="7424" width="14.36328125" style="155" customWidth="1"/>
    <col min="7425" max="7425" width="9.6328125" style="155" customWidth="1"/>
    <col min="7426" max="7426" width="43.54296875" style="155" customWidth="1"/>
    <col min="7427" max="7441" width="17.90625" style="155" customWidth="1"/>
    <col min="7442" max="7442" width="15.453125" style="155" bestFit="1" customWidth="1"/>
    <col min="7443" max="7443" width="15.90625" style="155" bestFit="1" customWidth="1"/>
    <col min="7444" max="7680" width="14.36328125" style="155" customWidth="1"/>
    <col min="7681" max="7681" width="9.6328125" style="155" customWidth="1"/>
    <col min="7682" max="7682" width="43.54296875" style="155" customWidth="1"/>
    <col min="7683" max="7697" width="17.90625" style="155" customWidth="1"/>
    <col min="7698" max="7698" width="15.453125" style="155" bestFit="1" customWidth="1"/>
    <col min="7699" max="7699" width="15.90625" style="155" bestFit="1" customWidth="1"/>
    <col min="7700" max="7936" width="14.36328125" style="155" customWidth="1"/>
    <col min="7937" max="7937" width="9.6328125" style="155" customWidth="1"/>
    <col min="7938" max="7938" width="43.54296875" style="155" customWidth="1"/>
    <col min="7939" max="7953" width="17.90625" style="155" customWidth="1"/>
    <col min="7954" max="7954" width="15.453125" style="155" bestFit="1" customWidth="1"/>
    <col min="7955" max="7955" width="15.90625" style="155" bestFit="1" customWidth="1"/>
    <col min="7956" max="8192" width="14.36328125" style="155" customWidth="1"/>
    <col min="8193" max="8193" width="9.6328125" style="155" customWidth="1"/>
    <col min="8194" max="8194" width="43.54296875" style="155" customWidth="1"/>
    <col min="8195" max="8209" width="17.90625" style="155" customWidth="1"/>
    <col min="8210" max="8210" width="15.453125" style="155" bestFit="1" customWidth="1"/>
    <col min="8211" max="8211" width="15.90625" style="155" bestFit="1" customWidth="1"/>
    <col min="8212" max="8448" width="14.36328125" style="155" customWidth="1"/>
    <col min="8449" max="8449" width="9.6328125" style="155" customWidth="1"/>
    <col min="8450" max="8450" width="43.54296875" style="155" customWidth="1"/>
    <col min="8451" max="8465" width="17.90625" style="155" customWidth="1"/>
    <col min="8466" max="8466" width="15.453125" style="155" bestFit="1" customWidth="1"/>
    <col min="8467" max="8467" width="15.90625" style="155" bestFit="1" customWidth="1"/>
    <col min="8468" max="8704" width="14.36328125" style="155" customWidth="1"/>
    <col min="8705" max="8705" width="9.6328125" style="155" customWidth="1"/>
    <col min="8706" max="8706" width="43.54296875" style="155" customWidth="1"/>
    <col min="8707" max="8721" width="17.90625" style="155" customWidth="1"/>
    <col min="8722" max="8722" width="15.453125" style="155" bestFit="1" customWidth="1"/>
    <col min="8723" max="8723" width="15.90625" style="155" bestFit="1" customWidth="1"/>
    <col min="8724" max="8960" width="14.36328125" style="155" customWidth="1"/>
    <col min="8961" max="8961" width="9.6328125" style="155" customWidth="1"/>
    <col min="8962" max="8962" width="43.54296875" style="155" customWidth="1"/>
    <col min="8963" max="8977" width="17.90625" style="155" customWidth="1"/>
    <col min="8978" max="8978" width="15.453125" style="155" bestFit="1" customWidth="1"/>
    <col min="8979" max="8979" width="15.90625" style="155" bestFit="1" customWidth="1"/>
    <col min="8980" max="9216" width="14.36328125" style="155" customWidth="1"/>
    <col min="9217" max="9217" width="9.6328125" style="155" customWidth="1"/>
    <col min="9218" max="9218" width="43.54296875" style="155" customWidth="1"/>
    <col min="9219" max="9233" width="17.90625" style="155" customWidth="1"/>
    <col min="9234" max="9234" width="15.453125" style="155" bestFit="1" customWidth="1"/>
    <col min="9235" max="9235" width="15.90625" style="155" bestFit="1" customWidth="1"/>
    <col min="9236" max="9472" width="14.36328125" style="155" customWidth="1"/>
    <col min="9473" max="9473" width="9.6328125" style="155" customWidth="1"/>
    <col min="9474" max="9474" width="43.54296875" style="155" customWidth="1"/>
    <col min="9475" max="9489" width="17.90625" style="155" customWidth="1"/>
    <col min="9490" max="9490" width="15.453125" style="155" bestFit="1" customWidth="1"/>
    <col min="9491" max="9491" width="15.90625" style="155" bestFit="1" customWidth="1"/>
    <col min="9492" max="9728" width="14.36328125" style="155" customWidth="1"/>
    <col min="9729" max="9729" width="9.6328125" style="155" customWidth="1"/>
    <col min="9730" max="9730" width="43.54296875" style="155" customWidth="1"/>
    <col min="9731" max="9745" width="17.90625" style="155" customWidth="1"/>
    <col min="9746" max="9746" width="15.453125" style="155" bestFit="1" customWidth="1"/>
    <col min="9747" max="9747" width="15.90625" style="155" bestFit="1" customWidth="1"/>
    <col min="9748" max="9984" width="14.36328125" style="155" customWidth="1"/>
    <col min="9985" max="9985" width="9.6328125" style="155" customWidth="1"/>
    <col min="9986" max="9986" width="43.54296875" style="155" customWidth="1"/>
    <col min="9987" max="10001" width="17.90625" style="155" customWidth="1"/>
    <col min="10002" max="10002" width="15.453125" style="155" bestFit="1" customWidth="1"/>
    <col min="10003" max="10003" width="15.90625" style="155" bestFit="1" customWidth="1"/>
    <col min="10004" max="10240" width="14.36328125" style="155" customWidth="1"/>
    <col min="10241" max="10241" width="9.6328125" style="155" customWidth="1"/>
    <col min="10242" max="10242" width="43.54296875" style="155" customWidth="1"/>
    <col min="10243" max="10257" width="17.90625" style="155" customWidth="1"/>
    <col min="10258" max="10258" width="15.453125" style="155" bestFit="1" customWidth="1"/>
    <col min="10259" max="10259" width="15.90625" style="155" bestFit="1" customWidth="1"/>
    <col min="10260" max="10496" width="14.36328125" style="155" customWidth="1"/>
    <col min="10497" max="10497" width="9.6328125" style="155" customWidth="1"/>
    <col min="10498" max="10498" width="43.54296875" style="155" customWidth="1"/>
    <col min="10499" max="10513" width="17.90625" style="155" customWidth="1"/>
    <col min="10514" max="10514" width="15.453125" style="155" bestFit="1" customWidth="1"/>
    <col min="10515" max="10515" width="15.90625" style="155" bestFit="1" customWidth="1"/>
    <col min="10516" max="10752" width="14.36328125" style="155" customWidth="1"/>
    <col min="10753" max="10753" width="9.6328125" style="155" customWidth="1"/>
    <col min="10754" max="10754" width="43.54296875" style="155" customWidth="1"/>
    <col min="10755" max="10769" width="17.90625" style="155" customWidth="1"/>
    <col min="10770" max="10770" width="15.453125" style="155" bestFit="1" customWidth="1"/>
    <col min="10771" max="10771" width="15.90625" style="155" bestFit="1" customWidth="1"/>
    <col min="10772" max="11008" width="14.36328125" style="155" customWidth="1"/>
    <col min="11009" max="11009" width="9.6328125" style="155" customWidth="1"/>
    <col min="11010" max="11010" width="43.54296875" style="155" customWidth="1"/>
    <col min="11011" max="11025" width="17.90625" style="155" customWidth="1"/>
    <col min="11026" max="11026" width="15.453125" style="155" bestFit="1" customWidth="1"/>
    <col min="11027" max="11027" width="15.90625" style="155" bestFit="1" customWidth="1"/>
    <col min="11028" max="11264" width="14.36328125" style="155" customWidth="1"/>
    <col min="11265" max="11265" width="9.6328125" style="155" customWidth="1"/>
    <col min="11266" max="11266" width="43.54296875" style="155" customWidth="1"/>
    <col min="11267" max="11281" width="17.90625" style="155" customWidth="1"/>
    <col min="11282" max="11282" width="15.453125" style="155" bestFit="1" customWidth="1"/>
    <col min="11283" max="11283" width="15.90625" style="155" bestFit="1" customWidth="1"/>
    <col min="11284" max="11520" width="14.36328125" style="155" customWidth="1"/>
    <col min="11521" max="11521" width="9.6328125" style="155" customWidth="1"/>
    <col min="11522" max="11522" width="43.54296875" style="155" customWidth="1"/>
    <col min="11523" max="11537" width="17.90625" style="155" customWidth="1"/>
    <col min="11538" max="11538" width="15.453125" style="155" bestFit="1" customWidth="1"/>
    <col min="11539" max="11539" width="15.90625" style="155" bestFit="1" customWidth="1"/>
    <col min="11540" max="11776" width="14.36328125" style="155" customWidth="1"/>
    <col min="11777" max="11777" width="9.6328125" style="155" customWidth="1"/>
    <col min="11778" max="11778" width="43.54296875" style="155" customWidth="1"/>
    <col min="11779" max="11793" width="17.90625" style="155" customWidth="1"/>
    <col min="11794" max="11794" width="15.453125" style="155" bestFit="1" customWidth="1"/>
    <col min="11795" max="11795" width="15.90625" style="155" bestFit="1" customWidth="1"/>
    <col min="11796" max="12032" width="14.36328125" style="155" customWidth="1"/>
    <col min="12033" max="12033" width="9.6328125" style="155" customWidth="1"/>
    <col min="12034" max="12034" width="43.54296875" style="155" customWidth="1"/>
    <col min="12035" max="12049" width="17.90625" style="155" customWidth="1"/>
    <col min="12050" max="12050" width="15.453125" style="155" bestFit="1" customWidth="1"/>
    <col min="12051" max="12051" width="15.90625" style="155" bestFit="1" customWidth="1"/>
    <col min="12052" max="12288" width="14.36328125" style="155" customWidth="1"/>
    <col min="12289" max="12289" width="9.6328125" style="155" customWidth="1"/>
    <col min="12290" max="12290" width="43.54296875" style="155" customWidth="1"/>
    <col min="12291" max="12305" width="17.90625" style="155" customWidth="1"/>
    <col min="12306" max="12306" width="15.453125" style="155" bestFit="1" customWidth="1"/>
    <col min="12307" max="12307" width="15.90625" style="155" bestFit="1" customWidth="1"/>
    <col min="12308" max="12544" width="14.36328125" style="155" customWidth="1"/>
    <col min="12545" max="12545" width="9.6328125" style="155" customWidth="1"/>
    <col min="12546" max="12546" width="43.54296875" style="155" customWidth="1"/>
    <col min="12547" max="12561" width="17.90625" style="155" customWidth="1"/>
    <col min="12562" max="12562" width="15.453125" style="155" bestFit="1" customWidth="1"/>
    <col min="12563" max="12563" width="15.90625" style="155" bestFit="1" customWidth="1"/>
    <col min="12564" max="12800" width="14.36328125" style="155" customWidth="1"/>
    <col min="12801" max="12801" width="9.6328125" style="155" customWidth="1"/>
    <col min="12802" max="12802" width="43.54296875" style="155" customWidth="1"/>
    <col min="12803" max="12817" width="17.90625" style="155" customWidth="1"/>
    <col min="12818" max="12818" width="15.453125" style="155" bestFit="1" customWidth="1"/>
    <col min="12819" max="12819" width="15.90625" style="155" bestFit="1" customWidth="1"/>
    <col min="12820" max="13056" width="14.36328125" style="155" customWidth="1"/>
    <col min="13057" max="13057" width="9.6328125" style="155" customWidth="1"/>
    <col min="13058" max="13058" width="43.54296875" style="155" customWidth="1"/>
    <col min="13059" max="13073" width="17.90625" style="155" customWidth="1"/>
    <col min="13074" max="13074" width="15.453125" style="155" bestFit="1" customWidth="1"/>
    <col min="13075" max="13075" width="15.90625" style="155" bestFit="1" customWidth="1"/>
    <col min="13076" max="13312" width="14.36328125" style="155" customWidth="1"/>
    <col min="13313" max="13313" width="9.6328125" style="155" customWidth="1"/>
    <col min="13314" max="13314" width="43.54296875" style="155" customWidth="1"/>
    <col min="13315" max="13329" width="17.90625" style="155" customWidth="1"/>
    <col min="13330" max="13330" width="15.453125" style="155" bestFit="1" customWidth="1"/>
    <col min="13331" max="13331" width="15.90625" style="155" bestFit="1" customWidth="1"/>
    <col min="13332" max="13568" width="14.36328125" style="155" customWidth="1"/>
    <col min="13569" max="13569" width="9.6328125" style="155" customWidth="1"/>
    <col min="13570" max="13570" width="43.54296875" style="155" customWidth="1"/>
    <col min="13571" max="13585" width="17.90625" style="155" customWidth="1"/>
    <col min="13586" max="13586" width="15.453125" style="155" bestFit="1" customWidth="1"/>
    <col min="13587" max="13587" width="15.90625" style="155" bestFit="1" customWidth="1"/>
    <col min="13588" max="13824" width="14.36328125" style="155" customWidth="1"/>
    <col min="13825" max="13825" width="9.6328125" style="155" customWidth="1"/>
    <col min="13826" max="13826" width="43.54296875" style="155" customWidth="1"/>
    <col min="13827" max="13841" width="17.90625" style="155" customWidth="1"/>
    <col min="13842" max="13842" width="15.453125" style="155" bestFit="1" customWidth="1"/>
    <col min="13843" max="13843" width="15.90625" style="155" bestFit="1" customWidth="1"/>
    <col min="13844" max="14080" width="14.36328125" style="155" customWidth="1"/>
    <col min="14081" max="14081" width="9.6328125" style="155" customWidth="1"/>
    <col min="14082" max="14082" width="43.54296875" style="155" customWidth="1"/>
    <col min="14083" max="14097" width="17.90625" style="155" customWidth="1"/>
    <col min="14098" max="14098" width="15.453125" style="155" bestFit="1" customWidth="1"/>
    <col min="14099" max="14099" width="15.90625" style="155" bestFit="1" customWidth="1"/>
    <col min="14100" max="14336" width="14.36328125" style="155" customWidth="1"/>
    <col min="14337" max="14337" width="9.6328125" style="155" customWidth="1"/>
    <col min="14338" max="14338" width="43.54296875" style="155" customWidth="1"/>
    <col min="14339" max="14353" width="17.90625" style="155" customWidth="1"/>
    <col min="14354" max="14354" width="15.453125" style="155" bestFit="1" customWidth="1"/>
    <col min="14355" max="14355" width="15.90625" style="155" bestFit="1" customWidth="1"/>
    <col min="14356" max="14592" width="14.36328125" style="155" customWidth="1"/>
    <col min="14593" max="14593" width="9.6328125" style="155" customWidth="1"/>
    <col min="14594" max="14594" width="43.54296875" style="155" customWidth="1"/>
    <col min="14595" max="14609" width="17.90625" style="155" customWidth="1"/>
    <col min="14610" max="14610" width="15.453125" style="155" bestFit="1" customWidth="1"/>
    <col min="14611" max="14611" width="15.90625" style="155" bestFit="1" customWidth="1"/>
    <col min="14612" max="14848" width="14.36328125" style="155" customWidth="1"/>
    <col min="14849" max="14849" width="9.6328125" style="155" customWidth="1"/>
    <col min="14850" max="14850" width="43.54296875" style="155" customWidth="1"/>
    <col min="14851" max="14865" width="17.90625" style="155" customWidth="1"/>
    <col min="14866" max="14866" width="15.453125" style="155" bestFit="1" customWidth="1"/>
    <col min="14867" max="14867" width="15.90625" style="155" bestFit="1" customWidth="1"/>
    <col min="14868" max="15104" width="14.36328125" style="155" customWidth="1"/>
    <col min="15105" max="15105" width="9.6328125" style="155" customWidth="1"/>
    <col min="15106" max="15106" width="43.54296875" style="155" customWidth="1"/>
    <col min="15107" max="15121" width="17.90625" style="155" customWidth="1"/>
    <col min="15122" max="15122" width="15.453125" style="155" bestFit="1" customWidth="1"/>
    <col min="15123" max="15123" width="15.90625" style="155" bestFit="1" customWidth="1"/>
    <col min="15124" max="15360" width="14.36328125" style="155" customWidth="1"/>
    <col min="15361" max="15361" width="9.6328125" style="155" customWidth="1"/>
    <col min="15362" max="15362" width="43.54296875" style="155" customWidth="1"/>
    <col min="15363" max="15377" width="17.90625" style="155" customWidth="1"/>
    <col min="15378" max="15378" width="15.453125" style="155" bestFit="1" customWidth="1"/>
    <col min="15379" max="15379" width="15.90625" style="155" bestFit="1" customWidth="1"/>
    <col min="15380" max="15616" width="14.36328125" style="155" customWidth="1"/>
    <col min="15617" max="15617" width="9.6328125" style="155" customWidth="1"/>
    <col min="15618" max="15618" width="43.54296875" style="155" customWidth="1"/>
    <col min="15619" max="15633" width="17.90625" style="155" customWidth="1"/>
    <col min="15634" max="15634" width="15.453125" style="155" bestFit="1" customWidth="1"/>
    <col min="15635" max="15635" width="15.90625" style="155" bestFit="1" customWidth="1"/>
    <col min="15636" max="15872" width="14.36328125" style="155" customWidth="1"/>
    <col min="15873" max="15873" width="9.6328125" style="155" customWidth="1"/>
    <col min="15874" max="15874" width="43.54296875" style="155" customWidth="1"/>
    <col min="15875" max="15889" width="17.90625" style="155" customWidth="1"/>
    <col min="15890" max="15890" width="15.453125" style="155" bestFit="1" customWidth="1"/>
    <col min="15891" max="15891" width="15.90625" style="155" bestFit="1" customWidth="1"/>
    <col min="15892" max="16128" width="14.36328125" style="155" customWidth="1"/>
    <col min="16129" max="16129" width="9.6328125" style="155" customWidth="1"/>
    <col min="16130" max="16130" width="43.54296875" style="155" customWidth="1"/>
    <col min="16131" max="16145" width="17.90625" style="155" customWidth="1"/>
    <col min="16146" max="16146" width="15.453125" style="155" bestFit="1" customWidth="1"/>
    <col min="16147" max="16147" width="15.90625" style="155" bestFit="1" customWidth="1"/>
    <col min="16148" max="16384" width="14.36328125" style="155" customWidth="1"/>
  </cols>
  <sheetData>
    <row r="3" spans="2:17" ht="32.5" customHeight="1" x14ac:dyDescent="0.35">
      <c r="B3" s="328" t="str">
        <f>_xlfn.CONCAT('Table of Contents'!B27,": ",'Table of Contents'!C27)</f>
        <v>APPENDIX 15: SUMMARY OF PERSONAL PENSIONS BUSINESS REVENUE ACCOUNTS FOR THE PERIOD ENDED 31.12.2025</v>
      </c>
      <c r="C3" s="269"/>
      <c r="D3" s="269"/>
      <c r="E3" s="269"/>
      <c r="F3" s="269"/>
      <c r="G3" s="269"/>
      <c r="H3" s="269"/>
      <c r="I3" s="269"/>
      <c r="J3" s="269"/>
      <c r="K3" s="269"/>
      <c r="L3" s="269"/>
      <c r="M3" s="269"/>
      <c r="N3" s="269"/>
      <c r="O3" s="269"/>
      <c r="P3" s="269"/>
      <c r="Q3" s="270"/>
    </row>
    <row r="4" spans="2:17" s="159" customFormat="1" ht="31" customHeight="1" x14ac:dyDescent="0.35">
      <c r="B4" s="156" t="s">
        <v>0</v>
      </c>
      <c r="C4" s="157" t="s">
        <v>200</v>
      </c>
      <c r="D4" s="157" t="s">
        <v>201</v>
      </c>
      <c r="E4" s="157" t="s">
        <v>202</v>
      </c>
      <c r="F4" s="157" t="s">
        <v>203</v>
      </c>
      <c r="G4" s="157" t="s">
        <v>204</v>
      </c>
      <c r="H4" s="157" t="s">
        <v>205</v>
      </c>
      <c r="I4" s="158" t="s">
        <v>206</v>
      </c>
      <c r="J4" s="157" t="s">
        <v>207</v>
      </c>
      <c r="K4" s="157" t="s">
        <v>208</v>
      </c>
      <c r="L4" s="157" t="s">
        <v>209</v>
      </c>
      <c r="M4" s="157" t="s">
        <v>210</v>
      </c>
      <c r="N4" s="157" t="s">
        <v>211</v>
      </c>
      <c r="O4" s="157" t="s">
        <v>212</v>
      </c>
      <c r="P4" s="157" t="s">
        <v>213</v>
      </c>
      <c r="Q4" s="157" t="s">
        <v>214</v>
      </c>
    </row>
    <row r="5" spans="2:17" x14ac:dyDescent="0.35">
      <c r="B5" s="326" t="s">
        <v>17</v>
      </c>
      <c r="C5" s="269"/>
      <c r="D5" s="269"/>
      <c r="E5" s="269"/>
      <c r="F5" s="269"/>
      <c r="G5" s="269"/>
      <c r="H5" s="269"/>
      <c r="I5" s="269"/>
      <c r="J5" s="269"/>
      <c r="K5" s="269"/>
      <c r="L5" s="269"/>
      <c r="M5" s="269"/>
      <c r="N5" s="269"/>
      <c r="O5" s="269"/>
      <c r="P5" s="269"/>
      <c r="Q5" s="270"/>
    </row>
    <row r="6" spans="2:17" ht="35" customHeight="1" x14ac:dyDescent="0.35">
      <c r="B6" s="128" t="s">
        <v>110</v>
      </c>
      <c r="C6" s="160">
        <v>0</v>
      </c>
      <c r="D6" s="160">
        <v>0</v>
      </c>
      <c r="E6" s="160">
        <v>0</v>
      </c>
      <c r="F6" s="160">
        <v>0</v>
      </c>
      <c r="G6" s="160">
        <v>0</v>
      </c>
      <c r="H6" s="160">
        <v>0</v>
      </c>
      <c r="I6" s="160">
        <v>0</v>
      </c>
      <c r="J6" s="160">
        <v>0</v>
      </c>
      <c r="K6" s="160">
        <v>0</v>
      </c>
      <c r="L6" s="160">
        <v>0</v>
      </c>
      <c r="M6" s="160">
        <v>0</v>
      </c>
      <c r="N6" s="160">
        <v>0</v>
      </c>
      <c r="O6" s="160">
        <v>0</v>
      </c>
      <c r="P6" s="160">
        <v>0</v>
      </c>
      <c r="Q6" s="161">
        <v>0</v>
      </c>
    </row>
    <row r="7" spans="2:17" ht="35" customHeight="1" x14ac:dyDescent="0.35">
      <c r="B7" s="128" t="s">
        <v>111</v>
      </c>
      <c r="C7" s="160">
        <v>0</v>
      </c>
      <c r="D7" s="160">
        <v>130267.84999</v>
      </c>
      <c r="E7" s="160">
        <v>130267.84999</v>
      </c>
      <c r="F7" s="160">
        <v>0</v>
      </c>
      <c r="G7" s="160">
        <v>109816.94100000001</v>
      </c>
      <c r="H7" s="160">
        <v>109816.94100000001</v>
      </c>
      <c r="I7" s="160">
        <v>0</v>
      </c>
      <c r="J7" s="160">
        <v>0</v>
      </c>
      <c r="K7" s="160">
        <v>0</v>
      </c>
      <c r="L7" s="160">
        <v>4635.3130000000001</v>
      </c>
      <c r="M7" s="160">
        <v>6440.5959999999995</v>
      </c>
      <c r="N7" s="160">
        <v>102449.04300000001</v>
      </c>
      <c r="O7" s="160">
        <v>1892.2940000000001</v>
      </c>
      <c r="P7" s="160">
        <v>0</v>
      </c>
      <c r="Q7" s="161">
        <v>109931.74898999999</v>
      </c>
    </row>
    <row r="8" spans="2:17" ht="35" customHeight="1" x14ac:dyDescent="0.35">
      <c r="B8" s="128" t="s">
        <v>112</v>
      </c>
      <c r="C8" s="160">
        <v>33293701.547664311</v>
      </c>
      <c r="D8" s="160">
        <v>6139589.5333000002</v>
      </c>
      <c r="E8" s="160">
        <v>6139589.5333000002</v>
      </c>
      <c r="F8" s="160">
        <v>0</v>
      </c>
      <c r="G8" s="160">
        <v>4803545.2228200007</v>
      </c>
      <c r="H8" s="160">
        <v>4803545.2228200007</v>
      </c>
      <c r="I8" s="160">
        <v>0</v>
      </c>
      <c r="J8" s="160">
        <v>0</v>
      </c>
      <c r="K8" s="160">
        <v>0</v>
      </c>
      <c r="L8" s="160">
        <v>46799.040999999997</v>
      </c>
      <c r="M8" s="160">
        <v>471582.516</v>
      </c>
      <c r="N8" s="160">
        <v>5157554.818</v>
      </c>
      <c r="O8" s="160">
        <v>12212.688</v>
      </c>
      <c r="P8" s="160">
        <v>0</v>
      </c>
      <c r="Q8" s="161">
        <v>39256706.431144312</v>
      </c>
    </row>
    <row r="9" spans="2:17" ht="35" customHeight="1" x14ac:dyDescent="0.35">
      <c r="B9" s="128" t="s">
        <v>113</v>
      </c>
      <c r="C9" s="160">
        <v>0</v>
      </c>
      <c r="D9" s="160">
        <v>0</v>
      </c>
      <c r="E9" s="160">
        <v>0</v>
      </c>
      <c r="F9" s="160">
        <v>0</v>
      </c>
      <c r="G9" s="160">
        <v>0</v>
      </c>
      <c r="H9" s="160">
        <v>0</v>
      </c>
      <c r="I9" s="160">
        <v>0</v>
      </c>
      <c r="J9" s="160">
        <v>0</v>
      </c>
      <c r="K9" s="160">
        <v>0</v>
      </c>
      <c r="L9" s="160">
        <v>0</v>
      </c>
      <c r="M9" s="160">
        <v>0</v>
      </c>
      <c r="N9" s="160">
        <v>0</v>
      </c>
      <c r="O9" s="160">
        <v>0</v>
      </c>
      <c r="P9" s="160">
        <v>0</v>
      </c>
      <c r="Q9" s="161">
        <v>0</v>
      </c>
    </row>
    <row r="10" spans="2:17" ht="35" customHeight="1" x14ac:dyDescent="0.35">
      <c r="B10" s="128" t="s">
        <v>114</v>
      </c>
      <c r="C10" s="160">
        <v>0</v>
      </c>
      <c r="D10" s="160">
        <v>41254.695</v>
      </c>
      <c r="E10" s="160">
        <v>41254.695</v>
      </c>
      <c r="F10" s="160">
        <v>0</v>
      </c>
      <c r="G10" s="160">
        <v>7815.9669599999997</v>
      </c>
      <c r="H10" s="160">
        <v>7815.9669599999997</v>
      </c>
      <c r="I10" s="160">
        <v>0</v>
      </c>
      <c r="J10" s="160">
        <v>0</v>
      </c>
      <c r="K10" s="160">
        <v>0</v>
      </c>
      <c r="L10" s="160">
        <v>0</v>
      </c>
      <c r="M10" s="160">
        <v>12091.7817550542</v>
      </c>
      <c r="N10" s="160">
        <v>1117.0971393789339</v>
      </c>
      <c r="O10" s="160">
        <v>0</v>
      </c>
      <c r="P10" s="160">
        <v>0</v>
      </c>
      <c r="Q10" s="161">
        <v>22464.04342432474</v>
      </c>
    </row>
    <row r="11" spans="2:17" ht="35" customHeight="1" x14ac:dyDescent="0.35">
      <c r="B11" s="128" t="s">
        <v>115</v>
      </c>
      <c r="C11" s="160">
        <v>0</v>
      </c>
      <c r="D11" s="160">
        <v>0</v>
      </c>
      <c r="E11" s="160">
        <v>0</v>
      </c>
      <c r="F11" s="160">
        <v>0</v>
      </c>
      <c r="G11" s="160">
        <v>0</v>
      </c>
      <c r="H11" s="160">
        <v>0</v>
      </c>
      <c r="I11" s="160">
        <v>0</v>
      </c>
      <c r="J11" s="160">
        <v>0</v>
      </c>
      <c r="K11" s="160">
        <v>0</v>
      </c>
      <c r="L11" s="160">
        <v>0</v>
      </c>
      <c r="M11" s="160">
        <v>0</v>
      </c>
      <c r="N11" s="160">
        <v>0</v>
      </c>
      <c r="O11" s="160">
        <v>0</v>
      </c>
      <c r="P11" s="160">
        <v>0</v>
      </c>
      <c r="Q11" s="161">
        <v>0</v>
      </c>
    </row>
    <row r="12" spans="2:17" ht="35" customHeight="1" x14ac:dyDescent="0.35">
      <c r="B12" s="128" t="s">
        <v>73</v>
      </c>
      <c r="C12" s="160">
        <v>0</v>
      </c>
      <c r="D12" s="160">
        <v>0</v>
      </c>
      <c r="E12" s="160">
        <v>0</v>
      </c>
      <c r="F12" s="160">
        <v>0</v>
      </c>
      <c r="G12" s="160">
        <v>0</v>
      </c>
      <c r="H12" s="160">
        <v>0</v>
      </c>
      <c r="I12" s="160">
        <v>0</v>
      </c>
      <c r="J12" s="160">
        <v>0</v>
      </c>
      <c r="K12" s="160">
        <v>0</v>
      </c>
      <c r="L12" s="160">
        <v>0</v>
      </c>
      <c r="M12" s="160">
        <v>0</v>
      </c>
      <c r="N12" s="160">
        <v>0</v>
      </c>
      <c r="O12" s="160">
        <v>0</v>
      </c>
      <c r="P12" s="160">
        <v>0</v>
      </c>
      <c r="Q12" s="161">
        <v>0</v>
      </c>
    </row>
    <row r="13" spans="2:17" ht="35" customHeight="1" x14ac:dyDescent="0.35">
      <c r="B13" s="128" t="s">
        <v>116</v>
      </c>
      <c r="C13" s="160">
        <v>374887.38500000001</v>
      </c>
      <c r="D13" s="160">
        <v>332020.42</v>
      </c>
      <c r="E13" s="160">
        <v>332020.42</v>
      </c>
      <c r="F13" s="160">
        <v>0</v>
      </c>
      <c r="G13" s="160">
        <v>48756.318919999983</v>
      </c>
      <c r="H13" s="160">
        <v>48756.318919999983</v>
      </c>
      <c r="I13" s="160">
        <v>0</v>
      </c>
      <c r="J13" s="160">
        <v>0</v>
      </c>
      <c r="K13" s="160">
        <v>0</v>
      </c>
      <c r="L13" s="160">
        <v>0</v>
      </c>
      <c r="M13" s="160">
        <v>0</v>
      </c>
      <c r="N13" s="160">
        <v>0</v>
      </c>
      <c r="O13" s="160">
        <v>0</v>
      </c>
      <c r="P13" s="160">
        <v>0</v>
      </c>
      <c r="Q13" s="161">
        <v>658151.48608000006</v>
      </c>
    </row>
    <row r="14" spans="2:17" ht="35" customHeight="1" x14ac:dyDescent="0.35">
      <c r="B14" s="128" t="s">
        <v>117</v>
      </c>
      <c r="C14" s="160">
        <v>5859870.7510000002</v>
      </c>
      <c r="D14" s="160">
        <v>1903228.5279999999</v>
      </c>
      <c r="E14" s="160">
        <v>1903228.5279999999</v>
      </c>
      <c r="F14" s="160">
        <v>0</v>
      </c>
      <c r="G14" s="160">
        <v>546825.86599999992</v>
      </c>
      <c r="H14" s="160">
        <v>546825.86599999992</v>
      </c>
      <c r="I14" s="160">
        <v>0</v>
      </c>
      <c r="J14" s="160">
        <v>0</v>
      </c>
      <c r="K14" s="160">
        <v>0</v>
      </c>
      <c r="L14" s="160">
        <v>12319.953</v>
      </c>
      <c r="M14" s="160">
        <v>19742.04510780724</v>
      </c>
      <c r="N14" s="160">
        <v>1013629.584</v>
      </c>
      <c r="O14" s="160">
        <v>0</v>
      </c>
      <c r="P14" s="160">
        <v>0</v>
      </c>
      <c r="Q14" s="161">
        <v>8197840.9988921927</v>
      </c>
    </row>
    <row r="15" spans="2:17" ht="35" customHeight="1" x14ac:dyDescent="0.35">
      <c r="B15" s="128" t="s">
        <v>118</v>
      </c>
      <c r="C15" s="160">
        <v>129029.749</v>
      </c>
      <c r="D15" s="160">
        <v>106143.11336</v>
      </c>
      <c r="E15" s="160">
        <v>106143.11336</v>
      </c>
      <c r="F15" s="160">
        <v>0</v>
      </c>
      <c r="G15" s="160">
        <v>0</v>
      </c>
      <c r="H15" s="160">
        <v>0</v>
      </c>
      <c r="I15" s="160">
        <v>0</v>
      </c>
      <c r="J15" s="160">
        <v>0</v>
      </c>
      <c r="K15" s="160">
        <v>0</v>
      </c>
      <c r="L15" s="160">
        <v>-2534.5239999999999</v>
      </c>
      <c r="M15" s="160">
        <v>0</v>
      </c>
      <c r="N15" s="160">
        <v>0</v>
      </c>
      <c r="O15" s="160">
        <v>0</v>
      </c>
      <c r="P15" s="160">
        <v>129989.927</v>
      </c>
      <c r="Q15" s="161">
        <v>107717.45935999999</v>
      </c>
    </row>
    <row r="16" spans="2:17" ht="35" customHeight="1" x14ac:dyDescent="0.35">
      <c r="B16" s="128" t="s">
        <v>119</v>
      </c>
      <c r="C16" s="160">
        <v>48450961.466773599</v>
      </c>
      <c r="D16" s="160">
        <v>8823772.1475800015</v>
      </c>
      <c r="E16" s="160">
        <v>8823772.1475800015</v>
      </c>
      <c r="F16" s="160">
        <v>0</v>
      </c>
      <c r="G16" s="160">
        <v>5674559.2368299998</v>
      </c>
      <c r="H16" s="160">
        <v>5674559.2368299998</v>
      </c>
      <c r="I16" s="160">
        <v>0</v>
      </c>
      <c r="J16" s="160">
        <v>0</v>
      </c>
      <c r="K16" s="160">
        <v>0</v>
      </c>
      <c r="L16" s="160">
        <v>106289.74800000001</v>
      </c>
      <c r="M16" s="160">
        <v>315540.76025079988</v>
      </c>
      <c r="N16" s="160">
        <v>7283268.6119999997</v>
      </c>
      <c r="O16" s="160">
        <v>0</v>
      </c>
      <c r="P16" s="160">
        <v>0</v>
      </c>
      <c r="Q16" s="161">
        <v>58461612.481272787</v>
      </c>
    </row>
    <row r="17" spans="2:17" ht="35" customHeight="1" x14ac:dyDescent="0.35">
      <c r="B17" s="128" t="s">
        <v>120</v>
      </c>
      <c r="C17" s="160">
        <v>10414912.013240101</v>
      </c>
      <c r="D17" s="160">
        <v>3497687.5669999998</v>
      </c>
      <c r="E17" s="160">
        <v>3497687.5669999998</v>
      </c>
      <c r="F17" s="160">
        <v>0</v>
      </c>
      <c r="G17" s="160">
        <v>0</v>
      </c>
      <c r="H17" s="160">
        <v>0</v>
      </c>
      <c r="I17" s="160">
        <v>0</v>
      </c>
      <c r="J17" s="160">
        <v>0</v>
      </c>
      <c r="K17" s="160">
        <v>0</v>
      </c>
      <c r="L17" s="160">
        <v>0</v>
      </c>
      <c r="M17" s="160">
        <v>67061.477206040727</v>
      </c>
      <c r="N17" s="160">
        <v>0</v>
      </c>
      <c r="O17" s="160">
        <v>0</v>
      </c>
      <c r="P17" s="160">
        <v>0</v>
      </c>
      <c r="Q17" s="161">
        <v>13845538.10303406</v>
      </c>
    </row>
    <row r="18" spans="2:17" ht="35" customHeight="1" x14ac:dyDescent="0.35">
      <c r="B18" s="128" t="s">
        <v>121</v>
      </c>
      <c r="C18" s="160">
        <v>0</v>
      </c>
      <c r="D18" s="160">
        <v>1379195.4985400001</v>
      </c>
      <c r="E18" s="160">
        <v>1379195.4985400001</v>
      </c>
      <c r="F18" s="160">
        <v>0</v>
      </c>
      <c r="G18" s="160">
        <v>0</v>
      </c>
      <c r="H18" s="160">
        <v>0</v>
      </c>
      <c r="I18" s="160">
        <v>0</v>
      </c>
      <c r="J18" s="160">
        <v>0</v>
      </c>
      <c r="K18" s="160">
        <v>0</v>
      </c>
      <c r="L18" s="160">
        <v>0</v>
      </c>
      <c r="M18" s="160">
        <v>0</v>
      </c>
      <c r="N18" s="160">
        <v>0</v>
      </c>
      <c r="O18" s="160">
        <v>0</v>
      </c>
      <c r="P18" s="160">
        <v>0</v>
      </c>
      <c r="Q18" s="161">
        <v>1379195.4985400001</v>
      </c>
    </row>
    <row r="19" spans="2:17" ht="35" customHeight="1" x14ac:dyDescent="0.35">
      <c r="B19" s="128" t="s">
        <v>122</v>
      </c>
      <c r="C19" s="162">
        <v>380379.24238707533</v>
      </c>
      <c r="D19" s="160">
        <v>78893.689230000004</v>
      </c>
      <c r="E19" s="160">
        <v>78893.689230000004</v>
      </c>
      <c r="F19" s="160">
        <v>0</v>
      </c>
      <c r="G19" s="160">
        <v>64263.42671</v>
      </c>
      <c r="H19" s="160">
        <v>64263.42671</v>
      </c>
      <c r="I19" s="160">
        <v>0</v>
      </c>
      <c r="J19" s="160">
        <v>0</v>
      </c>
      <c r="K19" s="160">
        <v>0</v>
      </c>
      <c r="L19" s="160">
        <v>0</v>
      </c>
      <c r="M19" s="160">
        <v>1621.495829993434</v>
      </c>
      <c r="N19" s="160">
        <v>50332.27476738835</v>
      </c>
      <c r="O19" s="160">
        <v>0</v>
      </c>
      <c r="P19" s="160">
        <v>0</v>
      </c>
      <c r="Q19" s="161">
        <v>443720.28384447022</v>
      </c>
    </row>
    <row r="20" spans="2:17" ht="35" customHeight="1" x14ac:dyDescent="0.35">
      <c r="B20" s="128" t="s">
        <v>123</v>
      </c>
      <c r="C20" s="70">
        <v>0</v>
      </c>
      <c r="D20" s="160">
        <v>0</v>
      </c>
      <c r="E20" s="160">
        <v>0</v>
      </c>
      <c r="F20" s="160">
        <v>0</v>
      </c>
      <c r="G20" s="160">
        <v>0</v>
      </c>
      <c r="H20" s="160">
        <v>0</v>
      </c>
      <c r="I20" s="160">
        <v>0</v>
      </c>
      <c r="J20" s="160">
        <v>0</v>
      </c>
      <c r="K20" s="160">
        <v>0</v>
      </c>
      <c r="L20" s="160">
        <v>0</v>
      </c>
      <c r="M20" s="160">
        <v>0</v>
      </c>
      <c r="N20" s="160">
        <v>0</v>
      </c>
      <c r="O20" s="160">
        <v>0</v>
      </c>
      <c r="P20" s="160">
        <v>0</v>
      </c>
      <c r="Q20" s="161">
        <v>0</v>
      </c>
    </row>
    <row r="21" spans="2:17" ht="35" customHeight="1" x14ac:dyDescent="0.35">
      <c r="B21" s="128" t="s">
        <v>124</v>
      </c>
      <c r="C21" s="162">
        <v>887694.70957469172</v>
      </c>
      <c r="D21" s="160">
        <v>1338237.4196299999</v>
      </c>
      <c r="E21" s="160">
        <v>1338237.4196299999</v>
      </c>
      <c r="F21" s="160">
        <v>0</v>
      </c>
      <c r="G21" s="160">
        <v>1904010.14</v>
      </c>
      <c r="H21" s="160">
        <v>1904010.14</v>
      </c>
      <c r="I21" s="160">
        <v>0</v>
      </c>
      <c r="J21" s="160">
        <v>0</v>
      </c>
      <c r="K21" s="160">
        <v>0</v>
      </c>
      <c r="L21" s="160">
        <v>18202.377</v>
      </c>
      <c r="M21" s="160">
        <v>145576.774</v>
      </c>
      <c r="N21" s="160">
        <v>1372774.14852</v>
      </c>
      <c r="O21" s="160">
        <v>27050.324511302821</v>
      </c>
      <c r="P21" s="160">
        <v>0</v>
      </c>
      <c r="Q21" s="161">
        <v>1503866.6622133879</v>
      </c>
    </row>
    <row r="22" spans="2:17" ht="35" customHeight="1" x14ac:dyDescent="0.35">
      <c r="B22" s="128" t="s">
        <v>87</v>
      </c>
      <c r="C22" s="162">
        <v>1444404.429</v>
      </c>
      <c r="D22" s="160">
        <v>187088.16110999999</v>
      </c>
      <c r="E22" s="160">
        <v>187088.16110999999</v>
      </c>
      <c r="F22" s="160">
        <v>0</v>
      </c>
      <c r="G22" s="160">
        <v>260973.14477000001</v>
      </c>
      <c r="H22" s="160">
        <v>260973.14477000001</v>
      </c>
      <c r="I22" s="160">
        <v>0</v>
      </c>
      <c r="J22" s="160">
        <v>0</v>
      </c>
      <c r="K22" s="160">
        <v>0</v>
      </c>
      <c r="L22" s="160">
        <v>2150.4928300000001</v>
      </c>
      <c r="M22" s="160">
        <v>16860.824121367099</v>
      </c>
      <c r="N22" s="160">
        <v>16552.339391958802</v>
      </c>
      <c r="O22" s="160">
        <v>1885.7450978155671</v>
      </c>
      <c r="P22" s="160">
        <v>0</v>
      </c>
      <c r="Q22" s="161">
        <v>1366174.7226827759</v>
      </c>
    </row>
    <row r="23" spans="2:17" ht="35" customHeight="1" x14ac:dyDescent="0.35">
      <c r="B23" s="128" t="s">
        <v>125</v>
      </c>
      <c r="C23" s="162">
        <v>0</v>
      </c>
      <c r="D23" s="160">
        <v>0</v>
      </c>
      <c r="E23" s="160">
        <v>0</v>
      </c>
      <c r="F23" s="160">
        <v>0</v>
      </c>
      <c r="G23" s="160">
        <v>0</v>
      </c>
      <c r="H23" s="160">
        <v>0</v>
      </c>
      <c r="I23" s="160">
        <v>0</v>
      </c>
      <c r="J23" s="160">
        <v>0</v>
      </c>
      <c r="K23" s="160">
        <v>0</v>
      </c>
      <c r="L23" s="160">
        <v>0</v>
      </c>
      <c r="M23" s="160">
        <v>0</v>
      </c>
      <c r="N23" s="160">
        <v>0</v>
      </c>
      <c r="O23" s="160">
        <v>0</v>
      </c>
      <c r="P23" s="160">
        <v>0</v>
      </c>
      <c r="Q23" s="161">
        <v>0</v>
      </c>
    </row>
    <row r="24" spans="2:17" ht="35" customHeight="1" x14ac:dyDescent="0.35">
      <c r="B24" s="128" t="s">
        <v>126</v>
      </c>
      <c r="C24" s="162">
        <v>19485.731640000002</v>
      </c>
      <c r="D24" s="160">
        <v>175339.92963</v>
      </c>
      <c r="E24" s="160">
        <v>175339.92963</v>
      </c>
      <c r="F24" s="160">
        <v>0</v>
      </c>
      <c r="G24" s="160">
        <v>25658.159252448899</v>
      </c>
      <c r="H24" s="160">
        <v>25658.159252448899</v>
      </c>
      <c r="I24" s="160">
        <v>0</v>
      </c>
      <c r="J24" s="160">
        <v>0</v>
      </c>
      <c r="K24" s="160">
        <v>0</v>
      </c>
      <c r="L24" s="160">
        <v>0</v>
      </c>
      <c r="M24" s="160">
        <v>0</v>
      </c>
      <c r="N24" s="160">
        <v>0</v>
      </c>
      <c r="O24" s="160">
        <v>0</v>
      </c>
      <c r="P24" s="160">
        <v>0</v>
      </c>
      <c r="Q24" s="161">
        <v>169167.5020175511</v>
      </c>
    </row>
    <row r="25" spans="2:17" ht="35" customHeight="1" x14ac:dyDescent="0.35">
      <c r="B25" s="128" t="s">
        <v>127</v>
      </c>
      <c r="C25" s="162">
        <v>1505583.447675375</v>
      </c>
      <c r="D25" s="160">
        <v>0</v>
      </c>
      <c r="E25" s="160">
        <v>0</v>
      </c>
      <c r="F25" s="160">
        <v>0</v>
      </c>
      <c r="G25" s="160">
        <v>0</v>
      </c>
      <c r="H25" s="160">
        <v>0</v>
      </c>
      <c r="I25" s="160">
        <v>0</v>
      </c>
      <c r="J25" s="160">
        <v>0</v>
      </c>
      <c r="K25" s="160">
        <v>0</v>
      </c>
      <c r="L25" s="160">
        <v>0</v>
      </c>
      <c r="M25" s="160">
        <v>0</v>
      </c>
      <c r="N25" s="160">
        <v>0</v>
      </c>
      <c r="O25" s="160">
        <v>0</v>
      </c>
      <c r="P25" s="160">
        <v>0</v>
      </c>
      <c r="Q25" s="161">
        <v>1505583.447675375</v>
      </c>
    </row>
    <row r="26" spans="2:17" ht="35" customHeight="1" x14ac:dyDescent="0.35">
      <c r="B26" s="128" t="s">
        <v>128</v>
      </c>
      <c r="C26" s="162">
        <v>-549673.42676257028</v>
      </c>
      <c r="D26" s="160">
        <v>582905.20236294263</v>
      </c>
      <c r="E26" s="160">
        <v>582905.20236294263</v>
      </c>
      <c r="F26" s="160">
        <v>0</v>
      </c>
      <c r="G26" s="160">
        <v>203295.45616656219</v>
      </c>
      <c r="H26" s="160">
        <v>203295.45616656219</v>
      </c>
      <c r="I26" s="160">
        <v>0</v>
      </c>
      <c r="J26" s="160">
        <v>0</v>
      </c>
      <c r="K26" s="160">
        <v>0</v>
      </c>
      <c r="L26" s="160">
        <v>9313.8655299999991</v>
      </c>
      <c r="M26" s="160">
        <v>23163.463934586449</v>
      </c>
      <c r="N26" s="160">
        <v>0</v>
      </c>
      <c r="O26" s="160">
        <v>0</v>
      </c>
      <c r="P26" s="160">
        <v>0</v>
      </c>
      <c r="Q26" s="161">
        <v>-202541.01003077641</v>
      </c>
    </row>
    <row r="27" spans="2:17" ht="35" customHeight="1" x14ac:dyDescent="0.35">
      <c r="B27" s="128" t="s">
        <v>129</v>
      </c>
      <c r="C27" s="162">
        <v>0</v>
      </c>
      <c r="D27" s="160">
        <v>0</v>
      </c>
      <c r="E27" s="160">
        <v>0</v>
      </c>
      <c r="F27" s="160">
        <v>0</v>
      </c>
      <c r="G27" s="160">
        <v>0</v>
      </c>
      <c r="H27" s="160">
        <v>0</v>
      </c>
      <c r="I27" s="160">
        <v>0</v>
      </c>
      <c r="J27" s="160">
        <v>0</v>
      </c>
      <c r="K27" s="160">
        <v>0</v>
      </c>
      <c r="L27" s="160">
        <v>0</v>
      </c>
      <c r="M27" s="160">
        <v>0</v>
      </c>
      <c r="N27" s="160">
        <v>0</v>
      </c>
      <c r="O27" s="160">
        <v>0</v>
      </c>
      <c r="P27" s="160">
        <v>0</v>
      </c>
      <c r="Q27" s="161">
        <v>0</v>
      </c>
    </row>
    <row r="28" spans="2:17" ht="35" customHeight="1" x14ac:dyDescent="0.35">
      <c r="B28" s="128" t="s">
        <v>130</v>
      </c>
      <c r="C28" s="162">
        <v>1719285.48211041</v>
      </c>
      <c r="D28" s="160">
        <v>260478.30974999999</v>
      </c>
      <c r="E28" s="160">
        <v>260478.30974999999</v>
      </c>
      <c r="F28" s="160">
        <v>0</v>
      </c>
      <c r="G28" s="160">
        <v>258071.96974999999</v>
      </c>
      <c r="H28" s="160">
        <v>258071.96974999999</v>
      </c>
      <c r="I28" s="160">
        <v>0</v>
      </c>
      <c r="J28" s="160">
        <v>0</v>
      </c>
      <c r="K28" s="160">
        <v>0</v>
      </c>
      <c r="L28" s="160">
        <v>3216.0550401999999</v>
      </c>
      <c r="M28" s="160">
        <v>51543.575913925197</v>
      </c>
      <c r="N28" s="160">
        <v>27312.9950567468</v>
      </c>
      <c r="O28" s="160">
        <v>0</v>
      </c>
      <c r="P28" s="160">
        <v>0</v>
      </c>
      <c r="Q28" s="161">
        <v>1694245.18621303</v>
      </c>
    </row>
    <row r="29" spans="2:17" ht="35" customHeight="1" x14ac:dyDescent="0.35">
      <c r="B29" s="128" t="s">
        <v>131</v>
      </c>
      <c r="C29" s="162">
        <v>0</v>
      </c>
      <c r="D29" s="160">
        <v>0</v>
      </c>
      <c r="E29" s="160">
        <v>0</v>
      </c>
      <c r="F29" s="160">
        <v>0</v>
      </c>
      <c r="G29" s="160">
        <v>0</v>
      </c>
      <c r="H29" s="160">
        <v>0</v>
      </c>
      <c r="I29" s="160">
        <v>0</v>
      </c>
      <c r="J29" s="160">
        <v>0</v>
      </c>
      <c r="K29" s="160">
        <v>0</v>
      </c>
      <c r="L29" s="160">
        <v>0</v>
      </c>
      <c r="M29" s="160">
        <v>0</v>
      </c>
      <c r="N29" s="160">
        <v>0</v>
      </c>
      <c r="O29" s="160">
        <v>0</v>
      </c>
      <c r="P29" s="160">
        <v>0</v>
      </c>
      <c r="Q29" s="161">
        <v>0</v>
      </c>
    </row>
    <row r="30" spans="2:17" ht="35" customHeight="1" x14ac:dyDescent="0.35">
      <c r="B30" s="163" t="s">
        <v>24</v>
      </c>
      <c r="C30" s="164">
        <f t="shared" ref="C30:Q30" si="0">SUM(C6:C29)</f>
        <v>103930522.52830298</v>
      </c>
      <c r="D30" s="164">
        <f t="shared" si="0"/>
        <v>24976102.064482938</v>
      </c>
      <c r="E30" s="164">
        <f t="shared" si="0"/>
        <v>24976102.064482938</v>
      </c>
      <c r="F30" s="164">
        <f t="shared" si="0"/>
        <v>0</v>
      </c>
      <c r="G30" s="164">
        <f t="shared" si="0"/>
        <v>13907591.849179011</v>
      </c>
      <c r="H30" s="164">
        <f t="shared" si="0"/>
        <v>13907591.849179011</v>
      </c>
      <c r="I30" s="164">
        <f t="shared" si="0"/>
        <v>0</v>
      </c>
      <c r="J30" s="164">
        <f t="shared" si="0"/>
        <v>0</v>
      </c>
      <c r="K30" s="164">
        <f t="shared" si="0"/>
        <v>0</v>
      </c>
      <c r="L30" s="164">
        <f t="shared" si="0"/>
        <v>200392.32140020005</v>
      </c>
      <c r="M30" s="164">
        <f t="shared" si="0"/>
        <v>1131225.3101195742</v>
      </c>
      <c r="N30" s="164">
        <f t="shared" si="0"/>
        <v>15024990.91187547</v>
      </c>
      <c r="O30" s="164">
        <f t="shared" si="0"/>
        <v>43041.051609118389</v>
      </c>
      <c r="P30" s="164">
        <f t="shared" si="0"/>
        <v>129989.927</v>
      </c>
      <c r="Q30" s="164">
        <f t="shared" si="0"/>
        <v>128519375.0453535</v>
      </c>
    </row>
    <row r="31" spans="2:17" ht="35" customHeight="1" x14ac:dyDescent="0.35">
      <c r="B31" s="326" t="s">
        <v>103</v>
      </c>
      <c r="C31" s="269"/>
      <c r="D31" s="269"/>
      <c r="E31" s="269"/>
      <c r="F31" s="269"/>
      <c r="G31" s="269"/>
      <c r="H31" s="269"/>
      <c r="I31" s="269"/>
      <c r="J31" s="269"/>
      <c r="K31" s="269"/>
      <c r="L31" s="269"/>
      <c r="M31" s="269"/>
      <c r="N31" s="269"/>
      <c r="O31" s="269"/>
      <c r="P31" s="269"/>
      <c r="Q31" s="270"/>
    </row>
    <row r="32" spans="2:17" ht="35" customHeight="1" x14ac:dyDescent="0.35">
      <c r="B32" s="165" t="s">
        <v>104</v>
      </c>
      <c r="C32" s="160">
        <v>0</v>
      </c>
      <c r="D32" s="160">
        <v>0</v>
      </c>
      <c r="E32" s="160">
        <v>0</v>
      </c>
      <c r="F32" s="160">
        <v>0</v>
      </c>
      <c r="G32" s="160">
        <v>0</v>
      </c>
      <c r="H32" s="160">
        <v>0</v>
      </c>
      <c r="I32" s="160">
        <v>0</v>
      </c>
      <c r="J32" s="160">
        <v>0</v>
      </c>
      <c r="K32" s="160">
        <v>0</v>
      </c>
      <c r="L32" s="160">
        <v>0</v>
      </c>
      <c r="M32" s="160">
        <v>0</v>
      </c>
      <c r="N32" s="160">
        <v>0</v>
      </c>
      <c r="O32" s="160">
        <v>0</v>
      </c>
      <c r="P32" s="160">
        <v>0</v>
      </c>
      <c r="Q32" s="161">
        <v>0</v>
      </c>
    </row>
    <row r="33" spans="2:17" ht="35" customHeight="1" x14ac:dyDescent="0.35">
      <c r="B33" s="165" t="s">
        <v>105</v>
      </c>
      <c r="C33" s="160">
        <v>0</v>
      </c>
      <c r="D33" s="160">
        <v>0</v>
      </c>
      <c r="E33" s="160">
        <v>0</v>
      </c>
      <c r="F33" s="160">
        <v>0</v>
      </c>
      <c r="G33" s="160">
        <v>0</v>
      </c>
      <c r="H33" s="160">
        <v>0</v>
      </c>
      <c r="I33" s="160">
        <v>0</v>
      </c>
      <c r="J33" s="160">
        <v>0</v>
      </c>
      <c r="K33" s="160">
        <v>0</v>
      </c>
      <c r="L33" s="160">
        <v>0</v>
      </c>
      <c r="M33" s="160">
        <v>0</v>
      </c>
      <c r="N33" s="160">
        <v>0</v>
      </c>
      <c r="O33" s="160">
        <v>0</v>
      </c>
      <c r="P33" s="160">
        <v>0</v>
      </c>
      <c r="Q33" s="161">
        <v>0</v>
      </c>
    </row>
    <row r="34" spans="2:17" ht="35" customHeight="1" x14ac:dyDescent="0.35">
      <c r="B34" s="165" t="s">
        <v>107</v>
      </c>
      <c r="C34" s="160">
        <v>0</v>
      </c>
      <c r="D34" s="160">
        <v>0</v>
      </c>
      <c r="E34" s="160">
        <v>0</v>
      </c>
      <c r="F34" s="160">
        <v>0</v>
      </c>
      <c r="G34" s="160">
        <v>0</v>
      </c>
      <c r="H34" s="160">
        <v>0</v>
      </c>
      <c r="I34" s="160">
        <v>0</v>
      </c>
      <c r="J34" s="160">
        <v>0</v>
      </c>
      <c r="K34" s="160">
        <v>0</v>
      </c>
      <c r="L34" s="160">
        <v>0</v>
      </c>
      <c r="M34" s="160">
        <v>0</v>
      </c>
      <c r="N34" s="160">
        <v>0</v>
      </c>
      <c r="O34" s="160">
        <v>0</v>
      </c>
      <c r="P34" s="160">
        <v>0</v>
      </c>
      <c r="Q34" s="161">
        <v>0</v>
      </c>
    </row>
    <row r="35" spans="2:17" ht="35" customHeight="1" x14ac:dyDescent="0.35">
      <c r="B35" s="163" t="s">
        <v>24</v>
      </c>
      <c r="C35" s="164">
        <f t="shared" ref="C35:Q35" si="1">SUM(C32:C34)</f>
        <v>0</v>
      </c>
      <c r="D35" s="164">
        <f t="shared" si="1"/>
        <v>0</v>
      </c>
      <c r="E35" s="164">
        <f t="shared" si="1"/>
        <v>0</v>
      </c>
      <c r="F35" s="164">
        <f t="shared" si="1"/>
        <v>0</v>
      </c>
      <c r="G35" s="164">
        <f t="shared" si="1"/>
        <v>0</v>
      </c>
      <c r="H35" s="164">
        <f t="shared" si="1"/>
        <v>0</v>
      </c>
      <c r="I35" s="164">
        <f t="shared" si="1"/>
        <v>0</v>
      </c>
      <c r="J35" s="164">
        <f t="shared" si="1"/>
        <v>0</v>
      </c>
      <c r="K35" s="164">
        <f t="shared" si="1"/>
        <v>0</v>
      </c>
      <c r="L35" s="164">
        <f t="shared" si="1"/>
        <v>0</v>
      </c>
      <c r="M35" s="164">
        <f t="shared" si="1"/>
        <v>0</v>
      </c>
      <c r="N35" s="164">
        <f t="shared" si="1"/>
        <v>0</v>
      </c>
      <c r="O35" s="164">
        <f t="shared" si="1"/>
        <v>0</v>
      </c>
      <c r="P35" s="164">
        <f t="shared" si="1"/>
        <v>0</v>
      </c>
      <c r="Q35" s="164">
        <f t="shared" si="1"/>
        <v>0</v>
      </c>
    </row>
    <row r="36" spans="2:17" ht="35" customHeight="1" x14ac:dyDescent="0.35">
      <c r="B36" s="327" t="s">
        <v>25</v>
      </c>
      <c r="C36" s="272"/>
      <c r="D36" s="272"/>
      <c r="E36" s="272"/>
      <c r="F36" s="272"/>
      <c r="G36" s="272"/>
      <c r="H36" s="272"/>
      <c r="I36" s="272"/>
      <c r="J36" s="272"/>
      <c r="K36" s="272"/>
      <c r="L36" s="272"/>
      <c r="M36" s="272"/>
      <c r="N36" s="272"/>
      <c r="O36" s="272"/>
      <c r="P36" s="272"/>
      <c r="Q36" s="272"/>
    </row>
  </sheetData>
  <sheetProtection algorithmName="SHA-512" hashValue="gsgBOIAvmNZt7z/qlVQa7uQn7f+g7DuIVsWUkF8RyDA4/WcO4QJ/SoRxb3QnX2kNEkUmAyOXDBE53ASyEkbLhw==" saltValue="Yq12HpFl5b9FF+EGkDiklA==" spinCount="100000" sheet="1" objects="1" scenarios="1"/>
  <mergeCells count="4">
    <mergeCell ref="B31:Q31"/>
    <mergeCell ref="B36:Q36"/>
    <mergeCell ref="B3:Q3"/>
    <mergeCell ref="B5:Q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0">
    <tabColor rgb="FF92D050"/>
  </sheetPr>
  <dimension ref="B3:Q36"/>
  <sheetViews>
    <sheetView topLeftCell="P1" workbookViewId="0"/>
  </sheetViews>
  <sheetFormatPr defaultColWidth="14.36328125" defaultRowHeight="15.5" x14ac:dyDescent="0.35"/>
  <cols>
    <col min="1" max="1" width="9.6328125" style="167" customWidth="1"/>
    <col min="2" max="2" width="48.26953125" style="167" bestFit="1" customWidth="1"/>
    <col min="3" max="16" width="17.90625" style="167" customWidth="1"/>
    <col min="17" max="17" width="17.90625" style="180" customWidth="1"/>
    <col min="18" max="18" width="15.08984375" style="167" bestFit="1" customWidth="1"/>
    <col min="19" max="19" width="15.90625" style="167" bestFit="1" customWidth="1"/>
    <col min="20" max="256" width="14.36328125" style="167" customWidth="1"/>
    <col min="257" max="257" width="9.6328125" style="167" customWidth="1"/>
    <col min="258" max="258" width="43.54296875" style="167" customWidth="1"/>
    <col min="259" max="273" width="17.90625" style="167" customWidth="1"/>
    <col min="274" max="274" width="14.36328125" style="167" customWidth="1"/>
    <col min="275" max="275" width="15.90625" style="167" bestFit="1" customWidth="1"/>
    <col min="276" max="512" width="14.36328125" style="167" customWidth="1"/>
    <col min="513" max="513" width="9.6328125" style="167" customWidth="1"/>
    <col min="514" max="514" width="43.54296875" style="167" customWidth="1"/>
    <col min="515" max="529" width="17.90625" style="167" customWidth="1"/>
    <col min="530" max="530" width="14.36328125" style="167" customWidth="1"/>
    <col min="531" max="531" width="15.90625" style="167" bestFit="1" customWidth="1"/>
    <col min="532" max="768" width="14.36328125" style="167" customWidth="1"/>
    <col min="769" max="769" width="9.6328125" style="167" customWidth="1"/>
    <col min="770" max="770" width="43.54296875" style="167" customWidth="1"/>
    <col min="771" max="785" width="17.90625" style="167" customWidth="1"/>
    <col min="786" max="786" width="14.36328125" style="167" customWidth="1"/>
    <col min="787" max="787" width="15.90625" style="167" bestFit="1" customWidth="1"/>
    <col min="788" max="1024" width="14.36328125" style="167" customWidth="1"/>
    <col min="1025" max="1025" width="9.6328125" style="167" customWidth="1"/>
    <col min="1026" max="1026" width="43.54296875" style="167" customWidth="1"/>
    <col min="1027" max="1041" width="17.90625" style="167" customWidth="1"/>
    <col min="1042" max="1042" width="14.36328125" style="167" customWidth="1"/>
    <col min="1043" max="1043" width="15.90625" style="167" bestFit="1" customWidth="1"/>
    <col min="1044" max="1280" width="14.36328125" style="167" customWidth="1"/>
    <col min="1281" max="1281" width="9.6328125" style="167" customWidth="1"/>
    <col min="1282" max="1282" width="43.54296875" style="167" customWidth="1"/>
    <col min="1283" max="1297" width="17.90625" style="167" customWidth="1"/>
    <col min="1298" max="1298" width="14.36328125" style="167" customWidth="1"/>
    <col min="1299" max="1299" width="15.90625" style="167" bestFit="1" customWidth="1"/>
    <col min="1300" max="1536" width="14.36328125" style="167" customWidth="1"/>
    <col min="1537" max="1537" width="9.6328125" style="167" customWidth="1"/>
    <col min="1538" max="1538" width="43.54296875" style="167" customWidth="1"/>
    <col min="1539" max="1553" width="17.90625" style="167" customWidth="1"/>
    <col min="1554" max="1554" width="14.36328125" style="167" customWidth="1"/>
    <col min="1555" max="1555" width="15.90625" style="167" bestFit="1" customWidth="1"/>
    <col min="1556" max="1792" width="14.36328125" style="167" customWidth="1"/>
    <col min="1793" max="1793" width="9.6328125" style="167" customWidth="1"/>
    <col min="1794" max="1794" width="43.54296875" style="167" customWidth="1"/>
    <col min="1795" max="1809" width="17.90625" style="167" customWidth="1"/>
    <col min="1810" max="1810" width="14.36328125" style="167" customWidth="1"/>
    <col min="1811" max="1811" width="15.90625" style="167" bestFit="1" customWidth="1"/>
    <col min="1812" max="2048" width="14.36328125" style="167" customWidth="1"/>
    <col min="2049" max="2049" width="9.6328125" style="167" customWidth="1"/>
    <col min="2050" max="2050" width="43.54296875" style="167" customWidth="1"/>
    <col min="2051" max="2065" width="17.90625" style="167" customWidth="1"/>
    <col min="2066" max="2066" width="14.36328125" style="167" customWidth="1"/>
    <col min="2067" max="2067" width="15.90625" style="167" bestFit="1" customWidth="1"/>
    <col min="2068" max="2304" width="14.36328125" style="167" customWidth="1"/>
    <col min="2305" max="2305" width="9.6328125" style="167" customWidth="1"/>
    <col min="2306" max="2306" width="43.54296875" style="167" customWidth="1"/>
    <col min="2307" max="2321" width="17.90625" style="167" customWidth="1"/>
    <col min="2322" max="2322" width="14.36328125" style="167" customWidth="1"/>
    <col min="2323" max="2323" width="15.90625" style="167" bestFit="1" customWidth="1"/>
    <col min="2324" max="2560" width="14.36328125" style="167" customWidth="1"/>
    <col min="2561" max="2561" width="9.6328125" style="167" customWidth="1"/>
    <col min="2562" max="2562" width="43.54296875" style="167" customWidth="1"/>
    <col min="2563" max="2577" width="17.90625" style="167" customWidth="1"/>
    <col min="2578" max="2578" width="14.36328125" style="167" customWidth="1"/>
    <col min="2579" max="2579" width="15.90625" style="167" bestFit="1" customWidth="1"/>
    <col min="2580" max="2816" width="14.36328125" style="167" customWidth="1"/>
    <col min="2817" max="2817" width="9.6328125" style="167" customWidth="1"/>
    <col min="2818" max="2818" width="43.54296875" style="167" customWidth="1"/>
    <col min="2819" max="2833" width="17.90625" style="167" customWidth="1"/>
    <col min="2834" max="2834" width="14.36328125" style="167" customWidth="1"/>
    <col min="2835" max="2835" width="15.90625" style="167" bestFit="1" customWidth="1"/>
    <col min="2836" max="3072" width="14.36328125" style="167" customWidth="1"/>
    <col min="3073" max="3073" width="9.6328125" style="167" customWidth="1"/>
    <col min="3074" max="3074" width="43.54296875" style="167" customWidth="1"/>
    <col min="3075" max="3089" width="17.90625" style="167" customWidth="1"/>
    <col min="3090" max="3090" width="14.36328125" style="167" customWidth="1"/>
    <col min="3091" max="3091" width="15.90625" style="167" bestFit="1" customWidth="1"/>
    <col min="3092" max="3328" width="14.36328125" style="167" customWidth="1"/>
    <col min="3329" max="3329" width="9.6328125" style="167" customWidth="1"/>
    <col min="3330" max="3330" width="43.54296875" style="167" customWidth="1"/>
    <col min="3331" max="3345" width="17.90625" style="167" customWidth="1"/>
    <col min="3346" max="3346" width="14.36328125" style="167" customWidth="1"/>
    <col min="3347" max="3347" width="15.90625" style="167" bestFit="1" customWidth="1"/>
    <col min="3348" max="3584" width="14.36328125" style="167" customWidth="1"/>
    <col min="3585" max="3585" width="9.6328125" style="167" customWidth="1"/>
    <col min="3586" max="3586" width="43.54296875" style="167" customWidth="1"/>
    <col min="3587" max="3601" width="17.90625" style="167" customWidth="1"/>
    <col min="3602" max="3602" width="14.36328125" style="167" customWidth="1"/>
    <col min="3603" max="3603" width="15.90625" style="167" bestFit="1" customWidth="1"/>
    <col min="3604" max="3840" width="14.36328125" style="167" customWidth="1"/>
    <col min="3841" max="3841" width="9.6328125" style="167" customWidth="1"/>
    <col min="3842" max="3842" width="43.54296875" style="167" customWidth="1"/>
    <col min="3843" max="3857" width="17.90625" style="167" customWidth="1"/>
    <col min="3858" max="3858" width="14.36328125" style="167" customWidth="1"/>
    <col min="3859" max="3859" width="15.90625" style="167" bestFit="1" customWidth="1"/>
    <col min="3860" max="4096" width="14.36328125" style="167" customWidth="1"/>
    <col min="4097" max="4097" width="9.6328125" style="167" customWidth="1"/>
    <col min="4098" max="4098" width="43.54296875" style="167" customWidth="1"/>
    <col min="4099" max="4113" width="17.90625" style="167" customWidth="1"/>
    <col min="4114" max="4114" width="14.36328125" style="167" customWidth="1"/>
    <col min="4115" max="4115" width="15.90625" style="167" bestFit="1" customWidth="1"/>
    <col min="4116" max="4352" width="14.36328125" style="167" customWidth="1"/>
    <col min="4353" max="4353" width="9.6328125" style="167" customWidth="1"/>
    <col min="4354" max="4354" width="43.54296875" style="167" customWidth="1"/>
    <col min="4355" max="4369" width="17.90625" style="167" customWidth="1"/>
    <col min="4370" max="4370" width="14.36328125" style="167" customWidth="1"/>
    <col min="4371" max="4371" width="15.90625" style="167" bestFit="1" customWidth="1"/>
    <col min="4372" max="4608" width="14.36328125" style="167" customWidth="1"/>
    <col min="4609" max="4609" width="9.6328125" style="167" customWidth="1"/>
    <col min="4610" max="4610" width="43.54296875" style="167" customWidth="1"/>
    <col min="4611" max="4625" width="17.90625" style="167" customWidth="1"/>
    <col min="4626" max="4626" width="14.36328125" style="167" customWidth="1"/>
    <col min="4627" max="4627" width="15.90625" style="167" bestFit="1" customWidth="1"/>
    <col min="4628" max="4864" width="14.36328125" style="167" customWidth="1"/>
    <col min="4865" max="4865" width="9.6328125" style="167" customWidth="1"/>
    <col min="4866" max="4866" width="43.54296875" style="167" customWidth="1"/>
    <col min="4867" max="4881" width="17.90625" style="167" customWidth="1"/>
    <col min="4882" max="4882" width="14.36328125" style="167" customWidth="1"/>
    <col min="4883" max="4883" width="15.90625" style="167" bestFit="1" customWidth="1"/>
    <col min="4884" max="5120" width="14.36328125" style="167" customWidth="1"/>
    <col min="5121" max="5121" width="9.6328125" style="167" customWidth="1"/>
    <col min="5122" max="5122" width="43.54296875" style="167" customWidth="1"/>
    <col min="5123" max="5137" width="17.90625" style="167" customWidth="1"/>
    <col min="5138" max="5138" width="14.36328125" style="167" customWidth="1"/>
    <col min="5139" max="5139" width="15.90625" style="167" bestFit="1" customWidth="1"/>
    <col min="5140" max="5376" width="14.36328125" style="167" customWidth="1"/>
    <col min="5377" max="5377" width="9.6328125" style="167" customWidth="1"/>
    <col min="5378" max="5378" width="43.54296875" style="167" customWidth="1"/>
    <col min="5379" max="5393" width="17.90625" style="167" customWidth="1"/>
    <col min="5394" max="5394" width="14.36328125" style="167" customWidth="1"/>
    <col min="5395" max="5395" width="15.90625" style="167" bestFit="1" customWidth="1"/>
    <col min="5396" max="5632" width="14.36328125" style="167" customWidth="1"/>
    <col min="5633" max="5633" width="9.6328125" style="167" customWidth="1"/>
    <col min="5634" max="5634" width="43.54296875" style="167" customWidth="1"/>
    <col min="5635" max="5649" width="17.90625" style="167" customWidth="1"/>
    <col min="5650" max="5650" width="14.36328125" style="167" customWidth="1"/>
    <col min="5651" max="5651" width="15.90625" style="167" bestFit="1" customWidth="1"/>
    <col min="5652" max="5888" width="14.36328125" style="167" customWidth="1"/>
    <col min="5889" max="5889" width="9.6328125" style="167" customWidth="1"/>
    <col min="5890" max="5890" width="43.54296875" style="167" customWidth="1"/>
    <col min="5891" max="5905" width="17.90625" style="167" customWidth="1"/>
    <col min="5906" max="5906" width="14.36328125" style="167" customWidth="1"/>
    <col min="5907" max="5907" width="15.90625" style="167" bestFit="1" customWidth="1"/>
    <col min="5908" max="6144" width="14.36328125" style="167" customWidth="1"/>
    <col min="6145" max="6145" width="9.6328125" style="167" customWidth="1"/>
    <col min="6146" max="6146" width="43.54296875" style="167" customWidth="1"/>
    <col min="6147" max="6161" width="17.90625" style="167" customWidth="1"/>
    <col min="6162" max="6162" width="14.36328125" style="167" customWidth="1"/>
    <col min="6163" max="6163" width="15.90625" style="167" bestFit="1" customWidth="1"/>
    <col min="6164" max="6400" width="14.36328125" style="167" customWidth="1"/>
    <col min="6401" max="6401" width="9.6328125" style="167" customWidth="1"/>
    <col min="6402" max="6402" width="43.54296875" style="167" customWidth="1"/>
    <col min="6403" max="6417" width="17.90625" style="167" customWidth="1"/>
    <col min="6418" max="6418" width="14.36328125" style="167" customWidth="1"/>
    <col min="6419" max="6419" width="15.90625" style="167" bestFit="1" customWidth="1"/>
    <col min="6420" max="6656" width="14.36328125" style="167" customWidth="1"/>
    <col min="6657" max="6657" width="9.6328125" style="167" customWidth="1"/>
    <col min="6658" max="6658" width="43.54296875" style="167" customWidth="1"/>
    <col min="6659" max="6673" width="17.90625" style="167" customWidth="1"/>
    <col min="6674" max="6674" width="14.36328125" style="167" customWidth="1"/>
    <col min="6675" max="6675" width="15.90625" style="167" bestFit="1" customWidth="1"/>
    <col min="6676" max="6912" width="14.36328125" style="167" customWidth="1"/>
    <col min="6913" max="6913" width="9.6328125" style="167" customWidth="1"/>
    <col min="6914" max="6914" width="43.54296875" style="167" customWidth="1"/>
    <col min="6915" max="6929" width="17.90625" style="167" customWidth="1"/>
    <col min="6930" max="6930" width="14.36328125" style="167" customWidth="1"/>
    <col min="6931" max="6931" width="15.90625" style="167" bestFit="1" customWidth="1"/>
    <col min="6932" max="7168" width="14.36328125" style="167" customWidth="1"/>
    <col min="7169" max="7169" width="9.6328125" style="167" customWidth="1"/>
    <col min="7170" max="7170" width="43.54296875" style="167" customWidth="1"/>
    <col min="7171" max="7185" width="17.90625" style="167" customWidth="1"/>
    <col min="7186" max="7186" width="14.36328125" style="167" customWidth="1"/>
    <col min="7187" max="7187" width="15.90625" style="167" bestFit="1" customWidth="1"/>
    <col min="7188" max="7424" width="14.36328125" style="167" customWidth="1"/>
    <col min="7425" max="7425" width="9.6328125" style="167" customWidth="1"/>
    <col min="7426" max="7426" width="43.54296875" style="167" customWidth="1"/>
    <col min="7427" max="7441" width="17.90625" style="167" customWidth="1"/>
    <col min="7442" max="7442" width="14.36328125" style="167" customWidth="1"/>
    <col min="7443" max="7443" width="15.90625" style="167" bestFit="1" customWidth="1"/>
    <col min="7444" max="7680" width="14.36328125" style="167" customWidth="1"/>
    <col min="7681" max="7681" width="9.6328125" style="167" customWidth="1"/>
    <col min="7682" max="7682" width="43.54296875" style="167" customWidth="1"/>
    <col min="7683" max="7697" width="17.90625" style="167" customWidth="1"/>
    <col min="7698" max="7698" width="14.36328125" style="167" customWidth="1"/>
    <col min="7699" max="7699" width="15.90625" style="167" bestFit="1" customWidth="1"/>
    <col min="7700" max="7936" width="14.36328125" style="167" customWidth="1"/>
    <col min="7937" max="7937" width="9.6328125" style="167" customWidth="1"/>
    <col min="7938" max="7938" width="43.54296875" style="167" customWidth="1"/>
    <col min="7939" max="7953" width="17.90625" style="167" customWidth="1"/>
    <col min="7954" max="7954" width="14.36328125" style="167" customWidth="1"/>
    <col min="7955" max="7955" width="15.90625" style="167" bestFit="1" customWidth="1"/>
    <col min="7956" max="8192" width="14.36328125" style="167" customWidth="1"/>
    <col min="8193" max="8193" width="9.6328125" style="167" customWidth="1"/>
    <col min="8194" max="8194" width="43.54296875" style="167" customWidth="1"/>
    <col min="8195" max="8209" width="17.90625" style="167" customWidth="1"/>
    <col min="8210" max="8210" width="14.36328125" style="167" customWidth="1"/>
    <col min="8211" max="8211" width="15.90625" style="167" bestFit="1" customWidth="1"/>
    <col min="8212" max="8448" width="14.36328125" style="167" customWidth="1"/>
    <col min="8449" max="8449" width="9.6328125" style="167" customWidth="1"/>
    <col min="8450" max="8450" width="43.54296875" style="167" customWidth="1"/>
    <col min="8451" max="8465" width="17.90625" style="167" customWidth="1"/>
    <col min="8466" max="8466" width="14.36328125" style="167" customWidth="1"/>
    <col min="8467" max="8467" width="15.90625" style="167" bestFit="1" customWidth="1"/>
    <col min="8468" max="8704" width="14.36328125" style="167" customWidth="1"/>
    <col min="8705" max="8705" width="9.6328125" style="167" customWidth="1"/>
    <col min="8706" max="8706" width="43.54296875" style="167" customWidth="1"/>
    <col min="8707" max="8721" width="17.90625" style="167" customWidth="1"/>
    <col min="8722" max="8722" width="14.36328125" style="167" customWidth="1"/>
    <col min="8723" max="8723" width="15.90625" style="167" bestFit="1" customWidth="1"/>
    <col min="8724" max="8960" width="14.36328125" style="167" customWidth="1"/>
    <col min="8961" max="8961" width="9.6328125" style="167" customWidth="1"/>
    <col min="8962" max="8962" width="43.54296875" style="167" customWidth="1"/>
    <col min="8963" max="8977" width="17.90625" style="167" customWidth="1"/>
    <col min="8978" max="8978" width="14.36328125" style="167" customWidth="1"/>
    <col min="8979" max="8979" width="15.90625" style="167" bestFit="1" customWidth="1"/>
    <col min="8980" max="9216" width="14.36328125" style="167" customWidth="1"/>
    <col min="9217" max="9217" width="9.6328125" style="167" customWidth="1"/>
    <col min="9218" max="9218" width="43.54296875" style="167" customWidth="1"/>
    <col min="9219" max="9233" width="17.90625" style="167" customWidth="1"/>
    <col min="9234" max="9234" width="14.36328125" style="167" customWidth="1"/>
    <col min="9235" max="9235" width="15.90625" style="167" bestFit="1" customWidth="1"/>
    <col min="9236" max="9472" width="14.36328125" style="167" customWidth="1"/>
    <col min="9473" max="9473" width="9.6328125" style="167" customWidth="1"/>
    <col min="9474" max="9474" width="43.54296875" style="167" customWidth="1"/>
    <col min="9475" max="9489" width="17.90625" style="167" customWidth="1"/>
    <col min="9490" max="9490" width="14.36328125" style="167" customWidth="1"/>
    <col min="9491" max="9491" width="15.90625" style="167" bestFit="1" customWidth="1"/>
    <col min="9492" max="9728" width="14.36328125" style="167" customWidth="1"/>
    <col min="9729" max="9729" width="9.6328125" style="167" customWidth="1"/>
    <col min="9730" max="9730" width="43.54296875" style="167" customWidth="1"/>
    <col min="9731" max="9745" width="17.90625" style="167" customWidth="1"/>
    <col min="9746" max="9746" width="14.36328125" style="167" customWidth="1"/>
    <col min="9747" max="9747" width="15.90625" style="167" bestFit="1" customWidth="1"/>
    <col min="9748" max="9984" width="14.36328125" style="167" customWidth="1"/>
    <col min="9985" max="9985" width="9.6328125" style="167" customWidth="1"/>
    <col min="9986" max="9986" width="43.54296875" style="167" customWidth="1"/>
    <col min="9987" max="10001" width="17.90625" style="167" customWidth="1"/>
    <col min="10002" max="10002" width="14.36328125" style="167" customWidth="1"/>
    <col min="10003" max="10003" width="15.90625" style="167" bestFit="1" customWidth="1"/>
    <col min="10004" max="10240" width="14.36328125" style="167" customWidth="1"/>
    <col min="10241" max="10241" width="9.6328125" style="167" customWidth="1"/>
    <col min="10242" max="10242" width="43.54296875" style="167" customWidth="1"/>
    <col min="10243" max="10257" width="17.90625" style="167" customWidth="1"/>
    <col min="10258" max="10258" width="14.36328125" style="167" customWidth="1"/>
    <col min="10259" max="10259" width="15.90625" style="167" bestFit="1" customWidth="1"/>
    <col min="10260" max="10496" width="14.36328125" style="167" customWidth="1"/>
    <col min="10497" max="10497" width="9.6328125" style="167" customWidth="1"/>
    <col min="10498" max="10498" width="43.54296875" style="167" customWidth="1"/>
    <col min="10499" max="10513" width="17.90625" style="167" customWidth="1"/>
    <col min="10514" max="10514" width="14.36328125" style="167" customWidth="1"/>
    <col min="10515" max="10515" width="15.90625" style="167" bestFit="1" customWidth="1"/>
    <col min="10516" max="10752" width="14.36328125" style="167" customWidth="1"/>
    <col min="10753" max="10753" width="9.6328125" style="167" customWidth="1"/>
    <col min="10754" max="10754" width="43.54296875" style="167" customWidth="1"/>
    <col min="10755" max="10769" width="17.90625" style="167" customWidth="1"/>
    <col min="10770" max="10770" width="14.36328125" style="167" customWidth="1"/>
    <col min="10771" max="10771" width="15.90625" style="167" bestFit="1" customWidth="1"/>
    <col min="10772" max="11008" width="14.36328125" style="167" customWidth="1"/>
    <col min="11009" max="11009" width="9.6328125" style="167" customWidth="1"/>
    <col min="11010" max="11010" width="43.54296875" style="167" customWidth="1"/>
    <col min="11011" max="11025" width="17.90625" style="167" customWidth="1"/>
    <col min="11026" max="11026" width="14.36328125" style="167" customWidth="1"/>
    <col min="11027" max="11027" width="15.90625" style="167" bestFit="1" customWidth="1"/>
    <col min="11028" max="11264" width="14.36328125" style="167" customWidth="1"/>
    <col min="11265" max="11265" width="9.6328125" style="167" customWidth="1"/>
    <col min="11266" max="11266" width="43.54296875" style="167" customWidth="1"/>
    <col min="11267" max="11281" width="17.90625" style="167" customWidth="1"/>
    <col min="11282" max="11282" width="14.36328125" style="167" customWidth="1"/>
    <col min="11283" max="11283" width="15.90625" style="167" bestFit="1" customWidth="1"/>
    <col min="11284" max="11520" width="14.36328125" style="167" customWidth="1"/>
    <col min="11521" max="11521" width="9.6328125" style="167" customWidth="1"/>
    <col min="11522" max="11522" width="43.54296875" style="167" customWidth="1"/>
    <col min="11523" max="11537" width="17.90625" style="167" customWidth="1"/>
    <col min="11538" max="11538" width="14.36328125" style="167" customWidth="1"/>
    <col min="11539" max="11539" width="15.90625" style="167" bestFit="1" customWidth="1"/>
    <col min="11540" max="11776" width="14.36328125" style="167" customWidth="1"/>
    <col min="11777" max="11777" width="9.6328125" style="167" customWidth="1"/>
    <col min="11778" max="11778" width="43.54296875" style="167" customWidth="1"/>
    <col min="11779" max="11793" width="17.90625" style="167" customWidth="1"/>
    <col min="11794" max="11794" width="14.36328125" style="167" customWidth="1"/>
    <col min="11795" max="11795" width="15.90625" style="167" bestFit="1" customWidth="1"/>
    <col min="11796" max="12032" width="14.36328125" style="167" customWidth="1"/>
    <col min="12033" max="12033" width="9.6328125" style="167" customWidth="1"/>
    <col min="12034" max="12034" width="43.54296875" style="167" customWidth="1"/>
    <col min="12035" max="12049" width="17.90625" style="167" customWidth="1"/>
    <col min="12050" max="12050" width="14.36328125" style="167" customWidth="1"/>
    <col min="12051" max="12051" width="15.90625" style="167" bestFit="1" customWidth="1"/>
    <col min="12052" max="12288" width="14.36328125" style="167" customWidth="1"/>
    <col min="12289" max="12289" width="9.6328125" style="167" customWidth="1"/>
    <col min="12290" max="12290" width="43.54296875" style="167" customWidth="1"/>
    <col min="12291" max="12305" width="17.90625" style="167" customWidth="1"/>
    <col min="12306" max="12306" width="14.36328125" style="167" customWidth="1"/>
    <col min="12307" max="12307" width="15.90625" style="167" bestFit="1" customWidth="1"/>
    <col min="12308" max="12544" width="14.36328125" style="167" customWidth="1"/>
    <col min="12545" max="12545" width="9.6328125" style="167" customWidth="1"/>
    <col min="12546" max="12546" width="43.54296875" style="167" customWidth="1"/>
    <col min="12547" max="12561" width="17.90625" style="167" customWidth="1"/>
    <col min="12562" max="12562" width="14.36328125" style="167" customWidth="1"/>
    <col min="12563" max="12563" width="15.90625" style="167" bestFit="1" customWidth="1"/>
    <col min="12564" max="12800" width="14.36328125" style="167" customWidth="1"/>
    <col min="12801" max="12801" width="9.6328125" style="167" customWidth="1"/>
    <col min="12802" max="12802" width="43.54296875" style="167" customWidth="1"/>
    <col min="12803" max="12817" width="17.90625" style="167" customWidth="1"/>
    <col min="12818" max="12818" width="14.36328125" style="167" customWidth="1"/>
    <col min="12819" max="12819" width="15.90625" style="167" bestFit="1" customWidth="1"/>
    <col min="12820" max="13056" width="14.36328125" style="167" customWidth="1"/>
    <col min="13057" max="13057" width="9.6328125" style="167" customWidth="1"/>
    <col min="13058" max="13058" width="43.54296875" style="167" customWidth="1"/>
    <col min="13059" max="13073" width="17.90625" style="167" customWidth="1"/>
    <col min="13074" max="13074" width="14.36328125" style="167" customWidth="1"/>
    <col min="13075" max="13075" width="15.90625" style="167" bestFit="1" customWidth="1"/>
    <col min="13076" max="13312" width="14.36328125" style="167" customWidth="1"/>
    <col min="13313" max="13313" width="9.6328125" style="167" customWidth="1"/>
    <col min="13314" max="13314" width="43.54296875" style="167" customWidth="1"/>
    <col min="13315" max="13329" width="17.90625" style="167" customWidth="1"/>
    <col min="13330" max="13330" width="14.36328125" style="167" customWidth="1"/>
    <col min="13331" max="13331" width="15.90625" style="167" bestFit="1" customWidth="1"/>
    <col min="13332" max="13568" width="14.36328125" style="167" customWidth="1"/>
    <col min="13569" max="13569" width="9.6328125" style="167" customWidth="1"/>
    <col min="13570" max="13570" width="43.54296875" style="167" customWidth="1"/>
    <col min="13571" max="13585" width="17.90625" style="167" customWidth="1"/>
    <col min="13586" max="13586" width="14.36328125" style="167" customWidth="1"/>
    <col min="13587" max="13587" width="15.90625" style="167" bestFit="1" customWidth="1"/>
    <col min="13588" max="13824" width="14.36328125" style="167" customWidth="1"/>
    <col min="13825" max="13825" width="9.6328125" style="167" customWidth="1"/>
    <col min="13826" max="13826" width="43.54296875" style="167" customWidth="1"/>
    <col min="13827" max="13841" width="17.90625" style="167" customWidth="1"/>
    <col min="13842" max="13842" width="14.36328125" style="167" customWidth="1"/>
    <col min="13843" max="13843" width="15.90625" style="167" bestFit="1" customWidth="1"/>
    <col min="13844" max="14080" width="14.36328125" style="167" customWidth="1"/>
    <col min="14081" max="14081" width="9.6328125" style="167" customWidth="1"/>
    <col min="14082" max="14082" width="43.54296875" style="167" customWidth="1"/>
    <col min="14083" max="14097" width="17.90625" style="167" customWidth="1"/>
    <col min="14098" max="14098" width="14.36328125" style="167" customWidth="1"/>
    <col min="14099" max="14099" width="15.90625" style="167" bestFit="1" customWidth="1"/>
    <col min="14100" max="14336" width="14.36328125" style="167" customWidth="1"/>
    <col min="14337" max="14337" width="9.6328125" style="167" customWidth="1"/>
    <col min="14338" max="14338" width="43.54296875" style="167" customWidth="1"/>
    <col min="14339" max="14353" width="17.90625" style="167" customWidth="1"/>
    <col min="14354" max="14354" width="14.36328125" style="167" customWidth="1"/>
    <col min="14355" max="14355" width="15.90625" style="167" bestFit="1" customWidth="1"/>
    <col min="14356" max="14592" width="14.36328125" style="167" customWidth="1"/>
    <col min="14593" max="14593" width="9.6328125" style="167" customWidth="1"/>
    <col min="14594" max="14594" width="43.54296875" style="167" customWidth="1"/>
    <col min="14595" max="14609" width="17.90625" style="167" customWidth="1"/>
    <col min="14610" max="14610" width="14.36328125" style="167" customWidth="1"/>
    <col min="14611" max="14611" width="15.90625" style="167" bestFit="1" customWidth="1"/>
    <col min="14612" max="14848" width="14.36328125" style="167" customWidth="1"/>
    <col min="14849" max="14849" width="9.6328125" style="167" customWidth="1"/>
    <col min="14850" max="14850" width="43.54296875" style="167" customWidth="1"/>
    <col min="14851" max="14865" width="17.90625" style="167" customWidth="1"/>
    <col min="14866" max="14866" width="14.36328125" style="167" customWidth="1"/>
    <col min="14867" max="14867" width="15.90625" style="167" bestFit="1" customWidth="1"/>
    <col min="14868" max="15104" width="14.36328125" style="167" customWidth="1"/>
    <col min="15105" max="15105" width="9.6328125" style="167" customWidth="1"/>
    <col min="15106" max="15106" width="43.54296875" style="167" customWidth="1"/>
    <col min="15107" max="15121" width="17.90625" style="167" customWidth="1"/>
    <col min="15122" max="15122" width="14.36328125" style="167" customWidth="1"/>
    <col min="15123" max="15123" width="15.90625" style="167" bestFit="1" customWidth="1"/>
    <col min="15124" max="15360" width="14.36328125" style="167" customWidth="1"/>
    <col min="15361" max="15361" width="9.6328125" style="167" customWidth="1"/>
    <col min="15362" max="15362" width="43.54296875" style="167" customWidth="1"/>
    <col min="15363" max="15377" width="17.90625" style="167" customWidth="1"/>
    <col min="15378" max="15378" width="14.36328125" style="167" customWidth="1"/>
    <col min="15379" max="15379" width="15.90625" style="167" bestFit="1" customWidth="1"/>
    <col min="15380" max="15616" width="14.36328125" style="167" customWidth="1"/>
    <col min="15617" max="15617" width="9.6328125" style="167" customWidth="1"/>
    <col min="15618" max="15618" width="43.54296875" style="167" customWidth="1"/>
    <col min="15619" max="15633" width="17.90625" style="167" customWidth="1"/>
    <col min="15634" max="15634" width="14.36328125" style="167" customWidth="1"/>
    <col min="15635" max="15635" width="15.90625" style="167" bestFit="1" customWidth="1"/>
    <col min="15636" max="15872" width="14.36328125" style="167" customWidth="1"/>
    <col min="15873" max="15873" width="9.6328125" style="167" customWidth="1"/>
    <col min="15874" max="15874" width="43.54296875" style="167" customWidth="1"/>
    <col min="15875" max="15889" width="17.90625" style="167" customWidth="1"/>
    <col min="15890" max="15890" width="14.36328125" style="167" customWidth="1"/>
    <col min="15891" max="15891" width="15.90625" style="167" bestFit="1" customWidth="1"/>
    <col min="15892" max="16128" width="14.36328125" style="167" customWidth="1"/>
    <col min="16129" max="16129" width="9.6328125" style="167" customWidth="1"/>
    <col min="16130" max="16130" width="43.54296875" style="167" customWidth="1"/>
    <col min="16131" max="16145" width="17.90625" style="167" customWidth="1"/>
    <col min="16146" max="16146" width="14.36328125" style="167" customWidth="1"/>
    <col min="16147" max="16147" width="15.90625" style="167" bestFit="1" customWidth="1"/>
    <col min="16148" max="16384" width="14.36328125" style="167" customWidth="1"/>
  </cols>
  <sheetData>
    <row r="3" spans="2:17" x14ac:dyDescent="0.35">
      <c r="B3" s="320" t="str">
        <f>_xlfn.CONCAT('Table of Contents'!B28,": ",'Table of Contents'!C28)</f>
        <v>APPENDIX 16: SUMMARY OF DEPOSIT ADMINISTRATION BUSINESS REVENUE ACCOUNTS FOR THE PERIOD ENDED 31.12.2025</v>
      </c>
      <c r="C3" s="269"/>
      <c r="D3" s="269"/>
      <c r="E3" s="269"/>
      <c r="F3" s="269"/>
      <c r="G3" s="269"/>
      <c r="H3" s="269"/>
      <c r="I3" s="269"/>
      <c r="J3" s="269"/>
      <c r="K3" s="269"/>
      <c r="L3" s="269"/>
      <c r="M3" s="269"/>
      <c r="N3" s="269"/>
      <c r="O3" s="269"/>
      <c r="P3" s="269"/>
      <c r="Q3" s="270"/>
    </row>
    <row r="4" spans="2:17" s="171" customFormat="1" ht="31" customHeight="1" x14ac:dyDescent="0.35">
      <c r="B4" s="168" t="s">
        <v>0</v>
      </c>
      <c r="C4" s="169" t="s">
        <v>200</v>
      </c>
      <c r="D4" s="169" t="s">
        <v>201</v>
      </c>
      <c r="E4" s="169" t="s">
        <v>202</v>
      </c>
      <c r="F4" s="169" t="s">
        <v>203</v>
      </c>
      <c r="G4" s="169" t="s">
        <v>204</v>
      </c>
      <c r="H4" s="169" t="s">
        <v>205</v>
      </c>
      <c r="I4" s="170" t="s">
        <v>206</v>
      </c>
      <c r="J4" s="169" t="s">
        <v>207</v>
      </c>
      <c r="K4" s="169" t="s">
        <v>208</v>
      </c>
      <c r="L4" s="169" t="s">
        <v>209</v>
      </c>
      <c r="M4" s="169" t="s">
        <v>210</v>
      </c>
      <c r="N4" s="169" t="s">
        <v>211</v>
      </c>
      <c r="O4" s="169" t="s">
        <v>212</v>
      </c>
      <c r="P4" s="169" t="s">
        <v>213</v>
      </c>
      <c r="Q4" s="169" t="s">
        <v>214</v>
      </c>
    </row>
    <row r="5" spans="2:17" x14ac:dyDescent="0.35">
      <c r="B5" s="316" t="s">
        <v>17</v>
      </c>
      <c r="C5" s="269"/>
      <c r="D5" s="269"/>
      <c r="E5" s="269"/>
      <c r="F5" s="269"/>
      <c r="G5" s="269"/>
      <c r="H5" s="269"/>
      <c r="I5" s="269"/>
      <c r="J5" s="269"/>
      <c r="K5" s="269"/>
      <c r="L5" s="269"/>
      <c r="M5" s="269"/>
      <c r="N5" s="269"/>
      <c r="O5" s="269"/>
      <c r="P5" s="269"/>
      <c r="Q5" s="270"/>
    </row>
    <row r="6" spans="2:17" ht="35.5" customHeight="1" x14ac:dyDescent="0.35">
      <c r="B6" s="172" t="s">
        <v>110</v>
      </c>
      <c r="C6" s="173">
        <v>0</v>
      </c>
      <c r="D6" s="173">
        <v>0</v>
      </c>
      <c r="E6" s="173">
        <v>0</v>
      </c>
      <c r="F6" s="173">
        <v>0</v>
      </c>
      <c r="G6" s="173">
        <v>0</v>
      </c>
      <c r="H6" s="173">
        <v>0</v>
      </c>
      <c r="I6" s="173">
        <v>0</v>
      </c>
      <c r="J6" s="173">
        <v>0</v>
      </c>
      <c r="K6" s="173">
        <v>0</v>
      </c>
      <c r="L6" s="173">
        <v>0</v>
      </c>
      <c r="M6" s="173">
        <v>0</v>
      </c>
      <c r="N6" s="173">
        <v>0</v>
      </c>
      <c r="O6" s="173">
        <v>0</v>
      </c>
      <c r="P6" s="173">
        <v>0</v>
      </c>
      <c r="Q6" s="174">
        <v>0</v>
      </c>
    </row>
    <row r="7" spans="2:17" ht="35.5" customHeight="1" x14ac:dyDescent="0.35">
      <c r="B7" s="175" t="s">
        <v>111</v>
      </c>
      <c r="C7" s="173">
        <v>9733226.7569999993</v>
      </c>
      <c r="D7" s="173">
        <v>1949836.4045599999</v>
      </c>
      <c r="E7" s="173">
        <v>1949836.4045599999</v>
      </c>
      <c r="F7" s="173">
        <v>0</v>
      </c>
      <c r="G7" s="173">
        <v>1363540.8164299999</v>
      </c>
      <c r="H7" s="173">
        <v>1363540.8164299999</v>
      </c>
      <c r="I7" s="173">
        <v>0</v>
      </c>
      <c r="J7" s="173">
        <v>0</v>
      </c>
      <c r="K7" s="173">
        <v>0</v>
      </c>
      <c r="L7" s="173">
        <v>69380.923999999999</v>
      </c>
      <c r="M7" s="173">
        <v>97525.635917489708</v>
      </c>
      <c r="N7" s="173">
        <v>1533583.3718777399</v>
      </c>
      <c r="O7" s="173">
        <v>28326.178958099401</v>
      </c>
      <c r="P7" s="173">
        <v>0</v>
      </c>
      <c r="Q7" s="174">
        <v>11657872.978132149</v>
      </c>
    </row>
    <row r="8" spans="2:17" ht="35.5" customHeight="1" x14ac:dyDescent="0.35">
      <c r="B8" s="175" t="s">
        <v>112</v>
      </c>
      <c r="C8" s="173">
        <v>44336570.286239967</v>
      </c>
      <c r="D8" s="173">
        <v>8836842.7359999996</v>
      </c>
      <c r="E8" s="173">
        <v>8836842.7359999996</v>
      </c>
      <c r="F8" s="173">
        <v>0</v>
      </c>
      <c r="G8" s="173">
        <v>15474431.47958</v>
      </c>
      <c r="H8" s="173">
        <v>15474431.47958</v>
      </c>
      <c r="I8" s="173">
        <v>0</v>
      </c>
      <c r="J8" s="173">
        <v>0</v>
      </c>
      <c r="K8" s="173">
        <v>0</v>
      </c>
      <c r="L8" s="173">
        <v>67358.880000000005</v>
      </c>
      <c r="M8" s="173">
        <v>678759.00699999998</v>
      </c>
      <c r="N8" s="173">
        <v>7477306.3880000003</v>
      </c>
      <c r="O8" s="173">
        <v>17577.988000000001</v>
      </c>
      <c r="P8" s="173">
        <v>0</v>
      </c>
      <c r="Q8" s="174">
        <v>44412592.055659972</v>
      </c>
    </row>
    <row r="9" spans="2:17" ht="35.5" customHeight="1" x14ac:dyDescent="0.35">
      <c r="B9" s="175" t="s">
        <v>113</v>
      </c>
      <c r="C9" s="173">
        <v>0</v>
      </c>
      <c r="D9" s="173">
        <v>0</v>
      </c>
      <c r="E9" s="173">
        <v>0</v>
      </c>
      <c r="F9" s="173">
        <v>0</v>
      </c>
      <c r="G9" s="173">
        <v>0</v>
      </c>
      <c r="H9" s="173">
        <v>0</v>
      </c>
      <c r="I9" s="173">
        <v>0</v>
      </c>
      <c r="J9" s="173">
        <v>0</v>
      </c>
      <c r="K9" s="173">
        <v>0</v>
      </c>
      <c r="L9" s="173">
        <v>0</v>
      </c>
      <c r="M9" s="173">
        <v>0</v>
      </c>
      <c r="N9" s="173">
        <v>0</v>
      </c>
      <c r="O9" s="173">
        <v>0</v>
      </c>
      <c r="P9" s="173">
        <v>0</v>
      </c>
      <c r="Q9" s="174">
        <v>0</v>
      </c>
    </row>
    <row r="10" spans="2:17" ht="35.5" customHeight="1" x14ac:dyDescent="0.35">
      <c r="B10" s="175" t="s">
        <v>114</v>
      </c>
      <c r="C10" s="173">
        <v>0</v>
      </c>
      <c r="D10" s="173">
        <v>0</v>
      </c>
      <c r="E10" s="173">
        <v>0</v>
      </c>
      <c r="F10" s="173">
        <v>0</v>
      </c>
      <c r="G10" s="173">
        <v>0</v>
      </c>
      <c r="H10" s="173">
        <v>0</v>
      </c>
      <c r="I10" s="173">
        <v>0</v>
      </c>
      <c r="J10" s="173">
        <v>0</v>
      </c>
      <c r="K10" s="173">
        <v>0</v>
      </c>
      <c r="L10" s="173">
        <v>0</v>
      </c>
      <c r="M10" s="173">
        <v>0</v>
      </c>
      <c r="N10" s="173">
        <v>0</v>
      </c>
      <c r="O10" s="173">
        <v>0</v>
      </c>
      <c r="P10" s="173">
        <v>0</v>
      </c>
      <c r="Q10" s="174">
        <v>0</v>
      </c>
    </row>
    <row r="11" spans="2:17" ht="35.5" customHeight="1" x14ac:dyDescent="0.35">
      <c r="B11" s="175" t="s">
        <v>115</v>
      </c>
      <c r="C11" s="173">
        <v>13492769.514529999</v>
      </c>
      <c r="D11" s="173">
        <v>3353751.31232</v>
      </c>
      <c r="E11" s="173">
        <v>3353751.31232</v>
      </c>
      <c r="F11" s="173">
        <v>0</v>
      </c>
      <c r="G11" s="173">
        <v>0</v>
      </c>
      <c r="H11" s="173">
        <v>0</v>
      </c>
      <c r="I11" s="173">
        <v>0</v>
      </c>
      <c r="J11" s="173">
        <v>0</v>
      </c>
      <c r="K11" s="173">
        <v>0</v>
      </c>
      <c r="L11" s="173">
        <v>67977.143769999995</v>
      </c>
      <c r="M11" s="173">
        <v>133083.58728000001</v>
      </c>
      <c r="N11" s="173">
        <v>272041.57153000002</v>
      </c>
      <c r="O11" s="173">
        <v>0</v>
      </c>
      <c r="P11" s="173">
        <v>0</v>
      </c>
      <c r="Q11" s="174">
        <v>16917501.667330001</v>
      </c>
    </row>
    <row r="12" spans="2:17" ht="35.5" customHeight="1" x14ac:dyDescent="0.35">
      <c r="B12" s="175" t="s">
        <v>73</v>
      </c>
      <c r="C12" s="173">
        <v>0</v>
      </c>
      <c r="D12" s="173">
        <v>0</v>
      </c>
      <c r="E12" s="173">
        <v>0</v>
      </c>
      <c r="F12" s="173">
        <v>0</v>
      </c>
      <c r="G12" s="173">
        <v>0</v>
      </c>
      <c r="H12" s="173">
        <v>0</v>
      </c>
      <c r="I12" s="173">
        <v>0</v>
      </c>
      <c r="J12" s="173">
        <v>0</v>
      </c>
      <c r="K12" s="173">
        <v>0</v>
      </c>
      <c r="L12" s="173">
        <v>0</v>
      </c>
      <c r="M12" s="173">
        <v>0</v>
      </c>
      <c r="N12" s="173">
        <v>0</v>
      </c>
      <c r="O12" s="173">
        <v>0</v>
      </c>
      <c r="P12" s="173">
        <v>0</v>
      </c>
      <c r="Q12" s="174">
        <v>0</v>
      </c>
    </row>
    <row r="13" spans="2:17" ht="35.5" customHeight="1" x14ac:dyDescent="0.35">
      <c r="B13" s="176" t="s">
        <v>116</v>
      </c>
      <c r="C13" s="173">
        <v>13454089.475404469</v>
      </c>
      <c r="D13" s="173">
        <v>2461209.0729999999</v>
      </c>
      <c r="E13" s="173">
        <v>2461209.0729999999</v>
      </c>
      <c r="F13" s="173">
        <v>0</v>
      </c>
      <c r="G13" s="173">
        <v>1597080.232705439</v>
      </c>
      <c r="H13" s="173">
        <v>1597080.232705439</v>
      </c>
      <c r="I13" s="173">
        <v>0</v>
      </c>
      <c r="J13" s="173">
        <v>0</v>
      </c>
      <c r="K13" s="173">
        <v>0</v>
      </c>
      <c r="L13" s="173">
        <v>0</v>
      </c>
      <c r="M13" s="173">
        <v>6732.9702699999998</v>
      </c>
      <c r="N13" s="173">
        <v>2606485.3684292198</v>
      </c>
      <c r="O13" s="173">
        <v>266214.96538747067</v>
      </c>
      <c r="P13" s="173">
        <v>0</v>
      </c>
      <c r="Q13" s="174">
        <v>16651755.74847078</v>
      </c>
    </row>
    <row r="14" spans="2:17" ht="35.5" customHeight="1" x14ac:dyDescent="0.35">
      <c r="B14" s="175" t="s">
        <v>117</v>
      </c>
      <c r="C14" s="173">
        <v>35579878.229000002</v>
      </c>
      <c r="D14" s="173">
        <v>9973803.0859999992</v>
      </c>
      <c r="E14" s="173">
        <v>9973803.0859999992</v>
      </c>
      <c r="F14" s="173">
        <v>0</v>
      </c>
      <c r="G14" s="173">
        <v>2932345.82</v>
      </c>
      <c r="H14" s="173">
        <v>2932345.82</v>
      </c>
      <c r="I14" s="173">
        <v>0</v>
      </c>
      <c r="J14" s="173">
        <v>0</v>
      </c>
      <c r="K14" s="173">
        <v>0</v>
      </c>
      <c r="L14" s="173">
        <v>48686.567999999999</v>
      </c>
      <c r="M14" s="173">
        <v>119179.164</v>
      </c>
      <c r="N14" s="173">
        <v>6119098.8439999996</v>
      </c>
      <c r="O14" s="173">
        <v>0</v>
      </c>
      <c r="P14" s="173">
        <v>0</v>
      </c>
      <c r="Q14" s="174">
        <v>48572568.607000001</v>
      </c>
    </row>
    <row r="15" spans="2:17" ht="35.5" customHeight="1" x14ac:dyDescent="0.35">
      <c r="B15" s="175" t="s">
        <v>118</v>
      </c>
      <c r="C15" s="173">
        <v>743623.69900000002</v>
      </c>
      <c r="D15" s="173">
        <v>653982.21045479097</v>
      </c>
      <c r="E15" s="173">
        <v>653982.21045479097</v>
      </c>
      <c r="F15" s="173">
        <v>0</v>
      </c>
      <c r="G15" s="173">
        <v>0</v>
      </c>
      <c r="H15" s="173">
        <v>0</v>
      </c>
      <c r="I15" s="173">
        <v>0</v>
      </c>
      <c r="J15" s="173">
        <v>0</v>
      </c>
      <c r="K15" s="173">
        <v>0</v>
      </c>
      <c r="L15" s="173">
        <v>0</v>
      </c>
      <c r="M15" s="173">
        <v>40027.950293491383</v>
      </c>
      <c r="N15" s="173">
        <v>0</v>
      </c>
      <c r="O15" s="173">
        <v>0</v>
      </c>
      <c r="P15" s="173">
        <v>743567.60400000005</v>
      </c>
      <c r="Q15" s="174">
        <v>614010.35516129958</v>
      </c>
    </row>
    <row r="16" spans="2:17" ht="35.5" customHeight="1" x14ac:dyDescent="0.35">
      <c r="B16" s="175" t="s">
        <v>119</v>
      </c>
      <c r="C16" s="173">
        <v>81041405.224100396</v>
      </c>
      <c r="D16" s="173">
        <v>10776285.295840001</v>
      </c>
      <c r="E16" s="173">
        <v>10776285.295840001</v>
      </c>
      <c r="F16" s="173">
        <v>0</v>
      </c>
      <c r="G16" s="173">
        <v>9204415.4085200001</v>
      </c>
      <c r="H16" s="173">
        <v>9204415.4085200001</v>
      </c>
      <c r="I16" s="173">
        <v>0</v>
      </c>
      <c r="J16" s="173">
        <v>0</v>
      </c>
      <c r="K16" s="173">
        <v>0</v>
      </c>
      <c r="L16" s="173">
        <v>262924.647</v>
      </c>
      <c r="M16" s="173">
        <v>546665.22635619994</v>
      </c>
      <c r="N16" s="173">
        <v>12640506.454</v>
      </c>
      <c r="O16" s="173">
        <v>0</v>
      </c>
      <c r="P16" s="173">
        <v>580000</v>
      </c>
      <c r="Q16" s="174">
        <v>93864191.692064196</v>
      </c>
    </row>
    <row r="17" spans="2:17" ht="35.5" customHeight="1" x14ac:dyDescent="0.35">
      <c r="B17" s="175" t="s">
        <v>120</v>
      </c>
      <c r="C17" s="173">
        <v>97138413.264289677</v>
      </c>
      <c r="D17" s="173">
        <v>16677893.477556</v>
      </c>
      <c r="E17" s="173">
        <v>16677893.477556</v>
      </c>
      <c r="F17" s="173">
        <v>0</v>
      </c>
      <c r="G17" s="173">
        <v>11310007.844000001</v>
      </c>
      <c r="H17" s="173">
        <v>11310007.844000001</v>
      </c>
      <c r="I17" s="173">
        <v>0</v>
      </c>
      <c r="J17" s="173">
        <v>0</v>
      </c>
      <c r="K17" s="173">
        <v>0</v>
      </c>
      <c r="L17" s="173">
        <v>284612.89</v>
      </c>
      <c r="M17" s="173">
        <v>518679.03471804073</v>
      </c>
      <c r="N17" s="173">
        <v>15567674.214</v>
      </c>
      <c r="O17" s="173">
        <v>111131.883</v>
      </c>
      <c r="P17" s="173">
        <v>0</v>
      </c>
      <c r="Q17" s="174">
        <v>117159549.3041276</v>
      </c>
    </row>
    <row r="18" spans="2:17" ht="35.5" customHeight="1" x14ac:dyDescent="0.35">
      <c r="B18" s="175" t="s">
        <v>121</v>
      </c>
      <c r="C18" s="173">
        <v>63665705.278999999</v>
      </c>
      <c r="D18" s="173">
        <v>13968850.20246</v>
      </c>
      <c r="E18" s="173">
        <v>13968850.20246</v>
      </c>
      <c r="F18" s="173">
        <v>0</v>
      </c>
      <c r="G18" s="173">
        <v>5783449.7929999996</v>
      </c>
      <c r="H18" s="173">
        <v>5783449.7929999996</v>
      </c>
      <c r="I18" s="173">
        <v>0</v>
      </c>
      <c r="J18" s="173">
        <v>0</v>
      </c>
      <c r="K18" s="173">
        <v>0</v>
      </c>
      <c r="L18" s="173">
        <v>255648.33196000001</v>
      </c>
      <c r="M18" s="173">
        <v>517715.1959016</v>
      </c>
      <c r="N18" s="173">
        <v>9812041.578404421</v>
      </c>
      <c r="O18" s="173">
        <v>0</v>
      </c>
      <c r="P18" s="173">
        <v>187500</v>
      </c>
      <c r="Q18" s="174">
        <v>80702283.739002824</v>
      </c>
    </row>
    <row r="19" spans="2:17" ht="35.5" customHeight="1" x14ac:dyDescent="0.35">
      <c r="B19" s="175" t="s">
        <v>122</v>
      </c>
      <c r="C19" s="177">
        <v>1493637.3485127359</v>
      </c>
      <c r="D19" s="173">
        <v>216371.41091999999</v>
      </c>
      <c r="E19" s="173">
        <v>216371.41091999999</v>
      </c>
      <c r="F19" s="173">
        <v>0</v>
      </c>
      <c r="G19" s="173">
        <v>86994.425359999994</v>
      </c>
      <c r="H19" s="173">
        <v>86994.425359999994</v>
      </c>
      <c r="I19" s="173">
        <v>0</v>
      </c>
      <c r="J19" s="173">
        <v>0</v>
      </c>
      <c r="K19" s="173">
        <v>0</v>
      </c>
      <c r="L19" s="173">
        <v>0</v>
      </c>
      <c r="M19" s="173">
        <v>8885.2835299999897</v>
      </c>
      <c r="N19" s="173">
        <v>219844.61696412729</v>
      </c>
      <c r="O19" s="173">
        <v>0</v>
      </c>
      <c r="P19" s="173">
        <v>0</v>
      </c>
      <c r="Q19" s="174">
        <v>1833973.6675068641</v>
      </c>
    </row>
    <row r="20" spans="2:17" ht="35.5" customHeight="1" x14ac:dyDescent="0.35">
      <c r="B20" s="175" t="s">
        <v>123</v>
      </c>
      <c r="C20" s="177">
        <v>0</v>
      </c>
      <c r="D20" s="173">
        <v>0</v>
      </c>
      <c r="E20" s="173">
        <v>0</v>
      </c>
      <c r="F20" s="173">
        <v>0</v>
      </c>
      <c r="G20" s="173">
        <v>0</v>
      </c>
      <c r="H20" s="173">
        <v>0</v>
      </c>
      <c r="I20" s="173">
        <v>0</v>
      </c>
      <c r="J20" s="173">
        <v>0</v>
      </c>
      <c r="K20" s="173">
        <v>0</v>
      </c>
      <c r="L20" s="173">
        <v>0</v>
      </c>
      <c r="M20" s="173">
        <v>0</v>
      </c>
      <c r="N20" s="173">
        <v>0</v>
      </c>
      <c r="O20" s="173">
        <v>0</v>
      </c>
      <c r="P20" s="173">
        <v>0</v>
      </c>
      <c r="Q20" s="174">
        <v>0</v>
      </c>
    </row>
    <row r="21" spans="2:17" ht="35.5" customHeight="1" x14ac:dyDescent="0.35">
      <c r="B21" s="175" t="s">
        <v>124</v>
      </c>
      <c r="C21" s="177">
        <v>9507984.5763722025</v>
      </c>
      <c r="D21" s="173">
        <v>687828.0057000001</v>
      </c>
      <c r="E21" s="173">
        <v>687828.0057000001</v>
      </c>
      <c r="F21" s="173">
        <v>0</v>
      </c>
      <c r="G21" s="173">
        <v>326548.57299999997</v>
      </c>
      <c r="H21" s="173">
        <v>326548.57299999997</v>
      </c>
      <c r="I21" s="173">
        <v>0</v>
      </c>
      <c r="J21" s="173">
        <v>0</v>
      </c>
      <c r="K21" s="173">
        <v>0</v>
      </c>
      <c r="L21" s="173">
        <v>13690.290999999999</v>
      </c>
      <c r="M21" s="173">
        <v>322226.04599999997</v>
      </c>
      <c r="N21" s="173">
        <v>864563.17975999997</v>
      </c>
      <c r="O21" s="173">
        <v>10162.66827943299</v>
      </c>
      <c r="P21" s="173">
        <v>0</v>
      </c>
      <c r="Q21" s="174">
        <v>10387748.18355277</v>
      </c>
    </row>
    <row r="22" spans="2:17" ht="35.5" customHeight="1" x14ac:dyDescent="0.35">
      <c r="B22" s="175" t="s">
        <v>87</v>
      </c>
      <c r="C22" s="177">
        <v>3749209.892</v>
      </c>
      <c r="D22" s="173">
        <v>1768983.7424999999</v>
      </c>
      <c r="E22" s="173">
        <v>1768983.7424999999</v>
      </c>
      <c r="F22" s="173">
        <v>0</v>
      </c>
      <c r="G22" s="173">
        <v>482630.27379000001</v>
      </c>
      <c r="H22" s="173">
        <v>482630.27379000001</v>
      </c>
      <c r="I22" s="173">
        <v>0</v>
      </c>
      <c r="J22" s="173">
        <v>0</v>
      </c>
      <c r="K22" s="173">
        <v>0</v>
      </c>
      <c r="L22" s="173">
        <v>49900.755880000012</v>
      </c>
      <c r="M22" s="173">
        <v>159424.96617043289</v>
      </c>
      <c r="N22" s="173">
        <v>156508.1355816072</v>
      </c>
      <c r="O22" s="173">
        <v>17830.3768701509</v>
      </c>
      <c r="P22" s="173">
        <v>0</v>
      </c>
      <c r="Q22" s="174">
        <v>4964915.397371023</v>
      </c>
    </row>
    <row r="23" spans="2:17" ht="35.5" customHeight="1" x14ac:dyDescent="0.35">
      <c r="B23" s="175" t="s">
        <v>125</v>
      </c>
      <c r="C23" s="177">
        <v>6401678.2657130212</v>
      </c>
      <c r="D23" s="173">
        <v>775170.62300000002</v>
      </c>
      <c r="E23" s="173">
        <v>775170.62300000002</v>
      </c>
      <c r="F23" s="173">
        <v>0</v>
      </c>
      <c r="G23" s="173">
        <v>895683.85340000002</v>
      </c>
      <c r="H23" s="173">
        <v>895683.85340000002</v>
      </c>
      <c r="I23" s="173">
        <v>0</v>
      </c>
      <c r="J23" s="173">
        <v>0</v>
      </c>
      <c r="K23" s="173">
        <v>0</v>
      </c>
      <c r="L23" s="173">
        <v>6387.7400799999996</v>
      </c>
      <c r="M23" s="173">
        <v>82530.475059935881</v>
      </c>
      <c r="N23" s="173">
        <v>1063134.9359036</v>
      </c>
      <c r="O23" s="173">
        <v>0</v>
      </c>
      <c r="P23" s="173">
        <v>0</v>
      </c>
      <c r="Q23" s="174">
        <v>7255381.7560766861</v>
      </c>
    </row>
    <row r="24" spans="2:17" ht="35.5" customHeight="1" x14ac:dyDescent="0.35">
      <c r="B24" s="175" t="s">
        <v>126</v>
      </c>
      <c r="C24" s="177">
        <v>7469704.5220881142</v>
      </c>
      <c r="D24" s="173">
        <v>5487190.8973699994</v>
      </c>
      <c r="E24" s="173">
        <v>5487190.8973699994</v>
      </c>
      <c r="F24" s="173">
        <v>0</v>
      </c>
      <c r="G24" s="173">
        <v>688754.40474755107</v>
      </c>
      <c r="H24" s="173">
        <v>688754.40474755107</v>
      </c>
      <c r="I24" s="173">
        <v>0</v>
      </c>
      <c r="J24" s="173">
        <v>0</v>
      </c>
      <c r="K24" s="173">
        <v>0</v>
      </c>
      <c r="L24" s="173">
        <v>192944.74</v>
      </c>
      <c r="M24" s="173">
        <v>179688.62400000001</v>
      </c>
      <c r="N24" s="173">
        <v>1803470.28764</v>
      </c>
      <c r="O24" s="173">
        <v>0</v>
      </c>
      <c r="P24" s="173">
        <v>0</v>
      </c>
      <c r="Q24" s="174">
        <v>13698977.93835056</v>
      </c>
    </row>
    <row r="25" spans="2:17" ht="35.5" customHeight="1" x14ac:dyDescent="0.35">
      <c r="B25" s="175" t="s">
        <v>127</v>
      </c>
      <c r="C25" s="177">
        <v>1050842.7066291079</v>
      </c>
      <c r="D25" s="173">
        <v>1543351.5390000001</v>
      </c>
      <c r="E25" s="173">
        <v>1543351.5390000001</v>
      </c>
      <c r="F25" s="173">
        <v>0</v>
      </c>
      <c r="G25" s="173">
        <v>232820.84305</v>
      </c>
      <c r="H25" s="173">
        <v>232820.84305</v>
      </c>
      <c r="I25" s="173">
        <v>0</v>
      </c>
      <c r="J25" s="173">
        <v>0</v>
      </c>
      <c r="K25" s="173">
        <v>0</v>
      </c>
      <c r="L25" s="173">
        <v>0</v>
      </c>
      <c r="M25" s="173">
        <v>121562.7357069773</v>
      </c>
      <c r="N25" s="173">
        <v>472982.22712999961</v>
      </c>
      <c r="O25" s="173">
        <v>0</v>
      </c>
      <c r="P25" s="173">
        <v>0</v>
      </c>
      <c r="Q25" s="174">
        <v>2712792.8940021312</v>
      </c>
    </row>
    <row r="26" spans="2:17" ht="35.5" customHeight="1" x14ac:dyDescent="0.35">
      <c r="B26" s="175" t="s">
        <v>128</v>
      </c>
      <c r="C26" s="177">
        <v>4484955.4952278947</v>
      </c>
      <c r="D26" s="173">
        <v>272894.16473999998</v>
      </c>
      <c r="E26" s="173">
        <v>272894.16473999998</v>
      </c>
      <c r="F26" s="173">
        <v>0</v>
      </c>
      <c r="G26" s="173">
        <v>575707.79301343765</v>
      </c>
      <c r="H26" s="173">
        <v>575707.79301343765</v>
      </c>
      <c r="I26" s="173">
        <v>0</v>
      </c>
      <c r="J26" s="173">
        <v>0</v>
      </c>
      <c r="K26" s="173">
        <v>0</v>
      </c>
      <c r="L26" s="173">
        <v>0</v>
      </c>
      <c r="M26" s="173">
        <v>10957.44210786955</v>
      </c>
      <c r="N26" s="173">
        <v>0</v>
      </c>
      <c r="O26" s="173">
        <v>0</v>
      </c>
      <c r="P26" s="173">
        <v>0</v>
      </c>
      <c r="Q26" s="174">
        <v>4171184.4248465882</v>
      </c>
    </row>
    <row r="27" spans="2:17" ht="35.5" customHeight="1" x14ac:dyDescent="0.35">
      <c r="B27" s="175" t="s">
        <v>129</v>
      </c>
      <c r="C27" s="177">
        <v>0</v>
      </c>
      <c r="D27" s="173">
        <v>0</v>
      </c>
      <c r="E27" s="173">
        <v>0</v>
      </c>
      <c r="F27" s="173">
        <v>0</v>
      </c>
      <c r="G27" s="173">
        <v>0</v>
      </c>
      <c r="H27" s="173">
        <v>0</v>
      </c>
      <c r="I27" s="173">
        <v>0</v>
      </c>
      <c r="J27" s="173">
        <v>0</v>
      </c>
      <c r="K27" s="173">
        <v>0</v>
      </c>
      <c r="L27" s="173">
        <v>0</v>
      </c>
      <c r="M27" s="173">
        <v>0</v>
      </c>
      <c r="N27" s="173">
        <v>0</v>
      </c>
      <c r="O27" s="173">
        <v>0</v>
      </c>
      <c r="P27" s="173">
        <v>0</v>
      </c>
      <c r="Q27" s="174">
        <v>0</v>
      </c>
    </row>
    <row r="28" spans="2:17" ht="35.5" customHeight="1" x14ac:dyDescent="0.35">
      <c r="B28" s="175" t="s">
        <v>130</v>
      </c>
      <c r="C28" s="177">
        <v>2637830.2506894199</v>
      </c>
      <c r="D28" s="173">
        <v>342256.88280999998</v>
      </c>
      <c r="E28" s="173">
        <v>342256.88280999998</v>
      </c>
      <c r="F28" s="173">
        <v>0</v>
      </c>
      <c r="G28" s="173">
        <v>371861.15880166797</v>
      </c>
      <c r="H28" s="173">
        <v>371861.15880166797</v>
      </c>
      <c r="I28" s="173">
        <v>0</v>
      </c>
      <c r="J28" s="173">
        <v>0</v>
      </c>
      <c r="K28" s="173">
        <v>0</v>
      </c>
      <c r="L28" s="173">
        <v>2605.6732780000002</v>
      </c>
      <c r="M28" s="173">
        <v>67585.301205202588</v>
      </c>
      <c r="N28" s="173">
        <v>35888.057463591213</v>
      </c>
      <c r="O28" s="173">
        <v>0</v>
      </c>
      <c r="P28" s="173">
        <v>0</v>
      </c>
      <c r="Q28" s="174">
        <v>2573923.0576781398</v>
      </c>
    </row>
    <row r="29" spans="2:17" ht="35.5" customHeight="1" x14ac:dyDescent="0.35">
      <c r="B29" s="175" t="s">
        <v>131</v>
      </c>
      <c r="C29" s="177">
        <v>0</v>
      </c>
      <c r="D29" s="173">
        <v>0</v>
      </c>
      <c r="E29" s="173">
        <v>0</v>
      </c>
      <c r="F29" s="173">
        <v>0</v>
      </c>
      <c r="G29" s="173">
        <v>0</v>
      </c>
      <c r="H29" s="173">
        <v>0</v>
      </c>
      <c r="I29" s="173">
        <v>0</v>
      </c>
      <c r="J29" s="173">
        <v>0</v>
      </c>
      <c r="K29" s="173">
        <v>0</v>
      </c>
      <c r="L29" s="173">
        <v>0</v>
      </c>
      <c r="M29" s="173">
        <v>0</v>
      </c>
      <c r="N29" s="173">
        <v>0</v>
      </c>
      <c r="O29" s="173">
        <v>0</v>
      </c>
      <c r="P29" s="173">
        <v>0</v>
      </c>
      <c r="Q29" s="174">
        <v>0</v>
      </c>
    </row>
    <row r="30" spans="2:17" ht="35.5" customHeight="1" x14ac:dyDescent="0.35">
      <c r="B30" s="137" t="s">
        <v>24</v>
      </c>
      <c r="C30" s="178">
        <f t="shared" ref="C30:Q30" si="0">SUM(C6:C29)</f>
        <v>395981524.785797</v>
      </c>
      <c r="D30" s="178">
        <f t="shared" si="0"/>
        <v>79746501.064230785</v>
      </c>
      <c r="E30" s="178">
        <f t="shared" si="0"/>
        <v>79746501.064230785</v>
      </c>
      <c r="F30" s="178">
        <f t="shared" si="0"/>
        <v>0</v>
      </c>
      <c r="G30" s="178">
        <f t="shared" si="0"/>
        <v>51326272.719398096</v>
      </c>
      <c r="H30" s="178">
        <f t="shared" si="0"/>
        <v>51326272.719398096</v>
      </c>
      <c r="I30" s="178">
        <f t="shared" si="0"/>
        <v>0</v>
      </c>
      <c r="J30" s="178">
        <f t="shared" si="0"/>
        <v>0</v>
      </c>
      <c r="K30" s="178">
        <f t="shared" si="0"/>
        <v>0</v>
      </c>
      <c r="L30" s="178">
        <f t="shared" si="0"/>
        <v>1322118.584968</v>
      </c>
      <c r="M30" s="178">
        <f t="shared" si="0"/>
        <v>3611228.6455172403</v>
      </c>
      <c r="N30" s="178">
        <f t="shared" si="0"/>
        <v>60645129.230684303</v>
      </c>
      <c r="O30" s="178">
        <f t="shared" si="0"/>
        <v>451244.06049515394</v>
      </c>
      <c r="P30" s="178">
        <f t="shared" si="0"/>
        <v>1511067.6040000001</v>
      </c>
      <c r="Q30" s="178">
        <f t="shared" si="0"/>
        <v>478151223.46633357</v>
      </c>
    </row>
    <row r="31" spans="2:17" ht="35.5" customHeight="1" x14ac:dyDescent="0.35">
      <c r="B31" s="316" t="s">
        <v>103</v>
      </c>
      <c r="C31" s="269"/>
      <c r="D31" s="269"/>
      <c r="E31" s="269"/>
      <c r="F31" s="269"/>
      <c r="G31" s="269"/>
      <c r="H31" s="269"/>
      <c r="I31" s="269"/>
      <c r="J31" s="269"/>
      <c r="K31" s="269"/>
      <c r="L31" s="269"/>
      <c r="M31" s="269"/>
      <c r="N31" s="269"/>
      <c r="O31" s="269"/>
      <c r="P31" s="269"/>
      <c r="Q31" s="270"/>
    </row>
    <row r="32" spans="2:17" ht="35.5" customHeight="1" x14ac:dyDescent="0.35">
      <c r="B32" s="175" t="s">
        <v>104</v>
      </c>
      <c r="C32" s="173">
        <v>0</v>
      </c>
      <c r="D32" s="173">
        <v>0</v>
      </c>
      <c r="E32" s="173">
        <v>0</v>
      </c>
      <c r="F32" s="173">
        <v>0</v>
      </c>
      <c r="G32" s="173">
        <v>0</v>
      </c>
      <c r="H32" s="173">
        <v>0</v>
      </c>
      <c r="I32" s="173">
        <v>0</v>
      </c>
      <c r="J32" s="173">
        <v>0</v>
      </c>
      <c r="K32" s="173">
        <v>0</v>
      </c>
      <c r="L32" s="173">
        <v>0</v>
      </c>
      <c r="M32" s="173">
        <v>0</v>
      </c>
      <c r="N32" s="173">
        <v>0</v>
      </c>
      <c r="O32" s="173">
        <v>0</v>
      </c>
      <c r="P32" s="173">
        <v>0</v>
      </c>
      <c r="Q32" s="174">
        <v>0</v>
      </c>
    </row>
    <row r="33" spans="2:17" ht="35.5" customHeight="1" x14ac:dyDescent="0.35">
      <c r="B33" s="175" t="s">
        <v>105</v>
      </c>
      <c r="C33" s="173">
        <v>0</v>
      </c>
      <c r="D33" s="173">
        <v>0</v>
      </c>
      <c r="E33" s="173">
        <v>0</v>
      </c>
      <c r="F33" s="173">
        <v>0</v>
      </c>
      <c r="G33" s="173">
        <v>0</v>
      </c>
      <c r="H33" s="173">
        <v>0</v>
      </c>
      <c r="I33" s="173">
        <v>0</v>
      </c>
      <c r="J33" s="173">
        <v>0</v>
      </c>
      <c r="K33" s="173">
        <v>0</v>
      </c>
      <c r="L33" s="173">
        <v>0</v>
      </c>
      <c r="M33" s="173">
        <v>0</v>
      </c>
      <c r="N33" s="173">
        <v>0</v>
      </c>
      <c r="O33" s="173">
        <v>0</v>
      </c>
      <c r="P33" s="173">
        <v>0</v>
      </c>
      <c r="Q33" s="174">
        <v>0</v>
      </c>
    </row>
    <row r="34" spans="2:17" ht="35.5" customHeight="1" x14ac:dyDescent="0.35">
      <c r="B34" s="175" t="s">
        <v>107</v>
      </c>
      <c r="C34" s="173">
        <v>0</v>
      </c>
      <c r="D34" s="173">
        <v>0</v>
      </c>
      <c r="E34" s="173">
        <v>0</v>
      </c>
      <c r="F34" s="173">
        <v>0</v>
      </c>
      <c r="G34" s="173">
        <v>0</v>
      </c>
      <c r="H34" s="173">
        <v>0</v>
      </c>
      <c r="I34" s="173">
        <v>0</v>
      </c>
      <c r="J34" s="173">
        <v>0</v>
      </c>
      <c r="K34" s="173">
        <v>0</v>
      </c>
      <c r="L34" s="173">
        <v>0</v>
      </c>
      <c r="M34" s="173">
        <v>0</v>
      </c>
      <c r="N34" s="173">
        <v>0</v>
      </c>
      <c r="O34" s="173">
        <v>0</v>
      </c>
      <c r="P34" s="173">
        <v>0</v>
      </c>
      <c r="Q34" s="174">
        <v>0</v>
      </c>
    </row>
    <row r="35" spans="2:17" ht="35.5" customHeight="1" x14ac:dyDescent="0.35">
      <c r="B35" s="137" t="s">
        <v>24</v>
      </c>
      <c r="C35" s="179">
        <f t="shared" ref="C35:Q35" si="1">SUM(C32:C34)</f>
        <v>0</v>
      </c>
      <c r="D35" s="179">
        <f t="shared" si="1"/>
        <v>0</v>
      </c>
      <c r="E35" s="179">
        <f t="shared" si="1"/>
        <v>0</v>
      </c>
      <c r="F35" s="179">
        <f t="shared" si="1"/>
        <v>0</v>
      </c>
      <c r="G35" s="179">
        <f t="shared" si="1"/>
        <v>0</v>
      </c>
      <c r="H35" s="179">
        <f t="shared" si="1"/>
        <v>0</v>
      </c>
      <c r="I35" s="179">
        <f t="shared" si="1"/>
        <v>0</v>
      </c>
      <c r="J35" s="179">
        <f t="shared" si="1"/>
        <v>0</v>
      </c>
      <c r="K35" s="179">
        <f t="shared" si="1"/>
        <v>0</v>
      </c>
      <c r="L35" s="179">
        <f t="shared" si="1"/>
        <v>0</v>
      </c>
      <c r="M35" s="179">
        <f t="shared" si="1"/>
        <v>0</v>
      </c>
      <c r="N35" s="179">
        <f t="shared" si="1"/>
        <v>0</v>
      </c>
      <c r="O35" s="179">
        <f t="shared" si="1"/>
        <v>0</v>
      </c>
      <c r="P35" s="179">
        <f t="shared" si="1"/>
        <v>0</v>
      </c>
      <c r="Q35" s="179">
        <f t="shared" si="1"/>
        <v>0</v>
      </c>
    </row>
    <row r="36" spans="2:17" ht="35.5" customHeight="1" x14ac:dyDescent="0.35">
      <c r="B36" s="329" t="s">
        <v>25</v>
      </c>
      <c r="C36" s="272"/>
      <c r="D36" s="272"/>
      <c r="E36" s="272"/>
      <c r="F36" s="272"/>
      <c r="G36" s="272"/>
      <c r="H36" s="272"/>
      <c r="I36" s="272"/>
      <c r="J36" s="272"/>
      <c r="K36" s="272"/>
      <c r="L36" s="272"/>
      <c r="M36" s="272"/>
      <c r="N36" s="272"/>
      <c r="O36" s="272"/>
      <c r="P36" s="272"/>
      <c r="Q36" s="272"/>
    </row>
  </sheetData>
  <sheetProtection algorithmName="SHA-512" hashValue="yuD9WTxKiJw6Rq5Bqktred6tpUJ6W9fLyXpZb6q99rirsnlQjwY6qAvoQlAb0v3hqmjGjwzurgOX+sZ6IHnhYQ==" saltValue="L7fZK9YeAhtIji83bQQ1/w==" spinCount="100000" sheet="1" objects="1" scenarios="1"/>
  <mergeCells count="4">
    <mergeCell ref="B31:Q31"/>
    <mergeCell ref="B36:Q36"/>
    <mergeCell ref="B3:Q3"/>
    <mergeCell ref="B5:Q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tabColor rgb="FF92D050"/>
    <pageSetUpPr fitToPage="1"/>
  </sheetPr>
  <dimension ref="B3:R36"/>
  <sheetViews>
    <sheetView topLeftCell="A30" workbookViewId="0">
      <selection activeCell="D32" sqref="D32:D34"/>
    </sheetView>
  </sheetViews>
  <sheetFormatPr defaultColWidth="16.54296875" defaultRowHeight="15.5" x14ac:dyDescent="0.35"/>
  <cols>
    <col min="1" max="1" width="16.54296875" style="134" customWidth="1"/>
    <col min="2" max="2" width="47.6328125" style="134" bestFit="1" customWidth="1"/>
    <col min="3" max="3" width="18.54296875" style="134" customWidth="1"/>
    <col min="4" max="4" width="21" style="134" customWidth="1"/>
    <col min="5" max="16" width="18.54296875" style="134" customWidth="1"/>
    <col min="17" max="17" width="19.7265625" style="187" bestFit="1" customWidth="1"/>
    <col min="18" max="45" width="16.54296875" style="134" customWidth="1"/>
    <col min="46" max="16384" width="16.54296875" style="134"/>
  </cols>
  <sheetData>
    <row r="3" spans="2:17" ht="27" customHeight="1" x14ac:dyDescent="0.35">
      <c r="B3" s="320" t="str">
        <f>_xlfn.CONCAT('Table of Contents'!B29,": ",'Table of Contents'!C29)</f>
        <v>APPENDIX 17: SUMMARY OF COMBINED LONG TERM BUSINESS REVENUE ACCOUNTS FOR THE PERIOD ENDED 31.12.2025</v>
      </c>
      <c r="C3" s="269"/>
      <c r="D3" s="269"/>
      <c r="E3" s="269"/>
      <c r="F3" s="269"/>
      <c r="G3" s="269"/>
      <c r="H3" s="269"/>
      <c r="I3" s="269"/>
      <c r="J3" s="269"/>
      <c r="K3" s="269"/>
      <c r="L3" s="269"/>
      <c r="M3" s="269"/>
      <c r="N3" s="269"/>
      <c r="O3" s="269"/>
      <c r="P3" s="269"/>
      <c r="Q3" s="270"/>
    </row>
    <row r="4" spans="2:17" s="181" customFormat="1" ht="31" customHeight="1" x14ac:dyDescent="0.35">
      <c r="B4" s="65" t="s">
        <v>0</v>
      </c>
      <c r="C4" s="66" t="s">
        <v>200</v>
      </c>
      <c r="D4" s="66" t="s">
        <v>201</v>
      </c>
      <c r="E4" s="66" t="s">
        <v>202</v>
      </c>
      <c r="F4" s="66" t="s">
        <v>203</v>
      </c>
      <c r="G4" s="66" t="s">
        <v>204</v>
      </c>
      <c r="H4" s="66" t="s">
        <v>205</v>
      </c>
      <c r="I4" s="96" t="s">
        <v>206</v>
      </c>
      <c r="J4" s="66" t="s">
        <v>207</v>
      </c>
      <c r="K4" s="66" t="s">
        <v>208</v>
      </c>
      <c r="L4" s="66" t="s">
        <v>209</v>
      </c>
      <c r="M4" s="66" t="s">
        <v>210</v>
      </c>
      <c r="N4" s="66" t="s">
        <v>211</v>
      </c>
      <c r="O4" s="66" t="s">
        <v>212</v>
      </c>
      <c r="P4" s="66" t="s">
        <v>213</v>
      </c>
      <c r="Q4" s="66" t="s">
        <v>214</v>
      </c>
    </row>
    <row r="5" spans="2:17" x14ac:dyDescent="0.35">
      <c r="B5" s="316" t="s">
        <v>17</v>
      </c>
      <c r="C5" s="269"/>
      <c r="D5" s="269"/>
      <c r="E5" s="269"/>
      <c r="F5" s="269"/>
      <c r="G5" s="269"/>
      <c r="H5" s="269"/>
      <c r="I5" s="269"/>
      <c r="J5" s="269"/>
      <c r="K5" s="269"/>
      <c r="L5" s="269"/>
      <c r="M5" s="269"/>
      <c r="N5" s="269"/>
      <c r="O5" s="269"/>
      <c r="P5" s="269"/>
      <c r="Q5" s="270"/>
    </row>
    <row r="6" spans="2:17" ht="35" customHeight="1" x14ac:dyDescent="0.35">
      <c r="B6" s="67" t="s">
        <v>110</v>
      </c>
      <c r="C6" s="182">
        <v>12993436.422526</v>
      </c>
      <c r="D6" s="182">
        <v>10027958.658</v>
      </c>
      <c r="E6" s="182">
        <v>8542172.2690000031</v>
      </c>
      <c r="F6" s="182">
        <v>0</v>
      </c>
      <c r="G6" s="182">
        <v>3608127.4759999998</v>
      </c>
      <c r="H6" s="182">
        <v>3608127.4759999998</v>
      </c>
      <c r="I6" s="182">
        <v>0</v>
      </c>
      <c r="J6" s="182">
        <v>0</v>
      </c>
      <c r="K6" s="182">
        <v>0</v>
      </c>
      <c r="L6" s="182">
        <v>1315786.344</v>
      </c>
      <c r="M6" s="182">
        <v>1204569.8618000001</v>
      </c>
      <c r="N6" s="182">
        <v>2358873.5138500002</v>
      </c>
      <c r="O6" s="182">
        <v>0</v>
      </c>
      <c r="P6" s="182">
        <v>0</v>
      </c>
      <c r="Q6" s="183">
        <v>17765998.523575999</v>
      </c>
    </row>
    <row r="7" spans="2:17" ht="35" customHeight="1" x14ac:dyDescent="0.35">
      <c r="B7" s="67" t="s">
        <v>111</v>
      </c>
      <c r="C7" s="182">
        <v>15210031.681</v>
      </c>
      <c r="D7" s="182">
        <v>14523000.169525299</v>
      </c>
      <c r="E7" s="182">
        <v>12780902.786828451</v>
      </c>
      <c r="F7" s="182">
        <v>0</v>
      </c>
      <c r="G7" s="182">
        <v>3069475.368214936</v>
      </c>
      <c r="H7" s="182">
        <v>3069475.368214936</v>
      </c>
      <c r="I7" s="182">
        <v>0</v>
      </c>
      <c r="J7" s="182">
        <v>0</v>
      </c>
      <c r="K7" s="182">
        <v>0</v>
      </c>
      <c r="L7" s="182">
        <v>1085529.333474485</v>
      </c>
      <c r="M7" s="182">
        <v>566534.46145087108</v>
      </c>
      <c r="N7" s="182">
        <v>3036999.6841217019</v>
      </c>
      <c r="O7" s="182">
        <v>61225.184689937472</v>
      </c>
      <c r="P7" s="182">
        <v>0</v>
      </c>
      <c r="Q7" s="183">
        <v>26245169.80411993</v>
      </c>
    </row>
    <row r="8" spans="2:17" ht="35" customHeight="1" x14ac:dyDescent="0.35">
      <c r="B8" s="67" t="s">
        <v>112</v>
      </c>
      <c r="C8" s="182">
        <v>155452635.56244719</v>
      </c>
      <c r="D8" s="182">
        <v>53136660.893069997</v>
      </c>
      <c r="E8" s="182">
        <v>48723445.924139999</v>
      </c>
      <c r="F8" s="182">
        <v>-2600.692739999995</v>
      </c>
      <c r="G8" s="182">
        <v>36735202.142450757</v>
      </c>
      <c r="H8" s="182">
        <v>36735202.142450757</v>
      </c>
      <c r="I8" s="182">
        <v>0</v>
      </c>
      <c r="J8" s="182">
        <v>0</v>
      </c>
      <c r="K8" s="182">
        <v>0</v>
      </c>
      <c r="L8" s="182">
        <v>1767067.425</v>
      </c>
      <c r="M8" s="182">
        <v>4668273.8559999997</v>
      </c>
      <c r="N8" s="182">
        <v>28401984.804000001</v>
      </c>
      <c r="O8" s="182">
        <v>379810.17383296753</v>
      </c>
      <c r="P8" s="182">
        <v>0</v>
      </c>
      <c r="Q8" s="183">
        <v>189025112.0005635</v>
      </c>
    </row>
    <row r="9" spans="2:17" ht="35" customHeight="1" x14ac:dyDescent="0.35">
      <c r="B9" s="67" t="s">
        <v>113</v>
      </c>
      <c r="C9" s="182">
        <v>820846.58661023283</v>
      </c>
      <c r="D9" s="182">
        <v>540547.00241691025</v>
      </c>
      <c r="E9" s="182">
        <v>371360.27941162972</v>
      </c>
      <c r="F9" s="182">
        <v>0</v>
      </c>
      <c r="G9" s="182">
        <v>274040.14931830909</v>
      </c>
      <c r="H9" s="182">
        <v>274040.14931830909</v>
      </c>
      <c r="I9" s="182">
        <v>0</v>
      </c>
      <c r="J9" s="182">
        <v>0</v>
      </c>
      <c r="K9" s="182">
        <v>0</v>
      </c>
      <c r="L9" s="182">
        <v>24667.325551298811</v>
      </c>
      <c r="M9" s="182">
        <v>221249.17199999999</v>
      </c>
      <c r="N9" s="182">
        <v>107328.486</v>
      </c>
      <c r="O9" s="182">
        <v>0</v>
      </c>
      <c r="P9" s="182">
        <v>0</v>
      </c>
      <c r="Q9" s="183">
        <v>779578.70515225455</v>
      </c>
    </row>
    <row r="10" spans="2:17" ht="35" customHeight="1" x14ac:dyDescent="0.35">
      <c r="B10" s="67" t="s">
        <v>114</v>
      </c>
      <c r="C10" s="182">
        <v>1260505.502732699</v>
      </c>
      <c r="D10" s="182">
        <v>1357699.2739143211</v>
      </c>
      <c r="E10" s="182">
        <v>1210794.5984200919</v>
      </c>
      <c r="F10" s="182">
        <v>0</v>
      </c>
      <c r="G10" s="182">
        <v>852844.5637399999</v>
      </c>
      <c r="H10" s="182">
        <v>852844.5637399999</v>
      </c>
      <c r="I10" s="182">
        <v>0</v>
      </c>
      <c r="J10" s="182">
        <v>0</v>
      </c>
      <c r="K10" s="182">
        <v>0</v>
      </c>
      <c r="L10" s="182">
        <v>163857.65614477379</v>
      </c>
      <c r="M10" s="182">
        <v>397699.12500000012</v>
      </c>
      <c r="N10" s="182">
        <v>36741.364000000001</v>
      </c>
      <c r="O10" s="182">
        <v>0</v>
      </c>
      <c r="P10" s="182">
        <v>0</v>
      </c>
      <c r="Q10" s="183">
        <v>1093640.1202680171</v>
      </c>
    </row>
    <row r="11" spans="2:17" ht="35" customHeight="1" x14ac:dyDescent="0.35">
      <c r="B11" s="67" t="s">
        <v>115</v>
      </c>
      <c r="C11" s="182">
        <v>28739369.14423424</v>
      </c>
      <c r="D11" s="182">
        <v>13269685.422150001</v>
      </c>
      <c r="E11" s="182">
        <v>13056508.590770001</v>
      </c>
      <c r="F11" s="182">
        <v>0</v>
      </c>
      <c r="G11" s="182">
        <v>2236476.8443999998</v>
      </c>
      <c r="H11" s="182">
        <v>2236476.8443999998</v>
      </c>
      <c r="I11" s="182">
        <v>0</v>
      </c>
      <c r="J11" s="182">
        <v>0</v>
      </c>
      <c r="K11" s="182">
        <v>0</v>
      </c>
      <c r="L11" s="182">
        <v>799886.15157999995</v>
      </c>
      <c r="M11" s="182">
        <v>2198534.6052899999</v>
      </c>
      <c r="N11" s="182">
        <v>3185718.2710799999</v>
      </c>
      <c r="O11" s="182">
        <v>0</v>
      </c>
      <c r="P11" s="182">
        <v>0</v>
      </c>
      <c r="Q11" s="183">
        <v>39746698.404814243</v>
      </c>
    </row>
    <row r="12" spans="2:17" ht="35" customHeight="1" x14ac:dyDescent="0.35">
      <c r="B12" s="67" t="s">
        <v>73</v>
      </c>
      <c r="C12" s="182">
        <v>63014.580827179758</v>
      </c>
      <c r="D12" s="182">
        <v>34017.64402</v>
      </c>
      <c r="E12" s="182">
        <v>34017.64402</v>
      </c>
      <c r="F12" s="182">
        <v>0</v>
      </c>
      <c r="G12" s="182">
        <v>141310.87797999999</v>
      </c>
      <c r="H12" s="182">
        <v>141310.87797999999</v>
      </c>
      <c r="I12" s="182">
        <v>0</v>
      </c>
      <c r="J12" s="182">
        <v>0</v>
      </c>
      <c r="K12" s="182">
        <v>0</v>
      </c>
      <c r="L12" s="182">
        <v>0</v>
      </c>
      <c r="M12" s="182">
        <v>6585.4458719076474</v>
      </c>
      <c r="N12" s="182">
        <v>8082.8789999999999</v>
      </c>
      <c r="O12" s="182">
        <v>0</v>
      </c>
      <c r="P12" s="182">
        <v>0</v>
      </c>
      <c r="Q12" s="183">
        <v>-42781.220004727867</v>
      </c>
    </row>
    <row r="13" spans="2:17" ht="35" customHeight="1" x14ac:dyDescent="0.35">
      <c r="B13" s="67" t="s">
        <v>116</v>
      </c>
      <c r="C13" s="182">
        <v>21017255.430048041</v>
      </c>
      <c r="D13" s="182">
        <v>6099670.5630000001</v>
      </c>
      <c r="E13" s="182">
        <v>5791624.2659999998</v>
      </c>
      <c r="F13" s="182">
        <v>0</v>
      </c>
      <c r="G13" s="182">
        <v>2379892.0188725442</v>
      </c>
      <c r="H13" s="182">
        <v>2379892.0188725442</v>
      </c>
      <c r="I13" s="182">
        <v>0</v>
      </c>
      <c r="J13" s="182">
        <v>0</v>
      </c>
      <c r="K13" s="182">
        <v>0</v>
      </c>
      <c r="L13" s="182">
        <v>172985.73064497011</v>
      </c>
      <c r="M13" s="182">
        <v>673297.02766999998</v>
      </c>
      <c r="N13" s="182">
        <v>3813696.0704351608</v>
      </c>
      <c r="O13" s="182">
        <v>266214.96538747067</v>
      </c>
      <c r="P13" s="182">
        <v>0</v>
      </c>
      <c r="Q13" s="183">
        <v>27130186.02390822</v>
      </c>
    </row>
    <row r="14" spans="2:17" ht="35" customHeight="1" x14ac:dyDescent="0.35">
      <c r="B14" s="67" t="s">
        <v>117</v>
      </c>
      <c r="C14" s="182">
        <v>45563227.214000002</v>
      </c>
      <c r="D14" s="70">
        <v>13015363.492969999</v>
      </c>
      <c r="E14" s="182">
        <v>12935255.162970001</v>
      </c>
      <c r="F14" s="182">
        <v>0</v>
      </c>
      <c r="G14" s="182">
        <v>3640095.2239999999</v>
      </c>
      <c r="H14" s="182">
        <v>3640095.2239999999</v>
      </c>
      <c r="I14" s="182">
        <v>0</v>
      </c>
      <c r="J14" s="182">
        <v>0</v>
      </c>
      <c r="K14" s="182">
        <v>0</v>
      </c>
      <c r="L14" s="182">
        <v>40773.892999999996</v>
      </c>
      <c r="M14" s="182">
        <v>159415.89271714521</v>
      </c>
      <c r="N14" s="182">
        <v>8150692.017</v>
      </c>
      <c r="O14" s="182">
        <v>0</v>
      </c>
      <c r="P14" s="182">
        <v>0</v>
      </c>
      <c r="Q14" s="183">
        <v>62808889.384252854</v>
      </c>
    </row>
    <row r="15" spans="2:17" ht="35" customHeight="1" x14ac:dyDescent="0.35">
      <c r="B15" s="67" t="s">
        <v>118</v>
      </c>
      <c r="C15" s="182">
        <v>2778646.64</v>
      </c>
      <c r="D15" s="70">
        <v>2149038.693904791</v>
      </c>
      <c r="E15" s="182">
        <v>2017560.0487047911</v>
      </c>
      <c r="F15" s="182">
        <v>0</v>
      </c>
      <c r="G15" s="182">
        <v>457082.36683999997</v>
      </c>
      <c r="H15" s="182">
        <v>457082.36683999997</v>
      </c>
      <c r="I15" s="182">
        <v>0</v>
      </c>
      <c r="J15" s="182">
        <v>0</v>
      </c>
      <c r="K15" s="182">
        <v>0</v>
      </c>
      <c r="L15" s="182">
        <v>64861.143960000001</v>
      </c>
      <c r="M15" s="182">
        <v>298031.81053000002</v>
      </c>
      <c r="N15" s="182">
        <v>6146.8950000000004</v>
      </c>
      <c r="O15" s="182">
        <v>0</v>
      </c>
      <c r="P15" s="182">
        <v>873557.53099999996</v>
      </c>
      <c r="Q15" s="183">
        <v>3108820.7313747909</v>
      </c>
    </row>
    <row r="16" spans="2:17" ht="35" customHeight="1" x14ac:dyDescent="0.35">
      <c r="B16" s="67" t="s">
        <v>119</v>
      </c>
      <c r="C16" s="182">
        <v>175541546.56620449</v>
      </c>
      <c r="D16" s="70">
        <v>32814962.777150001</v>
      </c>
      <c r="E16" s="182">
        <v>32480864.054452911</v>
      </c>
      <c r="F16" s="182">
        <v>0</v>
      </c>
      <c r="G16" s="182">
        <v>21592800.23432</v>
      </c>
      <c r="H16" s="182">
        <v>18226251.98587</v>
      </c>
      <c r="I16" s="182">
        <v>771123.33955999999</v>
      </c>
      <c r="J16" s="182">
        <v>0</v>
      </c>
      <c r="K16" s="182">
        <v>2595424.9088900001</v>
      </c>
      <c r="L16" s="182">
        <v>1922283.388571925</v>
      </c>
      <c r="M16" s="70">
        <v>2702253.612939999</v>
      </c>
      <c r="N16" s="70">
        <v>28730284.092999998</v>
      </c>
      <c r="O16" s="182">
        <v>0</v>
      </c>
      <c r="P16" s="182">
        <v>1450000</v>
      </c>
      <c r="Q16" s="183">
        <v>209085357.47782549</v>
      </c>
    </row>
    <row r="17" spans="2:17" ht="35" customHeight="1" x14ac:dyDescent="0.35">
      <c r="B17" s="67" t="s">
        <v>120</v>
      </c>
      <c r="C17" s="182">
        <v>134728152.0547536</v>
      </c>
      <c r="D17" s="70">
        <v>30654985.80705601</v>
      </c>
      <c r="E17" s="182">
        <v>30067907.596056011</v>
      </c>
      <c r="F17" s="182">
        <v>0</v>
      </c>
      <c r="G17" s="182">
        <v>18156548.655999999</v>
      </c>
      <c r="H17" s="182">
        <v>18156548.655999999</v>
      </c>
      <c r="I17" s="182">
        <v>0</v>
      </c>
      <c r="J17" s="182">
        <v>0</v>
      </c>
      <c r="K17" s="182">
        <v>0</v>
      </c>
      <c r="L17" s="182">
        <v>1200060.831</v>
      </c>
      <c r="M17" s="182">
        <v>1756438.144999264</v>
      </c>
      <c r="N17" s="182">
        <v>20075402.013173711</v>
      </c>
      <c r="O17" s="182">
        <v>142040.68962024531</v>
      </c>
      <c r="P17" s="182">
        <v>0</v>
      </c>
      <c r="Q17" s="183">
        <v>163616373.3423638</v>
      </c>
    </row>
    <row r="18" spans="2:17" ht="35" customHeight="1" x14ac:dyDescent="0.35">
      <c r="B18" s="67" t="s">
        <v>121</v>
      </c>
      <c r="C18" s="182">
        <v>89269516.444000006</v>
      </c>
      <c r="D18" s="70">
        <v>18169902.82344</v>
      </c>
      <c r="E18" s="182">
        <v>18098521.11744</v>
      </c>
      <c r="F18" s="182">
        <v>0</v>
      </c>
      <c r="G18" s="182">
        <v>8706631.7021500003</v>
      </c>
      <c r="H18" s="182">
        <v>8706631.7021500003</v>
      </c>
      <c r="I18" s="182">
        <v>0</v>
      </c>
      <c r="J18" s="182">
        <v>0</v>
      </c>
      <c r="K18" s="182">
        <v>0</v>
      </c>
      <c r="L18" s="182">
        <v>437756.87774000003</v>
      </c>
      <c r="M18" s="182">
        <v>908389.59216</v>
      </c>
      <c r="N18" s="182">
        <v>14141288.248764049</v>
      </c>
      <c r="O18" s="182">
        <v>7418.7629999999999</v>
      </c>
      <c r="P18" s="182">
        <v>489750</v>
      </c>
      <c r="Q18" s="183">
        <v>110959378.875154</v>
      </c>
    </row>
    <row r="19" spans="2:17" ht="35" customHeight="1" x14ac:dyDescent="0.35">
      <c r="B19" s="67" t="s">
        <v>122</v>
      </c>
      <c r="C19" s="182">
        <v>4391298.0203489959</v>
      </c>
      <c r="D19" s="70">
        <v>1402648.6568700001</v>
      </c>
      <c r="E19" s="182">
        <v>1264545.16787</v>
      </c>
      <c r="F19" s="182">
        <v>0</v>
      </c>
      <c r="G19" s="182">
        <v>514431.67401000002</v>
      </c>
      <c r="H19" s="182">
        <v>514431.67401000002</v>
      </c>
      <c r="I19" s="182">
        <v>0</v>
      </c>
      <c r="J19" s="182">
        <v>0</v>
      </c>
      <c r="K19" s="182">
        <v>0</v>
      </c>
      <c r="L19" s="182">
        <v>27896.946370000009</v>
      </c>
      <c r="M19" s="182">
        <v>393410.55099224352</v>
      </c>
      <c r="N19" s="182">
        <v>689117.57205250021</v>
      </c>
      <c r="O19" s="182">
        <v>0</v>
      </c>
      <c r="P19" s="182">
        <v>0</v>
      </c>
      <c r="Q19" s="183">
        <v>5409221.5888992529</v>
      </c>
    </row>
    <row r="20" spans="2:17" ht="35" customHeight="1" x14ac:dyDescent="0.35">
      <c r="B20" s="67" t="s">
        <v>123</v>
      </c>
      <c r="C20" s="182">
        <v>0</v>
      </c>
      <c r="D20" s="70">
        <v>0</v>
      </c>
      <c r="E20" s="182">
        <v>0</v>
      </c>
      <c r="F20" s="182">
        <v>0</v>
      </c>
      <c r="G20" s="182">
        <v>0</v>
      </c>
      <c r="H20" s="182">
        <v>0</v>
      </c>
      <c r="I20" s="182">
        <v>0</v>
      </c>
      <c r="J20" s="182">
        <v>0</v>
      </c>
      <c r="K20" s="182">
        <v>0</v>
      </c>
      <c r="L20" s="182">
        <v>0</v>
      </c>
      <c r="M20" s="182">
        <v>0</v>
      </c>
      <c r="N20" s="182">
        <v>0</v>
      </c>
      <c r="O20" s="182">
        <v>0</v>
      </c>
      <c r="P20" s="182">
        <v>0</v>
      </c>
      <c r="Q20" s="183">
        <v>0</v>
      </c>
    </row>
    <row r="21" spans="2:17" ht="35" customHeight="1" x14ac:dyDescent="0.35">
      <c r="B21" s="67" t="s">
        <v>124</v>
      </c>
      <c r="C21" s="182">
        <v>25879670.557460029</v>
      </c>
      <c r="D21" s="70">
        <v>6280056.2674599923</v>
      </c>
      <c r="E21" s="182">
        <v>5921819.9064599928</v>
      </c>
      <c r="F21" s="182">
        <v>0</v>
      </c>
      <c r="G21" s="182">
        <v>5292479.9530192362</v>
      </c>
      <c r="H21" s="182">
        <v>4291695.594019237</v>
      </c>
      <c r="I21" s="182">
        <v>975511.28099999996</v>
      </c>
      <c r="J21" s="182">
        <v>0</v>
      </c>
      <c r="K21" s="182">
        <v>25273.078000000001</v>
      </c>
      <c r="L21" s="182">
        <v>530276.58770999999</v>
      </c>
      <c r="M21" s="182">
        <v>1736945.044</v>
      </c>
      <c r="N21" s="182">
        <v>5051397.7421161486</v>
      </c>
      <c r="O21" s="182">
        <v>146691.12404405599</v>
      </c>
      <c r="P21" s="182">
        <v>0</v>
      </c>
      <c r="Q21" s="183">
        <v>29146495.49726288</v>
      </c>
    </row>
    <row r="22" spans="2:17" ht="35" customHeight="1" x14ac:dyDescent="0.35">
      <c r="B22" s="67" t="s">
        <v>87</v>
      </c>
      <c r="C22" s="182">
        <v>15136526.43771</v>
      </c>
      <c r="D22" s="70">
        <v>5814506.8142955787</v>
      </c>
      <c r="E22" s="182">
        <v>5256936.8949109158</v>
      </c>
      <c r="F22" s="182">
        <v>0</v>
      </c>
      <c r="G22" s="182">
        <v>4285091.7141225003</v>
      </c>
      <c r="H22" s="182">
        <v>4285091.7141225003</v>
      </c>
      <c r="I22" s="182">
        <v>0</v>
      </c>
      <c r="J22" s="182">
        <v>0</v>
      </c>
      <c r="K22" s="182">
        <v>0</v>
      </c>
      <c r="L22" s="182">
        <v>399768.86527000001</v>
      </c>
      <c r="M22" s="182">
        <v>1606397.5344036</v>
      </c>
      <c r="N22" s="182">
        <v>853596.57584000041</v>
      </c>
      <c r="O22" s="182">
        <v>97247.012660000022</v>
      </c>
      <c r="P22" s="182">
        <v>0</v>
      </c>
      <c r="Q22" s="183">
        <v>14858554.782004811</v>
      </c>
    </row>
    <row r="23" spans="2:17" ht="35" customHeight="1" x14ac:dyDescent="0.35">
      <c r="B23" s="67" t="s">
        <v>125</v>
      </c>
      <c r="C23" s="182">
        <v>23884980.84416227</v>
      </c>
      <c r="D23" s="70">
        <v>6631134.866919999</v>
      </c>
      <c r="E23" s="182">
        <v>5368874.1855499996</v>
      </c>
      <c r="F23" s="182">
        <v>-318883.04592495941</v>
      </c>
      <c r="G23" s="182">
        <v>6103663.6842996748</v>
      </c>
      <c r="H23" s="182">
        <v>6103663.6842996748</v>
      </c>
      <c r="I23" s="182">
        <v>0</v>
      </c>
      <c r="J23" s="182">
        <v>0</v>
      </c>
      <c r="K23" s="182">
        <v>0</v>
      </c>
      <c r="L23" s="182">
        <v>295235.01815999998</v>
      </c>
      <c r="M23" s="182">
        <v>1755122.991359032</v>
      </c>
      <c r="N23" s="182">
        <v>3994929.8264386458</v>
      </c>
      <c r="O23" s="182">
        <v>0</v>
      </c>
      <c r="P23" s="182">
        <v>0</v>
      </c>
      <c r="Q23" s="183">
        <v>24775880.116407249</v>
      </c>
    </row>
    <row r="24" spans="2:17" ht="35" customHeight="1" x14ac:dyDescent="0.35">
      <c r="B24" s="67" t="s">
        <v>126</v>
      </c>
      <c r="C24" s="182">
        <v>11240259.206</v>
      </c>
      <c r="D24" s="182">
        <v>9035864.8719999995</v>
      </c>
      <c r="E24" s="182">
        <v>8674961.1270000003</v>
      </c>
      <c r="F24" s="182">
        <v>0</v>
      </c>
      <c r="G24" s="182">
        <v>2426679.0013483129</v>
      </c>
      <c r="H24" s="182">
        <v>2426679.0013483129</v>
      </c>
      <c r="I24" s="182">
        <v>0</v>
      </c>
      <c r="J24" s="182">
        <v>0</v>
      </c>
      <c r="K24" s="182">
        <v>0</v>
      </c>
      <c r="L24" s="182">
        <v>702187.90400999994</v>
      </c>
      <c r="M24" s="182">
        <v>718754.49600000004</v>
      </c>
      <c r="N24" s="182">
        <v>1964823.1076199999</v>
      </c>
      <c r="O24" s="182">
        <v>0</v>
      </c>
      <c r="P24" s="182">
        <v>0</v>
      </c>
      <c r="Q24" s="183">
        <v>18032422.039261691</v>
      </c>
    </row>
    <row r="25" spans="2:17" ht="35" customHeight="1" x14ac:dyDescent="0.35">
      <c r="B25" s="67" t="s">
        <v>127</v>
      </c>
      <c r="C25" s="182">
        <v>3919507.511761867</v>
      </c>
      <c r="D25" s="182">
        <v>3418794.45053</v>
      </c>
      <c r="E25" s="182">
        <v>3075756.4110300001</v>
      </c>
      <c r="F25" s="182">
        <v>104113.181</v>
      </c>
      <c r="G25" s="182">
        <v>1262550.85564</v>
      </c>
      <c r="H25" s="182">
        <v>1262550.85564</v>
      </c>
      <c r="I25" s="182">
        <v>0</v>
      </c>
      <c r="J25" s="182">
        <v>0</v>
      </c>
      <c r="K25" s="182">
        <v>0</v>
      </c>
      <c r="L25" s="182">
        <v>330193.11468</v>
      </c>
      <c r="M25" s="182">
        <v>1068898.990406977</v>
      </c>
      <c r="N25" s="182">
        <v>917126.5051299996</v>
      </c>
      <c r="O25" s="182">
        <v>11593.05005</v>
      </c>
      <c r="P25" s="182">
        <v>0</v>
      </c>
      <c r="Q25" s="183">
        <v>5343267.5981448889</v>
      </c>
    </row>
    <row r="26" spans="2:17" ht="35" customHeight="1" x14ac:dyDescent="0.35">
      <c r="B26" s="67" t="s">
        <v>128</v>
      </c>
      <c r="C26" s="182">
        <v>31424042.969337489</v>
      </c>
      <c r="D26" s="182">
        <v>6058592.1043629423</v>
      </c>
      <c r="E26" s="182">
        <v>5322242.205912943</v>
      </c>
      <c r="F26" s="182">
        <v>0</v>
      </c>
      <c r="G26" s="182">
        <v>5222315.22586245</v>
      </c>
      <c r="H26" s="182">
        <v>5222315.22586245</v>
      </c>
      <c r="I26" s="182">
        <v>0</v>
      </c>
      <c r="J26" s="182">
        <v>0</v>
      </c>
      <c r="K26" s="182">
        <v>0</v>
      </c>
      <c r="L26" s="182">
        <v>494346.82089000009</v>
      </c>
      <c r="M26" s="182">
        <v>1389953.6235309271</v>
      </c>
      <c r="N26" s="182">
        <v>4050122.7471500002</v>
      </c>
      <c r="O26" s="182">
        <v>0</v>
      </c>
      <c r="P26" s="182">
        <v>1444963</v>
      </c>
      <c r="Q26" s="183">
        <v>32244829.252117049</v>
      </c>
    </row>
    <row r="27" spans="2:17" ht="35" customHeight="1" x14ac:dyDescent="0.35">
      <c r="B27" s="67" t="s">
        <v>129</v>
      </c>
      <c r="C27" s="182">
        <v>546648.07085393381</v>
      </c>
      <c r="D27" s="182">
        <v>40189.758309999997</v>
      </c>
      <c r="E27" s="182">
        <v>39220.624309999999</v>
      </c>
      <c r="F27" s="182">
        <v>0</v>
      </c>
      <c r="G27" s="182">
        <v>100507.08100000001</v>
      </c>
      <c r="H27" s="182">
        <v>100507.08100000001</v>
      </c>
      <c r="I27" s="182">
        <v>0</v>
      </c>
      <c r="J27" s="182">
        <v>0</v>
      </c>
      <c r="K27" s="182">
        <v>0</v>
      </c>
      <c r="L27" s="182">
        <v>6230.4790499999999</v>
      </c>
      <c r="M27" s="182">
        <v>27454.01127333333</v>
      </c>
      <c r="N27" s="182">
        <v>4048.2278464139199</v>
      </c>
      <c r="O27" s="182">
        <v>0</v>
      </c>
      <c r="P27" s="182">
        <v>0</v>
      </c>
      <c r="Q27" s="183">
        <v>455725.35168701439</v>
      </c>
    </row>
    <row r="28" spans="2:17" ht="35" customHeight="1" x14ac:dyDescent="0.35">
      <c r="B28" s="67" t="s">
        <v>130</v>
      </c>
      <c r="C28" s="182">
        <v>5662163.9924861602</v>
      </c>
      <c r="D28" s="182">
        <v>914568.35011</v>
      </c>
      <c r="E28" s="182">
        <v>906352.18575551792</v>
      </c>
      <c r="F28" s="182">
        <v>0</v>
      </c>
      <c r="G28" s="182">
        <v>978387.754741668</v>
      </c>
      <c r="H28" s="182">
        <v>978387.754741668</v>
      </c>
      <c r="I28" s="182">
        <v>0</v>
      </c>
      <c r="J28" s="182">
        <v>0</v>
      </c>
      <c r="K28" s="182">
        <v>0</v>
      </c>
      <c r="L28" s="182">
        <v>14019.315073199999</v>
      </c>
      <c r="M28" s="182">
        <v>289136.95630871598</v>
      </c>
      <c r="N28" s="182">
        <v>95898.966979577905</v>
      </c>
      <c r="O28" s="182">
        <v>0</v>
      </c>
      <c r="P28" s="182">
        <v>0</v>
      </c>
      <c r="Q28" s="183">
        <v>5382871.1190976696</v>
      </c>
    </row>
    <row r="29" spans="2:17" ht="35" customHeight="1" x14ac:dyDescent="0.35">
      <c r="B29" s="67" t="s">
        <v>131</v>
      </c>
      <c r="C29" s="182">
        <v>0</v>
      </c>
      <c r="D29" s="182">
        <v>0</v>
      </c>
      <c r="E29" s="182">
        <v>0</v>
      </c>
      <c r="F29" s="182">
        <v>0</v>
      </c>
      <c r="G29" s="182">
        <v>0</v>
      </c>
      <c r="H29" s="182">
        <v>0</v>
      </c>
      <c r="I29" s="182">
        <v>0</v>
      </c>
      <c r="J29" s="182">
        <v>0</v>
      </c>
      <c r="K29" s="182">
        <v>0</v>
      </c>
      <c r="L29" s="182">
        <v>0</v>
      </c>
      <c r="M29" s="182">
        <v>0</v>
      </c>
      <c r="N29" s="182">
        <v>0</v>
      </c>
      <c r="O29" s="182">
        <v>0</v>
      </c>
      <c r="P29" s="182">
        <v>0</v>
      </c>
      <c r="Q29" s="183">
        <v>0</v>
      </c>
    </row>
    <row r="30" spans="2:17" s="167" customFormat="1" ht="35.5" customHeight="1" x14ac:dyDescent="0.35">
      <c r="B30" s="137" t="s">
        <v>24</v>
      </c>
      <c r="C30" s="178">
        <f t="shared" ref="C30:Q30" si="0">SUM(C6:C29)</f>
        <v>805523281.43950438</v>
      </c>
      <c r="D30" s="178">
        <f t="shared" si="0"/>
        <v>235389849.36147586</v>
      </c>
      <c r="E30" s="178">
        <f t="shared" si="0"/>
        <v>221941643.04701325</v>
      </c>
      <c r="F30" s="178">
        <f t="shared" si="0"/>
        <v>-217370.5576649594</v>
      </c>
      <c r="G30" s="178">
        <f t="shared" si="0"/>
        <v>128036634.56833039</v>
      </c>
      <c r="H30" s="178">
        <f t="shared" si="0"/>
        <v>123669301.96088038</v>
      </c>
      <c r="I30" s="178">
        <f t="shared" si="0"/>
        <v>1746634.62056</v>
      </c>
      <c r="J30" s="178">
        <f t="shared" si="0"/>
        <v>0</v>
      </c>
      <c r="K30" s="178">
        <f t="shared" si="0"/>
        <v>2620697.9868900003</v>
      </c>
      <c r="L30" s="178">
        <f t="shared" si="0"/>
        <v>11795671.151880652</v>
      </c>
      <c r="M30" s="178">
        <f t="shared" si="0"/>
        <v>24747346.806704011</v>
      </c>
      <c r="N30" s="178">
        <f t="shared" si="0"/>
        <v>129674299.61059792</v>
      </c>
      <c r="O30" s="178">
        <f t="shared" si="0"/>
        <v>1112240.9632846769</v>
      </c>
      <c r="P30" s="178">
        <f t="shared" si="0"/>
        <v>4258270.5309999995</v>
      </c>
      <c r="Q30" s="178">
        <f t="shared" si="0"/>
        <v>986971689.51825106</v>
      </c>
    </row>
    <row r="31" spans="2:17" ht="35" customHeight="1" x14ac:dyDescent="0.35">
      <c r="B31" s="316" t="s">
        <v>103</v>
      </c>
      <c r="C31" s="269"/>
      <c r="D31" s="269"/>
      <c r="E31" s="269"/>
      <c r="F31" s="269"/>
      <c r="G31" s="269"/>
      <c r="H31" s="269"/>
      <c r="I31" s="269"/>
      <c r="J31" s="269"/>
      <c r="K31" s="269"/>
      <c r="L31" s="269"/>
      <c r="M31" s="269"/>
      <c r="N31" s="269"/>
      <c r="O31" s="269"/>
      <c r="P31" s="269"/>
      <c r="Q31" s="270"/>
    </row>
    <row r="32" spans="2:17" ht="35" customHeight="1" x14ac:dyDescent="0.35">
      <c r="B32" s="128" t="s">
        <v>104</v>
      </c>
      <c r="C32" s="185">
        <v>0</v>
      </c>
      <c r="D32" s="185">
        <v>36252.815000000002</v>
      </c>
      <c r="E32" s="185">
        <v>30895.605</v>
      </c>
      <c r="F32" s="185">
        <v>0</v>
      </c>
      <c r="G32" s="185">
        <v>85203.153000000006</v>
      </c>
      <c r="H32" s="185">
        <v>85203.153000000006</v>
      </c>
      <c r="I32" s="185">
        <v>0</v>
      </c>
      <c r="J32" s="185">
        <v>0</v>
      </c>
      <c r="K32" s="185">
        <v>0</v>
      </c>
      <c r="L32" s="185">
        <v>8823.2099999999991</v>
      </c>
      <c r="M32" s="185">
        <v>4183.3950000000004</v>
      </c>
      <c r="N32" s="185">
        <v>68066.016000000003</v>
      </c>
      <c r="O32" s="185">
        <v>0</v>
      </c>
      <c r="P32" s="185">
        <v>0</v>
      </c>
      <c r="Q32" s="186">
        <v>751.86300000000006</v>
      </c>
    </row>
    <row r="33" spans="2:18" ht="35" customHeight="1" x14ac:dyDescent="0.35">
      <c r="B33" s="128" t="s">
        <v>105</v>
      </c>
      <c r="C33" s="185">
        <v>1179335.9383121009</v>
      </c>
      <c r="D33" s="185">
        <v>1334886.1720976289</v>
      </c>
      <c r="E33" s="185">
        <v>1057391.151094222</v>
      </c>
      <c r="F33" s="185">
        <v>0</v>
      </c>
      <c r="G33" s="185">
        <v>476510.32986827119</v>
      </c>
      <c r="H33" s="185">
        <v>476510.32986827119</v>
      </c>
      <c r="I33" s="185">
        <v>0</v>
      </c>
      <c r="J33" s="185">
        <v>0</v>
      </c>
      <c r="K33" s="185">
        <v>0</v>
      </c>
      <c r="L33" s="185">
        <v>263723.7992765606</v>
      </c>
      <c r="M33" s="185">
        <v>187794.15626751891</v>
      </c>
      <c r="N33" s="185">
        <v>267767.59013999999</v>
      </c>
      <c r="O33" s="185">
        <v>11499.610548000001</v>
      </c>
      <c r="P33" s="185">
        <v>0</v>
      </c>
      <c r="Q33" s="186">
        <v>1564966.7835859719</v>
      </c>
    </row>
    <row r="34" spans="2:18" ht="35" customHeight="1" x14ac:dyDescent="0.35">
      <c r="B34" s="128" t="s">
        <v>107</v>
      </c>
      <c r="C34" s="185">
        <v>8381894.9945600014</v>
      </c>
      <c r="D34" s="185">
        <v>2891363.4383799988</v>
      </c>
      <c r="E34" s="185">
        <v>2761701.0196099989</v>
      </c>
      <c r="F34" s="185">
        <v>0</v>
      </c>
      <c r="G34" s="185">
        <v>1707029.3120300011</v>
      </c>
      <c r="H34" s="185">
        <v>1707029.3120300011</v>
      </c>
      <c r="I34" s="185">
        <v>0</v>
      </c>
      <c r="J34" s="185">
        <v>0</v>
      </c>
      <c r="K34" s="185">
        <v>0</v>
      </c>
      <c r="L34" s="185">
        <v>989400.51142000011</v>
      </c>
      <c r="M34" s="185">
        <v>102691.12699999999</v>
      </c>
      <c r="N34" s="185">
        <v>102691.126</v>
      </c>
      <c r="O34" s="185">
        <v>0</v>
      </c>
      <c r="P34" s="185">
        <v>0</v>
      </c>
      <c r="Q34" s="186">
        <v>8447166.1897199992</v>
      </c>
    </row>
    <row r="35" spans="2:18" s="167" customFormat="1" ht="35.5" customHeight="1" x14ac:dyDescent="0.35">
      <c r="B35" s="137" t="s">
        <v>24</v>
      </c>
      <c r="C35" s="179">
        <f t="shared" ref="C35:Q35" si="1">SUM(C32:C34)</f>
        <v>9561230.9328721017</v>
      </c>
      <c r="D35" s="179">
        <f t="shared" si="1"/>
        <v>4262502.4254776277</v>
      </c>
      <c r="E35" s="179">
        <f t="shared" si="1"/>
        <v>3849987.7757042209</v>
      </c>
      <c r="F35" s="179">
        <f t="shared" si="1"/>
        <v>0</v>
      </c>
      <c r="G35" s="179">
        <f t="shared" si="1"/>
        <v>2268742.7948982725</v>
      </c>
      <c r="H35" s="179">
        <f t="shared" si="1"/>
        <v>2268742.7948982725</v>
      </c>
      <c r="I35" s="179">
        <f t="shared" si="1"/>
        <v>0</v>
      </c>
      <c r="J35" s="179">
        <f t="shared" si="1"/>
        <v>0</v>
      </c>
      <c r="K35" s="179">
        <f t="shared" si="1"/>
        <v>0</v>
      </c>
      <c r="L35" s="179">
        <f t="shared" si="1"/>
        <v>1261947.5206965609</v>
      </c>
      <c r="M35" s="179">
        <f t="shared" si="1"/>
        <v>294668.67826751887</v>
      </c>
      <c r="N35" s="179">
        <f t="shared" si="1"/>
        <v>438524.73213999998</v>
      </c>
      <c r="O35" s="179">
        <f t="shared" si="1"/>
        <v>11499.610548000001</v>
      </c>
      <c r="P35" s="179">
        <f t="shared" si="1"/>
        <v>0</v>
      </c>
      <c r="Q35" s="179">
        <f t="shared" si="1"/>
        <v>10012884.83630597</v>
      </c>
    </row>
    <row r="36" spans="2:18" x14ac:dyDescent="0.35">
      <c r="B36" s="275" t="s">
        <v>25</v>
      </c>
      <c r="C36" s="272"/>
      <c r="D36" s="272"/>
      <c r="E36" s="272"/>
      <c r="F36" s="272"/>
      <c r="G36" s="272"/>
      <c r="H36" s="272"/>
      <c r="I36" s="272"/>
      <c r="J36" s="272"/>
      <c r="K36" s="272"/>
      <c r="L36" s="272"/>
      <c r="M36" s="272"/>
      <c r="N36" s="272"/>
      <c r="O36" s="272"/>
      <c r="P36" s="272"/>
      <c r="Q36" s="272"/>
      <c r="R36" s="272"/>
    </row>
  </sheetData>
  <sheetProtection algorithmName="SHA-512" hashValue="OnAyL03yidZv47htVFcLC8oMC8xzz5Hpwrbt+t86mpq+Un6kgndSaZRRzsKZzkyyre3wf/aXxZHbJTQt2VN82w==" saltValue="nDOGLqWGksahJFy0G1H1aw==" spinCount="100000" sheet="1" objects="1" scenarios="1"/>
  <mergeCells count="4">
    <mergeCell ref="B31:Q31"/>
    <mergeCell ref="B36:R36"/>
    <mergeCell ref="B3:Q3"/>
    <mergeCell ref="B5:Q5"/>
  </mergeCells>
  <pageMargins left="0.7" right="0.7" top="0.75" bottom="0.75" header="0.3" footer="0.3"/>
  <pageSetup paperSize="9" scale="38"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tabColor rgb="FF92D050"/>
    <pageSetUpPr fitToPage="1"/>
  </sheetPr>
  <dimension ref="B3:S51"/>
  <sheetViews>
    <sheetView topLeftCell="R1" workbookViewId="0"/>
  </sheetViews>
  <sheetFormatPr defaultColWidth="11.54296875" defaultRowHeight="15.5" x14ac:dyDescent="0.35"/>
  <cols>
    <col min="1" max="1" width="17.453125" style="134" customWidth="1"/>
    <col min="2" max="2" width="52" style="134" bestFit="1" customWidth="1"/>
    <col min="3" max="16" width="19.54296875" style="134" customWidth="1"/>
    <col min="17" max="17" width="21.453125" style="134" customWidth="1"/>
    <col min="18" max="18" width="19.453125" style="134" bestFit="1" customWidth="1"/>
    <col min="19" max="19" width="13.54296875" style="188" bestFit="1" customWidth="1"/>
    <col min="20" max="48" width="11.54296875" style="134" customWidth="1"/>
    <col min="49" max="16384" width="11.54296875" style="134"/>
  </cols>
  <sheetData>
    <row r="3" spans="2:18" ht="29" customHeight="1" x14ac:dyDescent="0.35">
      <c r="B3" s="320" t="str">
        <f>_xlfn.CONCAT('Table of Contents'!B30,": ",'Table of Contents'!C30)</f>
        <v>APPENDIX 18: SUMMARY OF GROSS  PREMIUM INCOME UNDER GENERAL INSURANCE BUSINESS FOR THE PERIOD ENDED 31.12.2025</v>
      </c>
      <c r="C3" s="269"/>
      <c r="D3" s="269"/>
      <c r="E3" s="269"/>
      <c r="F3" s="269"/>
      <c r="G3" s="269"/>
      <c r="H3" s="269"/>
      <c r="I3" s="269"/>
      <c r="J3" s="269"/>
      <c r="K3" s="269"/>
      <c r="L3" s="269"/>
      <c r="M3" s="269"/>
      <c r="N3" s="269"/>
      <c r="O3" s="269"/>
      <c r="P3" s="269"/>
      <c r="Q3" s="269"/>
      <c r="R3" s="270"/>
    </row>
    <row r="4" spans="2:18" s="189" customFormat="1" ht="46.5" customHeight="1" x14ac:dyDescent="0.35">
      <c r="B4" s="108" t="s">
        <v>0</v>
      </c>
      <c r="C4" s="74" t="s">
        <v>215</v>
      </c>
      <c r="D4" s="74" t="s">
        <v>216</v>
      </c>
      <c r="E4" s="74" t="s">
        <v>217</v>
      </c>
      <c r="F4" s="74" t="s">
        <v>218</v>
      </c>
      <c r="G4" s="74" t="s">
        <v>219</v>
      </c>
      <c r="H4" s="74" t="s">
        <v>220</v>
      </c>
      <c r="I4" s="74" t="s">
        <v>221</v>
      </c>
      <c r="J4" s="74" t="s">
        <v>222</v>
      </c>
      <c r="K4" s="74" t="s">
        <v>223</v>
      </c>
      <c r="L4" s="74" t="s">
        <v>224</v>
      </c>
      <c r="M4" s="74" t="s">
        <v>225</v>
      </c>
      <c r="N4" s="74" t="s">
        <v>226</v>
      </c>
      <c r="O4" s="74" t="s">
        <v>227</v>
      </c>
      <c r="P4" s="74" t="s">
        <v>228</v>
      </c>
      <c r="Q4" s="74" t="s">
        <v>229</v>
      </c>
      <c r="R4" s="74" t="s">
        <v>197</v>
      </c>
    </row>
    <row r="5" spans="2:18" x14ac:dyDescent="0.35">
      <c r="B5" s="316" t="s">
        <v>17</v>
      </c>
      <c r="C5" s="269"/>
      <c r="D5" s="269"/>
      <c r="E5" s="269"/>
      <c r="F5" s="269"/>
      <c r="G5" s="269"/>
      <c r="H5" s="269"/>
      <c r="I5" s="269"/>
      <c r="J5" s="269"/>
      <c r="K5" s="269"/>
      <c r="L5" s="269"/>
      <c r="M5" s="269"/>
      <c r="N5" s="269"/>
      <c r="O5" s="269"/>
      <c r="P5" s="269"/>
      <c r="Q5" s="269"/>
      <c r="R5" s="270"/>
    </row>
    <row r="6" spans="2:18" ht="35" customHeight="1" x14ac:dyDescent="0.35">
      <c r="B6" s="190" t="str">
        <f>GDP!B6</f>
        <v>AAR INSURANCE KENYA</v>
      </c>
      <c r="C6" s="182">
        <f>GDP!C6+INWARD!C6</f>
        <v>0</v>
      </c>
      <c r="D6" s="182">
        <f>GDP!D6+INWARD!D6</f>
        <v>4919.0489000000007</v>
      </c>
      <c r="E6" s="182">
        <f>GDP!E6+INWARD!E6</f>
        <v>2218.0252799999998</v>
      </c>
      <c r="F6" s="182">
        <f>GDP!F6+INWARD!F6</f>
        <v>16028.405570000001</v>
      </c>
      <c r="G6" s="182">
        <f>GDP!G6+INWARD!G6</f>
        <v>33955.924819999993</v>
      </c>
      <c r="H6" s="182">
        <f>GDP!H6+INWARD!H6</f>
        <v>3504.7488400000002</v>
      </c>
      <c r="I6" s="182">
        <f>GDP!I6+INWARD!I6</f>
        <v>3995.734640000001</v>
      </c>
      <c r="J6" s="182">
        <f>GDP!J6+INWARD!J6</f>
        <v>0</v>
      </c>
      <c r="K6" s="182">
        <f>GDP!K6+INWARD!K6</f>
        <v>0</v>
      </c>
      <c r="L6" s="182">
        <f>GDP!L6+INWARD!L6</f>
        <v>25155.475599999809</v>
      </c>
      <c r="M6" s="182">
        <f>GDP!M6+INWARD!M6</f>
        <v>11683.57458</v>
      </c>
      <c r="N6" s="182">
        <f>GDP!N6+INWARD!N6</f>
        <v>110830.08367000009</v>
      </c>
      <c r="O6" s="182">
        <f>GDP!O6+INWARD!O6</f>
        <v>12538971.234160859</v>
      </c>
      <c r="P6" s="182">
        <f>GDP!P6+INWARD!P6</f>
        <v>20832.530529999811</v>
      </c>
      <c r="Q6" s="183">
        <f>GDP!Q6+INWARD!Q6</f>
        <v>12772094.786590859</v>
      </c>
      <c r="R6" s="191">
        <f t="shared" ref="R6:R43" si="0">(Q6/$Q$43)*100</f>
        <v>5.6223217173946516</v>
      </c>
    </row>
    <row r="7" spans="2:18" ht="35" customHeight="1" x14ac:dyDescent="0.35">
      <c r="B7" s="190" t="str">
        <f>GDP!B7</f>
        <v xml:space="preserve">AFRICAN MERCHANT ASSURANCE </v>
      </c>
      <c r="C7" s="182">
        <f>GDP!C7+INWARD!C7</f>
        <v>0</v>
      </c>
      <c r="D7" s="182">
        <f>GDP!D7+INWARD!D7</f>
        <v>83212.566759999987</v>
      </c>
      <c r="E7" s="182">
        <f>GDP!E7+INWARD!E7</f>
        <v>1054.0713499999999</v>
      </c>
      <c r="F7" s="182">
        <f>GDP!F7+INWARD!F7</f>
        <v>110584.02873999999</v>
      </c>
      <c r="G7" s="182">
        <f>GDP!G7+INWARD!G7</f>
        <v>22966.404320000001</v>
      </c>
      <c r="H7" s="182">
        <f>GDP!H7+INWARD!H7</f>
        <v>5569.86852</v>
      </c>
      <c r="I7" s="182">
        <f>GDP!I7+INWARD!I7</f>
        <v>464420.18978000002</v>
      </c>
      <c r="J7" s="182">
        <f>GDP!J7+INWARD!J7</f>
        <v>451194.66167399992</v>
      </c>
      <c r="K7" s="182">
        <f>GDP!K7+INWARD!K7</f>
        <v>2556769.7494859998</v>
      </c>
      <c r="L7" s="182">
        <f>GDP!L7+INWARD!L7</f>
        <v>23359.312999999998</v>
      </c>
      <c r="M7" s="182">
        <f>GDP!M7+INWARD!M7</f>
        <v>5965.0380800000003</v>
      </c>
      <c r="N7" s="182">
        <f>GDP!N7+INWARD!N7</f>
        <v>89986.882289999994</v>
      </c>
      <c r="O7" s="182">
        <f>GDP!O7+INWARD!O7</f>
        <v>0</v>
      </c>
      <c r="P7" s="182">
        <f>GDP!P7+INWARD!P7</f>
        <v>35801.911489999999</v>
      </c>
      <c r="Q7" s="183">
        <f>GDP!Q7+INWARD!Q7</f>
        <v>3850884.6854899991</v>
      </c>
      <c r="R7" s="191">
        <f t="shared" si="0"/>
        <v>1.6951731849926224</v>
      </c>
    </row>
    <row r="8" spans="2:18" ht="35" customHeight="1" x14ac:dyDescent="0.35">
      <c r="B8" s="190" t="str">
        <f>GDP!B8</f>
        <v>APA INSURANCE LIMITED</v>
      </c>
      <c r="C8" s="182">
        <f>GDP!C8+INWARD!C8</f>
        <v>459879.136</v>
      </c>
      <c r="D8" s="182">
        <f>GDP!D8+INWARD!D8</f>
        <v>343501.02400000003</v>
      </c>
      <c r="E8" s="182">
        <f>GDP!E8+INWARD!E8</f>
        <v>135709.81200000001</v>
      </c>
      <c r="F8" s="182">
        <f>GDP!F8+INWARD!F8</f>
        <v>2327052.156</v>
      </c>
      <c r="G8" s="182">
        <f>GDP!G8+INWARD!G8</f>
        <v>323706.80099999998</v>
      </c>
      <c r="H8" s="182">
        <f>GDP!H8+INWARD!H8</f>
        <v>324080.24099999998</v>
      </c>
      <c r="I8" s="182">
        <f>GDP!I8+INWARD!I8</f>
        <v>3077319.08</v>
      </c>
      <c r="J8" s="182">
        <f>GDP!J8+INWARD!J8</f>
        <v>2393125.2889999999</v>
      </c>
      <c r="K8" s="182">
        <f>GDP!K8+INWARD!K8</f>
        <v>0</v>
      </c>
      <c r="L8" s="182">
        <f>GDP!L8+INWARD!L8</f>
        <v>295803.78700000001</v>
      </c>
      <c r="M8" s="182">
        <f>GDP!M8+INWARD!M8</f>
        <v>283695.17799999996</v>
      </c>
      <c r="N8" s="182">
        <f>GDP!N8+INWARD!N8</f>
        <v>954368.36700000009</v>
      </c>
      <c r="O8" s="182">
        <f>GDP!O8+INWARD!O8</f>
        <v>7901106.4910000004</v>
      </c>
      <c r="P8" s="182">
        <f>GDP!P8+INWARD!P8</f>
        <v>561886.56000000006</v>
      </c>
      <c r="Q8" s="183">
        <f>GDP!Q8+INWARD!Q8</f>
        <v>19381233.922000002</v>
      </c>
      <c r="R8" s="191">
        <f t="shared" si="0"/>
        <v>8.5316883573373676</v>
      </c>
    </row>
    <row r="9" spans="2:18" ht="35" customHeight="1" x14ac:dyDescent="0.35">
      <c r="B9" s="190" t="str">
        <f>GDP!B9</f>
        <v>BRITAM GENERAL INSURANCE</v>
      </c>
      <c r="C9" s="182">
        <f>GDP!C9+INWARD!C9</f>
        <v>140103.24708</v>
      </c>
      <c r="D9" s="182">
        <f>GDP!D9+INWARD!D9</f>
        <v>540870.12997999997</v>
      </c>
      <c r="E9" s="182">
        <f>GDP!E9+INWARD!E9</f>
        <v>134901.86863000001</v>
      </c>
      <c r="F9" s="182">
        <f>GDP!F9+INWARD!F9</f>
        <v>1668427.7494199998</v>
      </c>
      <c r="G9" s="182">
        <f>GDP!G9+INWARD!G9</f>
        <v>533660.03370999976</v>
      </c>
      <c r="H9" s="182">
        <f>GDP!H9+INWARD!H9</f>
        <v>485920.37097000057</v>
      </c>
      <c r="I9" s="182">
        <f>GDP!I9+INWARD!I9</f>
        <v>1609579.722210007</v>
      </c>
      <c r="J9" s="182">
        <f>GDP!J9+INWARD!J9</f>
        <v>710048.58355000033</v>
      </c>
      <c r="K9" s="182">
        <f>GDP!K9+INWARD!K9</f>
        <v>0</v>
      </c>
      <c r="L9" s="182">
        <f>GDP!L9+INWARD!L9</f>
        <v>326627.70990705473</v>
      </c>
      <c r="M9" s="182">
        <f>GDP!M9+INWARD!M9</f>
        <v>594918.88169000007</v>
      </c>
      <c r="N9" s="182">
        <f>GDP!N9+INWARD!N9</f>
        <v>1041942.221492407</v>
      </c>
      <c r="O9" s="182">
        <f>GDP!O9+INWARD!O9</f>
        <v>7102393.3178011971</v>
      </c>
      <c r="P9" s="182">
        <f>GDP!P9+INWARD!P9</f>
        <v>55369.443860000007</v>
      </c>
      <c r="Q9" s="183">
        <f>GDP!Q9+INWARD!Q9</f>
        <v>14944763.280300669</v>
      </c>
      <c r="R9" s="191">
        <f t="shared" si="0"/>
        <v>6.5787381440648112</v>
      </c>
    </row>
    <row r="10" spans="2:18" ht="35" customHeight="1" x14ac:dyDescent="0.35">
      <c r="B10" s="190" t="str">
        <f>GDP!B10</f>
        <v>BUPA GLOBAL INSURANCE</v>
      </c>
      <c r="C10" s="182">
        <f>GDP!C10+INWARD!C10</f>
        <v>0</v>
      </c>
      <c r="D10" s="182">
        <f>GDP!D10+INWARD!D10</f>
        <v>0</v>
      </c>
      <c r="E10" s="182">
        <f>GDP!E10+INWARD!E10</f>
        <v>0</v>
      </c>
      <c r="F10" s="182">
        <f>GDP!F10+INWARD!F10</f>
        <v>0</v>
      </c>
      <c r="G10" s="182">
        <f>GDP!G10+INWARD!G10</f>
        <v>0</v>
      </c>
      <c r="H10" s="182">
        <f>GDP!H10+INWARD!H10</f>
        <v>0</v>
      </c>
      <c r="I10" s="182">
        <f>GDP!I10+INWARD!I10</f>
        <v>0</v>
      </c>
      <c r="J10" s="182">
        <f>GDP!J10+INWARD!J10</f>
        <v>0</v>
      </c>
      <c r="K10" s="182">
        <f>GDP!K10+INWARD!K10</f>
        <v>0</v>
      </c>
      <c r="L10" s="182">
        <f>GDP!L10+INWARD!L10</f>
        <v>0</v>
      </c>
      <c r="M10" s="182">
        <f>GDP!M10+INWARD!M10</f>
        <v>0</v>
      </c>
      <c r="N10" s="182">
        <f>GDP!N10+INWARD!N10</f>
        <v>0</v>
      </c>
      <c r="O10" s="182">
        <f>GDP!O10+INWARD!O10</f>
        <v>5329053.4579999996</v>
      </c>
      <c r="P10" s="182">
        <f>GDP!P10+INWARD!P10</f>
        <v>0</v>
      </c>
      <c r="Q10" s="183">
        <f>GDP!Q10+INWARD!Q10</f>
        <v>5329053.4579999996</v>
      </c>
      <c r="R10" s="191">
        <f t="shared" si="0"/>
        <v>2.3458683552463566</v>
      </c>
    </row>
    <row r="11" spans="2:18" ht="35" customHeight="1" x14ac:dyDescent="0.35">
      <c r="B11" s="190" t="str">
        <f>GDP!B11</f>
        <v>CANNON GENERAL INSURANCE</v>
      </c>
      <c r="C11" s="182">
        <f>GDP!C11+INWARD!C11</f>
        <v>0</v>
      </c>
      <c r="D11" s="182">
        <f>GDP!D11+INWARD!D11</f>
        <v>112145.091</v>
      </c>
      <c r="E11" s="182">
        <f>GDP!E11+INWARD!E11</f>
        <v>15647.183000000001</v>
      </c>
      <c r="F11" s="182">
        <f>GDP!F11+INWARD!F11</f>
        <v>157150.84199999998</v>
      </c>
      <c r="G11" s="182">
        <f>GDP!G11+INWARD!G11</f>
        <v>31489.333999999999</v>
      </c>
      <c r="H11" s="182">
        <f>GDP!H11+INWARD!H11</f>
        <v>59081.440999999999</v>
      </c>
      <c r="I11" s="182">
        <f>GDP!I11+INWARD!I11</f>
        <v>1409622.8072500001</v>
      </c>
      <c r="J11" s="182">
        <f>GDP!J11+INWARD!J11</f>
        <v>454315.99696999998</v>
      </c>
      <c r="K11" s="182">
        <f>GDP!K11+INWARD!K11</f>
        <v>0</v>
      </c>
      <c r="L11" s="182">
        <f>GDP!L11+INWARD!L11</f>
        <v>18259.699000000001</v>
      </c>
      <c r="M11" s="182">
        <f>GDP!M11+INWARD!M11</f>
        <v>17669.615999999998</v>
      </c>
      <c r="N11" s="182">
        <f>GDP!N11+INWARD!N11</f>
        <v>96358.956999999995</v>
      </c>
      <c r="O11" s="182">
        <f>GDP!O11+INWARD!O11</f>
        <v>0</v>
      </c>
      <c r="P11" s="182">
        <f>GDP!P11+INWARD!P11</f>
        <v>45266.234999999993</v>
      </c>
      <c r="Q11" s="183">
        <f>GDP!Q11+INWARD!Q11</f>
        <v>2417007.2022199999</v>
      </c>
      <c r="R11" s="191">
        <f t="shared" si="0"/>
        <v>1.0639751983682257</v>
      </c>
    </row>
    <row r="12" spans="2:18" ht="35" customHeight="1" x14ac:dyDescent="0.35">
      <c r="B12" s="190" t="str">
        <f>GDP!B12</f>
        <v>CIC GENERAL INSURANCE COMPANY</v>
      </c>
      <c r="C12" s="182">
        <f>GDP!C12+INWARD!C12</f>
        <v>0</v>
      </c>
      <c r="D12" s="182">
        <f>GDP!D12+INWARD!D12</f>
        <v>344614.88938000001</v>
      </c>
      <c r="E12" s="182">
        <f>GDP!E12+INWARD!E12</f>
        <v>119099.21062</v>
      </c>
      <c r="F12" s="182">
        <f>GDP!F12+INWARD!F12</f>
        <v>770420.22983999935</v>
      </c>
      <c r="G12" s="182">
        <f>GDP!G12+INWARD!G12</f>
        <v>163174.91971000002</v>
      </c>
      <c r="H12" s="182">
        <f>GDP!H12+INWARD!H12</f>
        <v>124826.00550999999</v>
      </c>
      <c r="I12" s="182">
        <f>GDP!I12+INWARD!I12</f>
        <v>3694704.8657999989</v>
      </c>
      <c r="J12" s="182">
        <f>GDP!J12+INWARD!J12</f>
        <v>2919606.4300400009</v>
      </c>
      <c r="K12" s="182">
        <f>GDP!K12+INWARD!K12</f>
        <v>0</v>
      </c>
      <c r="L12" s="182">
        <f>GDP!L12+INWARD!L12</f>
        <v>249940.3939599999</v>
      </c>
      <c r="M12" s="182">
        <f>GDP!M12+INWARD!M12</f>
        <v>709794.69612000033</v>
      </c>
      <c r="N12" s="182">
        <f>GDP!N12+INWARD!N12</f>
        <v>1047943.56525</v>
      </c>
      <c r="O12" s="182">
        <f>GDP!O12+INWARD!O12</f>
        <v>10175094.29159281</v>
      </c>
      <c r="P12" s="182">
        <f>GDP!P12+INWARD!P12</f>
        <v>322279.12172000005</v>
      </c>
      <c r="Q12" s="183">
        <f>GDP!Q12+INWARD!Q12</f>
        <v>20641498.619542811</v>
      </c>
      <c r="R12" s="191">
        <f t="shared" si="0"/>
        <v>9.0864613759419406</v>
      </c>
    </row>
    <row r="13" spans="2:18" ht="35" customHeight="1" x14ac:dyDescent="0.35">
      <c r="B13" s="190" t="str">
        <f>GDP!B13</f>
        <v>CORPORATE INSURANCE COMPANY</v>
      </c>
      <c r="C13" s="182">
        <f>GDP!C13+INWARD!C13</f>
        <v>0</v>
      </c>
      <c r="D13" s="182">
        <f>GDP!D13+INWARD!D13</f>
        <v>0</v>
      </c>
      <c r="E13" s="182">
        <f>GDP!E13+INWARD!E13</f>
        <v>0</v>
      </c>
      <c r="F13" s="182">
        <f>GDP!F13+INWARD!F13</f>
        <v>0</v>
      </c>
      <c r="G13" s="182">
        <f>GDP!G13+INWARD!G13</f>
        <v>0</v>
      </c>
      <c r="H13" s="182">
        <f>GDP!H13+INWARD!H13</f>
        <v>0</v>
      </c>
      <c r="I13" s="182">
        <f>GDP!I13+INWARD!I13</f>
        <v>0</v>
      </c>
      <c r="J13" s="182">
        <f>GDP!J13+INWARD!J13</f>
        <v>0</v>
      </c>
      <c r="K13" s="182">
        <f>GDP!K13+INWARD!K13</f>
        <v>0</v>
      </c>
      <c r="L13" s="182">
        <f>GDP!L13+INWARD!L13</f>
        <v>0</v>
      </c>
      <c r="M13" s="182">
        <f>GDP!M13+INWARD!M13</f>
        <v>0</v>
      </c>
      <c r="N13" s="182">
        <f>GDP!N13+INWARD!N13</f>
        <v>0</v>
      </c>
      <c r="O13" s="182">
        <f>GDP!O13+INWARD!O13</f>
        <v>0</v>
      </c>
      <c r="P13" s="182">
        <f>GDP!P13+INWARD!P13</f>
        <v>0</v>
      </c>
      <c r="Q13" s="183">
        <f>GDP!Q13+INWARD!Q13</f>
        <v>0</v>
      </c>
      <c r="R13" s="191">
        <f t="shared" si="0"/>
        <v>0</v>
      </c>
    </row>
    <row r="14" spans="2:18" ht="35" customHeight="1" x14ac:dyDescent="0.35">
      <c r="B14" s="190" t="str">
        <f>GDP!B14</f>
        <v>DEFINITE ASSURANCE COMPANY</v>
      </c>
      <c r="C14" s="182">
        <f>GDP!C14+INWARD!C14</f>
        <v>0</v>
      </c>
      <c r="D14" s="182">
        <f>GDP!D14+INWARD!D14</f>
        <v>1044.213</v>
      </c>
      <c r="E14" s="182">
        <f>GDP!E14+INWARD!E14</f>
        <v>546.36500000000001</v>
      </c>
      <c r="F14" s="182">
        <f>GDP!F14+INWARD!F14</f>
        <v>2162.5500000000002</v>
      </c>
      <c r="G14" s="182">
        <f>GDP!G14+INWARD!G14</f>
        <v>1342.623</v>
      </c>
      <c r="H14" s="182">
        <f>GDP!H14+INWARD!H14</f>
        <v>520.76599999999996</v>
      </c>
      <c r="I14" s="182">
        <f>GDP!I14+INWARD!I14</f>
        <v>245975.81946999999</v>
      </c>
      <c r="J14" s="182">
        <f>GDP!J14+INWARD!J14</f>
        <v>190979.94615140001</v>
      </c>
      <c r="K14" s="182">
        <f>GDP!K14+INWARD!K14</f>
        <v>589306.33176249976</v>
      </c>
      <c r="L14" s="182">
        <f>GDP!L14+INWARD!L14</f>
        <v>415.15899999999999</v>
      </c>
      <c r="M14" s="182">
        <f>GDP!M14+INWARD!M14</f>
        <v>3665.7930000000001</v>
      </c>
      <c r="N14" s="182">
        <f>GDP!N14+INWARD!N14</f>
        <v>904.63900000000001</v>
      </c>
      <c r="O14" s="182">
        <f>GDP!O14+INWARD!O14</f>
        <v>0</v>
      </c>
      <c r="P14" s="182">
        <f>GDP!P14+INWARD!P14</f>
        <v>111859.567</v>
      </c>
      <c r="Q14" s="183">
        <f>GDP!Q14+INWARD!Q14</f>
        <v>1148723.7723838999</v>
      </c>
      <c r="R14" s="191">
        <f t="shared" si="0"/>
        <v>0.50567230518380923</v>
      </c>
    </row>
    <row r="15" spans="2:18" ht="35" customHeight="1" x14ac:dyDescent="0.35">
      <c r="B15" s="190" t="str">
        <f>GDP!B15</f>
        <v>DIRECTLINE ASSURANCE COMPANY</v>
      </c>
      <c r="C15" s="182">
        <f>GDP!C15+INWARD!C15</f>
        <v>0</v>
      </c>
      <c r="D15" s="182">
        <f>GDP!D15+INWARD!D15</f>
        <v>0</v>
      </c>
      <c r="E15" s="182">
        <f>GDP!E15+INWARD!E15</f>
        <v>0</v>
      </c>
      <c r="F15" s="182">
        <f>GDP!F15+INWARD!F15</f>
        <v>0</v>
      </c>
      <c r="G15" s="182">
        <f>GDP!G15+INWARD!G15</f>
        <v>0</v>
      </c>
      <c r="H15" s="182">
        <f>GDP!H15+INWARD!H15</f>
        <v>0</v>
      </c>
      <c r="I15" s="182">
        <f>GDP!I15+INWARD!I15</f>
        <v>318486.41463000019</v>
      </c>
      <c r="J15" s="182">
        <f>GDP!J15+INWARD!J15</f>
        <v>97887.566780000008</v>
      </c>
      <c r="K15" s="182">
        <f>GDP!K15+INWARD!K15</f>
        <v>2317684.5190999992</v>
      </c>
      <c r="L15" s="182">
        <f>GDP!L15+INWARD!L15</f>
        <v>0</v>
      </c>
      <c r="M15" s="182">
        <f>GDP!M15+INWARD!M15</f>
        <v>0</v>
      </c>
      <c r="N15" s="182">
        <f>GDP!N15+INWARD!N15</f>
        <v>0</v>
      </c>
      <c r="O15" s="182">
        <f>GDP!O15+INWARD!O15</f>
        <v>0</v>
      </c>
      <c r="P15" s="182">
        <f>GDP!P15+INWARD!P15</f>
        <v>0</v>
      </c>
      <c r="Q15" s="183">
        <f>GDP!Q15+INWARD!Q15</f>
        <v>2734058.5005099992</v>
      </c>
      <c r="R15" s="191">
        <f t="shared" si="0"/>
        <v>1.2035423116483048</v>
      </c>
    </row>
    <row r="16" spans="2:18" ht="35" customHeight="1" x14ac:dyDescent="0.35">
      <c r="B16" s="190" t="str">
        <f>GDP!B16</f>
        <v>EQUITY GENERAL INSURANCE LIMITED</v>
      </c>
      <c r="C16" s="182">
        <f>GDP!C16+INWARD!C16</f>
        <v>0</v>
      </c>
      <c r="D16" s="182">
        <f>GDP!D16+INWARD!D16</f>
        <v>29307.96980875</v>
      </c>
      <c r="E16" s="182">
        <f>GDP!E16+INWARD!E16</f>
        <v>1038.95</v>
      </c>
      <c r="F16" s="182">
        <f>GDP!F16+INWARD!F16</f>
        <v>58055.903075431866</v>
      </c>
      <c r="G16" s="182">
        <f>GDP!G16+INWARD!G16</f>
        <v>46200.205999999998</v>
      </c>
      <c r="H16" s="182">
        <f>GDP!H16+INWARD!H16</f>
        <v>245.297</v>
      </c>
      <c r="I16" s="182">
        <f>GDP!I16+INWARD!I16</f>
        <v>0</v>
      </c>
      <c r="J16" s="182">
        <f>GDP!J16+INWARD!J16</f>
        <v>0</v>
      </c>
      <c r="K16" s="182">
        <f>GDP!K16+INWARD!K16</f>
        <v>0</v>
      </c>
      <c r="L16" s="182">
        <f>GDP!L16+INWARD!L16</f>
        <v>1039.5050000000001</v>
      </c>
      <c r="M16" s="182">
        <f>GDP!M16+INWARD!M16</f>
        <v>449205.79593999998</v>
      </c>
      <c r="N16" s="182">
        <f>GDP!N16+INWARD!N16</f>
        <v>6948.7330000000002</v>
      </c>
      <c r="O16" s="182">
        <f>GDP!O16+INWARD!O16</f>
        <v>1196907.175</v>
      </c>
      <c r="P16" s="182">
        <f>GDP!P16+INWARD!P16</f>
        <v>100</v>
      </c>
      <c r="Q16" s="183">
        <f>GDP!Q16+INWARD!Q16</f>
        <v>1789049.534824182</v>
      </c>
      <c r="R16" s="191">
        <f t="shared" si="0"/>
        <v>0.78754599157039706</v>
      </c>
    </row>
    <row r="17" spans="2:18" ht="35" customHeight="1" x14ac:dyDescent="0.35">
      <c r="B17" s="190" t="str">
        <f>GDP!B17</f>
        <v>EQUITY HEALTH INSURANCE LIMITED</v>
      </c>
      <c r="C17" s="182">
        <f>GDP!C17+INWARD!C17</f>
        <v>0</v>
      </c>
      <c r="D17" s="182">
        <f>GDP!D17+INWARD!D17</f>
        <v>0</v>
      </c>
      <c r="E17" s="182">
        <f>GDP!E17+INWARD!E17</f>
        <v>0</v>
      </c>
      <c r="F17" s="182">
        <f>GDP!F17+INWARD!F17</f>
        <v>0</v>
      </c>
      <c r="G17" s="182">
        <f>GDP!G17+INWARD!G17</f>
        <v>0</v>
      </c>
      <c r="H17" s="182">
        <f>GDP!H17+INWARD!H17</f>
        <v>0</v>
      </c>
      <c r="I17" s="182">
        <f>GDP!I17+INWARD!I17</f>
        <v>0</v>
      </c>
      <c r="J17" s="182">
        <f>GDP!J17+INWARD!J17</f>
        <v>0</v>
      </c>
      <c r="K17" s="182">
        <f>GDP!K17+INWARD!K17</f>
        <v>0</v>
      </c>
      <c r="L17" s="182">
        <f>GDP!L17+INWARD!L17</f>
        <v>0</v>
      </c>
      <c r="M17" s="182">
        <f>GDP!M17+INWARD!M17</f>
        <v>0</v>
      </c>
      <c r="N17" s="182">
        <f>GDP!N17+INWARD!N17</f>
        <v>0</v>
      </c>
      <c r="O17" s="182">
        <f>GDP!O17+INWARD!O17</f>
        <v>19165.8596</v>
      </c>
      <c r="P17" s="182">
        <f>GDP!P17+INWARD!P17</f>
        <v>0</v>
      </c>
      <c r="Q17" s="183">
        <f>GDP!Q17+INWARD!Q17</f>
        <v>19165.8596</v>
      </c>
      <c r="R17" s="191">
        <f t="shared" si="0"/>
        <v>8.4368798119747804E-3</v>
      </c>
    </row>
    <row r="18" spans="2:18" ht="35" customHeight="1" x14ac:dyDescent="0.35">
      <c r="B18" s="190" t="str">
        <f>GDP!B18</f>
        <v xml:space="preserve">FIDELITY SHIELD INSURANCE  </v>
      </c>
      <c r="C18" s="182">
        <f>GDP!C18+INWARD!C18</f>
        <v>703963.51</v>
      </c>
      <c r="D18" s="182">
        <f>GDP!D18+INWARD!D18</f>
        <v>83183.921000000002</v>
      </c>
      <c r="E18" s="182">
        <f>GDP!E18+INWARD!E18</f>
        <v>37975.110999999997</v>
      </c>
      <c r="F18" s="182">
        <f>GDP!F18+INWARD!F18</f>
        <v>319418.09899999999</v>
      </c>
      <c r="G18" s="182">
        <f>GDP!G18+INWARD!G18</f>
        <v>82878.063999999998</v>
      </c>
      <c r="H18" s="182">
        <f>GDP!H18+INWARD!H18</f>
        <v>125115.30499999999</v>
      </c>
      <c r="I18" s="182">
        <f>GDP!I18+INWARD!I18</f>
        <v>1499042.818</v>
      </c>
      <c r="J18" s="182">
        <f>GDP!J18+INWARD!J18</f>
        <v>1163930.061</v>
      </c>
      <c r="K18" s="182">
        <f>GDP!K18+INWARD!K18</f>
        <v>40566.817000000003</v>
      </c>
      <c r="L18" s="182">
        <f>GDP!L18+INWARD!L18</f>
        <v>9491.107</v>
      </c>
      <c r="M18" s="182">
        <f>GDP!M18+INWARD!M18</f>
        <v>72635.422999999995</v>
      </c>
      <c r="N18" s="182">
        <f>GDP!N18+INWARD!N18</f>
        <v>329168.50868000032</v>
      </c>
      <c r="O18" s="182">
        <f>GDP!O18+INWARD!O18</f>
        <v>313830.07833999989</v>
      </c>
      <c r="P18" s="182">
        <f>GDP!P18+INWARD!P18</f>
        <v>232614.97200000001</v>
      </c>
      <c r="Q18" s="183">
        <f>GDP!Q18+INWARD!Q18</f>
        <v>5013813.7950200001</v>
      </c>
      <c r="R18" s="191">
        <f t="shared" si="0"/>
        <v>2.2070987302967042</v>
      </c>
    </row>
    <row r="19" spans="2:18" ht="35" customHeight="1" x14ac:dyDescent="0.35">
      <c r="B19" s="190" t="str">
        <f>GDP!B19</f>
        <v>FIRST ASSURANCE COMPANY</v>
      </c>
      <c r="C19" s="182">
        <f>GDP!C19+INWARD!C19</f>
        <v>0</v>
      </c>
      <c r="D19" s="182">
        <f>GDP!D19+INWARD!D19</f>
        <v>189641.807</v>
      </c>
      <c r="E19" s="182">
        <f>GDP!E19+INWARD!E19</f>
        <v>73769.14</v>
      </c>
      <c r="F19" s="182">
        <f>GDP!F19+INWARD!F19</f>
        <v>693768.34299999999</v>
      </c>
      <c r="G19" s="182">
        <f>GDP!G19+INWARD!G19</f>
        <v>178741.27600000001</v>
      </c>
      <c r="H19" s="182">
        <f>GDP!H19+INWARD!H19</f>
        <v>167972.32299999997</v>
      </c>
      <c r="I19" s="182">
        <f>GDP!I19+INWARD!I19</f>
        <v>745023.31200000003</v>
      </c>
      <c r="J19" s="182">
        <f>GDP!J19+INWARD!J19</f>
        <v>659996.46299999999</v>
      </c>
      <c r="K19" s="182">
        <f>GDP!K19+INWARD!K19</f>
        <v>0</v>
      </c>
      <c r="L19" s="182">
        <f>GDP!L19+INWARD!L19</f>
        <v>183384.66399999999</v>
      </c>
      <c r="M19" s="182">
        <f>GDP!M19+INWARD!M19</f>
        <v>253661.43400000001</v>
      </c>
      <c r="N19" s="182">
        <f>GDP!N19+INWARD!N19</f>
        <v>156577.52799999999</v>
      </c>
      <c r="O19" s="182">
        <f>GDP!O19+INWARD!O19</f>
        <v>3755490.41</v>
      </c>
      <c r="P19" s="182">
        <f>GDP!P19+INWARD!P19</f>
        <v>200139.92499999999</v>
      </c>
      <c r="Q19" s="183">
        <f>GDP!Q19+INWARD!Q19</f>
        <v>7258166.625</v>
      </c>
      <c r="R19" s="191">
        <f t="shared" si="0"/>
        <v>3.1950708576834006</v>
      </c>
    </row>
    <row r="20" spans="2:18" ht="35" customHeight="1" x14ac:dyDescent="0.35">
      <c r="B20" s="190" t="str">
        <f>GDP!B20</f>
        <v>GA INSURANCE COMPANY</v>
      </c>
      <c r="C20" s="182">
        <f>GDP!C20+INWARD!C20</f>
        <v>1117961.845</v>
      </c>
      <c r="D20" s="182">
        <f>GDP!D20+INWARD!D20</f>
        <v>927339.69499999995</v>
      </c>
      <c r="E20" s="182">
        <f>GDP!E20+INWARD!E20</f>
        <v>191361.345</v>
      </c>
      <c r="F20" s="182">
        <f>GDP!F20+INWARD!F20</f>
        <v>3314260.9530000002</v>
      </c>
      <c r="G20" s="182">
        <f>GDP!G20+INWARD!G20</f>
        <v>293681.94699999999</v>
      </c>
      <c r="H20" s="182">
        <f>GDP!H20+INWARD!H20</f>
        <v>810994.9</v>
      </c>
      <c r="I20" s="182">
        <f>GDP!I20+INWARD!I20</f>
        <v>1827536.6370000001</v>
      </c>
      <c r="J20" s="182">
        <f>GDP!J20+INWARD!J20</f>
        <v>1421184.4989999998</v>
      </c>
      <c r="K20" s="182">
        <f>GDP!K20+INWARD!K20</f>
        <v>119276.538</v>
      </c>
      <c r="L20" s="182">
        <f>GDP!L20+INWARD!L20</f>
        <v>153419.52899999998</v>
      </c>
      <c r="M20" s="182">
        <f>GDP!M20+INWARD!M20</f>
        <v>569794.51300000004</v>
      </c>
      <c r="N20" s="182">
        <f>GDP!N20+INWARD!N20</f>
        <v>1050897.6769999999</v>
      </c>
      <c r="O20" s="182">
        <f>GDP!O20+INWARD!O20</f>
        <v>4735942.2079999996</v>
      </c>
      <c r="P20" s="182">
        <f>GDP!P20+INWARD!P20</f>
        <v>575960.25800000003</v>
      </c>
      <c r="Q20" s="183">
        <f>GDP!Q20+INWARD!Q20</f>
        <v>17109612.544</v>
      </c>
      <c r="R20" s="191">
        <f t="shared" si="0"/>
        <v>7.5317125177721778</v>
      </c>
    </row>
    <row r="21" spans="2:18" ht="35" customHeight="1" x14ac:dyDescent="0.35">
      <c r="B21" s="190" t="str">
        <f>GDP!B21</f>
        <v xml:space="preserve">GEMINIA INSURANCE COMPANY </v>
      </c>
      <c r="C21" s="182">
        <f>GDP!C21+INWARD!C21</f>
        <v>193246.799</v>
      </c>
      <c r="D21" s="182">
        <f>GDP!D21+INWARD!D21</f>
        <v>113278.06299999999</v>
      </c>
      <c r="E21" s="182">
        <f>GDP!E21+INWARD!E21</f>
        <v>83943.56</v>
      </c>
      <c r="F21" s="182">
        <f>GDP!F21+INWARD!F21</f>
        <v>992715.78499999992</v>
      </c>
      <c r="G21" s="182">
        <f>GDP!G21+INWARD!G21</f>
        <v>137047.07</v>
      </c>
      <c r="H21" s="182">
        <f>GDP!H21+INWARD!H21</f>
        <v>367975.397</v>
      </c>
      <c r="I21" s="182">
        <f>GDP!I21+INWARD!I21</f>
        <v>1157326.3859999999</v>
      </c>
      <c r="J21" s="182">
        <f>GDP!J21+INWARD!J21</f>
        <v>1018708.34</v>
      </c>
      <c r="K21" s="182">
        <f>GDP!K21+INWARD!K21</f>
        <v>0</v>
      </c>
      <c r="L21" s="182">
        <f>GDP!L21+INWARD!L21</f>
        <v>145093.56299999999</v>
      </c>
      <c r="M21" s="182">
        <f>GDP!M21+INWARD!M21</f>
        <v>200156.61600000001</v>
      </c>
      <c r="N21" s="182">
        <f>GDP!N21+INWARD!N21</f>
        <v>443979.68099999998</v>
      </c>
      <c r="O21" s="182">
        <f>GDP!O21+INWARD!O21</f>
        <v>0</v>
      </c>
      <c r="P21" s="182">
        <f>GDP!P21+INWARD!P21</f>
        <v>170471.71600000001</v>
      </c>
      <c r="Q21" s="183">
        <f>GDP!Q21+INWARD!Q21</f>
        <v>5023942.9759999998</v>
      </c>
      <c r="R21" s="191">
        <f t="shared" si="0"/>
        <v>2.2115576319220716</v>
      </c>
    </row>
    <row r="22" spans="2:18" ht="35" customHeight="1" x14ac:dyDescent="0.35">
      <c r="B22" s="64" t="str">
        <f>GDP!B22</f>
        <v>ICEA LION GENERAL INSURANCE</v>
      </c>
      <c r="C22" s="182">
        <f>GDP!C22+INWARD!C22</f>
        <v>980664.83400000003</v>
      </c>
      <c r="D22" s="182">
        <f>GDP!D22+INWARD!D22</f>
        <v>387410.84700000001</v>
      </c>
      <c r="E22" s="182">
        <f>GDP!E22+INWARD!E22</f>
        <v>155859.81400000001</v>
      </c>
      <c r="F22" s="182">
        <f>GDP!F22+INWARD!F22</f>
        <v>1689280.801</v>
      </c>
      <c r="G22" s="182">
        <f>GDP!G22+INWARD!G22</f>
        <v>238621.93400000001</v>
      </c>
      <c r="H22" s="182">
        <f>GDP!H22+INWARD!H22</f>
        <v>258683.94899999999</v>
      </c>
      <c r="I22" s="182">
        <f>GDP!I22+INWARD!I22</f>
        <v>2500115.9619999998</v>
      </c>
      <c r="J22" s="182">
        <f>GDP!J22+INWARD!J22</f>
        <v>621071.79700000002</v>
      </c>
      <c r="K22" s="182">
        <f>GDP!K22+INWARD!K22</f>
        <v>0</v>
      </c>
      <c r="L22" s="182">
        <f>GDP!L22+INWARD!L22</f>
        <v>343595.79399999999</v>
      </c>
      <c r="M22" s="182">
        <f>GDP!M22+INWARD!M22</f>
        <v>218269.37</v>
      </c>
      <c r="N22" s="182">
        <f>GDP!N22+INWARD!N22</f>
        <v>830074.77599999995</v>
      </c>
      <c r="O22" s="182">
        <f>GDP!O22+INWARD!O22</f>
        <v>590190.26300000004</v>
      </c>
      <c r="P22" s="182">
        <f>GDP!P22+INWARD!P22</f>
        <v>230035.019</v>
      </c>
      <c r="Q22" s="183">
        <f>GDP!Q22+INWARD!Q22</f>
        <v>9043875.1600000001</v>
      </c>
      <c r="R22" s="191">
        <f t="shared" si="0"/>
        <v>3.98114612920488</v>
      </c>
    </row>
    <row r="23" spans="2:18" ht="35" customHeight="1" x14ac:dyDescent="0.35">
      <c r="B23" s="190" t="str">
        <f>GDP!B23</f>
        <v xml:space="preserve">INTRA-AFRICA ASSURANCE </v>
      </c>
      <c r="C23" s="182">
        <f>GDP!C23+INWARD!C23</f>
        <v>0</v>
      </c>
      <c r="D23" s="182">
        <f>GDP!D23+INWARD!D23</f>
        <v>425203.652</v>
      </c>
      <c r="E23" s="182">
        <f>GDP!E23+INWARD!E23</f>
        <v>85863.116999999998</v>
      </c>
      <c r="F23" s="182">
        <f>GDP!F23+INWARD!F23</f>
        <v>530332.92799999996</v>
      </c>
      <c r="G23" s="182">
        <f>GDP!G23+INWARD!G23</f>
        <v>50841.34</v>
      </c>
      <c r="H23" s="182">
        <f>GDP!H23+INWARD!H23</f>
        <v>240611.15100000001</v>
      </c>
      <c r="I23" s="182">
        <f>GDP!I23+INWARD!I23</f>
        <v>812129.50800000003</v>
      </c>
      <c r="J23" s="182">
        <f>GDP!J23+INWARD!J23</f>
        <v>393557.09499999997</v>
      </c>
      <c r="K23" s="182">
        <f>GDP!K23+INWARD!K23</f>
        <v>47231.862999999998</v>
      </c>
      <c r="L23" s="182">
        <f>GDP!L23+INWARD!L23</f>
        <v>23259.428</v>
      </c>
      <c r="M23" s="182">
        <f>GDP!M23+INWARD!M23</f>
        <v>101092.995</v>
      </c>
      <c r="N23" s="182">
        <f>GDP!N23+INWARD!N23</f>
        <v>353932.55499999999</v>
      </c>
      <c r="O23" s="182">
        <f>GDP!O23+INWARD!O23</f>
        <v>0</v>
      </c>
      <c r="P23" s="182">
        <f>GDP!P23+INWARD!P23</f>
        <v>424430.95600000001</v>
      </c>
      <c r="Q23" s="183">
        <f>GDP!Q23+INWARD!Q23</f>
        <v>3488486.588</v>
      </c>
      <c r="R23" s="191">
        <f t="shared" si="0"/>
        <v>1.5356442488309781</v>
      </c>
    </row>
    <row r="24" spans="2:18" ht="35" customHeight="1" x14ac:dyDescent="0.35">
      <c r="B24" s="190" t="str">
        <f>GDP!B24</f>
        <v>JUBILEE HEALTH INSURANCE</v>
      </c>
      <c r="C24" s="182">
        <f>GDP!C24+INWARD!C24</f>
        <v>0</v>
      </c>
      <c r="D24" s="182">
        <f>GDP!D24+INWARD!D24</f>
        <v>0</v>
      </c>
      <c r="E24" s="182">
        <f>GDP!E24+INWARD!E24</f>
        <v>0</v>
      </c>
      <c r="F24" s="182">
        <f>GDP!F24+INWARD!F24</f>
        <v>0</v>
      </c>
      <c r="G24" s="182">
        <f>GDP!G24+INWARD!G24</f>
        <v>0</v>
      </c>
      <c r="H24" s="182">
        <f>GDP!H24+INWARD!H24</f>
        <v>0</v>
      </c>
      <c r="I24" s="182">
        <f>GDP!I24+INWARD!I24</f>
        <v>0</v>
      </c>
      <c r="J24" s="182">
        <f>GDP!J24+INWARD!J24</f>
        <v>0</v>
      </c>
      <c r="K24" s="182">
        <f>GDP!K24+INWARD!K24</f>
        <v>0</v>
      </c>
      <c r="L24" s="182">
        <f>GDP!L24+INWARD!L24</f>
        <v>0</v>
      </c>
      <c r="M24" s="182">
        <f>GDP!M24+INWARD!M24</f>
        <v>0</v>
      </c>
      <c r="N24" s="182">
        <f>GDP!N24+INWARD!N24</f>
        <v>0</v>
      </c>
      <c r="O24" s="182">
        <f>GDP!O24+INWARD!O24</f>
        <v>17047504.554162528</v>
      </c>
      <c r="P24" s="182">
        <f>GDP!P24+INWARD!P24</f>
        <v>0</v>
      </c>
      <c r="Q24" s="183">
        <f>GDP!Q24+INWARD!Q24</f>
        <v>17047504.554162528</v>
      </c>
      <c r="R24" s="191">
        <f t="shared" si="0"/>
        <v>7.5043723589398512</v>
      </c>
    </row>
    <row r="25" spans="2:18" ht="35" customHeight="1" x14ac:dyDescent="0.35">
      <c r="B25" s="190" t="str">
        <f>GDP!B25</f>
        <v xml:space="preserve">KENINDIA ASSURANCE COMPANY </v>
      </c>
      <c r="C25" s="182">
        <f>GDP!C25+INWARD!C25</f>
        <v>0</v>
      </c>
      <c r="D25" s="182">
        <f>GDP!D25+INWARD!D25</f>
        <v>183052.71000000002</v>
      </c>
      <c r="E25" s="182">
        <f>GDP!E25+INWARD!E25</f>
        <v>32057.781999999999</v>
      </c>
      <c r="F25" s="182">
        <f>GDP!F25+INWARD!F25</f>
        <v>679155.03099999996</v>
      </c>
      <c r="G25" s="182">
        <f>GDP!G25+INWARD!G25</f>
        <v>66122.063000000009</v>
      </c>
      <c r="H25" s="182">
        <f>GDP!H25+INWARD!H25</f>
        <v>151177.88800000001</v>
      </c>
      <c r="I25" s="182">
        <f>GDP!I25+INWARD!I25</f>
        <v>592422.70400000003</v>
      </c>
      <c r="J25" s="182">
        <f>GDP!J25+INWARD!J25</f>
        <v>396850.103</v>
      </c>
      <c r="K25" s="182">
        <f>GDP!K25+INWARD!K25</f>
        <v>0</v>
      </c>
      <c r="L25" s="182">
        <f>GDP!L25+INWARD!L25</f>
        <v>8697.360999999999</v>
      </c>
      <c r="M25" s="182">
        <f>GDP!M25+INWARD!M25</f>
        <v>128309.262</v>
      </c>
      <c r="N25" s="182">
        <f>GDP!N25+INWARD!N25</f>
        <v>220025.93</v>
      </c>
      <c r="O25" s="182">
        <f>GDP!O25+INWARD!O25</f>
        <v>162154.30799999999</v>
      </c>
      <c r="P25" s="182">
        <f>GDP!P25+INWARD!P25</f>
        <v>53430.922999999995</v>
      </c>
      <c r="Q25" s="183">
        <f>GDP!Q25+INWARD!Q25</f>
        <v>2673456.0649999999</v>
      </c>
      <c r="R25" s="191">
        <f t="shared" si="0"/>
        <v>1.1768649032052827</v>
      </c>
    </row>
    <row r="26" spans="2:18" ht="35" customHeight="1" x14ac:dyDescent="0.35">
      <c r="B26" s="190" t="str">
        <f>GDP!B26</f>
        <v>KENYA ORIENT INSURANCE</v>
      </c>
      <c r="C26" s="182">
        <f>GDP!C26+INWARD!C26</f>
        <v>0</v>
      </c>
      <c r="D26" s="182">
        <f>GDP!D26+INWARD!D26</f>
        <v>53624.000260000234</v>
      </c>
      <c r="E26" s="182">
        <f>GDP!E26+INWARD!E26</f>
        <v>27319.105</v>
      </c>
      <c r="F26" s="182">
        <f>GDP!F26+INWARD!F26</f>
        <v>115376.208</v>
      </c>
      <c r="G26" s="182">
        <f>GDP!G26+INWARD!G26</f>
        <v>19944.052</v>
      </c>
      <c r="H26" s="182">
        <f>GDP!H26+INWARD!H26</f>
        <v>3678.1120000000001</v>
      </c>
      <c r="I26" s="182">
        <f>GDP!I26+INWARD!I26</f>
        <v>357735.58389000001</v>
      </c>
      <c r="J26" s="182">
        <f>GDP!J26+INWARD!J26</f>
        <v>189052.53099999999</v>
      </c>
      <c r="K26" s="182">
        <f>GDP!K26+INWARD!K26</f>
        <v>32447.213</v>
      </c>
      <c r="L26" s="182">
        <f>GDP!L26+INWARD!L26</f>
        <v>7233.92</v>
      </c>
      <c r="M26" s="182">
        <f>GDP!M26+INWARD!M26</f>
        <v>61236.644999999997</v>
      </c>
      <c r="N26" s="182">
        <f>GDP!N26+INWARD!N26</f>
        <v>74932.604000000007</v>
      </c>
      <c r="O26" s="182">
        <f>GDP!O26+INWARD!O26</f>
        <v>0</v>
      </c>
      <c r="P26" s="182">
        <f>GDP!P26+INWARD!P26</f>
        <v>171089.66899999999</v>
      </c>
      <c r="Q26" s="183">
        <f>GDP!Q26+INWARD!Q26</f>
        <v>1113669.6431499999</v>
      </c>
      <c r="R26" s="191">
        <f t="shared" si="0"/>
        <v>0.49024135236289601</v>
      </c>
    </row>
    <row r="27" spans="2:18" ht="35" customHeight="1" x14ac:dyDescent="0.35">
      <c r="B27" s="190" t="str">
        <f>GDP!B27</f>
        <v>MADISON INSURANCE COMPANY</v>
      </c>
      <c r="C27" s="182">
        <f>GDP!C27+INWARD!C27</f>
        <v>0</v>
      </c>
      <c r="D27" s="182">
        <f>GDP!D27+INWARD!D27</f>
        <v>88120.114999999991</v>
      </c>
      <c r="E27" s="182">
        <f>GDP!E27+INWARD!E27</f>
        <v>29009.795000000009</v>
      </c>
      <c r="F27" s="182">
        <f>GDP!F27+INWARD!F27</f>
        <v>709932.92699999979</v>
      </c>
      <c r="G27" s="182">
        <f>GDP!G27+INWARD!G27</f>
        <v>280993.54599999997</v>
      </c>
      <c r="H27" s="182">
        <f>GDP!H27+INWARD!H27</f>
        <v>41741.529000000002</v>
      </c>
      <c r="I27" s="182">
        <f>GDP!I27+INWARD!I27</f>
        <v>543159.73800000001</v>
      </c>
      <c r="J27" s="182">
        <f>GDP!J27+INWARD!J27</f>
        <v>3569261.3190000001</v>
      </c>
      <c r="K27" s="182">
        <f>GDP!K27+INWARD!K27</f>
        <v>0</v>
      </c>
      <c r="L27" s="182">
        <f>GDP!L27+INWARD!L27</f>
        <v>43171.739000000001</v>
      </c>
      <c r="M27" s="182">
        <f>GDP!M27+INWARD!M27</f>
        <v>164281.51300000001</v>
      </c>
      <c r="N27" s="182">
        <f>GDP!N27+INWARD!N27</f>
        <v>374550.03399999999</v>
      </c>
      <c r="O27" s="182">
        <f>GDP!O27+INWARD!O27</f>
        <v>3232128.2989400011</v>
      </c>
      <c r="P27" s="182">
        <f>GDP!P27+INWARD!P27</f>
        <v>363114.16200000001</v>
      </c>
      <c r="Q27" s="183">
        <f>GDP!Q27+INWARD!Q27</f>
        <v>9439464.7159400005</v>
      </c>
      <c r="R27" s="191">
        <f t="shared" si="0"/>
        <v>4.1552860638592204</v>
      </c>
    </row>
    <row r="28" spans="2:18" ht="35" customHeight="1" x14ac:dyDescent="0.35">
      <c r="B28" s="190" t="str">
        <f>GDP!B28</f>
        <v>MAYFAIR INSURANCE COMPANY</v>
      </c>
      <c r="C28" s="182">
        <f>GDP!C28+INWARD!C28</f>
        <v>674903.25800000003</v>
      </c>
      <c r="D28" s="182">
        <f>GDP!D28+INWARD!D28</f>
        <v>1222278.138</v>
      </c>
      <c r="E28" s="182">
        <f>GDP!E28+INWARD!E28</f>
        <v>153876.084</v>
      </c>
      <c r="F28" s="182">
        <f>GDP!F28+INWARD!F28</f>
        <v>2113243.017</v>
      </c>
      <c r="G28" s="182">
        <f>GDP!G28+INWARD!G28</f>
        <v>304238.18900000001</v>
      </c>
      <c r="H28" s="182">
        <f>GDP!H28+INWARD!H28</f>
        <v>548605.25</v>
      </c>
      <c r="I28" s="182">
        <f>GDP!I28+INWARD!I28</f>
        <v>789075.723</v>
      </c>
      <c r="J28" s="182">
        <f>GDP!J28+INWARD!J28</f>
        <v>603827.4929999999</v>
      </c>
      <c r="K28" s="182">
        <f>GDP!K28+INWARD!K28</f>
        <v>28493.353999999999</v>
      </c>
      <c r="L28" s="182">
        <f>GDP!L28+INWARD!L28</f>
        <v>67802.481999999989</v>
      </c>
      <c r="M28" s="182">
        <f>GDP!M28+INWARD!M28</f>
        <v>316471.78200000001</v>
      </c>
      <c r="N28" s="182">
        <f>GDP!N28+INWARD!N28</f>
        <v>942602.50399999996</v>
      </c>
      <c r="O28" s="182">
        <f>GDP!O28+INWARD!O28</f>
        <v>0</v>
      </c>
      <c r="P28" s="182">
        <f>GDP!P28+INWARD!P28</f>
        <v>1246001.318</v>
      </c>
      <c r="Q28" s="183">
        <f>GDP!Q28+INWARD!Q28</f>
        <v>9011418.5919999983</v>
      </c>
      <c r="R28" s="191">
        <f t="shared" si="0"/>
        <v>3.9668586321116006</v>
      </c>
    </row>
    <row r="29" spans="2:18" ht="35" customHeight="1" x14ac:dyDescent="0.35">
      <c r="B29" s="190" t="str">
        <f>GDP!B29</f>
        <v>MUA INSURANCE COMPANY</v>
      </c>
      <c r="C29" s="182">
        <f>GDP!C29+INWARD!C29</f>
        <v>58948.523999999998</v>
      </c>
      <c r="D29" s="182">
        <f>GDP!D29+INWARD!D29</f>
        <v>21296.374</v>
      </c>
      <c r="E29" s="182">
        <f>GDP!E29+INWARD!E29</f>
        <v>9418.0519999999997</v>
      </c>
      <c r="F29" s="182">
        <f>GDP!F29+INWARD!F29</f>
        <v>351243.45699999999</v>
      </c>
      <c r="G29" s="182">
        <f>GDP!G29+INWARD!G29</f>
        <v>85624.835000000006</v>
      </c>
      <c r="H29" s="182">
        <f>GDP!H29+INWARD!H29</f>
        <v>80995.700000000012</v>
      </c>
      <c r="I29" s="182">
        <f>GDP!I29+INWARD!I29</f>
        <v>299723.37</v>
      </c>
      <c r="J29" s="182">
        <f>GDP!J29+INWARD!J29</f>
        <v>109515.04</v>
      </c>
      <c r="K29" s="182">
        <f>GDP!K29+INWARD!K29</f>
        <v>0</v>
      </c>
      <c r="L29" s="182">
        <f>GDP!L29+INWARD!L29</f>
        <v>24660.274000000001</v>
      </c>
      <c r="M29" s="182">
        <f>GDP!M29+INWARD!M29</f>
        <v>38933.959000000003</v>
      </c>
      <c r="N29" s="182">
        <f>GDP!N29+INWARD!N29</f>
        <v>64823.970999999998</v>
      </c>
      <c r="O29" s="182">
        <f>GDP!O29+INWARD!O29</f>
        <v>944605.50600000005</v>
      </c>
      <c r="P29" s="182">
        <f>GDP!P29+INWARD!P29</f>
        <v>67002.116999999998</v>
      </c>
      <c r="Q29" s="183">
        <f>GDP!Q29+INWARD!Q29</f>
        <v>2156791.179</v>
      </c>
      <c r="R29" s="191">
        <f t="shared" si="0"/>
        <v>0.94942717605791016</v>
      </c>
    </row>
    <row r="30" spans="2:18" ht="35" customHeight="1" x14ac:dyDescent="0.35">
      <c r="B30" s="190" t="str">
        <f>GDP!B30</f>
        <v>NCBA INSURANCE COMPANY</v>
      </c>
      <c r="C30" s="182">
        <f>GDP!C30+INWARD!C30</f>
        <v>1098.7425499999999</v>
      </c>
      <c r="D30" s="182">
        <f>GDP!D30+INWARD!D30</f>
        <v>36193.185110000006</v>
      </c>
      <c r="E30" s="182">
        <f>GDP!E30+INWARD!E30</f>
        <v>127353.22497</v>
      </c>
      <c r="F30" s="182">
        <f>GDP!F30+INWARD!F30</f>
        <v>593063.57042999985</v>
      </c>
      <c r="G30" s="182">
        <f>GDP!G30+INWARD!G30</f>
        <v>712115.02260999999</v>
      </c>
      <c r="H30" s="182">
        <f>GDP!H30+INWARD!H30</f>
        <v>29803.321529999997</v>
      </c>
      <c r="I30" s="182">
        <f>GDP!I30+INWARD!I30</f>
        <v>1087091.0005000001</v>
      </c>
      <c r="J30" s="182">
        <f>GDP!J30+INWARD!J30</f>
        <v>151813.91149999999</v>
      </c>
      <c r="K30" s="182">
        <f>GDP!K30+INWARD!K30</f>
        <v>0</v>
      </c>
      <c r="L30" s="182">
        <f>GDP!L30+INWARD!L30</f>
        <v>225494.3371200001</v>
      </c>
      <c r="M30" s="182">
        <f>GDP!M30+INWARD!M30</f>
        <v>360617.34203</v>
      </c>
      <c r="N30" s="182">
        <f>GDP!N30+INWARD!N30</f>
        <v>307757.50009999989</v>
      </c>
      <c r="O30" s="182">
        <f>GDP!O30+INWARD!O30</f>
        <v>0</v>
      </c>
      <c r="P30" s="182">
        <f>GDP!P30+INWARD!P30</f>
        <v>138.428</v>
      </c>
      <c r="Q30" s="183">
        <f>GDP!Q30+INWARD!Q30</f>
        <v>3632539.5864500003</v>
      </c>
      <c r="R30" s="191">
        <f t="shared" si="0"/>
        <v>1.5990568929722948</v>
      </c>
    </row>
    <row r="31" spans="2:18" ht="35" customHeight="1" x14ac:dyDescent="0.35">
      <c r="B31" s="190" t="str">
        <f>GDP!B31</f>
        <v xml:space="preserve">OCCIDENTAL INSURANCE COMPANY </v>
      </c>
      <c r="C31" s="182">
        <f>GDP!C31+INWARD!C31</f>
        <v>28324.136999999999</v>
      </c>
      <c r="D31" s="182">
        <f>GDP!D31+INWARD!D31</f>
        <v>129801.219</v>
      </c>
      <c r="E31" s="182">
        <f>GDP!E31+INWARD!E31</f>
        <v>42537.759999999995</v>
      </c>
      <c r="F31" s="182">
        <f>GDP!F31+INWARD!F31</f>
        <v>286765.62200000003</v>
      </c>
      <c r="G31" s="182">
        <f>GDP!G31+INWARD!G31</f>
        <v>13979.425999999999</v>
      </c>
      <c r="H31" s="182">
        <f>GDP!H31+INWARD!H31</f>
        <v>66280.154999999999</v>
      </c>
      <c r="I31" s="182">
        <f>GDP!I31+INWARD!I31</f>
        <v>405813.19099999999</v>
      </c>
      <c r="J31" s="182">
        <f>GDP!J31+INWARD!J31</f>
        <v>401442.46300000005</v>
      </c>
      <c r="K31" s="182">
        <f>GDP!K31+INWARD!K31</f>
        <v>0</v>
      </c>
      <c r="L31" s="182">
        <f>GDP!L31+INWARD!L31</f>
        <v>31347.484</v>
      </c>
      <c r="M31" s="182">
        <f>GDP!M31+INWARD!M31</f>
        <v>61167.877999999997</v>
      </c>
      <c r="N31" s="182">
        <f>GDP!N31+INWARD!N31</f>
        <v>213723.73887</v>
      </c>
      <c r="O31" s="182">
        <f>GDP!O31+INWARD!O31</f>
        <v>0</v>
      </c>
      <c r="P31" s="182">
        <f>GDP!P31+INWARD!P31</f>
        <v>56148.364999999998</v>
      </c>
      <c r="Q31" s="183">
        <f>GDP!Q31+INWARD!Q31</f>
        <v>1737331.43887</v>
      </c>
      <c r="R31" s="191">
        <f t="shared" si="0"/>
        <v>0.76477950111412696</v>
      </c>
    </row>
    <row r="32" spans="2:18" ht="35" customHeight="1" x14ac:dyDescent="0.35">
      <c r="B32" s="190" t="str">
        <f>GDP!B32</f>
        <v xml:space="preserve">OLD MUTUAL GENERAL INSURANCE </v>
      </c>
      <c r="C32" s="182">
        <f>GDP!C32+INWARD!C32</f>
        <v>115608.62935000002</v>
      </c>
      <c r="D32" s="182">
        <f>GDP!D32+INWARD!D32</f>
        <v>393365.01395000005</v>
      </c>
      <c r="E32" s="182">
        <f>GDP!E32+INWARD!E32</f>
        <v>218832.58204999991</v>
      </c>
      <c r="F32" s="182">
        <f>GDP!F32+INWARD!F32</f>
        <v>1125821.7479699999</v>
      </c>
      <c r="G32" s="182">
        <f>GDP!G32+INWARD!G32</f>
        <v>313211.13907000021</v>
      </c>
      <c r="H32" s="182">
        <f>GDP!H32+INWARD!H32</f>
        <v>169356.24601000021</v>
      </c>
      <c r="I32" s="182">
        <f>GDP!I32+INWARD!I32</f>
        <v>1785427.6592399999</v>
      </c>
      <c r="J32" s="182">
        <f>GDP!J32+INWARD!J32</f>
        <v>1551346.1528700001</v>
      </c>
      <c r="K32" s="182">
        <f>GDP!K32+INWARD!K32</f>
        <v>0</v>
      </c>
      <c r="L32" s="182">
        <f>GDP!L32+INWARD!L32</f>
        <v>101797.70733999915</v>
      </c>
      <c r="M32" s="182">
        <f>GDP!M32+INWARD!M32</f>
        <v>473062.1169299999</v>
      </c>
      <c r="N32" s="182">
        <f>GDP!N32+INWARD!N32</f>
        <v>730938.29076999985</v>
      </c>
      <c r="O32" s="182">
        <f>GDP!O32+INWARD!O32</f>
        <v>11241386.78413</v>
      </c>
      <c r="P32" s="182">
        <f>GDP!P32+INWARD!P32</f>
        <v>143137.01662000001</v>
      </c>
      <c r="Q32" s="183">
        <f>GDP!Q32+INWARD!Q32</f>
        <v>18363291.086300001</v>
      </c>
      <c r="R32" s="191">
        <f t="shared" si="0"/>
        <v>8.0835862873283766</v>
      </c>
    </row>
    <row r="33" spans="2:18" ht="35" customHeight="1" x14ac:dyDescent="0.35">
      <c r="B33" s="190" t="str">
        <f>GDP!B33</f>
        <v>PACIS INSURANCE COMPANY</v>
      </c>
      <c r="C33" s="182">
        <f>GDP!C33+INWARD!C33</f>
        <v>0</v>
      </c>
      <c r="D33" s="182">
        <f>GDP!D33+INWARD!D33</f>
        <v>39621.362999999998</v>
      </c>
      <c r="E33" s="182">
        <f>GDP!E33+INWARD!E33</f>
        <v>18350.22</v>
      </c>
      <c r="F33" s="182">
        <f>GDP!F33+INWARD!F33</f>
        <v>157155.152</v>
      </c>
      <c r="G33" s="182">
        <f>GDP!G33+INWARD!G33</f>
        <v>327168.00300000003</v>
      </c>
      <c r="H33" s="182">
        <f>GDP!H33+INWARD!H33</f>
        <v>10245.661</v>
      </c>
      <c r="I33" s="182">
        <f>GDP!I33+INWARD!I33</f>
        <v>569687.38100000005</v>
      </c>
      <c r="J33" s="182">
        <f>GDP!J33+INWARD!J33</f>
        <v>800568.69700000004</v>
      </c>
      <c r="K33" s="182">
        <f>GDP!K33+INWARD!K33</f>
        <v>0</v>
      </c>
      <c r="L33" s="182">
        <f>GDP!L33+INWARD!L33</f>
        <v>43458.205999999998</v>
      </c>
      <c r="M33" s="182">
        <f>GDP!M33+INWARD!M33</f>
        <v>50310.351000000002</v>
      </c>
      <c r="N33" s="182">
        <f>GDP!N33+INWARD!N33</f>
        <v>160108.46599999999</v>
      </c>
      <c r="O33" s="182">
        <f>GDP!O33+INWARD!O33</f>
        <v>1355150.6440000001</v>
      </c>
      <c r="P33" s="182">
        <f>GDP!P33+INWARD!P33</f>
        <v>4962.1909999999998</v>
      </c>
      <c r="Q33" s="183">
        <f>GDP!Q33+INWARD!Q33</f>
        <v>3536786.335</v>
      </c>
      <c r="R33" s="191">
        <f t="shared" si="0"/>
        <v>1.556905969875193</v>
      </c>
    </row>
    <row r="34" spans="2:18" ht="35" customHeight="1" x14ac:dyDescent="0.35">
      <c r="B34" s="190" t="str">
        <f>GDP!B34</f>
        <v>PIONEER INSURANCE COMPANY</v>
      </c>
      <c r="C34" s="182">
        <f>GDP!C34+INWARD!C34</f>
        <v>7712.8772600000002</v>
      </c>
      <c r="D34" s="182">
        <f>GDP!D34+INWARD!D34</f>
        <v>144328.2917232</v>
      </c>
      <c r="E34" s="182">
        <f>GDP!E34+INWARD!E34</f>
        <v>15566.455</v>
      </c>
      <c r="F34" s="182">
        <f>GDP!F34+INWARD!F34</f>
        <v>337402.006092</v>
      </c>
      <c r="G34" s="182">
        <f>GDP!G34+INWARD!G34</f>
        <v>127876.143</v>
      </c>
      <c r="H34" s="182">
        <f>GDP!H34+INWARD!H34</f>
        <v>87340.253500000006</v>
      </c>
      <c r="I34" s="182">
        <f>GDP!I34+INWARD!I34</f>
        <v>1199207.2895829198</v>
      </c>
      <c r="J34" s="182">
        <f>GDP!J34+INWARD!J34</f>
        <v>789195.76414899994</v>
      </c>
      <c r="K34" s="182">
        <f>GDP!K34+INWARD!K34</f>
        <v>0</v>
      </c>
      <c r="L34" s="182">
        <f>GDP!L34+INWARD!L34</f>
        <v>31943.665000000001</v>
      </c>
      <c r="M34" s="182">
        <f>GDP!M34+INWARD!M34</f>
        <v>95735.012000000002</v>
      </c>
      <c r="N34" s="182">
        <f>GDP!N34+INWARD!N34</f>
        <v>122226.41899999999</v>
      </c>
      <c r="O34" s="182">
        <f>GDP!O34+INWARD!O34</f>
        <v>0</v>
      </c>
      <c r="P34" s="182">
        <f>GDP!P34+INWARD!P34</f>
        <v>56966.081113600005</v>
      </c>
      <c r="Q34" s="183">
        <f>GDP!Q34+INWARD!Q34</f>
        <v>3015500.2574207201</v>
      </c>
      <c r="R34" s="191">
        <f t="shared" si="0"/>
        <v>1.3274339776984294</v>
      </c>
    </row>
    <row r="35" spans="2:18" ht="35" customHeight="1" x14ac:dyDescent="0.35">
      <c r="B35" s="190" t="str">
        <f>GDP!B35</f>
        <v>SANLAM ALLIANZ GENERAL INSURANCE</v>
      </c>
      <c r="C35" s="182">
        <f>GDP!C35+INWARD!C35</f>
        <v>1182.8340000000001</v>
      </c>
      <c r="D35" s="182">
        <f>GDP!D35+INWARD!D35</f>
        <v>213707.52299999999</v>
      </c>
      <c r="E35" s="182">
        <f>GDP!E35+INWARD!E35</f>
        <v>159272.58600000001</v>
      </c>
      <c r="F35" s="182">
        <f>GDP!F35+INWARD!F35</f>
        <v>2178486.8190000001</v>
      </c>
      <c r="G35" s="182">
        <f>GDP!G35+INWARD!G35</f>
        <v>663403.60699999996</v>
      </c>
      <c r="H35" s="182">
        <f>GDP!H35+INWARD!H35</f>
        <v>245260.03400000001</v>
      </c>
      <c r="I35" s="182">
        <f>GDP!I35+INWARD!I35</f>
        <v>2139797.8629999999</v>
      </c>
      <c r="J35" s="182">
        <f>GDP!J35+INWARD!J35</f>
        <v>1391969.9609999999</v>
      </c>
      <c r="K35" s="182">
        <f>GDP!K35+INWARD!K35</f>
        <v>0</v>
      </c>
      <c r="L35" s="182">
        <f>GDP!L35+INWARD!L35</f>
        <v>32359.126</v>
      </c>
      <c r="M35" s="182">
        <f>GDP!M35+INWARD!M35</f>
        <v>39259.358</v>
      </c>
      <c r="N35" s="182">
        <f>GDP!N35+INWARD!N35</f>
        <v>503981.83299999998</v>
      </c>
      <c r="O35" s="182">
        <f>GDP!O35+INWARD!O35</f>
        <v>0</v>
      </c>
      <c r="P35" s="182">
        <f>GDP!P35+INWARD!P35</f>
        <v>158207.264</v>
      </c>
      <c r="Q35" s="183">
        <f>GDP!Q35+INWARD!Q35</f>
        <v>7726888.8080000002</v>
      </c>
      <c r="R35" s="191">
        <f t="shared" si="0"/>
        <v>3.4014040358298923</v>
      </c>
    </row>
    <row r="36" spans="2:18" ht="35" customHeight="1" x14ac:dyDescent="0.35">
      <c r="B36" s="190" t="str">
        <f>GDP!B36</f>
        <v>STAR DISCOVER INSURANCE</v>
      </c>
      <c r="C36" s="182">
        <f>GDP!C36+INWARD!C36</f>
        <v>84728.626000000004</v>
      </c>
      <c r="D36" s="182">
        <f>GDP!D36+INWARD!D36</f>
        <v>12949.75</v>
      </c>
      <c r="E36" s="182">
        <f>GDP!E36+INWARD!E36</f>
        <v>178.19</v>
      </c>
      <c r="F36" s="182">
        <f>GDP!F36+INWARD!F36</f>
        <v>17377.060999999998</v>
      </c>
      <c r="G36" s="182">
        <f>GDP!G36+INWARD!G36</f>
        <v>60763.327000000005</v>
      </c>
      <c r="H36" s="182">
        <f>GDP!H36+INWARD!H36</f>
        <v>35834.476999999999</v>
      </c>
      <c r="I36" s="182">
        <f>GDP!I36+INWARD!I36</f>
        <v>103916.68</v>
      </c>
      <c r="J36" s="182">
        <f>GDP!J36+INWARD!J36</f>
        <v>63903.891000000003</v>
      </c>
      <c r="K36" s="182">
        <f>GDP!K36+INWARD!K36</f>
        <v>0</v>
      </c>
      <c r="L36" s="182">
        <f>GDP!L36+INWARD!L36</f>
        <v>14150.301000000001</v>
      </c>
      <c r="M36" s="182">
        <f>GDP!M36+INWARD!M36</f>
        <v>32875.898999999998</v>
      </c>
      <c r="N36" s="182">
        <f>GDP!N36+INWARD!N36</f>
        <v>98313.441000000006</v>
      </c>
      <c r="O36" s="182">
        <f>GDP!O36+INWARD!O36</f>
        <v>1553941.8</v>
      </c>
      <c r="P36" s="182">
        <f>GDP!P36+INWARD!P36</f>
        <v>85313.678999999989</v>
      </c>
      <c r="Q36" s="183">
        <f>GDP!Q36+INWARD!Q36</f>
        <v>2164247.122</v>
      </c>
      <c r="R36" s="191">
        <f t="shared" si="0"/>
        <v>0.95270930878186766</v>
      </c>
    </row>
    <row r="37" spans="2:18" ht="35" customHeight="1" x14ac:dyDescent="0.35">
      <c r="B37" s="190" t="str">
        <f>GDP!B37</f>
        <v>TAKAFUL INSURANCE OF AFRICA</v>
      </c>
      <c r="C37" s="182">
        <f>GDP!C37+INWARD!C37</f>
        <v>0</v>
      </c>
      <c r="D37" s="182">
        <f>GDP!D37+INWARD!D37</f>
        <v>46617.423000000003</v>
      </c>
      <c r="E37" s="182">
        <f>GDP!E37+INWARD!E37</f>
        <v>5517.1319999999996</v>
      </c>
      <c r="F37" s="182">
        <f>GDP!F37+INWARD!F37</f>
        <v>57562.582000000002</v>
      </c>
      <c r="G37" s="182">
        <f>GDP!G37+INWARD!G37</f>
        <v>52951.790999999997</v>
      </c>
      <c r="H37" s="182">
        <f>GDP!H37+INWARD!H37</f>
        <v>26190.778999999999</v>
      </c>
      <c r="I37" s="182">
        <f>GDP!I37+INWARD!I37</f>
        <v>246677.19732000001</v>
      </c>
      <c r="J37" s="182">
        <f>GDP!J37+INWARD!J37</f>
        <v>444881.22580000007</v>
      </c>
      <c r="K37" s="182">
        <f>GDP!K37+INWARD!K37</f>
        <v>0</v>
      </c>
      <c r="L37" s="182">
        <f>GDP!L37+INWARD!L37</f>
        <v>2017.4159999999999</v>
      </c>
      <c r="M37" s="182">
        <f>GDP!M37+INWARD!M37</f>
        <v>36336.171999999999</v>
      </c>
      <c r="N37" s="182">
        <f>GDP!N37+INWARD!N37</f>
        <v>52358.714</v>
      </c>
      <c r="O37" s="182">
        <f>GDP!O37+INWARD!O37</f>
        <v>7833.0029999999997</v>
      </c>
      <c r="P37" s="182">
        <f>GDP!P37+INWARD!P37</f>
        <v>52322.909</v>
      </c>
      <c r="Q37" s="183">
        <f>GDP!Q37+INWARD!Q37</f>
        <v>1031266.34412</v>
      </c>
      <c r="R37" s="191">
        <f t="shared" si="0"/>
        <v>0.45396712597618449</v>
      </c>
    </row>
    <row r="38" spans="2:18" ht="35" customHeight="1" x14ac:dyDescent="0.35">
      <c r="B38" s="190" t="str">
        <f>GDP!B38</f>
        <v>TAUSI ASSURANCE COMPANY</v>
      </c>
      <c r="C38" s="182">
        <f>GDP!C38+INWARD!C38</f>
        <v>0</v>
      </c>
      <c r="D38" s="182">
        <f>GDP!D38+INWARD!D38</f>
        <v>158729.00200000001</v>
      </c>
      <c r="E38" s="182">
        <f>GDP!E38+INWARD!E38</f>
        <v>93008.396999999997</v>
      </c>
      <c r="F38" s="182">
        <f>GDP!F38+INWARD!F38</f>
        <v>731727.82899999991</v>
      </c>
      <c r="G38" s="182">
        <f>GDP!G38+INWARD!G38</f>
        <v>44880.178999999996</v>
      </c>
      <c r="H38" s="182">
        <f>GDP!H38+INWARD!H38</f>
        <v>210710.17300000001</v>
      </c>
      <c r="I38" s="182">
        <f>GDP!I38+INWARD!I38</f>
        <v>277085.70699999999</v>
      </c>
      <c r="J38" s="182">
        <f>GDP!J38+INWARD!J38</f>
        <v>197734.40700000001</v>
      </c>
      <c r="K38" s="182">
        <f>GDP!K38+INWARD!K38</f>
        <v>0</v>
      </c>
      <c r="L38" s="182">
        <f>GDP!L38+INWARD!L38</f>
        <v>14610.094999999999</v>
      </c>
      <c r="M38" s="182">
        <f>GDP!M38+INWARD!M38</f>
        <v>134634.75099999999</v>
      </c>
      <c r="N38" s="182">
        <f>GDP!N38+INWARD!N38</f>
        <v>290652.24400000001</v>
      </c>
      <c r="O38" s="182">
        <f>GDP!O38+INWARD!O38</f>
        <v>4392.1779999999999</v>
      </c>
      <c r="P38" s="182">
        <f>GDP!P38+INWARD!P38</f>
        <v>34279.477999999996</v>
      </c>
      <c r="Q38" s="183">
        <f>GDP!Q38+INWARD!Q38</f>
        <v>2192444.44</v>
      </c>
      <c r="R38" s="191">
        <f t="shared" si="0"/>
        <v>0.96512186882097128</v>
      </c>
    </row>
    <row r="39" spans="2:18" ht="35" customHeight="1" x14ac:dyDescent="0.35">
      <c r="B39" s="190" t="str">
        <f>GDP!B39</f>
        <v>THE HERITAGE INSURANCE COMPANY</v>
      </c>
      <c r="C39" s="182">
        <f>GDP!C39+INWARD!C39</f>
        <v>106456.75900000001</v>
      </c>
      <c r="D39" s="182">
        <f>GDP!D39+INWARD!D39</f>
        <v>130782.773</v>
      </c>
      <c r="E39" s="182">
        <f>GDP!E39+INWARD!E39</f>
        <v>122509.588</v>
      </c>
      <c r="F39" s="182">
        <f>GDP!F39+INWARD!F39</f>
        <v>1083625.4550000001</v>
      </c>
      <c r="G39" s="182">
        <f>GDP!G39+INWARD!G39</f>
        <v>252815.84</v>
      </c>
      <c r="H39" s="182">
        <f>GDP!H39+INWARD!H39</f>
        <v>116747.22</v>
      </c>
      <c r="I39" s="182">
        <f>GDP!I39+INWARD!I39</f>
        <v>1348246.8810000001</v>
      </c>
      <c r="J39" s="182">
        <f>GDP!J39+INWARD!J39</f>
        <v>671891.27500000002</v>
      </c>
      <c r="K39" s="182">
        <f>GDP!K39+INWARD!K39</f>
        <v>0</v>
      </c>
      <c r="L39" s="182">
        <f>GDP!L39+INWARD!L39</f>
        <v>216423.65</v>
      </c>
      <c r="M39" s="182">
        <f>GDP!M39+INWARD!M39</f>
        <v>115250.432</v>
      </c>
      <c r="N39" s="182">
        <f>GDP!N39+INWARD!N39</f>
        <v>501162.06299999997</v>
      </c>
      <c r="O39" s="182">
        <f>GDP!O39+INWARD!O39</f>
        <v>3615906.872</v>
      </c>
      <c r="P39" s="182">
        <f>GDP!P39+INWARD!P39</f>
        <v>411437.52799999999</v>
      </c>
      <c r="Q39" s="183">
        <f>GDP!Q39+INWARD!Q39</f>
        <v>8693256.3359999992</v>
      </c>
      <c r="R39" s="191">
        <f t="shared" si="0"/>
        <v>3.8268024712818121</v>
      </c>
    </row>
    <row r="40" spans="2:18" ht="35" customHeight="1" x14ac:dyDescent="0.35">
      <c r="B40" s="190" t="str">
        <f>GDP!B40</f>
        <v xml:space="preserve">THE KENYAN ALLIANCE INSURANCE </v>
      </c>
      <c r="C40" s="182">
        <f>GDP!C40+INWARD!C40</f>
        <v>0</v>
      </c>
      <c r="D40" s="182">
        <f>GDP!D40+INWARD!D40</f>
        <v>8975.2389999999996</v>
      </c>
      <c r="E40" s="182">
        <f>GDP!E40+INWARD!E40</f>
        <v>3495.2736</v>
      </c>
      <c r="F40" s="182">
        <f>GDP!F40+INWARD!F40</f>
        <v>29045.303540000001</v>
      </c>
      <c r="G40" s="182">
        <f>GDP!G40+INWARD!G40</f>
        <v>11400.06553</v>
      </c>
      <c r="H40" s="182">
        <f>GDP!H40+INWARD!H40</f>
        <v>2226.9730399999999</v>
      </c>
      <c r="I40" s="182">
        <f>GDP!I40+INWARD!I40</f>
        <v>654601.143279996</v>
      </c>
      <c r="J40" s="182">
        <f>GDP!J40+INWARD!J40</f>
        <v>193354.75012000001</v>
      </c>
      <c r="K40" s="182">
        <f>GDP!K40+INWARD!K40</f>
        <v>0</v>
      </c>
      <c r="L40" s="182">
        <f>GDP!L40+INWARD!L40</f>
        <v>14898.608539999999</v>
      </c>
      <c r="M40" s="182">
        <f>GDP!M40+INWARD!M40</f>
        <v>9214.8987699999998</v>
      </c>
      <c r="N40" s="182">
        <f>GDP!N40+INWARD!N40</f>
        <v>251471.86128000001</v>
      </c>
      <c r="O40" s="182">
        <f>GDP!O40+INWARD!O40</f>
        <v>462784.53901000001</v>
      </c>
      <c r="P40" s="182">
        <f>GDP!P40+INWARD!P40</f>
        <v>24869.800019999999</v>
      </c>
      <c r="Q40" s="183">
        <f>GDP!Q40+INWARD!Q40</f>
        <v>1666338.4557299961</v>
      </c>
      <c r="R40" s="191">
        <f t="shared" si="0"/>
        <v>0.73352813651340931</v>
      </c>
    </row>
    <row r="41" spans="2:18" ht="35" customHeight="1" x14ac:dyDescent="0.35">
      <c r="B41" s="190" t="str">
        <f>GDP!B41</f>
        <v xml:space="preserve">THE MONARCH INSURANCE </v>
      </c>
      <c r="C41" s="182">
        <f>GDP!C41+INWARD!C41</f>
        <v>0</v>
      </c>
      <c r="D41" s="182">
        <f>GDP!D41+INWARD!D41</f>
        <v>0</v>
      </c>
      <c r="E41" s="182">
        <f>GDP!E41+INWARD!E41</f>
        <v>0</v>
      </c>
      <c r="F41" s="182">
        <f>GDP!F41+INWARD!F41</f>
        <v>0</v>
      </c>
      <c r="G41" s="182">
        <f>GDP!G41+INWARD!G41</f>
        <v>0</v>
      </c>
      <c r="H41" s="182">
        <f>GDP!H41+INWARD!H41</f>
        <v>0</v>
      </c>
      <c r="I41" s="182">
        <f>GDP!I41+INWARD!I41</f>
        <v>0</v>
      </c>
      <c r="J41" s="182">
        <f>GDP!J41+INWARD!J41</f>
        <v>0</v>
      </c>
      <c r="K41" s="182">
        <f>GDP!K41+INWARD!K41</f>
        <v>0</v>
      </c>
      <c r="L41" s="182">
        <f>GDP!L41+INWARD!L41</f>
        <v>0</v>
      </c>
      <c r="M41" s="182">
        <f>GDP!M41+INWARD!M41</f>
        <v>0</v>
      </c>
      <c r="N41" s="182">
        <f>GDP!N41+INWARD!N41</f>
        <v>0</v>
      </c>
      <c r="O41" s="182">
        <f>GDP!O41+INWARD!O41</f>
        <v>0</v>
      </c>
      <c r="P41" s="182">
        <f>GDP!P41+INWARD!P41</f>
        <v>0</v>
      </c>
      <c r="Q41" s="183">
        <f>GDP!Q41+INWARD!Q41</f>
        <v>0</v>
      </c>
      <c r="R41" s="191">
        <f t="shared" si="0"/>
        <v>0</v>
      </c>
    </row>
    <row r="42" spans="2:18" ht="35" customHeight="1" x14ac:dyDescent="0.35">
      <c r="B42" s="190" t="str">
        <f>GDP!B42</f>
        <v xml:space="preserve">TRIDENT INSURANCE COMPANY </v>
      </c>
      <c r="C42" s="182">
        <f>GDP!C42+INWARD!C42</f>
        <v>0</v>
      </c>
      <c r="D42" s="182">
        <f>GDP!D42+INWARD!D42</f>
        <v>0</v>
      </c>
      <c r="E42" s="182">
        <f>GDP!E42+INWARD!E42</f>
        <v>0</v>
      </c>
      <c r="F42" s="182">
        <f>GDP!F42+INWARD!F42</f>
        <v>0</v>
      </c>
      <c r="G42" s="182">
        <f>GDP!G42+INWARD!G42</f>
        <v>0</v>
      </c>
      <c r="H42" s="182">
        <f>GDP!H42+INWARD!H42</f>
        <v>0</v>
      </c>
      <c r="I42" s="182">
        <f>GDP!I42+INWARD!I42</f>
        <v>0</v>
      </c>
      <c r="J42" s="182">
        <f>GDP!J42+INWARD!J42</f>
        <v>0</v>
      </c>
      <c r="K42" s="182">
        <f>GDP!K42+INWARD!K42</f>
        <v>0</v>
      </c>
      <c r="L42" s="182">
        <f>GDP!L42+INWARD!L42</f>
        <v>0</v>
      </c>
      <c r="M42" s="182">
        <f>GDP!M42+INWARD!M42</f>
        <v>0</v>
      </c>
      <c r="N42" s="182">
        <f>GDP!N42+INWARD!N42</f>
        <v>0</v>
      </c>
      <c r="O42" s="182">
        <f>GDP!O42+INWARD!O42</f>
        <v>0</v>
      </c>
      <c r="P42" s="182">
        <f>GDP!P42+INWARD!P42</f>
        <v>0</v>
      </c>
      <c r="Q42" s="183">
        <f>GDP!Q42+INWARD!Q42</f>
        <v>0</v>
      </c>
      <c r="R42" s="191">
        <f t="shared" si="0"/>
        <v>0</v>
      </c>
    </row>
    <row r="43" spans="2:18" ht="35" customHeight="1" x14ac:dyDescent="0.35">
      <c r="B43" s="192" t="s">
        <v>24</v>
      </c>
      <c r="C43" s="184">
        <f t="shared" ref="C43:Q43" si="1">SUM(C6:C42)</f>
        <v>4674783.7582400003</v>
      </c>
      <c r="D43" s="184">
        <f t="shared" si="1"/>
        <v>6469115.0378719503</v>
      </c>
      <c r="E43" s="184">
        <f t="shared" si="1"/>
        <v>2097289.7994999997</v>
      </c>
      <c r="F43" s="184">
        <f t="shared" si="1"/>
        <v>23216642.561677434</v>
      </c>
      <c r="G43" s="184">
        <f t="shared" si="1"/>
        <v>5475795.1057699984</v>
      </c>
      <c r="H43" s="184">
        <f t="shared" si="1"/>
        <v>4801295.5359200006</v>
      </c>
      <c r="I43" s="184">
        <f t="shared" si="1"/>
        <v>31764948.368592922</v>
      </c>
      <c r="J43" s="184">
        <f t="shared" si="1"/>
        <v>24022215.713604394</v>
      </c>
      <c r="K43" s="184">
        <f t="shared" si="1"/>
        <v>5731776.3853484988</v>
      </c>
      <c r="L43" s="184">
        <f t="shared" si="1"/>
        <v>2678911.4994670544</v>
      </c>
      <c r="M43" s="184">
        <f t="shared" si="1"/>
        <v>5609906.2961400002</v>
      </c>
      <c r="N43" s="184">
        <f t="shared" si="1"/>
        <v>11423543.788402406</v>
      </c>
      <c r="O43" s="184">
        <f t="shared" si="1"/>
        <v>93285933.273737371</v>
      </c>
      <c r="P43" s="184">
        <f t="shared" si="1"/>
        <v>5915469.1443535993</v>
      </c>
      <c r="Q43" s="184">
        <f t="shared" si="1"/>
        <v>227167626.26862568</v>
      </c>
      <c r="R43" s="184">
        <f t="shared" si="0"/>
        <v>100</v>
      </c>
    </row>
    <row r="44" spans="2:18" ht="35" customHeight="1" x14ac:dyDescent="0.35">
      <c r="B44" s="316" t="s">
        <v>103</v>
      </c>
      <c r="C44" s="269"/>
      <c r="D44" s="269"/>
      <c r="E44" s="269"/>
      <c r="F44" s="269"/>
      <c r="G44" s="269"/>
      <c r="H44" s="269"/>
      <c r="I44" s="269"/>
      <c r="J44" s="269"/>
      <c r="K44" s="269"/>
      <c r="L44" s="269"/>
      <c r="M44" s="269"/>
      <c r="N44" s="269"/>
      <c r="O44" s="269"/>
      <c r="P44" s="269"/>
      <c r="Q44" s="269"/>
      <c r="R44" s="270"/>
    </row>
    <row r="45" spans="2:18" ht="35" customHeight="1" x14ac:dyDescent="0.35">
      <c r="B45" s="64" t="str">
        <f>GDP!B45</f>
        <v>CONTINENTAL REINSURANCE</v>
      </c>
      <c r="C45" s="182">
        <f>GDP!C45+INWARD!C45</f>
        <v>28913.725999999999</v>
      </c>
      <c r="D45" s="182">
        <f>GDP!D45+INWARD!D45</f>
        <v>548236.37800000003</v>
      </c>
      <c r="E45" s="182">
        <f>GDP!E45+INWARD!E45</f>
        <v>491674.52399999998</v>
      </c>
      <c r="F45" s="182">
        <f>GDP!F45+INWARD!F45</f>
        <v>1399381.3359999999</v>
      </c>
      <c r="G45" s="182">
        <f>GDP!G45+INWARD!G45</f>
        <v>203538.261</v>
      </c>
      <c r="H45" s="182">
        <f>GDP!H45+INWARD!H45</f>
        <v>332507.84700000001</v>
      </c>
      <c r="I45" s="182">
        <f>GDP!I45+INWARD!I45</f>
        <v>53307.64</v>
      </c>
      <c r="J45" s="182">
        <f>GDP!J45+INWARD!J45</f>
        <v>227769.00599999999</v>
      </c>
      <c r="K45" s="182">
        <f>GDP!K45+INWARD!K45</f>
        <v>0</v>
      </c>
      <c r="L45" s="182">
        <f>GDP!L45+INWARD!L45</f>
        <v>208247.29199999999</v>
      </c>
      <c r="M45" s="182">
        <f>GDP!M45+INWARD!M45</f>
        <v>10960.384</v>
      </c>
      <c r="N45" s="182">
        <f>GDP!N45+INWARD!N45</f>
        <v>21920.768</v>
      </c>
      <c r="O45" s="182">
        <f>GDP!O45+INWARD!O45</f>
        <v>703708.98899999994</v>
      </c>
      <c r="P45" s="182">
        <f>GDP!P45+INWARD!P45</f>
        <v>854909.93299999996</v>
      </c>
      <c r="Q45" s="183">
        <f>GDP!Q45+INWARD!Q45</f>
        <v>5085076.0839999998</v>
      </c>
      <c r="R45" s="193">
        <f>Q45/$Q$50*100</f>
        <v>15.673235669290586</v>
      </c>
    </row>
    <row r="46" spans="2:18" ht="35" customHeight="1" x14ac:dyDescent="0.35">
      <c r="B46" s="64" t="str">
        <f>GDP!B46</f>
        <v xml:space="preserve">EAST AFRICA REINSURANCE </v>
      </c>
      <c r="C46" s="182">
        <f>GDP!C46+INWARD!C46</f>
        <v>6168.478551705316</v>
      </c>
      <c r="D46" s="182">
        <f>GDP!D46+INWARD!D46</f>
        <v>375480.58184512547</v>
      </c>
      <c r="E46" s="182">
        <f>GDP!E46+INWARD!E46</f>
        <v>0</v>
      </c>
      <c r="F46" s="182">
        <f>GDP!F46+INWARD!F46</f>
        <v>1820870.3599560431</v>
      </c>
      <c r="G46" s="182">
        <f>GDP!G46+INWARD!G46</f>
        <v>44230.077086617581</v>
      </c>
      <c r="H46" s="182">
        <f>GDP!H46+INWARD!H46</f>
        <v>166325.0994420952</v>
      </c>
      <c r="I46" s="182">
        <f>GDP!I46+INWARD!I46</f>
        <v>0</v>
      </c>
      <c r="J46" s="182">
        <f>GDP!J46+INWARD!J46</f>
        <v>250920.84520290009</v>
      </c>
      <c r="K46" s="182">
        <f>GDP!K46+INWARD!K46</f>
        <v>0</v>
      </c>
      <c r="L46" s="182">
        <f>GDP!L46+INWARD!L46</f>
        <v>61710.809364572437</v>
      </c>
      <c r="M46" s="182">
        <f>GDP!M46+INWARD!M46</f>
        <v>0</v>
      </c>
      <c r="N46" s="182">
        <f>GDP!N46+INWARD!N46</f>
        <v>0</v>
      </c>
      <c r="O46" s="182">
        <f>GDP!O46+INWARD!O46</f>
        <v>1112248.9978614489</v>
      </c>
      <c r="P46" s="182">
        <f>GDP!P46+INWARD!P46</f>
        <v>720183.18218089838</v>
      </c>
      <c r="Q46" s="183">
        <f>GDP!Q46+INWARD!Q46</f>
        <v>4558138.4314914066</v>
      </c>
      <c r="R46" s="193">
        <f>Q46/$Q$50*100</f>
        <v>14.049106969077824</v>
      </c>
    </row>
    <row r="47" spans="2:18" ht="35" customHeight="1" x14ac:dyDescent="0.35">
      <c r="B47" s="64" t="str">
        <f>GDP!B47</f>
        <v>GHANA REINSURANCE COMPANY</v>
      </c>
      <c r="C47" s="182">
        <f>GDP!C47+INWARD!C47</f>
        <v>5792.2640000000001</v>
      </c>
      <c r="D47" s="182">
        <f>GDP!D47+INWARD!D47</f>
        <v>273328.00599999999</v>
      </c>
      <c r="E47" s="182">
        <f>GDP!E47+INWARD!E47</f>
        <v>274336.28600000002</v>
      </c>
      <c r="F47" s="182">
        <f>GDP!F47+INWARD!F47</f>
        <v>2011799.423</v>
      </c>
      <c r="G47" s="182">
        <f>GDP!G47+INWARD!G47</f>
        <v>89533.519</v>
      </c>
      <c r="H47" s="182">
        <f>GDP!H47+INWARD!H47</f>
        <v>171271.13800000001</v>
      </c>
      <c r="I47" s="182">
        <f>GDP!I47+INWARD!I47</f>
        <v>160510.31899999999</v>
      </c>
      <c r="J47" s="182">
        <f>GDP!J47+INWARD!J47</f>
        <v>173886.17800000001</v>
      </c>
      <c r="K47" s="182">
        <f>GDP!K47+INWARD!K47</f>
        <v>0</v>
      </c>
      <c r="L47" s="182">
        <f>GDP!L47+INWARD!L47</f>
        <v>2759.6619999999998</v>
      </c>
      <c r="M47" s="182">
        <f>GDP!M47+INWARD!M47</f>
        <v>79261.581000000006</v>
      </c>
      <c r="N47" s="182">
        <f>GDP!N47+INWARD!N47</f>
        <v>-5046.95</v>
      </c>
      <c r="O47" s="182">
        <f>GDP!O47+INWARD!O47</f>
        <v>580526.31099999999</v>
      </c>
      <c r="P47" s="182">
        <f>GDP!P47+INWARD!P47</f>
        <v>192986.158</v>
      </c>
      <c r="Q47" s="183">
        <f>GDP!Q47+INWARD!Q47</f>
        <v>4010943.895</v>
      </c>
      <c r="R47" s="193">
        <f>Q47/$Q$50*100</f>
        <v>12.362542444632835</v>
      </c>
    </row>
    <row r="48" spans="2:18" ht="35" customHeight="1" x14ac:dyDescent="0.35">
      <c r="B48" s="64" t="str">
        <f>GDP!B48</f>
        <v>KENYA REINSURANCE CORPORATION</v>
      </c>
      <c r="C48" s="182">
        <f>GDP!C48+INWARD!C48</f>
        <v>108799.44667</v>
      </c>
      <c r="D48" s="182">
        <f>GDP!D48+INWARD!D48</f>
        <v>1589695.698730001</v>
      </c>
      <c r="E48" s="182">
        <f>GDP!E48+INWARD!E48</f>
        <v>116497.29225</v>
      </c>
      <c r="F48" s="182">
        <f>GDP!F48+INWARD!F48</f>
        <v>4631067.9656899991</v>
      </c>
      <c r="G48" s="182">
        <f>GDP!G48+INWARD!G48</f>
        <v>153812.48780999999</v>
      </c>
      <c r="H48" s="182">
        <f>GDP!H48+INWARD!H48</f>
        <v>761806.17870999954</v>
      </c>
      <c r="I48" s="182">
        <f>GDP!I48+INWARD!I48</f>
        <v>13368.51477</v>
      </c>
      <c r="J48" s="182">
        <f>GDP!J48+INWARD!J48</f>
        <v>437423.77944999997</v>
      </c>
      <c r="K48" s="182">
        <f>GDP!K48+INWARD!K48</f>
        <v>0</v>
      </c>
      <c r="L48" s="182">
        <f>GDP!L48+INWARD!L48</f>
        <v>350440.70153000002</v>
      </c>
      <c r="M48" s="182">
        <f>GDP!M48+INWARD!M48</f>
        <v>31763.131069999999</v>
      </c>
      <c r="N48" s="182">
        <f>GDP!N48+INWARD!N48</f>
        <v>20319.93016</v>
      </c>
      <c r="O48" s="182">
        <f>GDP!O48+INWARD!O48</f>
        <v>2955437.0362</v>
      </c>
      <c r="P48" s="182">
        <f>GDP!P48+INWARD!P48</f>
        <v>1666898.785060002</v>
      </c>
      <c r="Q48" s="183">
        <f>GDP!Q48+INWARD!Q48</f>
        <v>12837330.948100001</v>
      </c>
      <c r="R48" s="193">
        <f>Q48/$Q$50*100</f>
        <v>39.567257203353357</v>
      </c>
    </row>
    <row r="49" spans="2:18" ht="35" customHeight="1" x14ac:dyDescent="0.35">
      <c r="B49" s="64" t="str">
        <f>GDP!B49</f>
        <v>WAICA REINSURANCE KENYA LIMITED</v>
      </c>
      <c r="C49" s="182">
        <f>GDP!C49+INWARD!C49</f>
        <v>56900.34427216398</v>
      </c>
      <c r="D49" s="182">
        <f>GDP!D49+INWARD!D49</f>
        <v>928111.24208891962</v>
      </c>
      <c r="E49" s="182">
        <f>GDP!E49+INWARD!E49</f>
        <v>0</v>
      </c>
      <c r="F49" s="182">
        <f>GDP!F49+INWARD!F49</f>
        <v>2837588.6810210571</v>
      </c>
      <c r="G49" s="182">
        <f>GDP!G49+INWARD!G49</f>
        <v>172194.3787525217</v>
      </c>
      <c r="H49" s="182">
        <f>GDP!H49+INWARD!H49</f>
        <v>231889.2802261762</v>
      </c>
      <c r="I49" s="182">
        <f>GDP!I49+INWARD!I49</f>
        <v>89875.23431845961</v>
      </c>
      <c r="J49" s="182">
        <f>GDP!J49+INWARD!J49</f>
        <v>110970.8401766262</v>
      </c>
      <c r="K49" s="182">
        <f>GDP!K49+INWARD!K49</f>
        <v>0</v>
      </c>
      <c r="L49" s="182">
        <f>GDP!L49+INWARD!L49</f>
        <v>1324637.8553760841</v>
      </c>
      <c r="M49" s="182">
        <f>GDP!M49+INWARD!M49</f>
        <v>53779.723474483057</v>
      </c>
      <c r="N49" s="182">
        <f>GDP!N49+INWARD!N49</f>
        <v>0</v>
      </c>
      <c r="O49" s="182">
        <f>GDP!O49+INWARD!O49</f>
        <v>31652.089623927859</v>
      </c>
      <c r="P49" s="182">
        <f>GDP!P49+INWARD!P49</f>
        <v>115239.5797533755</v>
      </c>
      <c r="Q49" s="183">
        <f>GDP!Q49+INWARD!Q49</f>
        <v>5952839.2490837947</v>
      </c>
      <c r="R49" s="193">
        <f>Q49/$Q$50*100</f>
        <v>18.347857713645396</v>
      </c>
    </row>
    <row r="50" spans="2:18" ht="35" customHeight="1" x14ac:dyDescent="0.35">
      <c r="B50" s="192" t="s">
        <v>230</v>
      </c>
      <c r="C50" s="184">
        <f t="shared" ref="C50:R50" si="2">SUM(C45:C49)</f>
        <v>206574.25949386932</v>
      </c>
      <c r="D50" s="184">
        <f t="shared" si="2"/>
        <v>3714851.906664046</v>
      </c>
      <c r="E50" s="184">
        <f t="shared" si="2"/>
        <v>882508.10225</v>
      </c>
      <c r="F50" s="184">
        <f t="shared" si="2"/>
        <v>12700707.7656671</v>
      </c>
      <c r="G50" s="184">
        <f t="shared" si="2"/>
        <v>663308.72364913928</v>
      </c>
      <c r="H50" s="184">
        <f t="shared" si="2"/>
        <v>1663799.5433782709</v>
      </c>
      <c r="I50" s="184">
        <f t="shared" si="2"/>
        <v>317061.70808845956</v>
      </c>
      <c r="J50" s="184">
        <f t="shared" si="2"/>
        <v>1200970.6488295263</v>
      </c>
      <c r="K50" s="184">
        <f t="shared" si="2"/>
        <v>0</v>
      </c>
      <c r="L50" s="184">
        <f t="shared" si="2"/>
        <v>1947796.3202706566</v>
      </c>
      <c r="M50" s="184">
        <f t="shared" si="2"/>
        <v>175764.81954448306</v>
      </c>
      <c r="N50" s="184">
        <f t="shared" si="2"/>
        <v>37193.748160000003</v>
      </c>
      <c r="O50" s="184">
        <f t="shared" si="2"/>
        <v>5383573.4236853765</v>
      </c>
      <c r="P50" s="184">
        <f t="shared" si="2"/>
        <v>3550217.6379942764</v>
      </c>
      <c r="Q50" s="184">
        <f t="shared" si="2"/>
        <v>32444328.607675202</v>
      </c>
      <c r="R50" s="184">
        <f t="shared" si="2"/>
        <v>100</v>
      </c>
    </row>
    <row r="51" spans="2:18" ht="35" customHeight="1" x14ac:dyDescent="0.35">
      <c r="B51" s="275" t="s">
        <v>25</v>
      </c>
      <c r="C51" s="272"/>
      <c r="D51" s="272"/>
      <c r="E51" s="272"/>
      <c r="F51" s="272"/>
      <c r="G51" s="272"/>
      <c r="H51" s="272"/>
      <c r="I51" s="272"/>
      <c r="J51" s="272"/>
      <c r="K51" s="272"/>
      <c r="L51" s="272"/>
      <c r="M51" s="272"/>
      <c r="N51" s="272"/>
      <c r="O51" s="272"/>
      <c r="P51" s="272"/>
      <c r="Q51" s="272"/>
      <c r="R51" s="272"/>
    </row>
  </sheetData>
  <sheetProtection algorithmName="SHA-512" hashValue="z2WT0x1W3XFgnwkb691zsfACaoZ1+0mojXZ0Lz0dfHKXRvolsB+tKohrMyWEnFonOxYtewpEs8E2tCSVGA0eBg==" saltValue="7eKdymwNmz2SKynBobG8Yw==" spinCount="100000" sheet="1" objects="1" scenarios="1"/>
  <mergeCells count="4">
    <mergeCell ref="B5:R5"/>
    <mergeCell ref="B51:R51"/>
    <mergeCell ref="B44:R44"/>
    <mergeCell ref="B3:R3"/>
  </mergeCells>
  <pageMargins left="0.7" right="0.7" top="0.75" bottom="0.75" header="0.3" footer="0.3"/>
  <pageSetup scale="34"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5">
    <tabColor rgb="FF92D050"/>
  </sheetPr>
  <dimension ref="B3:Q51"/>
  <sheetViews>
    <sheetView workbookViewId="0"/>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107" width="9.453125" style="2" customWidth="1"/>
    <col min="108" max="16384" width="9.453125" style="2"/>
  </cols>
  <sheetData>
    <row r="3" spans="2:17" ht="14.5" customHeight="1" x14ac:dyDescent="0.35">
      <c r="B3" s="332" t="str">
        <f>_xlfn.CONCAT("GDP: SUMMARY OF GROSS DIRECT PREMIUM UNDER GENERAL INSURANCE BUSINESS FOR THE PERIOD ENDED"," ",Details!F18)</f>
        <v>GDP: SUMMARY OF GROSS DIRECT PREMIUM UNDER GENERAL INSURANCE BUSINESS FOR THE PERIOD ENDED 31.12.2025</v>
      </c>
      <c r="C3" s="269"/>
      <c r="D3" s="269"/>
      <c r="E3" s="269"/>
      <c r="F3" s="269"/>
      <c r="G3" s="269"/>
      <c r="H3" s="269"/>
      <c r="I3" s="269"/>
      <c r="J3" s="269"/>
      <c r="K3" s="269"/>
      <c r="L3" s="269"/>
      <c r="M3" s="269"/>
      <c r="N3" s="269"/>
      <c r="O3" s="269"/>
      <c r="P3" s="269"/>
      <c r="Q3" s="270"/>
    </row>
    <row r="4" spans="2:17" ht="28" customHeight="1" x14ac:dyDescent="0.3">
      <c r="B4" s="26" t="s">
        <v>0</v>
      </c>
      <c r="C4" s="27" t="s">
        <v>215</v>
      </c>
      <c r="D4" s="27" t="s">
        <v>216</v>
      </c>
      <c r="E4" s="27" t="s">
        <v>217</v>
      </c>
      <c r="F4" s="27" t="s">
        <v>218</v>
      </c>
      <c r="G4" s="27" t="s">
        <v>219</v>
      </c>
      <c r="H4" s="27" t="s">
        <v>220</v>
      </c>
      <c r="I4" s="27" t="s">
        <v>221</v>
      </c>
      <c r="J4" s="27" t="s">
        <v>222</v>
      </c>
      <c r="K4" s="27" t="s">
        <v>223</v>
      </c>
      <c r="L4" s="27" t="s">
        <v>224</v>
      </c>
      <c r="M4" s="27" t="s">
        <v>225</v>
      </c>
      <c r="N4" s="27" t="s">
        <v>226</v>
      </c>
      <c r="O4" s="27" t="s">
        <v>227</v>
      </c>
      <c r="P4" s="27" t="s">
        <v>228</v>
      </c>
      <c r="Q4" s="27" t="s">
        <v>229</v>
      </c>
    </row>
    <row r="5" spans="2:17" ht="14.5" customHeight="1" x14ac:dyDescent="0.35">
      <c r="B5" s="331" t="s">
        <v>17</v>
      </c>
      <c r="C5" s="269"/>
      <c r="D5" s="269"/>
      <c r="E5" s="269"/>
      <c r="F5" s="269"/>
      <c r="G5" s="269"/>
      <c r="H5" s="269"/>
      <c r="I5" s="269"/>
      <c r="J5" s="269"/>
      <c r="K5" s="269"/>
      <c r="L5" s="269"/>
      <c r="M5" s="269"/>
      <c r="N5" s="269"/>
      <c r="O5" s="269"/>
      <c r="P5" s="269"/>
      <c r="Q5" s="270"/>
    </row>
    <row r="6" spans="2:17" x14ac:dyDescent="0.3">
      <c r="B6" s="37" t="s">
        <v>66</v>
      </c>
      <c r="C6" s="28">
        <v>0</v>
      </c>
      <c r="D6" s="28">
        <v>4919.0489000000007</v>
      </c>
      <c r="E6" s="28">
        <v>2218.0252799999998</v>
      </c>
      <c r="F6" s="28">
        <v>16028.405570000001</v>
      </c>
      <c r="G6" s="28">
        <v>33955.924819999993</v>
      </c>
      <c r="H6" s="28">
        <v>3504.7488400000002</v>
      </c>
      <c r="I6" s="28">
        <v>3995.734640000001</v>
      </c>
      <c r="J6" s="28">
        <v>0</v>
      </c>
      <c r="K6" s="28">
        <v>0</v>
      </c>
      <c r="L6" s="28">
        <v>25155.475599999809</v>
      </c>
      <c r="M6" s="28">
        <v>11683.57458</v>
      </c>
      <c r="N6" s="28">
        <v>110830.08367000009</v>
      </c>
      <c r="O6" s="28">
        <v>12538971.234160859</v>
      </c>
      <c r="P6" s="28">
        <v>20832.530529999811</v>
      </c>
      <c r="Q6" s="40">
        <v>12772094.786590859</v>
      </c>
    </row>
    <row r="7" spans="2:17" x14ac:dyDescent="0.3">
      <c r="B7" s="37" t="s">
        <v>67</v>
      </c>
      <c r="C7" s="28">
        <v>0</v>
      </c>
      <c r="D7" s="28">
        <v>83212.566759999987</v>
      </c>
      <c r="E7" s="28">
        <v>1054.0713499999999</v>
      </c>
      <c r="F7" s="28">
        <v>110584.02873999999</v>
      </c>
      <c r="G7" s="28">
        <v>22966.404320000001</v>
      </c>
      <c r="H7" s="28">
        <v>5569.86852</v>
      </c>
      <c r="I7" s="28">
        <v>464420.18978000002</v>
      </c>
      <c r="J7" s="28">
        <v>451194.66167399992</v>
      </c>
      <c r="K7" s="28">
        <v>2556769.7494859998</v>
      </c>
      <c r="L7" s="28">
        <v>23359.312999999998</v>
      </c>
      <c r="M7" s="28">
        <v>5965.0380800000003</v>
      </c>
      <c r="N7" s="28">
        <v>89986.882289999994</v>
      </c>
      <c r="O7" s="28">
        <v>0</v>
      </c>
      <c r="P7" s="28">
        <v>35801.911489999999</v>
      </c>
      <c r="Q7" s="40">
        <v>3850884.6854899991</v>
      </c>
    </row>
    <row r="8" spans="2:17" x14ac:dyDescent="0.3">
      <c r="B8" s="37" t="s">
        <v>68</v>
      </c>
      <c r="C8" s="28">
        <v>459879.136</v>
      </c>
      <c r="D8" s="28">
        <v>339166.92700000003</v>
      </c>
      <c r="E8" s="28">
        <v>135709.81200000001</v>
      </c>
      <c r="F8" s="28">
        <v>2293287.1970000002</v>
      </c>
      <c r="G8" s="28">
        <v>323181.80099999998</v>
      </c>
      <c r="H8" s="28">
        <v>320544.59700000001</v>
      </c>
      <c r="I8" s="28">
        <v>3077319.08</v>
      </c>
      <c r="J8" s="28">
        <v>2393125.2889999999</v>
      </c>
      <c r="K8" s="28">
        <v>0</v>
      </c>
      <c r="L8" s="28">
        <v>143785.85699999999</v>
      </c>
      <c r="M8" s="28">
        <v>282201.18199999997</v>
      </c>
      <c r="N8" s="28">
        <v>610280.73300000001</v>
      </c>
      <c r="O8" s="28">
        <v>7901106.4910000004</v>
      </c>
      <c r="P8" s="28">
        <v>561886.56000000006</v>
      </c>
      <c r="Q8" s="40">
        <v>18841474.662</v>
      </c>
    </row>
    <row r="9" spans="2:17" x14ac:dyDescent="0.3">
      <c r="B9" s="37" t="s">
        <v>69</v>
      </c>
      <c r="C9" s="28">
        <v>140103.24708</v>
      </c>
      <c r="D9" s="28">
        <v>533330.75188999996</v>
      </c>
      <c r="E9" s="28">
        <v>133389.66349000001</v>
      </c>
      <c r="F9" s="28">
        <v>1617096.2263199999</v>
      </c>
      <c r="G9" s="28">
        <v>533295.82387999981</v>
      </c>
      <c r="H9" s="28">
        <v>485920.37097000057</v>
      </c>
      <c r="I9" s="28">
        <v>1609579.722210007</v>
      </c>
      <c r="J9" s="28">
        <v>710048.58355000033</v>
      </c>
      <c r="K9" s="28">
        <v>0</v>
      </c>
      <c r="L9" s="28">
        <v>206469.81062705471</v>
      </c>
      <c r="M9" s="28">
        <v>594918.88169000007</v>
      </c>
      <c r="N9" s="28">
        <v>568920.27748240705</v>
      </c>
      <c r="O9" s="28">
        <v>7102393.3178011971</v>
      </c>
      <c r="P9" s="28">
        <v>55369.443860000007</v>
      </c>
      <c r="Q9" s="40">
        <v>14290836.120850669</v>
      </c>
    </row>
    <row r="10" spans="2:17" x14ac:dyDescent="0.3">
      <c r="B10" s="37" t="s">
        <v>70</v>
      </c>
      <c r="C10" s="28">
        <v>0</v>
      </c>
      <c r="D10" s="28">
        <v>0</v>
      </c>
      <c r="E10" s="28">
        <v>0</v>
      </c>
      <c r="F10" s="28">
        <v>0</v>
      </c>
      <c r="G10" s="28">
        <v>0</v>
      </c>
      <c r="H10" s="28">
        <v>0</v>
      </c>
      <c r="I10" s="28">
        <v>0</v>
      </c>
      <c r="J10" s="28">
        <v>0</v>
      </c>
      <c r="K10" s="28">
        <v>0</v>
      </c>
      <c r="L10" s="28">
        <v>0</v>
      </c>
      <c r="M10" s="28">
        <v>0</v>
      </c>
      <c r="N10" s="28">
        <v>0</v>
      </c>
      <c r="O10" s="28">
        <v>5329053.4579999996</v>
      </c>
      <c r="P10" s="28">
        <v>0</v>
      </c>
      <c r="Q10" s="40">
        <v>5329053.4579999996</v>
      </c>
    </row>
    <row r="11" spans="2:17" x14ac:dyDescent="0.3">
      <c r="B11" s="37" t="s">
        <v>71</v>
      </c>
      <c r="C11" s="28">
        <v>0</v>
      </c>
      <c r="D11" s="28">
        <v>109322.859</v>
      </c>
      <c r="E11" s="28">
        <v>15647.183000000001</v>
      </c>
      <c r="F11" s="28">
        <v>152024.65599999999</v>
      </c>
      <c r="G11" s="28">
        <v>30357.858</v>
      </c>
      <c r="H11" s="28">
        <v>58558.106</v>
      </c>
      <c r="I11" s="28">
        <v>1408656.0672500001</v>
      </c>
      <c r="J11" s="28">
        <v>452535.75196999998</v>
      </c>
      <c r="K11" s="28">
        <v>0</v>
      </c>
      <c r="L11" s="28">
        <v>18215.454000000002</v>
      </c>
      <c r="M11" s="28">
        <v>17584.675999999999</v>
      </c>
      <c r="N11" s="28">
        <v>96358.956999999995</v>
      </c>
      <c r="O11" s="28">
        <v>0</v>
      </c>
      <c r="P11" s="28">
        <v>44376.017999999996</v>
      </c>
      <c r="Q11" s="40">
        <v>2403637.5862199999</v>
      </c>
    </row>
    <row r="12" spans="2:17" x14ac:dyDescent="0.3">
      <c r="B12" s="37" t="s">
        <v>72</v>
      </c>
      <c r="C12" s="28">
        <v>0</v>
      </c>
      <c r="D12" s="28">
        <v>311836.74273</v>
      </c>
      <c r="E12" s="28">
        <v>119099.21062</v>
      </c>
      <c r="F12" s="28">
        <v>704291.12348999933</v>
      </c>
      <c r="G12" s="28">
        <v>163012.93121000001</v>
      </c>
      <c r="H12" s="28">
        <v>50673.622099999993</v>
      </c>
      <c r="I12" s="28">
        <v>3694704.8657999989</v>
      </c>
      <c r="J12" s="28">
        <v>2919606.4300400009</v>
      </c>
      <c r="K12" s="28">
        <v>0</v>
      </c>
      <c r="L12" s="28">
        <v>249940.3939599999</v>
      </c>
      <c r="M12" s="28">
        <v>709051.3409300003</v>
      </c>
      <c r="N12" s="28">
        <v>683597.89695999993</v>
      </c>
      <c r="O12" s="28">
        <v>10175094.29159281</v>
      </c>
      <c r="P12" s="28">
        <v>308636.65065000003</v>
      </c>
      <c r="Q12" s="40">
        <v>20089545.500082809</v>
      </c>
    </row>
    <row r="13" spans="2:17" x14ac:dyDescent="0.3">
      <c r="B13" s="37" t="s">
        <v>73</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74</v>
      </c>
      <c r="C14" s="28">
        <v>0</v>
      </c>
      <c r="D14" s="28">
        <v>1044.213</v>
      </c>
      <c r="E14" s="28">
        <v>546.36500000000001</v>
      </c>
      <c r="F14" s="28">
        <v>2162.5500000000002</v>
      </c>
      <c r="G14" s="28">
        <v>1342.623</v>
      </c>
      <c r="H14" s="28">
        <v>520.76599999999996</v>
      </c>
      <c r="I14" s="28">
        <v>245975.81946999999</v>
      </c>
      <c r="J14" s="28">
        <v>190979.94615140001</v>
      </c>
      <c r="K14" s="28">
        <v>589306.33176249976</v>
      </c>
      <c r="L14" s="28">
        <v>415.15899999999999</v>
      </c>
      <c r="M14" s="28">
        <v>3665.7930000000001</v>
      </c>
      <c r="N14" s="28">
        <v>904.63900000000001</v>
      </c>
      <c r="O14" s="28">
        <v>0</v>
      </c>
      <c r="P14" s="28">
        <v>111859.567</v>
      </c>
      <c r="Q14" s="40">
        <v>1148723.7723838999</v>
      </c>
    </row>
    <row r="15" spans="2:17" x14ac:dyDescent="0.3">
      <c r="B15" s="37" t="s">
        <v>75</v>
      </c>
      <c r="C15" s="28">
        <v>0</v>
      </c>
      <c r="D15" s="28">
        <v>0</v>
      </c>
      <c r="E15" s="28">
        <v>0</v>
      </c>
      <c r="F15" s="28">
        <v>0</v>
      </c>
      <c r="G15" s="28">
        <v>0</v>
      </c>
      <c r="H15" s="28">
        <v>0</v>
      </c>
      <c r="I15" s="28">
        <v>318486.41463000019</v>
      </c>
      <c r="J15" s="28">
        <v>97887.566780000008</v>
      </c>
      <c r="K15" s="28">
        <v>2317684.5190999992</v>
      </c>
      <c r="L15" s="28">
        <v>0</v>
      </c>
      <c r="M15" s="28">
        <v>0</v>
      </c>
      <c r="N15" s="28">
        <v>0</v>
      </c>
      <c r="O15" s="28">
        <v>0</v>
      </c>
      <c r="P15" s="28">
        <v>0</v>
      </c>
      <c r="Q15" s="40">
        <v>2734058.5005099992</v>
      </c>
    </row>
    <row r="16" spans="2:17" x14ac:dyDescent="0.3">
      <c r="B16" s="37" t="s">
        <v>76</v>
      </c>
      <c r="C16" s="28">
        <v>0</v>
      </c>
      <c r="D16" s="28">
        <v>29307.96980875</v>
      </c>
      <c r="E16" s="28">
        <v>1038.95</v>
      </c>
      <c r="F16" s="28">
        <v>58055.903075431866</v>
      </c>
      <c r="G16" s="28">
        <v>46200.205999999998</v>
      </c>
      <c r="H16" s="28">
        <v>245.297</v>
      </c>
      <c r="I16" s="28">
        <v>0</v>
      </c>
      <c r="J16" s="28">
        <v>0</v>
      </c>
      <c r="K16" s="28">
        <v>0</v>
      </c>
      <c r="L16" s="28">
        <v>1039.5050000000001</v>
      </c>
      <c r="M16" s="28">
        <v>449205.79593999998</v>
      </c>
      <c r="N16" s="28">
        <v>6948.7330000000002</v>
      </c>
      <c r="O16" s="28">
        <v>1196907.175</v>
      </c>
      <c r="P16" s="28">
        <v>100</v>
      </c>
      <c r="Q16" s="40">
        <v>1789049.534824182</v>
      </c>
    </row>
    <row r="17" spans="2:17" x14ac:dyDescent="0.3">
      <c r="B17" s="37" t="s">
        <v>77</v>
      </c>
      <c r="C17" s="28">
        <v>0</v>
      </c>
      <c r="D17" s="28">
        <v>0</v>
      </c>
      <c r="E17" s="28">
        <v>0</v>
      </c>
      <c r="F17" s="28">
        <v>0</v>
      </c>
      <c r="G17" s="28">
        <v>0</v>
      </c>
      <c r="H17" s="28">
        <v>0</v>
      </c>
      <c r="I17" s="28">
        <v>0</v>
      </c>
      <c r="J17" s="28">
        <v>0</v>
      </c>
      <c r="K17" s="28">
        <v>0</v>
      </c>
      <c r="L17" s="28">
        <v>0</v>
      </c>
      <c r="M17" s="28">
        <v>0</v>
      </c>
      <c r="N17" s="28">
        <v>0</v>
      </c>
      <c r="O17" s="28">
        <v>19165.8596</v>
      </c>
      <c r="P17" s="28">
        <v>0</v>
      </c>
      <c r="Q17" s="40">
        <v>19165.8596</v>
      </c>
    </row>
    <row r="18" spans="2:17" x14ac:dyDescent="0.3">
      <c r="B18" s="37" t="s">
        <v>78</v>
      </c>
      <c r="C18" s="28">
        <v>703963.51</v>
      </c>
      <c r="D18" s="28">
        <v>82715.808000000005</v>
      </c>
      <c r="E18" s="28">
        <v>37975.110999999997</v>
      </c>
      <c r="F18" s="28">
        <v>318358.12099999998</v>
      </c>
      <c r="G18" s="28">
        <v>78133.063999999998</v>
      </c>
      <c r="H18" s="28">
        <v>125115.30499999999</v>
      </c>
      <c r="I18" s="28">
        <v>1499042.818</v>
      </c>
      <c r="J18" s="28">
        <v>1163930.061</v>
      </c>
      <c r="K18" s="28">
        <v>40566.817000000003</v>
      </c>
      <c r="L18" s="28">
        <v>9491.107</v>
      </c>
      <c r="M18" s="28">
        <v>72635.422999999995</v>
      </c>
      <c r="N18" s="28">
        <v>329168.50868000032</v>
      </c>
      <c r="O18" s="28">
        <v>313830.07833999989</v>
      </c>
      <c r="P18" s="28">
        <v>232127.47200000001</v>
      </c>
      <c r="Q18" s="40">
        <v>5007053.2040200001</v>
      </c>
    </row>
    <row r="19" spans="2:17" x14ac:dyDescent="0.3">
      <c r="B19" s="37" t="s">
        <v>79</v>
      </c>
      <c r="C19" s="28">
        <v>0</v>
      </c>
      <c r="D19" s="28">
        <v>161117.66899999999</v>
      </c>
      <c r="E19" s="28">
        <v>73769.14</v>
      </c>
      <c r="F19" s="28">
        <v>636131.24899999995</v>
      </c>
      <c r="G19" s="28">
        <v>177344.592</v>
      </c>
      <c r="H19" s="28">
        <v>164689.52299999999</v>
      </c>
      <c r="I19" s="28">
        <v>745023.31200000003</v>
      </c>
      <c r="J19" s="28">
        <v>659996.46299999999</v>
      </c>
      <c r="K19" s="28">
        <v>0</v>
      </c>
      <c r="L19" s="28">
        <v>172299.337</v>
      </c>
      <c r="M19" s="28">
        <v>253661.43400000001</v>
      </c>
      <c r="N19" s="28">
        <v>151745.00399999999</v>
      </c>
      <c r="O19" s="28">
        <v>3755490.41</v>
      </c>
      <c r="P19" s="28">
        <v>193647.59</v>
      </c>
      <c r="Q19" s="40">
        <v>7144915.7230000002</v>
      </c>
    </row>
    <row r="20" spans="2:17" x14ac:dyDescent="0.3">
      <c r="B20" s="37" t="s">
        <v>80</v>
      </c>
      <c r="C20" s="28">
        <v>1117857.081</v>
      </c>
      <c r="D20" s="28">
        <v>908019.15599999996</v>
      </c>
      <c r="E20" s="28">
        <v>191361.345</v>
      </c>
      <c r="F20" s="28">
        <v>3273889.3160000001</v>
      </c>
      <c r="G20" s="28">
        <v>293211.94699999999</v>
      </c>
      <c r="H20" s="28">
        <v>806283.38800000004</v>
      </c>
      <c r="I20" s="28">
        <v>1827536.6370000001</v>
      </c>
      <c r="J20" s="28">
        <v>1420798.0419999999</v>
      </c>
      <c r="K20" s="28">
        <v>119276.538</v>
      </c>
      <c r="L20" s="28">
        <v>152409.32399999999</v>
      </c>
      <c r="M20" s="28">
        <v>569086.61</v>
      </c>
      <c r="N20" s="28">
        <v>1049847.1399999999</v>
      </c>
      <c r="O20" s="28">
        <v>4735942.2079999996</v>
      </c>
      <c r="P20" s="28">
        <v>564385.10900000005</v>
      </c>
      <c r="Q20" s="40">
        <v>17029903.840999998</v>
      </c>
    </row>
    <row r="21" spans="2:17" x14ac:dyDescent="0.3">
      <c r="B21" s="37" t="s">
        <v>81</v>
      </c>
      <c r="C21" s="28">
        <v>193246.799</v>
      </c>
      <c r="D21" s="28">
        <v>105893.62</v>
      </c>
      <c r="E21" s="28">
        <v>83604.448999999993</v>
      </c>
      <c r="F21" s="28">
        <v>986110.21699999995</v>
      </c>
      <c r="G21" s="28">
        <v>136097.16</v>
      </c>
      <c r="H21" s="28">
        <v>363892.73700000002</v>
      </c>
      <c r="I21" s="28">
        <v>1157131.594</v>
      </c>
      <c r="J21" s="28">
        <v>1018334.203</v>
      </c>
      <c r="K21" s="28">
        <v>0</v>
      </c>
      <c r="L21" s="28">
        <v>145093.56299999999</v>
      </c>
      <c r="M21" s="28">
        <v>200127.56400000001</v>
      </c>
      <c r="N21" s="28">
        <v>443189.81</v>
      </c>
      <c r="O21" s="28">
        <v>0</v>
      </c>
      <c r="P21" s="28">
        <v>107009.126</v>
      </c>
      <c r="Q21" s="40">
        <v>4939730.8420000002</v>
      </c>
    </row>
    <row r="22" spans="2:17" x14ac:dyDescent="0.3">
      <c r="B22" s="37" t="s">
        <v>82</v>
      </c>
      <c r="C22" s="28">
        <v>980664.83400000003</v>
      </c>
      <c r="D22" s="28">
        <v>375555.125</v>
      </c>
      <c r="E22" s="28">
        <v>155859.81400000001</v>
      </c>
      <c r="F22" s="28">
        <v>1654509.344</v>
      </c>
      <c r="G22" s="28">
        <v>238354.242</v>
      </c>
      <c r="H22" s="28">
        <v>256065.302</v>
      </c>
      <c r="I22" s="28">
        <v>2500115.9619999998</v>
      </c>
      <c r="J22" s="28">
        <v>621071.79700000002</v>
      </c>
      <c r="K22" s="28">
        <v>0</v>
      </c>
      <c r="L22" s="28">
        <v>277028.337</v>
      </c>
      <c r="M22" s="28">
        <v>218116.27799999999</v>
      </c>
      <c r="N22" s="28">
        <v>556583.15099999995</v>
      </c>
      <c r="O22" s="28">
        <v>590190.26300000004</v>
      </c>
      <c r="P22" s="28">
        <v>229846.46799999999</v>
      </c>
      <c r="Q22" s="40">
        <v>8653960.9169999994</v>
      </c>
    </row>
    <row r="23" spans="2:17" x14ac:dyDescent="0.3">
      <c r="B23" s="37" t="s">
        <v>83</v>
      </c>
      <c r="C23" s="28">
        <v>0</v>
      </c>
      <c r="D23" s="28">
        <v>416563.54</v>
      </c>
      <c r="E23" s="28">
        <v>85863.116999999998</v>
      </c>
      <c r="F23" s="28">
        <v>516003.52899999998</v>
      </c>
      <c r="G23" s="28">
        <v>50099.000999999997</v>
      </c>
      <c r="H23" s="28">
        <v>239509.40400000001</v>
      </c>
      <c r="I23" s="28">
        <v>812129.50800000003</v>
      </c>
      <c r="J23" s="28">
        <v>393557.09499999997</v>
      </c>
      <c r="K23" s="28">
        <v>47231.862999999998</v>
      </c>
      <c r="L23" s="28">
        <v>23259.428</v>
      </c>
      <c r="M23" s="28">
        <v>101092.995</v>
      </c>
      <c r="N23" s="28">
        <v>353601.93199999997</v>
      </c>
      <c r="O23" s="28">
        <v>0</v>
      </c>
      <c r="P23" s="28">
        <v>420213.67800000001</v>
      </c>
      <c r="Q23" s="40">
        <v>3459125.09</v>
      </c>
    </row>
    <row r="24" spans="2:17" x14ac:dyDescent="0.3">
      <c r="B24" s="37" t="s">
        <v>84</v>
      </c>
      <c r="C24" s="28">
        <v>0</v>
      </c>
      <c r="D24" s="28">
        <v>0</v>
      </c>
      <c r="E24" s="28">
        <v>0</v>
      </c>
      <c r="F24" s="28">
        <v>0</v>
      </c>
      <c r="G24" s="28">
        <v>0</v>
      </c>
      <c r="H24" s="28">
        <v>0</v>
      </c>
      <c r="I24" s="28">
        <v>0</v>
      </c>
      <c r="J24" s="28">
        <v>0</v>
      </c>
      <c r="K24" s="28">
        <v>0</v>
      </c>
      <c r="L24" s="28">
        <v>0</v>
      </c>
      <c r="M24" s="28">
        <v>0</v>
      </c>
      <c r="N24" s="28">
        <v>0</v>
      </c>
      <c r="O24" s="28">
        <v>17047504.554162528</v>
      </c>
      <c r="P24" s="28">
        <v>0</v>
      </c>
      <c r="Q24" s="40">
        <v>17047504.554162528</v>
      </c>
    </row>
    <row r="25" spans="2:17" x14ac:dyDescent="0.3">
      <c r="B25" s="37" t="s">
        <v>85</v>
      </c>
      <c r="C25" s="28">
        <v>0</v>
      </c>
      <c r="D25" s="28">
        <v>162210.06400000001</v>
      </c>
      <c r="E25" s="28">
        <v>32057.781999999999</v>
      </c>
      <c r="F25" s="28">
        <v>637977.27899999998</v>
      </c>
      <c r="G25" s="28">
        <v>65695.975000000006</v>
      </c>
      <c r="H25" s="28">
        <v>147559.45000000001</v>
      </c>
      <c r="I25" s="28">
        <v>591852.77899999998</v>
      </c>
      <c r="J25" s="28">
        <v>396730.55300000001</v>
      </c>
      <c r="K25" s="28">
        <v>0</v>
      </c>
      <c r="L25" s="28">
        <v>8579.4259999999995</v>
      </c>
      <c r="M25" s="28">
        <v>126205.62300000001</v>
      </c>
      <c r="N25" s="28">
        <v>219328.89499999999</v>
      </c>
      <c r="O25" s="28">
        <v>162154.30799999999</v>
      </c>
      <c r="P25" s="28">
        <v>51190.343999999997</v>
      </c>
      <c r="Q25" s="40">
        <v>2601542.4780000001</v>
      </c>
    </row>
    <row r="26" spans="2:17" x14ac:dyDescent="0.3">
      <c r="B26" s="37" t="s">
        <v>86</v>
      </c>
      <c r="C26" s="28">
        <v>0</v>
      </c>
      <c r="D26" s="28">
        <v>53624.000260000234</v>
      </c>
      <c r="E26" s="28">
        <v>27319.105</v>
      </c>
      <c r="F26" s="28">
        <v>115376.208</v>
      </c>
      <c r="G26" s="28">
        <v>19944.052</v>
      </c>
      <c r="H26" s="28">
        <v>3678.1120000000001</v>
      </c>
      <c r="I26" s="28">
        <v>357735.58389000001</v>
      </c>
      <c r="J26" s="28">
        <v>189052.53099999999</v>
      </c>
      <c r="K26" s="28">
        <v>32447.213</v>
      </c>
      <c r="L26" s="28">
        <v>7233.92</v>
      </c>
      <c r="M26" s="28">
        <v>61236.644999999997</v>
      </c>
      <c r="N26" s="28">
        <v>74932.604000000007</v>
      </c>
      <c r="O26" s="28">
        <v>0</v>
      </c>
      <c r="P26" s="28">
        <v>171089.66899999999</v>
      </c>
      <c r="Q26" s="40">
        <v>1113669.6431499999</v>
      </c>
    </row>
    <row r="27" spans="2:17" x14ac:dyDescent="0.3">
      <c r="B27" s="37" t="s">
        <v>87</v>
      </c>
      <c r="C27" s="28">
        <v>0</v>
      </c>
      <c r="D27" s="28">
        <v>88120.114999999991</v>
      </c>
      <c r="E27" s="28">
        <v>29009.795000000009</v>
      </c>
      <c r="F27" s="28">
        <v>709480.37399999984</v>
      </c>
      <c r="G27" s="28">
        <v>280207.02899999998</v>
      </c>
      <c r="H27" s="28">
        <v>41591.529000000002</v>
      </c>
      <c r="I27" s="28">
        <v>543159.73800000001</v>
      </c>
      <c r="J27" s="28">
        <v>3569261.3190000001</v>
      </c>
      <c r="K27" s="28">
        <v>0</v>
      </c>
      <c r="L27" s="28">
        <v>43193.739000000001</v>
      </c>
      <c r="M27" s="28">
        <v>164281.51300000001</v>
      </c>
      <c r="N27" s="28">
        <v>374442.80599999998</v>
      </c>
      <c r="O27" s="28">
        <v>3232128.2989400011</v>
      </c>
      <c r="P27" s="28">
        <v>363114.16200000001</v>
      </c>
      <c r="Q27" s="40">
        <v>9437990.4179400001</v>
      </c>
    </row>
    <row r="28" spans="2:17" x14ac:dyDescent="0.3">
      <c r="B28" s="37" t="s">
        <v>88</v>
      </c>
      <c r="C28" s="28">
        <v>674903.25800000003</v>
      </c>
      <c r="D28" s="28">
        <v>1147162.5819999999</v>
      </c>
      <c r="E28" s="28">
        <v>153876.084</v>
      </c>
      <c r="F28" s="28">
        <v>1970679.219</v>
      </c>
      <c r="G28" s="28">
        <v>296703.56900000002</v>
      </c>
      <c r="H28" s="28">
        <v>537153.85600000003</v>
      </c>
      <c r="I28" s="28">
        <v>787499.79399999999</v>
      </c>
      <c r="J28" s="28">
        <v>603522.57499999995</v>
      </c>
      <c r="K28" s="28">
        <v>28493.353999999999</v>
      </c>
      <c r="L28" s="28">
        <v>66095.573999999993</v>
      </c>
      <c r="M28" s="28">
        <v>315739.902</v>
      </c>
      <c r="N28" s="28">
        <v>909549.98199999996</v>
      </c>
      <c r="O28" s="28">
        <v>0</v>
      </c>
      <c r="P28" s="28">
        <v>1221061.2339999999</v>
      </c>
      <c r="Q28" s="40">
        <v>8712440.9829999991</v>
      </c>
    </row>
    <row r="29" spans="2:17" x14ac:dyDescent="0.3">
      <c r="B29" s="37" t="s">
        <v>89</v>
      </c>
      <c r="C29" s="28">
        <v>58948.523999999998</v>
      </c>
      <c r="D29" s="28">
        <v>20375.087</v>
      </c>
      <c r="E29" s="28">
        <v>9418.0519999999997</v>
      </c>
      <c r="F29" s="28">
        <v>341789.58500000002</v>
      </c>
      <c r="G29" s="28">
        <v>85624.835000000006</v>
      </c>
      <c r="H29" s="28">
        <v>80795.081000000006</v>
      </c>
      <c r="I29" s="28">
        <v>299579.35399999999</v>
      </c>
      <c r="J29" s="28">
        <v>109515.04</v>
      </c>
      <c r="K29" s="28">
        <v>0</v>
      </c>
      <c r="L29" s="28">
        <v>24660.274000000001</v>
      </c>
      <c r="M29" s="28">
        <v>27840.741000000002</v>
      </c>
      <c r="N29" s="28">
        <v>64823.970999999998</v>
      </c>
      <c r="O29" s="28">
        <v>944605.50600000005</v>
      </c>
      <c r="P29" s="28">
        <v>66721.425000000003</v>
      </c>
      <c r="Q29" s="40">
        <v>2134697.4750000001</v>
      </c>
    </row>
    <row r="30" spans="2:17" x14ac:dyDescent="0.3">
      <c r="B30" s="37" t="s">
        <v>90</v>
      </c>
      <c r="C30" s="28">
        <v>1098.7425499999999</v>
      </c>
      <c r="D30" s="28">
        <v>35612.824610000003</v>
      </c>
      <c r="E30" s="28">
        <v>127353.22497</v>
      </c>
      <c r="F30" s="28">
        <v>540264.87533999979</v>
      </c>
      <c r="G30" s="28">
        <v>621354.67090999999</v>
      </c>
      <c r="H30" s="28">
        <v>28357.368279999999</v>
      </c>
      <c r="I30" s="28">
        <v>1087091.0005000001</v>
      </c>
      <c r="J30" s="28">
        <v>151813.91149999999</v>
      </c>
      <c r="K30" s="28">
        <v>0</v>
      </c>
      <c r="L30" s="28">
        <v>225494.3371200001</v>
      </c>
      <c r="M30" s="28">
        <v>285292.27135</v>
      </c>
      <c r="N30" s="28">
        <v>307757.50009999989</v>
      </c>
      <c r="O30" s="28">
        <v>0</v>
      </c>
      <c r="P30" s="28">
        <v>138.428</v>
      </c>
      <c r="Q30" s="40">
        <v>3411629.1552300001</v>
      </c>
    </row>
    <row r="31" spans="2:17" x14ac:dyDescent="0.3">
      <c r="B31" s="37" t="s">
        <v>91</v>
      </c>
      <c r="C31" s="28">
        <v>28324.136999999999</v>
      </c>
      <c r="D31" s="28">
        <v>128409.25199999999</v>
      </c>
      <c r="E31" s="28">
        <v>42086.771999999997</v>
      </c>
      <c r="F31" s="28">
        <v>282759.28200000001</v>
      </c>
      <c r="G31" s="28">
        <v>13979.425999999999</v>
      </c>
      <c r="H31" s="28">
        <v>66203.75</v>
      </c>
      <c r="I31" s="28">
        <v>403765.679</v>
      </c>
      <c r="J31" s="28">
        <v>399074.35700000002</v>
      </c>
      <c r="K31" s="28">
        <v>0</v>
      </c>
      <c r="L31" s="28">
        <v>31347.484</v>
      </c>
      <c r="M31" s="28">
        <v>60964.843999999997</v>
      </c>
      <c r="N31" s="28">
        <v>213412.78487</v>
      </c>
      <c r="O31" s="28">
        <v>0</v>
      </c>
      <c r="P31" s="28">
        <v>54954.353999999999</v>
      </c>
      <c r="Q31" s="40">
        <v>1725282.1218699999</v>
      </c>
    </row>
    <row r="32" spans="2:17" x14ac:dyDescent="0.3">
      <c r="B32" s="37" t="s">
        <v>92</v>
      </c>
      <c r="C32" s="28">
        <v>43822.52079000001</v>
      </c>
      <c r="D32" s="28">
        <v>367757.96438000008</v>
      </c>
      <c r="E32" s="28">
        <v>218832.58204999991</v>
      </c>
      <c r="F32" s="28">
        <v>1036083.95704</v>
      </c>
      <c r="G32" s="28">
        <v>312547.44045000023</v>
      </c>
      <c r="H32" s="28">
        <v>163303.7978000002</v>
      </c>
      <c r="I32" s="28">
        <v>1785427.6592399999</v>
      </c>
      <c r="J32" s="28">
        <v>1551346.1528700001</v>
      </c>
      <c r="K32" s="28">
        <v>0</v>
      </c>
      <c r="L32" s="28">
        <v>94888.252179999152</v>
      </c>
      <c r="M32" s="28">
        <v>470811.37184999988</v>
      </c>
      <c r="N32" s="28">
        <v>364034.16685999988</v>
      </c>
      <c r="O32" s="28">
        <v>11241386.78413</v>
      </c>
      <c r="P32" s="28">
        <v>129587.58697</v>
      </c>
      <c r="Q32" s="40">
        <v>17779830.236609999</v>
      </c>
    </row>
    <row r="33" spans="2:17" x14ac:dyDescent="0.3">
      <c r="B33" s="37" t="s">
        <v>93</v>
      </c>
      <c r="C33" s="28">
        <v>0</v>
      </c>
      <c r="D33" s="28">
        <v>39621.362999999998</v>
      </c>
      <c r="E33" s="28">
        <v>18350.22</v>
      </c>
      <c r="F33" s="28">
        <v>157155.152</v>
      </c>
      <c r="G33" s="28">
        <v>327168.00300000003</v>
      </c>
      <c r="H33" s="28">
        <v>10245.661</v>
      </c>
      <c r="I33" s="28">
        <v>569687.38100000005</v>
      </c>
      <c r="J33" s="28">
        <v>800568.69700000004</v>
      </c>
      <c r="K33" s="28">
        <v>0</v>
      </c>
      <c r="L33" s="28">
        <v>43458.205999999998</v>
      </c>
      <c r="M33" s="28">
        <v>50310.351000000002</v>
      </c>
      <c r="N33" s="28">
        <v>160108.46599999999</v>
      </c>
      <c r="O33" s="28">
        <v>1355150.6440000001</v>
      </c>
      <c r="P33" s="28">
        <v>4962.1909999999998</v>
      </c>
      <c r="Q33" s="40">
        <v>3536786.335</v>
      </c>
    </row>
    <row r="34" spans="2:17" x14ac:dyDescent="0.3">
      <c r="B34" s="37" t="s">
        <v>94</v>
      </c>
      <c r="C34" s="28">
        <v>7712.8772600000002</v>
      </c>
      <c r="D34" s="28">
        <v>138632.51272319999</v>
      </c>
      <c r="E34" s="28">
        <v>15566.455</v>
      </c>
      <c r="F34" s="28">
        <v>301003.72409199999</v>
      </c>
      <c r="G34" s="28">
        <v>124452.769</v>
      </c>
      <c r="H34" s="28">
        <v>84769.351500000004</v>
      </c>
      <c r="I34" s="28">
        <v>1197597.5345829199</v>
      </c>
      <c r="J34" s="28">
        <v>787489.23914899991</v>
      </c>
      <c r="K34" s="28">
        <v>0</v>
      </c>
      <c r="L34" s="28">
        <v>30311.705000000002</v>
      </c>
      <c r="M34" s="28">
        <v>95735.012000000002</v>
      </c>
      <c r="N34" s="28">
        <v>122049.686</v>
      </c>
      <c r="O34" s="28">
        <v>0</v>
      </c>
      <c r="P34" s="28">
        <v>55342.075113600004</v>
      </c>
      <c r="Q34" s="40">
        <v>2960662.94142072</v>
      </c>
    </row>
    <row r="35" spans="2:17" x14ac:dyDescent="0.3">
      <c r="B35" s="37" t="s">
        <v>95</v>
      </c>
      <c r="C35" s="28">
        <v>1182.8340000000001</v>
      </c>
      <c r="D35" s="28">
        <v>213707.52299999999</v>
      </c>
      <c r="E35" s="28">
        <v>159272.58600000001</v>
      </c>
      <c r="F35" s="28">
        <v>2178486.8190000001</v>
      </c>
      <c r="G35" s="28">
        <v>663403.60699999996</v>
      </c>
      <c r="H35" s="28">
        <v>245260.03400000001</v>
      </c>
      <c r="I35" s="28">
        <v>2139797.8629999999</v>
      </c>
      <c r="J35" s="28">
        <v>1391969.9609999999</v>
      </c>
      <c r="K35" s="28">
        <v>0</v>
      </c>
      <c r="L35" s="28">
        <v>32359.126</v>
      </c>
      <c r="M35" s="28">
        <v>39259.358</v>
      </c>
      <c r="N35" s="28">
        <v>503981.83299999998</v>
      </c>
      <c r="O35" s="28">
        <v>0</v>
      </c>
      <c r="P35" s="28">
        <v>158207.264</v>
      </c>
      <c r="Q35" s="40">
        <v>7726888.8080000002</v>
      </c>
    </row>
    <row r="36" spans="2:17" x14ac:dyDescent="0.3">
      <c r="B36" s="37" t="s">
        <v>96</v>
      </c>
      <c r="C36" s="28">
        <v>84728.626000000004</v>
      </c>
      <c r="D36" s="28">
        <v>9755.7350000000006</v>
      </c>
      <c r="E36" s="28">
        <v>178.19</v>
      </c>
      <c r="F36" s="28">
        <v>14562.808999999999</v>
      </c>
      <c r="G36" s="28">
        <v>60235.22</v>
      </c>
      <c r="H36" s="28">
        <v>35834.476999999999</v>
      </c>
      <c r="I36" s="28">
        <v>102309.481</v>
      </c>
      <c r="J36" s="28">
        <v>63903.891000000003</v>
      </c>
      <c r="K36" s="28">
        <v>0</v>
      </c>
      <c r="L36" s="28">
        <v>1357.7619999999999</v>
      </c>
      <c r="M36" s="28">
        <v>32760.588</v>
      </c>
      <c r="N36" s="28">
        <v>43565.067000000003</v>
      </c>
      <c r="O36" s="28">
        <v>1553941.8</v>
      </c>
      <c r="P36" s="28">
        <v>83918.998999999996</v>
      </c>
      <c r="Q36" s="40">
        <v>2087052.645</v>
      </c>
    </row>
    <row r="37" spans="2:17" x14ac:dyDescent="0.3">
      <c r="B37" s="37" t="s">
        <v>97</v>
      </c>
      <c r="C37" s="28">
        <v>0</v>
      </c>
      <c r="D37" s="28">
        <v>46617.423000000003</v>
      </c>
      <c r="E37" s="28">
        <v>5517.1319999999996</v>
      </c>
      <c r="F37" s="28">
        <v>57562.582000000002</v>
      </c>
      <c r="G37" s="28">
        <v>52951.790999999997</v>
      </c>
      <c r="H37" s="28">
        <v>26190.778999999999</v>
      </c>
      <c r="I37" s="28">
        <v>246677.19732000001</v>
      </c>
      <c r="J37" s="28">
        <v>444881.22580000007</v>
      </c>
      <c r="K37" s="28">
        <v>0</v>
      </c>
      <c r="L37" s="28">
        <v>2017.4159999999999</v>
      </c>
      <c r="M37" s="28">
        <v>36336.171999999999</v>
      </c>
      <c r="N37" s="28">
        <v>52358.714</v>
      </c>
      <c r="O37" s="28">
        <v>7833.0029999999997</v>
      </c>
      <c r="P37" s="28">
        <v>52322.909</v>
      </c>
      <c r="Q37" s="40">
        <v>1031266.34412</v>
      </c>
    </row>
    <row r="38" spans="2:17" x14ac:dyDescent="0.3">
      <c r="B38" s="37" t="s">
        <v>98</v>
      </c>
      <c r="C38" s="28">
        <v>0</v>
      </c>
      <c r="D38" s="28">
        <v>147431.87</v>
      </c>
      <c r="E38" s="28">
        <v>93008.396999999997</v>
      </c>
      <c r="F38" s="28">
        <v>715921.09699999995</v>
      </c>
      <c r="G38" s="28">
        <v>44880.178999999996</v>
      </c>
      <c r="H38" s="28">
        <v>209809.40400000001</v>
      </c>
      <c r="I38" s="28">
        <v>277085.70699999999</v>
      </c>
      <c r="J38" s="28">
        <v>197734.40700000001</v>
      </c>
      <c r="K38" s="28">
        <v>0</v>
      </c>
      <c r="L38" s="28">
        <v>14120.133</v>
      </c>
      <c r="M38" s="28">
        <v>134634.75099999999</v>
      </c>
      <c r="N38" s="28">
        <v>290652.24400000001</v>
      </c>
      <c r="O38" s="28">
        <v>4392.1779999999999</v>
      </c>
      <c r="P38" s="28">
        <v>33825.324999999997</v>
      </c>
      <c r="Q38" s="40">
        <v>2163495.6919999998</v>
      </c>
    </row>
    <row r="39" spans="2:17" x14ac:dyDescent="0.3">
      <c r="B39" s="37" t="s">
        <v>99</v>
      </c>
      <c r="C39" s="28">
        <v>106456.75900000001</v>
      </c>
      <c r="D39" s="28">
        <v>128850.431</v>
      </c>
      <c r="E39" s="28">
        <v>122509.588</v>
      </c>
      <c r="F39" s="28">
        <v>1075865.4280000001</v>
      </c>
      <c r="G39" s="28">
        <v>251857.6</v>
      </c>
      <c r="H39" s="28">
        <v>116555.542</v>
      </c>
      <c r="I39" s="28">
        <v>1348246.8810000001</v>
      </c>
      <c r="J39" s="28">
        <v>671891.27500000002</v>
      </c>
      <c r="K39" s="28">
        <v>0</v>
      </c>
      <c r="L39" s="28">
        <v>203387.91</v>
      </c>
      <c r="M39" s="28">
        <v>115199.274</v>
      </c>
      <c r="N39" s="28">
        <v>484812.56099999999</v>
      </c>
      <c r="O39" s="28">
        <v>3615906.872</v>
      </c>
      <c r="P39" s="28">
        <v>353161.95299999998</v>
      </c>
      <c r="Q39" s="40">
        <v>8594702.0739999991</v>
      </c>
    </row>
    <row r="40" spans="2:17" x14ac:dyDescent="0.3">
      <c r="B40" s="37" t="s">
        <v>100</v>
      </c>
      <c r="C40" s="28">
        <v>0</v>
      </c>
      <c r="D40" s="28">
        <v>8975.2389999999996</v>
      </c>
      <c r="E40" s="28">
        <v>3495.2736</v>
      </c>
      <c r="F40" s="28">
        <v>29045.303540000001</v>
      </c>
      <c r="G40" s="28">
        <v>11400.06553</v>
      </c>
      <c r="H40" s="28">
        <v>2226.9730399999999</v>
      </c>
      <c r="I40" s="28">
        <v>654601.143279996</v>
      </c>
      <c r="J40" s="28">
        <v>193354.75012000001</v>
      </c>
      <c r="K40" s="28">
        <v>0</v>
      </c>
      <c r="L40" s="28">
        <v>14898.608539999999</v>
      </c>
      <c r="M40" s="28">
        <v>9214.8987699999998</v>
      </c>
      <c r="N40" s="28">
        <v>251471.86128000001</v>
      </c>
      <c r="O40" s="28">
        <v>462784.53901000001</v>
      </c>
      <c r="P40" s="28">
        <v>24869.800019999999</v>
      </c>
      <c r="Q40" s="40">
        <v>1666338.4557299961</v>
      </c>
    </row>
    <row r="41" spans="2:17" x14ac:dyDescent="0.3">
      <c r="B41" s="37" t="s">
        <v>101</v>
      </c>
      <c r="C41" s="28">
        <v>0</v>
      </c>
      <c r="D41" s="28">
        <v>0</v>
      </c>
      <c r="E41" s="28">
        <v>0</v>
      </c>
      <c r="F41" s="28">
        <v>0</v>
      </c>
      <c r="G41" s="28">
        <v>0</v>
      </c>
      <c r="H41" s="28">
        <v>0</v>
      </c>
      <c r="I41" s="28">
        <v>0</v>
      </c>
      <c r="J41" s="28">
        <v>0</v>
      </c>
      <c r="K41" s="28">
        <v>0</v>
      </c>
      <c r="L41" s="28">
        <v>0</v>
      </c>
      <c r="M41" s="28">
        <v>0</v>
      </c>
      <c r="N41" s="28">
        <v>0</v>
      </c>
      <c r="O41" s="28">
        <v>0</v>
      </c>
      <c r="P41" s="28">
        <v>0</v>
      </c>
      <c r="Q41" s="40">
        <v>0</v>
      </c>
    </row>
    <row r="42" spans="2:17" x14ac:dyDescent="0.3">
      <c r="B42" s="37" t="s">
        <v>102</v>
      </c>
      <c r="C42" s="28">
        <v>0</v>
      </c>
      <c r="D42" s="28">
        <v>0</v>
      </c>
      <c r="E42" s="28">
        <v>0</v>
      </c>
      <c r="F42" s="28">
        <v>0</v>
      </c>
      <c r="G42" s="28">
        <v>0</v>
      </c>
      <c r="H42" s="28">
        <v>0</v>
      </c>
      <c r="I42" s="28">
        <v>0</v>
      </c>
      <c r="J42" s="28">
        <v>0</v>
      </c>
      <c r="K42" s="28">
        <v>0</v>
      </c>
      <c r="L42" s="28">
        <v>0</v>
      </c>
      <c r="M42" s="28">
        <v>0</v>
      </c>
      <c r="N42" s="28">
        <v>0</v>
      </c>
      <c r="O42" s="28">
        <v>0</v>
      </c>
      <c r="P42" s="28">
        <v>0</v>
      </c>
      <c r="Q42" s="40">
        <v>0</v>
      </c>
    </row>
    <row r="43" spans="2:17" x14ac:dyDescent="0.3">
      <c r="B43" s="38" t="s">
        <v>24</v>
      </c>
      <c r="C43" s="39">
        <f t="shared" ref="C43:Q43" si="0">SUM(C6:C42)</f>
        <v>4602892.8856800012</v>
      </c>
      <c r="D43" s="39">
        <f t="shared" si="0"/>
        <v>6198869.9830619507</v>
      </c>
      <c r="E43" s="39">
        <f t="shared" si="0"/>
        <v>2094987.4953599996</v>
      </c>
      <c r="F43" s="39">
        <f t="shared" si="0"/>
        <v>22502545.56020743</v>
      </c>
      <c r="G43" s="39">
        <f t="shared" si="0"/>
        <v>5359959.8101199996</v>
      </c>
      <c r="H43" s="39">
        <f t="shared" si="0"/>
        <v>4680628.2010500021</v>
      </c>
      <c r="I43" s="39">
        <f t="shared" si="0"/>
        <v>31756232.500592921</v>
      </c>
      <c r="J43" s="39">
        <f t="shared" si="0"/>
        <v>24015175.775604397</v>
      </c>
      <c r="K43" s="39">
        <f t="shared" si="0"/>
        <v>5731776.3853484988</v>
      </c>
      <c r="L43" s="39">
        <f t="shared" si="0"/>
        <v>2291365.9370270539</v>
      </c>
      <c r="M43" s="39">
        <f t="shared" si="0"/>
        <v>5514819.9021899998</v>
      </c>
      <c r="N43" s="39">
        <f t="shared" si="0"/>
        <v>9489246.8901924081</v>
      </c>
      <c r="O43" s="39">
        <f t="shared" si="0"/>
        <v>93285933.273737371</v>
      </c>
      <c r="P43" s="39">
        <f t="shared" si="0"/>
        <v>5710559.8436335996</v>
      </c>
      <c r="Q43" s="39">
        <f t="shared" si="0"/>
        <v>223234994.44380566</v>
      </c>
    </row>
    <row r="44" spans="2:17" ht="14.5" customHeight="1" x14ac:dyDescent="0.35">
      <c r="B44" s="333" t="s">
        <v>104</v>
      </c>
      <c r="C44" s="269"/>
      <c r="D44" s="269"/>
      <c r="E44" s="269"/>
      <c r="F44" s="269"/>
      <c r="G44" s="269"/>
      <c r="H44" s="269"/>
      <c r="I44" s="269"/>
      <c r="J44" s="269"/>
      <c r="K44" s="269"/>
      <c r="L44" s="269"/>
      <c r="M44" s="269"/>
      <c r="N44" s="269"/>
      <c r="O44" s="269"/>
      <c r="P44" s="269"/>
      <c r="Q44" s="270"/>
    </row>
    <row r="45" spans="2:17" x14ac:dyDescent="0.3">
      <c r="B45" s="37" t="s">
        <v>104</v>
      </c>
      <c r="C45" s="28">
        <v>0</v>
      </c>
      <c r="D45" s="28">
        <v>0</v>
      </c>
      <c r="E45" s="28">
        <v>0</v>
      </c>
      <c r="F45" s="28">
        <v>0</v>
      </c>
      <c r="G45" s="28">
        <v>0</v>
      </c>
      <c r="H45" s="28">
        <v>0</v>
      </c>
      <c r="I45" s="28">
        <v>0</v>
      </c>
      <c r="J45" s="28">
        <v>0</v>
      </c>
      <c r="K45" s="28">
        <v>0</v>
      </c>
      <c r="L45" s="28">
        <v>0</v>
      </c>
      <c r="M45" s="28">
        <v>0</v>
      </c>
      <c r="N45" s="28">
        <v>0</v>
      </c>
      <c r="O45" s="28">
        <v>0</v>
      </c>
      <c r="P45" s="28">
        <v>0</v>
      </c>
      <c r="Q45" s="40">
        <v>0</v>
      </c>
    </row>
    <row r="46" spans="2:17" x14ac:dyDescent="0.3">
      <c r="B46" s="37" t="s">
        <v>105</v>
      </c>
      <c r="C46" s="28">
        <v>0</v>
      </c>
      <c r="D46" s="28">
        <v>0</v>
      </c>
      <c r="E46" s="28">
        <v>0</v>
      </c>
      <c r="F46" s="28">
        <v>0</v>
      </c>
      <c r="G46" s="28">
        <v>0</v>
      </c>
      <c r="H46" s="28">
        <v>0</v>
      </c>
      <c r="I46" s="28">
        <v>0</v>
      </c>
      <c r="J46" s="28">
        <v>0</v>
      </c>
      <c r="K46" s="28">
        <v>0</v>
      </c>
      <c r="L46" s="28">
        <v>0</v>
      </c>
      <c r="M46" s="28">
        <v>0</v>
      </c>
      <c r="N46" s="28">
        <v>0</v>
      </c>
      <c r="O46" s="28">
        <v>0</v>
      </c>
      <c r="P46" s="28">
        <v>0</v>
      </c>
      <c r="Q46" s="28">
        <v>0</v>
      </c>
    </row>
    <row r="47" spans="2:17" x14ac:dyDescent="0.3">
      <c r="B47" s="37" t="s">
        <v>106</v>
      </c>
      <c r="C47" s="28">
        <v>0</v>
      </c>
      <c r="D47" s="28">
        <v>0</v>
      </c>
      <c r="E47" s="28">
        <v>0</v>
      </c>
      <c r="F47" s="28">
        <v>0</v>
      </c>
      <c r="G47" s="28">
        <v>0</v>
      </c>
      <c r="H47" s="28">
        <v>0</v>
      </c>
      <c r="I47" s="28">
        <v>0</v>
      </c>
      <c r="J47" s="28">
        <v>0</v>
      </c>
      <c r="K47" s="28">
        <v>0</v>
      </c>
      <c r="L47" s="28">
        <v>0</v>
      </c>
      <c r="M47" s="28">
        <v>0</v>
      </c>
      <c r="N47" s="28">
        <v>0</v>
      </c>
      <c r="O47" s="28">
        <v>0</v>
      </c>
      <c r="P47" s="28">
        <v>0</v>
      </c>
      <c r="Q47" s="28">
        <v>0</v>
      </c>
    </row>
    <row r="48" spans="2:17" x14ac:dyDescent="0.3">
      <c r="B48" s="4" t="s">
        <v>107</v>
      </c>
      <c r="C48" s="28">
        <v>108799.44667</v>
      </c>
      <c r="D48" s="28">
        <v>1589695.698730001</v>
      </c>
      <c r="E48" s="28">
        <v>116497.29225</v>
      </c>
      <c r="F48" s="28">
        <v>4631067.9656899991</v>
      </c>
      <c r="G48" s="28">
        <v>153812.48780999999</v>
      </c>
      <c r="H48" s="28">
        <v>761806.17870999954</v>
      </c>
      <c r="I48" s="28">
        <v>13368.51477</v>
      </c>
      <c r="J48" s="28">
        <v>437423.77944999997</v>
      </c>
      <c r="K48" s="28">
        <v>0</v>
      </c>
      <c r="L48" s="28">
        <v>350440.70153000002</v>
      </c>
      <c r="M48" s="28">
        <v>31763.131069999999</v>
      </c>
      <c r="N48" s="28">
        <v>20319.93016</v>
      </c>
      <c r="O48" s="28">
        <v>2955437.0362</v>
      </c>
      <c r="P48" s="28">
        <v>1666898.785060002</v>
      </c>
      <c r="Q48" s="28">
        <v>12837330.948100001</v>
      </c>
    </row>
    <row r="49" spans="2:17" x14ac:dyDescent="0.3">
      <c r="B49" s="37" t="s">
        <v>108</v>
      </c>
      <c r="C49" s="28">
        <v>0</v>
      </c>
      <c r="D49" s="28">
        <v>0</v>
      </c>
      <c r="E49" s="28">
        <v>0</v>
      </c>
      <c r="F49" s="28">
        <v>0</v>
      </c>
      <c r="G49" s="28">
        <v>0</v>
      </c>
      <c r="H49" s="28">
        <v>0</v>
      </c>
      <c r="I49" s="28">
        <v>0</v>
      </c>
      <c r="J49" s="28">
        <v>0</v>
      </c>
      <c r="K49" s="28">
        <v>0</v>
      </c>
      <c r="L49" s="28">
        <v>0</v>
      </c>
      <c r="M49" s="28">
        <v>0</v>
      </c>
      <c r="N49" s="28">
        <v>0</v>
      </c>
      <c r="O49" s="28">
        <v>0</v>
      </c>
      <c r="P49" s="28">
        <v>0</v>
      </c>
      <c r="Q49" s="40">
        <v>0</v>
      </c>
    </row>
    <row r="50" spans="2:17" x14ac:dyDescent="0.3">
      <c r="B50" s="38" t="s">
        <v>24</v>
      </c>
      <c r="C50" s="39">
        <f t="shared" ref="C50:Q50" si="1">SUM(C45:C49)</f>
        <v>108799.44667</v>
      </c>
      <c r="D50" s="39">
        <f t="shared" si="1"/>
        <v>1589695.698730001</v>
      </c>
      <c r="E50" s="39">
        <f t="shared" si="1"/>
        <v>116497.29225</v>
      </c>
      <c r="F50" s="39">
        <f t="shared" si="1"/>
        <v>4631067.9656899991</v>
      </c>
      <c r="G50" s="39">
        <f t="shared" si="1"/>
        <v>153812.48780999999</v>
      </c>
      <c r="H50" s="39">
        <f t="shared" si="1"/>
        <v>761806.17870999954</v>
      </c>
      <c r="I50" s="39">
        <f t="shared" si="1"/>
        <v>13368.51477</v>
      </c>
      <c r="J50" s="39">
        <f t="shared" si="1"/>
        <v>437423.77944999997</v>
      </c>
      <c r="K50" s="39">
        <f t="shared" si="1"/>
        <v>0</v>
      </c>
      <c r="L50" s="39">
        <f t="shared" si="1"/>
        <v>350440.70153000002</v>
      </c>
      <c r="M50" s="39">
        <f t="shared" si="1"/>
        <v>31763.131069999999</v>
      </c>
      <c r="N50" s="39">
        <f t="shared" si="1"/>
        <v>20319.93016</v>
      </c>
      <c r="O50" s="39">
        <f t="shared" si="1"/>
        <v>2955437.0362</v>
      </c>
      <c r="P50" s="39">
        <f t="shared" si="1"/>
        <v>1666898.785060002</v>
      </c>
      <c r="Q50" s="39">
        <f t="shared" si="1"/>
        <v>12837330.948100001</v>
      </c>
    </row>
    <row r="51" spans="2:17" x14ac:dyDescent="0.3">
      <c r="B51" s="330" t="s">
        <v>25</v>
      </c>
      <c r="C51" s="281"/>
      <c r="D51" s="281"/>
      <c r="E51" s="281"/>
      <c r="F51" s="281"/>
      <c r="G51" s="281"/>
      <c r="H51" s="281"/>
      <c r="I51" s="281"/>
      <c r="J51" s="281"/>
      <c r="K51" s="281"/>
      <c r="L51" s="281"/>
      <c r="M51" s="281"/>
      <c r="N51" s="281"/>
      <c r="O51" s="281"/>
      <c r="P51" s="281"/>
      <c r="Q51" s="281"/>
    </row>
  </sheetData>
  <sheetProtection algorithmName="SHA-512" hashValue="jzfWuvKgohAf2INE6uXDYaKvPTCvNAcxU8v8C4aOklOAjEWa7jlHJL6Id2IY2LEgPjaLUjentoYbHLX6b7iFpg==" saltValue="AVtKujWCyjgS73Wzr98PRA==" spinCount="100000" sheet="1" objects="1" scenarios="1"/>
  <mergeCells count="4">
    <mergeCell ref="B51:Q51"/>
    <mergeCell ref="B5:Q5"/>
    <mergeCell ref="B3:Q3"/>
    <mergeCell ref="B44:Q44"/>
  </mergeCell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6">
    <tabColor rgb="FF92D050"/>
  </sheetPr>
  <dimension ref="A3:Q51"/>
  <sheetViews>
    <sheetView workbookViewId="0"/>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107" width="9.453125" style="2" customWidth="1"/>
    <col min="108" max="16384" width="9.453125" style="2"/>
  </cols>
  <sheetData>
    <row r="3" spans="2:17" ht="14.5" customHeight="1" x14ac:dyDescent="0.35">
      <c r="B3" s="332" t="str">
        <f>_xlfn.CONCAT("INWARD: SUMMARY OF NET PREMIUM INCOME UNDER GENERAL INSURANCE BUSINESS FOR THE PERIOD ENDED"," ",Details!F18)</f>
        <v>INWARD: SUMMARY OF NET PREMIUM INCOME UNDER GENERAL INSURANCE BUSINESS FOR THE PERIOD ENDED 31.12.2025</v>
      </c>
      <c r="C3" s="269"/>
      <c r="D3" s="269"/>
      <c r="E3" s="269"/>
      <c r="F3" s="269"/>
      <c r="G3" s="269"/>
      <c r="H3" s="269"/>
      <c r="I3" s="269"/>
      <c r="J3" s="269"/>
      <c r="K3" s="269"/>
      <c r="L3" s="269"/>
      <c r="M3" s="269"/>
      <c r="N3" s="269"/>
      <c r="O3" s="269"/>
      <c r="P3" s="269"/>
      <c r="Q3" s="270"/>
    </row>
    <row r="4" spans="2:17" ht="28" customHeight="1" x14ac:dyDescent="0.3">
      <c r="B4" s="26" t="s">
        <v>0</v>
      </c>
      <c r="C4" s="27" t="s">
        <v>215</v>
      </c>
      <c r="D4" s="27" t="s">
        <v>216</v>
      </c>
      <c r="E4" s="27" t="s">
        <v>217</v>
      </c>
      <c r="F4" s="27" t="s">
        <v>218</v>
      </c>
      <c r="G4" s="27" t="s">
        <v>219</v>
      </c>
      <c r="H4" s="27" t="s">
        <v>220</v>
      </c>
      <c r="I4" s="27" t="s">
        <v>221</v>
      </c>
      <c r="J4" s="27" t="s">
        <v>222</v>
      </c>
      <c r="K4" s="27" t="s">
        <v>223</v>
      </c>
      <c r="L4" s="27" t="s">
        <v>224</v>
      </c>
      <c r="M4" s="27" t="s">
        <v>225</v>
      </c>
      <c r="N4" s="27" t="s">
        <v>226</v>
      </c>
      <c r="O4" s="27" t="s">
        <v>227</v>
      </c>
      <c r="P4" s="27" t="s">
        <v>228</v>
      </c>
      <c r="Q4" s="27" t="s">
        <v>229</v>
      </c>
    </row>
    <row r="5" spans="2:17" ht="14.5" customHeight="1" x14ac:dyDescent="0.35">
      <c r="B5" s="331" t="s">
        <v>17</v>
      </c>
      <c r="C5" s="269"/>
      <c r="D5" s="269"/>
      <c r="E5" s="269"/>
      <c r="F5" s="269"/>
      <c r="G5" s="269"/>
      <c r="H5" s="269"/>
      <c r="I5" s="269"/>
      <c r="J5" s="269"/>
      <c r="K5" s="269"/>
      <c r="L5" s="269"/>
      <c r="M5" s="269"/>
      <c r="N5" s="269"/>
      <c r="O5" s="269"/>
      <c r="P5" s="269"/>
      <c r="Q5" s="270"/>
    </row>
    <row r="6" spans="2:17" x14ac:dyDescent="0.3">
      <c r="B6" s="37" t="s">
        <v>66</v>
      </c>
      <c r="C6" s="28">
        <v>0</v>
      </c>
      <c r="D6" s="28">
        <v>0</v>
      </c>
      <c r="E6" s="28">
        <v>0</v>
      </c>
      <c r="F6" s="28">
        <v>0</v>
      </c>
      <c r="G6" s="28">
        <v>0</v>
      </c>
      <c r="H6" s="28">
        <v>0</v>
      </c>
      <c r="I6" s="28">
        <v>0</v>
      </c>
      <c r="J6" s="28">
        <v>0</v>
      </c>
      <c r="K6" s="28">
        <v>0</v>
      </c>
      <c r="L6" s="28">
        <v>0</v>
      </c>
      <c r="M6" s="28">
        <v>0</v>
      </c>
      <c r="N6" s="28">
        <v>0</v>
      </c>
      <c r="O6" s="28">
        <v>0</v>
      </c>
      <c r="P6" s="28">
        <v>0</v>
      </c>
      <c r="Q6" s="40">
        <v>0</v>
      </c>
    </row>
    <row r="7" spans="2:17" x14ac:dyDescent="0.3">
      <c r="B7" s="37" t="s">
        <v>67</v>
      </c>
      <c r="C7" s="28">
        <v>0</v>
      </c>
      <c r="D7" s="28">
        <v>0</v>
      </c>
      <c r="E7" s="28">
        <v>0</v>
      </c>
      <c r="F7" s="28">
        <v>0</v>
      </c>
      <c r="G7" s="28">
        <v>0</v>
      </c>
      <c r="H7" s="28">
        <v>0</v>
      </c>
      <c r="I7" s="28">
        <v>0</v>
      </c>
      <c r="J7" s="28">
        <v>0</v>
      </c>
      <c r="K7" s="28">
        <v>0</v>
      </c>
      <c r="L7" s="28">
        <v>0</v>
      </c>
      <c r="M7" s="28">
        <v>0</v>
      </c>
      <c r="N7" s="28">
        <v>0</v>
      </c>
      <c r="O7" s="28">
        <v>0</v>
      </c>
      <c r="P7" s="28">
        <v>0</v>
      </c>
      <c r="Q7" s="40">
        <v>0</v>
      </c>
    </row>
    <row r="8" spans="2:17" x14ac:dyDescent="0.3">
      <c r="B8" s="37" t="s">
        <v>68</v>
      </c>
      <c r="C8" s="28">
        <v>0</v>
      </c>
      <c r="D8" s="28">
        <v>4334.0969999999998</v>
      </c>
      <c r="E8" s="28">
        <v>0</v>
      </c>
      <c r="F8" s="28">
        <v>33764.959000000003</v>
      </c>
      <c r="G8" s="28">
        <v>525</v>
      </c>
      <c r="H8" s="28">
        <v>3535.6439999999998</v>
      </c>
      <c r="I8" s="28">
        <v>0</v>
      </c>
      <c r="J8" s="28">
        <v>0</v>
      </c>
      <c r="K8" s="28">
        <v>0</v>
      </c>
      <c r="L8" s="28">
        <v>152017.93</v>
      </c>
      <c r="M8" s="28">
        <v>1493.9960000000001</v>
      </c>
      <c r="N8" s="28">
        <v>344087.63400000002</v>
      </c>
      <c r="O8" s="28">
        <v>0</v>
      </c>
      <c r="P8" s="28">
        <v>0</v>
      </c>
      <c r="Q8" s="40">
        <v>539759.26</v>
      </c>
    </row>
    <row r="9" spans="2:17" x14ac:dyDescent="0.3">
      <c r="B9" s="37" t="s">
        <v>69</v>
      </c>
      <c r="C9" s="28">
        <v>0</v>
      </c>
      <c r="D9" s="28">
        <v>7539.3780900000002</v>
      </c>
      <c r="E9" s="28">
        <v>1512.20514</v>
      </c>
      <c r="F9" s="28">
        <v>51331.523099999991</v>
      </c>
      <c r="G9" s="28">
        <v>364.2098299999999</v>
      </c>
      <c r="H9" s="28">
        <v>0</v>
      </c>
      <c r="I9" s="28">
        <v>0</v>
      </c>
      <c r="J9" s="28">
        <v>0</v>
      </c>
      <c r="K9" s="28">
        <v>0</v>
      </c>
      <c r="L9" s="28">
        <v>120157.89928</v>
      </c>
      <c r="M9" s="28">
        <v>0</v>
      </c>
      <c r="N9" s="28">
        <v>473021.94400999998</v>
      </c>
      <c r="O9" s="28">
        <v>0</v>
      </c>
      <c r="P9" s="28">
        <v>0</v>
      </c>
      <c r="Q9" s="40">
        <v>653927.15945000004</v>
      </c>
    </row>
    <row r="10" spans="2:17" x14ac:dyDescent="0.3">
      <c r="B10" s="37" t="s">
        <v>70</v>
      </c>
      <c r="C10" s="28">
        <v>0</v>
      </c>
      <c r="D10" s="28">
        <v>0</v>
      </c>
      <c r="E10" s="28">
        <v>0</v>
      </c>
      <c r="F10" s="28">
        <v>0</v>
      </c>
      <c r="G10" s="28">
        <v>0</v>
      </c>
      <c r="H10" s="28">
        <v>0</v>
      </c>
      <c r="I10" s="28">
        <v>0</v>
      </c>
      <c r="J10" s="28">
        <v>0</v>
      </c>
      <c r="K10" s="28">
        <v>0</v>
      </c>
      <c r="L10" s="28">
        <v>0</v>
      </c>
      <c r="M10" s="28">
        <v>0</v>
      </c>
      <c r="N10" s="28">
        <v>0</v>
      </c>
      <c r="O10" s="28">
        <v>0</v>
      </c>
      <c r="P10" s="28">
        <v>0</v>
      </c>
      <c r="Q10" s="40">
        <v>0</v>
      </c>
    </row>
    <row r="11" spans="2:17" x14ac:dyDescent="0.3">
      <c r="B11" s="37" t="s">
        <v>71</v>
      </c>
      <c r="C11" s="28">
        <v>0</v>
      </c>
      <c r="D11" s="28">
        <v>2822.232</v>
      </c>
      <c r="E11" s="28">
        <v>0</v>
      </c>
      <c r="F11" s="28">
        <v>5126.1859999999997</v>
      </c>
      <c r="G11" s="28">
        <v>1131.4760000000001</v>
      </c>
      <c r="H11" s="28">
        <v>523.33500000000004</v>
      </c>
      <c r="I11" s="28">
        <v>966.74</v>
      </c>
      <c r="J11" s="28">
        <v>1780.2449999999999</v>
      </c>
      <c r="K11" s="28">
        <v>0</v>
      </c>
      <c r="L11" s="28">
        <v>44.244999999999997</v>
      </c>
      <c r="M11" s="28">
        <v>84.94</v>
      </c>
      <c r="N11" s="28">
        <v>0</v>
      </c>
      <c r="O11" s="28">
        <v>0</v>
      </c>
      <c r="P11" s="28">
        <v>890.21699999999998</v>
      </c>
      <c r="Q11" s="40">
        <v>13369.616</v>
      </c>
    </row>
    <row r="12" spans="2:17" x14ac:dyDescent="0.3">
      <c r="B12" s="37" t="s">
        <v>72</v>
      </c>
      <c r="C12" s="28">
        <v>0</v>
      </c>
      <c r="D12" s="28">
        <v>32778.146650000002</v>
      </c>
      <c r="E12" s="28">
        <v>0</v>
      </c>
      <c r="F12" s="28">
        <v>66129.106350000002</v>
      </c>
      <c r="G12" s="28">
        <v>161.98849999999999</v>
      </c>
      <c r="H12" s="28">
        <v>74152.383409999995</v>
      </c>
      <c r="I12" s="28">
        <v>0</v>
      </c>
      <c r="J12" s="28">
        <v>0</v>
      </c>
      <c r="K12" s="28">
        <v>0</v>
      </c>
      <c r="L12" s="28">
        <v>0</v>
      </c>
      <c r="M12" s="28">
        <v>743.35518999999999</v>
      </c>
      <c r="N12" s="28">
        <v>364345.66829</v>
      </c>
      <c r="O12" s="28">
        <v>0</v>
      </c>
      <c r="P12" s="28">
        <v>13642.47107</v>
      </c>
      <c r="Q12" s="40">
        <v>551953.11946000007</v>
      </c>
    </row>
    <row r="13" spans="2:17" x14ac:dyDescent="0.3">
      <c r="B13" s="37" t="s">
        <v>73</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74</v>
      </c>
      <c r="C14" s="28">
        <v>0</v>
      </c>
      <c r="D14" s="28">
        <v>0</v>
      </c>
      <c r="E14" s="28">
        <v>0</v>
      </c>
      <c r="F14" s="28">
        <v>0</v>
      </c>
      <c r="G14" s="28">
        <v>0</v>
      </c>
      <c r="H14" s="28">
        <v>0</v>
      </c>
      <c r="I14" s="28">
        <v>0</v>
      </c>
      <c r="J14" s="28">
        <v>0</v>
      </c>
      <c r="K14" s="28">
        <v>0</v>
      </c>
      <c r="L14" s="28">
        <v>0</v>
      </c>
      <c r="M14" s="28">
        <v>0</v>
      </c>
      <c r="N14" s="28">
        <v>0</v>
      </c>
      <c r="O14" s="28">
        <v>0</v>
      </c>
      <c r="P14" s="28">
        <v>0</v>
      </c>
      <c r="Q14" s="40">
        <v>0</v>
      </c>
    </row>
    <row r="15" spans="2:17" x14ac:dyDescent="0.3">
      <c r="B15" s="37" t="s">
        <v>75</v>
      </c>
      <c r="C15" s="28">
        <v>0</v>
      </c>
      <c r="D15" s="28">
        <v>0</v>
      </c>
      <c r="E15" s="28">
        <v>0</v>
      </c>
      <c r="F15" s="28">
        <v>0</v>
      </c>
      <c r="G15" s="28">
        <v>0</v>
      </c>
      <c r="H15" s="28">
        <v>0</v>
      </c>
      <c r="I15" s="28">
        <v>0</v>
      </c>
      <c r="J15" s="28">
        <v>0</v>
      </c>
      <c r="K15" s="28">
        <v>0</v>
      </c>
      <c r="L15" s="28">
        <v>0</v>
      </c>
      <c r="M15" s="28">
        <v>0</v>
      </c>
      <c r="N15" s="28">
        <v>0</v>
      </c>
      <c r="O15" s="28">
        <v>0</v>
      </c>
      <c r="P15" s="28">
        <v>0</v>
      </c>
      <c r="Q15" s="40">
        <v>0</v>
      </c>
    </row>
    <row r="16" spans="2:17" x14ac:dyDescent="0.3">
      <c r="B16" s="37" t="s">
        <v>76</v>
      </c>
      <c r="C16" s="28">
        <v>0</v>
      </c>
      <c r="D16" s="28">
        <v>0</v>
      </c>
      <c r="E16" s="28">
        <v>0</v>
      </c>
      <c r="F16" s="28">
        <v>0</v>
      </c>
      <c r="G16" s="28">
        <v>0</v>
      </c>
      <c r="H16" s="28">
        <v>0</v>
      </c>
      <c r="I16" s="28">
        <v>0</v>
      </c>
      <c r="J16" s="28">
        <v>0</v>
      </c>
      <c r="K16" s="28">
        <v>0</v>
      </c>
      <c r="L16" s="28">
        <v>0</v>
      </c>
      <c r="M16" s="28">
        <v>0</v>
      </c>
      <c r="N16" s="28">
        <v>0</v>
      </c>
      <c r="O16" s="28">
        <v>0</v>
      </c>
      <c r="P16" s="28">
        <v>0</v>
      </c>
      <c r="Q16" s="40">
        <v>0</v>
      </c>
    </row>
    <row r="17" spans="1:17" x14ac:dyDescent="0.3">
      <c r="B17" s="37" t="s">
        <v>77</v>
      </c>
      <c r="C17" s="28">
        <v>0</v>
      </c>
      <c r="D17" s="28">
        <v>0</v>
      </c>
      <c r="E17" s="28">
        <v>0</v>
      </c>
      <c r="F17" s="28">
        <v>0</v>
      </c>
      <c r="G17" s="28">
        <v>0</v>
      </c>
      <c r="H17" s="28">
        <v>0</v>
      </c>
      <c r="I17" s="28">
        <v>0</v>
      </c>
      <c r="J17" s="28">
        <v>0</v>
      </c>
      <c r="K17" s="28">
        <v>0</v>
      </c>
      <c r="L17" s="28">
        <v>0</v>
      </c>
      <c r="M17" s="28">
        <v>0</v>
      </c>
      <c r="N17" s="28">
        <v>0</v>
      </c>
      <c r="O17" s="28">
        <v>0</v>
      </c>
      <c r="P17" s="28">
        <v>0</v>
      </c>
      <c r="Q17" s="40">
        <v>0</v>
      </c>
    </row>
    <row r="18" spans="1:17" x14ac:dyDescent="0.3">
      <c r="B18" s="37" t="s">
        <v>78</v>
      </c>
      <c r="C18" s="28">
        <v>0</v>
      </c>
      <c r="D18" s="28">
        <v>468.113</v>
      </c>
      <c r="E18" s="28">
        <v>0</v>
      </c>
      <c r="F18" s="28">
        <v>1059.9780000000001</v>
      </c>
      <c r="G18" s="28">
        <v>4745</v>
      </c>
      <c r="H18" s="28">
        <v>0</v>
      </c>
      <c r="I18" s="28">
        <v>0</v>
      </c>
      <c r="J18" s="28">
        <v>0</v>
      </c>
      <c r="K18" s="28">
        <v>0</v>
      </c>
      <c r="L18" s="28">
        <v>0</v>
      </c>
      <c r="M18" s="28">
        <v>0</v>
      </c>
      <c r="N18" s="28">
        <v>0</v>
      </c>
      <c r="O18" s="28">
        <v>0</v>
      </c>
      <c r="P18" s="28">
        <v>487.5</v>
      </c>
      <c r="Q18" s="40">
        <v>6760.5910000000003</v>
      </c>
    </row>
    <row r="19" spans="1:17" x14ac:dyDescent="0.3">
      <c r="B19" s="37" t="s">
        <v>79</v>
      </c>
      <c r="C19" s="28">
        <v>0</v>
      </c>
      <c r="D19" s="28">
        <v>28524.137999999999</v>
      </c>
      <c r="E19" s="28">
        <v>0</v>
      </c>
      <c r="F19" s="28">
        <v>57637.093999999997</v>
      </c>
      <c r="G19" s="28">
        <v>1396.684</v>
      </c>
      <c r="H19" s="28">
        <v>3282.8</v>
      </c>
      <c r="I19" s="28">
        <v>0</v>
      </c>
      <c r="J19" s="28">
        <v>0</v>
      </c>
      <c r="K19" s="28">
        <v>0</v>
      </c>
      <c r="L19" s="28">
        <v>11085.326999999999</v>
      </c>
      <c r="M19" s="28">
        <v>0</v>
      </c>
      <c r="N19" s="28">
        <v>4832.5240000000003</v>
      </c>
      <c r="O19" s="28">
        <v>0</v>
      </c>
      <c r="P19" s="28">
        <v>6492.335</v>
      </c>
      <c r="Q19" s="40">
        <v>113250.902</v>
      </c>
    </row>
    <row r="20" spans="1:17" x14ac:dyDescent="0.3">
      <c r="B20" s="37" t="s">
        <v>80</v>
      </c>
      <c r="C20" s="28">
        <v>104.764</v>
      </c>
      <c r="D20" s="28">
        <v>19320.539000000001</v>
      </c>
      <c r="E20" s="28">
        <v>0</v>
      </c>
      <c r="F20" s="28">
        <v>40371.637000000002</v>
      </c>
      <c r="G20" s="28">
        <v>470</v>
      </c>
      <c r="H20" s="28">
        <v>4711.5119999999997</v>
      </c>
      <c r="I20" s="28">
        <v>0</v>
      </c>
      <c r="J20" s="28">
        <v>386.45699999999999</v>
      </c>
      <c r="K20" s="28">
        <v>0</v>
      </c>
      <c r="L20" s="28">
        <v>1010.205</v>
      </c>
      <c r="M20" s="28">
        <v>707.90300000000002</v>
      </c>
      <c r="N20" s="28">
        <v>1050.537</v>
      </c>
      <c r="O20" s="28">
        <v>0</v>
      </c>
      <c r="P20" s="28">
        <v>11575.148999999999</v>
      </c>
      <c r="Q20" s="40">
        <v>79708.702999999994</v>
      </c>
    </row>
    <row r="21" spans="1:17" x14ac:dyDescent="0.3">
      <c r="B21" s="37" t="s">
        <v>81</v>
      </c>
      <c r="C21" s="28">
        <v>0</v>
      </c>
      <c r="D21" s="28">
        <v>7384.4430000000002</v>
      </c>
      <c r="E21" s="28">
        <v>339.11099999999999</v>
      </c>
      <c r="F21" s="28">
        <v>6605.5680000000002</v>
      </c>
      <c r="G21" s="28">
        <v>949.91</v>
      </c>
      <c r="H21" s="28">
        <v>4082.66</v>
      </c>
      <c r="I21" s="28">
        <v>194.792</v>
      </c>
      <c r="J21" s="28">
        <v>374.137</v>
      </c>
      <c r="K21" s="28">
        <v>0</v>
      </c>
      <c r="L21" s="28">
        <v>0</v>
      </c>
      <c r="M21" s="28">
        <v>29.052</v>
      </c>
      <c r="N21" s="28">
        <v>789.87099999999998</v>
      </c>
      <c r="O21" s="28">
        <v>0</v>
      </c>
      <c r="P21" s="28">
        <v>63462.59</v>
      </c>
      <c r="Q21" s="40">
        <v>84212.134000000005</v>
      </c>
    </row>
    <row r="22" spans="1:17" x14ac:dyDescent="0.3">
      <c r="B22" s="37" t="s">
        <v>82</v>
      </c>
      <c r="C22" s="28">
        <v>0</v>
      </c>
      <c r="D22" s="28">
        <v>11855.722</v>
      </c>
      <c r="E22" s="28">
        <v>0</v>
      </c>
      <c r="F22" s="28">
        <v>34771.457000000002</v>
      </c>
      <c r="G22" s="28">
        <v>267.69200000000001</v>
      </c>
      <c r="H22" s="28">
        <v>2618.6469999999999</v>
      </c>
      <c r="I22" s="28">
        <v>0</v>
      </c>
      <c r="J22" s="28">
        <v>0</v>
      </c>
      <c r="K22" s="28">
        <v>0</v>
      </c>
      <c r="L22" s="28">
        <v>66567.456999999995</v>
      </c>
      <c r="M22" s="28">
        <v>153.09200000000001</v>
      </c>
      <c r="N22" s="28">
        <v>273491.625</v>
      </c>
      <c r="O22" s="28">
        <v>0</v>
      </c>
      <c r="P22" s="28">
        <v>188.55099999999999</v>
      </c>
      <c r="Q22" s="40">
        <v>389914.24300000002</v>
      </c>
    </row>
    <row r="23" spans="1:17" x14ac:dyDescent="0.3">
      <c r="B23" s="37" t="s">
        <v>83</v>
      </c>
      <c r="C23" s="28">
        <v>0</v>
      </c>
      <c r="D23" s="28">
        <v>8640.1119999999992</v>
      </c>
      <c r="E23" s="28">
        <v>0</v>
      </c>
      <c r="F23" s="28">
        <v>14329.398999999999</v>
      </c>
      <c r="G23" s="28">
        <v>742.33900000000006</v>
      </c>
      <c r="H23" s="28">
        <v>1101.7470000000001</v>
      </c>
      <c r="I23" s="28">
        <v>0</v>
      </c>
      <c r="J23" s="28">
        <v>0</v>
      </c>
      <c r="K23" s="28">
        <v>0</v>
      </c>
      <c r="L23" s="28">
        <v>0</v>
      </c>
      <c r="M23" s="28">
        <v>0</v>
      </c>
      <c r="N23" s="28">
        <v>330.62299999999999</v>
      </c>
      <c r="O23" s="28">
        <v>0</v>
      </c>
      <c r="P23" s="28">
        <v>4217.2780000000002</v>
      </c>
      <c r="Q23" s="40">
        <v>29361.498</v>
      </c>
    </row>
    <row r="24" spans="1:17" x14ac:dyDescent="0.3">
      <c r="B24" s="37" t="s">
        <v>84</v>
      </c>
      <c r="C24" s="28">
        <v>0</v>
      </c>
      <c r="D24" s="28">
        <v>0</v>
      </c>
      <c r="E24" s="28">
        <v>0</v>
      </c>
      <c r="F24" s="28">
        <v>0</v>
      </c>
      <c r="G24" s="28">
        <v>0</v>
      </c>
      <c r="H24" s="28">
        <v>0</v>
      </c>
      <c r="I24" s="28">
        <v>0</v>
      </c>
      <c r="J24" s="28">
        <v>0</v>
      </c>
      <c r="K24" s="28">
        <v>0</v>
      </c>
      <c r="L24" s="28">
        <v>0</v>
      </c>
      <c r="M24" s="28">
        <v>0</v>
      </c>
      <c r="N24" s="28">
        <v>0</v>
      </c>
      <c r="O24" s="28">
        <v>0</v>
      </c>
      <c r="P24" s="28">
        <v>0</v>
      </c>
      <c r="Q24" s="40">
        <v>0</v>
      </c>
    </row>
    <row r="25" spans="1:17" x14ac:dyDescent="0.3">
      <c r="B25" s="37" t="s">
        <v>85</v>
      </c>
      <c r="C25" s="28">
        <v>0</v>
      </c>
      <c r="D25" s="28">
        <v>20842.646000000001</v>
      </c>
      <c r="E25" s="28">
        <v>0</v>
      </c>
      <c r="F25" s="28">
        <v>41177.752</v>
      </c>
      <c r="G25" s="28">
        <v>426.08800000000002</v>
      </c>
      <c r="H25" s="28">
        <v>3618.4380000000001</v>
      </c>
      <c r="I25" s="28">
        <v>569.92499999999995</v>
      </c>
      <c r="J25" s="28">
        <v>119.55</v>
      </c>
      <c r="K25" s="28">
        <v>0</v>
      </c>
      <c r="L25" s="28">
        <v>117.935</v>
      </c>
      <c r="M25" s="28">
        <v>2103.6390000000001</v>
      </c>
      <c r="N25" s="28">
        <v>697.03499999999997</v>
      </c>
      <c r="O25" s="28">
        <v>0</v>
      </c>
      <c r="P25" s="28">
        <v>2240.5790000000002</v>
      </c>
      <c r="Q25" s="40">
        <v>71913.587</v>
      </c>
    </row>
    <row r="26" spans="1:17" x14ac:dyDescent="0.3">
      <c r="B26" s="37" t="s">
        <v>86</v>
      </c>
      <c r="C26" s="28">
        <v>0</v>
      </c>
      <c r="D26" s="28">
        <v>0</v>
      </c>
      <c r="E26" s="28">
        <v>0</v>
      </c>
      <c r="F26" s="28">
        <v>0</v>
      </c>
      <c r="G26" s="28">
        <v>0</v>
      </c>
      <c r="H26" s="28">
        <v>0</v>
      </c>
      <c r="I26" s="28">
        <v>0</v>
      </c>
      <c r="J26" s="28">
        <v>0</v>
      </c>
      <c r="K26" s="28">
        <v>0</v>
      </c>
      <c r="L26" s="28">
        <v>0</v>
      </c>
      <c r="M26" s="28">
        <v>0</v>
      </c>
      <c r="N26" s="28">
        <v>0</v>
      </c>
      <c r="O26" s="28">
        <v>0</v>
      </c>
      <c r="P26" s="28">
        <v>0</v>
      </c>
      <c r="Q26" s="40">
        <v>0</v>
      </c>
    </row>
    <row r="27" spans="1:17" x14ac:dyDescent="0.3">
      <c r="B27" s="37" t="s">
        <v>87</v>
      </c>
      <c r="C27" s="28">
        <v>0</v>
      </c>
      <c r="D27" s="28">
        <v>0</v>
      </c>
      <c r="E27" s="28">
        <v>0</v>
      </c>
      <c r="F27" s="28">
        <v>452.553</v>
      </c>
      <c r="G27" s="28">
        <v>786.51700000000005</v>
      </c>
      <c r="H27" s="28">
        <v>150</v>
      </c>
      <c r="I27" s="28">
        <v>0</v>
      </c>
      <c r="J27" s="28">
        <v>0</v>
      </c>
      <c r="K27" s="28">
        <v>0</v>
      </c>
      <c r="L27" s="28">
        <v>-22</v>
      </c>
      <c r="M27" s="28">
        <v>0</v>
      </c>
      <c r="N27" s="28">
        <v>107.22799999999999</v>
      </c>
      <c r="O27" s="28">
        <v>0</v>
      </c>
      <c r="P27" s="28">
        <v>0</v>
      </c>
      <c r="Q27" s="40">
        <v>1474.298</v>
      </c>
    </row>
    <row r="28" spans="1:17" x14ac:dyDescent="0.3">
      <c r="B28" s="37" t="s">
        <v>88</v>
      </c>
      <c r="C28" s="28">
        <v>0</v>
      </c>
      <c r="D28" s="28">
        <v>75115.555999999997</v>
      </c>
      <c r="E28" s="28">
        <v>0</v>
      </c>
      <c r="F28" s="28">
        <v>142563.79800000001</v>
      </c>
      <c r="G28" s="28">
        <v>7534.62</v>
      </c>
      <c r="H28" s="28">
        <v>11451.394</v>
      </c>
      <c r="I28" s="28">
        <v>1575.9290000000001</v>
      </c>
      <c r="J28" s="28">
        <v>304.91800000000001</v>
      </c>
      <c r="K28" s="28">
        <v>0</v>
      </c>
      <c r="L28" s="28">
        <v>1706.9079999999999</v>
      </c>
      <c r="M28" s="28">
        <v>731.88</v>
      </c>
      <c r="N28" s="28">
        <v>33052.521999999997</v>
      </c>
      <c r="O28" s="28">
        <v>0</v>
      </c>
      <c r="P28" s="28">
        <v>24940.083999999999</v>
      </c>
      <c r="Q28" s="40">
        <v>298977.609</v>
      </c>
    </row>
    <row r="29" spans="1:17" x14ac:dyDescent="0.3">
      <c r="B29" s="37" t="s">
        <v>89</v>
      </c>
      <c r="C29" s="28">
        <v>0</v>
      </c>
      <c r="D29" s="28">
        <v>921.28700000000003</v>
      </c>
      <c r="E29" s="28">
        <v>0</v>
      </c>
      <c r="F29" s="28">
        <v>9453.8719999999994</v>
      </c>
      <c r="G29" s="28">
        <v>0</v>
      </c>
      <c r="H29" s="28">
        <v>200.619</v>
      </c>
      <c r="I29" s="28">
        <v>144.01599999999999</v>
      </c>
      <c r="J29" s="28">
        <v>0</v>
      </c>
      <c r="K29" s="28">
        <v>0</v>
      </c>
      <c r="L29" s="28">
        <v>0</v>
      </c>
      <c r="M29" s="28">
        <v>11093.218000000001</v>
      </c>
      <c r="N29" s="28">
        <v>0</v>
      </c>
      <c r="O29" s="28">
        <v>0</v>
      </c>
      <c r="P29" s="28">
        <v>280.69200000000001</v>
      </c>
      <c r="Q29" s="40">
        <v>22093.704000000002</v>
      </c>
    </row>
    <row r="30" spans="1:17" x14ac:dyDescent="0.3">
      <c r="A30" s="95"/>
      <c r="B30" s="37" t="s">
        <v>90</v>
      </c>
      <c r="C30" s="28">
        <v>0</v>
      </c>
      <c r="D30" s="28">
        <v>580.3605</v>
      </c>
      <c r="E30" s="28">
        <v>0</v>
      </c>
      <c r="F30" s="28">
        <v>52798.695090000008</v>
      </c>
      <c r="G30" s="28">
        <v>90760.351699999985</v>
      </c>
      <c r="H30" s="28">
        <v>1445.95325</v>
      </c>
      <c r="I30" s="28">
        <v>0</v>
      </c>
      <c r="J30" s="28">
        <v>0</v>
      </c>
      <c r="K30" s="28">
        <v>0</v>
      </c>
      <c r="L30" s="28">
        <v>0</v>
      </c>
      <c r="M30" s="28">
        <v>75325.070680000004</v>
      </c>
      <c r="N30" s="28">
        <v>0</v>
      </c>
      <c r="O30" s="28">
        <v>0</v>
      </c>
      <c r="P30" s="28">
        <v>0</v>
      </c>
      <c r="Q30" s="40">
        <v>220910.43122</v>
      </c>
    </row>
    <row r="31" spans="1:17" x14ac:dyDescent="0.3">
      <c r="B31" s="37" t="s">
        <v>91</v>
      </c>
      <c r="C31" s="28">
        <v>0</v>
      </c>
      <c r="D31" s="28">
        <v>1391.9670000000001</v>
      </c>
      <c r="E31" s="28">
        <v>450.988</v>
      </c>
      <c r="F31" s="28">
        <v>4006.34</v>
      </c>
      <c r="G31" s="28">
        <v>0</v>
      </c>
      <c r="H31" s="28">
        <v>76.405000000000001</v>
      </c>
      <c r="I31" s="28">
        <v>2047.5119999999999</v>
      </c>
      <c r="J31" s="28">
        <v>2368.1060000000002</v>
      </c>
      <c r="K31" s="28">
        <v>0</v>
      </c>
      <c r="L31" s="28">
        <v>0</v>
      </c>
      <c r="M31" s="28">
        <v>203.03399999999999</v>
      </c>
      <c r="N31" s="28">
        <v>310.95400000000001</v>
      </c>
      <c r="O31" s="28">
        <v>0</v>
      </c>
      <c r="P31" s="28">
        <v>1194.011</v>
      </c>
      <c r="Q31" s="40">
        <v>12049.316999999999</v>
      </c>
    </row>
    <row r="32" spans="1:17" x14ac:dyDescent="0.3">
      <c r="B32" s="37" t="s">
        <v>92</v>
      </c>
      <c r="C32" s="28">
        <v>71786.108560000008</v>
      </c>
      <c r="D32" s="28">
        <v>25607.049569999999</v>
      </c>
      <c r="E32" s="28">
        <v>0</v>
      </c>
      <c r="F32" s="28">
        <v>89737.790930000017</v>
      </c>
      <c r="G32" s="28">
        <v>663.69862000000001</v>
      </c>
      <c r="H32" s="28">
        <v>6052.4482099999996</v>
      </c>
      <c r="I32" s="28">
        <v>0</v>
      </c>
      <c r="J32" s="28">
        <v>0</v>
      </c>
      <c r="K32" s="28">
        <v>0</v>
      </c>
      <c r="L32" s="28">
        <v>6909.4551600000004</v>
      </c>
      <c r="M32" s="28">
        <v>2250.7450800000011</v>
      </c>
      <c r="N32" s="28">
        <v>366904.12391000002</v>
      </c>
      <c r="O32" s="28">
        <v>0</v>
      </c>
      <c r="P32" s="28">
        <v>13549.42965</v>
      </c>
      <c r="Q32" s="40">
        <v>583460.84968999994</v>
      </c>
    </row>
    <row r="33" spans="2:17" x14ac:dyDescent="0.3">
      <c r="B33" s="37" t="s">
        <v>93</v>
      </c>
      <c r="C33" s="28">
        <v>0</v>
      </c>
      <c r="D33" s="28">
        <v>0</v>
      </c>
      <c r="E33" s="28">
        <v>0</v>
      </c>
      <c r="F33" s="28">
        <v>0</v>
      </c>
      <c r="G33" s="28">
        <v>0</v>
      </c>
      <c r="H33" s="28">
        <v>0</v>
      </c>
      <c r="I33" s="28">
        <v>0</v>
      </c>
      <c r="J33" s="28">
        <v>0</v>
      </c>
      <c r="K33" s="28">
        <v>0</v>
      </c>
      <c r="L33" s="28">
        <v>0</v>
      </c>
      <c r="M33" s="28">
        <v>0</v>
      </c>
      <c r="N33" s="28">
        <v>0</v>
      </c>
      <c r="O33" s="28">
        <v>0</v>
      </c>
      <c r="P33" s="28">
        <v>0</v>
      </c>
      <c r="Q33" s="40">
        <v>0</v>
      </c>
    </row>
    <row r="34" spans="2:17" x14ac:dyDescent="0.3">
      <c r="B34" s="37" t="s">
        <v>94</v>
      </c>
      <c r="C34" s="28">
        <v>0</v>
      </c>
      <c r="D34" s="28">
        <v>5695.7790000000005</v>
      </c>
      <c r="E34" s="28">
        <v>0</v>
      </c>
      <c r="F34" s="28">
        <v>36398.281999999999</v>
      </c>
      <c r="G34" s="28">
        <v>3423.3739999999998</v>
      </c>
      <c r="H34" s="28">
        <v>2570.902</v>
      </c>
      <c r="I34" s="28">
        <v>1609.7550000000001</v>
      </c>
      <c r="J34" s="28">
        <v>1706.5250000000001</v>
      </c>
      <c r="K34" s="28">
        <v>0</v>
      </c>
      <c r="L34" s="28">
        <v>1631.96</v>
      </c>
      <c r="M34" s="28">
        <v>0</v>
      </c>
      <c r="N34" s="28">
        <v>176.733</v>
      </c>
      <c r="O34" s="28">
        <v>0</v>
      </c>
      <c r="P34" s="28">
        <v>1624.0060000000001</v>
      </c>
      <c r="Q34" s="40">
        <v>54837.315999999999</v>
      </c>
    </row>
    <row r="35" spans="2:17" x14ac:dyDescent="0.3">
      <c r="B35" s="37" t="s">
        <v>95</v>
      </c>
      <c r="C35" s="28">
        <v>0</v>
      </c>
      <c r="D35" s="28">
        <v>0</v>
      </c>
      <c r="E35" s="28">
        <v>0</v>
      </c>
      <c r="F35" s="28">
        <v>0</v>
      </c>
      <c r="G35" s="28">
        <v>0</v>
      </c>
      <c r="H35" s="28">
        <v>0</v>
      </c>
      <c r="I35" s="28">
        <v>0</v>
      </c>
      <c r="J35" s="28">
        <v>0</v>
      </c>
      <c r="K35" s="28">
        <v>0</v>
      </c>
      <c r="L35" s="28">
        <v>0</v>
      </c>
      <c r="M35" s="28">
        <v>0</v>
      </c>
      <c r="N35" s="28">
        <v>0</v>
      </c>
      <c r="O35" s="28">
        <v>0</v>
      </c>
      <c r="P35" s="28">
        <v>0</v>
      </c>
      <c r="Q35" s="40">
        <v>0</v>
      </c>
    </row>
    <row r="36" spans="2:17" x14ac:dyDescent="0.3">
      <c r="B36" s="37" t="s">
        <v>96</v>
      </c>
      <c r="C36" s="28">
        <v>0</v>
      </c>
      <c r="D36" s="28">
        <v>3194.0149999999999</v>
      </c>
      <c r="E36" s="28">
        <v>0</v>
      </c>
      <c r="F36" s="28">
        <v>2814.252</v>
      </c>
      <c r="G36" s="28">
        <v>528.10699999999997</v>
      </c>
      <c r="H36" s="28">
        <v>0</v>
      </c>
      <c r="I36" s="28">
        <v>1607.1990000000001</v>
      </c>
      <c r="J36" s="28">
        <v>0</v>
      </c>
      <c r="K36" s="28">
        <v>0</v>
      </c>
      <c r="L36" s="28">
        <v>12792.539000000001</v>
      </c>
      <c r="M36" s="28">
        <v>115.31100000000001</v>
      </c>
      <c r="N36" s="28">
        <v>54748.374000000003</v>
      </c>
      <c r="O36" s="28">
        <v>0</v>
      </c>
      <c r="P36" s="28">
        <v>1394.68</v>
      </c>
      <c r="Q36" s="40">
        <v>77194.476999999999</v>
      </c>
    </row>
    <row r="37" spans="2:17" x14ac:dyDescent="0.3">
      <c r="B37" s="37" t="s">
        <v>97</v>
      </c>
      <c r="C37" s="28">
        <v>0</v>
      </c>
      <c r="D37" s="28">
        <v>0</v>
      </c>
      <c r="E37" s="28">
        <v>0</v>
      </c>
      <c r="F37" s="28">
        <v>0</v>
      </c>
      <c r="G37" s="28">
        <v>0</v>
      </c>
      <c r="H37" s="28">
        <v>0</v>
      </c>
      <c r="I37" s="28">
        <v>0</v>
      </c>
      <c r="J37" s="28">
        <v>0</v>
      </c>
      <c r="K37" s="28">
        <v>0</v>
      </c>
      <c r="L37" s="28">
        <v>0</v>
      </c>
      <c r="M37" s="28">
        <v>0</v>
      </c>
      <c r="N37" s="28">
        <v>0</v>
      </c>
      <c r="O37" s="28">
        <v>0</v>
      </c>
      <c r="P37" s="28">
        <v>0</v>
      </c>
      <c r="Q37" s="40">
        <v>0</v>
      </c>
    </row>
    <row r="38" spans="2:17" x14ac:dyDescent="0.3">
      <c r="B38" s="37" t="s">
        <v>98</v>
      </c>
      <c r="C38" s="28">
        <v>0</v>
      </c>
      <c r="D38" s="28">
        <v>11297.132</v>
      </c>
      <c r="E38" s="28">
        <v>0</v>
      </c>
      <c r="F38" s="28">
        <v>15806.732</v>
      </c>
      <c r="G38" s="28">
        <v>0</v>
      </c>
      <c r="H38" s="28">
        <v>900.76900000000001</v>
      </c>
      <c r="I38" s="28">
        <v>0</v>
      </c>
      <c r="J38" s="28">
        <v>0</v>
      </c>
      <c r="K38" s="28">
        <v>0</v>
      </c>
      <c r="L38" s="28">
        <v>489.96199999999999</v>
      </c>
      <c r="M38" s="28">
        <v>0</v>
      </c>
      <c r="N38" s="28">
        <v>0</v>
      </c>
      <c r="O38" s="28">
        <v>0</v>
      </c>
      <c r="P38" s="28">
        <v>454.15300000000002</v>
      </c>
      <c r="Q38" s="40">
        <v>28948.748</v>
      </c>
    </row>
    <row r="39" spans="2:17" x14ac:dyDescent="0.3">
      <c r="B39" s="37" t="s">
        <v>99</v>
      </c>
      <c r="C39" s="28">
        <v>0</v>
      </c>
      <c r="D39" s="28">
        <v>1932.3420000000001</v>
      </c>
      <c r="E39" s="28">
        <v>0</v>
      </c>
      <c r="F39" s="28">
        <v>7760.027</v>
      </c>
      <c r="G39" s="28">
        <v>958.24</v>
      </c>
      <c r="H39" s="28">
        <v>191.678</v>
      </c>
      <c r="I39" s="28">
        <v>0</v>
      </c>
      <c r="J39" s="28">
        <v>0</v>
      </c>
      <c r="K39" s="28">
        <v>0</v>
      </c>
      <c r="L39" s="28">
        <v>13035.74</v>
      </c>
      <c r="M39" s="28">
        <v>51.158000000000001</v>
      </c>
      <c r="N39" s="28">
        <v>16349.502</v>
      </c>
      <c r="O39" s="28">
        <v>0</v>
      </c>
      <c r="P39" s="28">
        <v>58275.574999999997</v>
      </c>
      <c r="Q39" s="40">
        <v>98554.262000000002</v>
      </c>
    </row>
    <row r="40" spans="2:17" x14ac:dyDescent="0.3">
      <c r="B40" s="37" t="s">
        <v>100</v>
      </c>
      <c r="C40" s="28">
        <v>0</v>
      </c>
      <c r="D40" s="28">
        <v>0</v>
      </c>
      <c r="E40" s="28">
        <v>0</v>
      </c>
      <c r="F40" s="28">
        <v>0</v>
      </c>
      <c r="G40" s="28">
        <v>0</v>
      </c>
      <c r="H40" s="28">
        <v>0</v>
      </c>
      <c r="I40" s="28">
        <v>0</v>
      </c>
      <c r="J40" s="28">
        <v>0</v>
      </c>
      <c r="K40" s="28">
        <v>0</v>
      </c>
      <c r="L40" s="28">
        <v>0</v>
      </c>
      <c r="M40" s="28">
        <v>0</v>
      </c>
      <c r="N40" s="28">
        <v>0</v>
      </c>
      <c r="O40" s="28">
        <v>0</v>
      </c>
      <c r="P40" s="28">
        <v>0</v>
      </c>
      <c r="Q40" s="40">
        <v>0</v>
      </c>
    </row>
    <row r="41" spans="2:17" x14ac:dyDescent="0.3">
      <c r="B41" s="93" t="s">
        <v>101</v>
      </c>
      <c r="C41" s="28">
        <v>0</v>
      </c>
      <c r="D41" s="28">
        <v>0</v>
      </c>
      <c r="E41" s="28">
        <v>0</v>
      </c>
      <c r="F41" s="28">
        <v>0</v>
      </c>
      <c r="G41" s="28">
        <v>0</v>
      </c>
      <c r="H41" s="28">
        <v>0</v>
      </c>
      <c r="I41" s="28">
        <v>0</v>
      </c>
      <c r="J41" s="28">
        <v>0</v>
      </c>
      <c r="K41" s="28">
        <v>0</v>
      </c>
      <c r="L41" s="28">
        <v>0</v>
      </c>
      <c r="M41" s="28">
        <v>0</v>
      </c>
      <c r="N41" s="28">
        <v>0</v>
      </c>
      <c r="O41" s="28">
        <v>0</v>
      </c>
      <c r="P41" s="28">
        <v>0</v>
      </c>
      <c r="Q41" s="40">
        <v>0</v>
      </c>
    </row>
    <row r="42" spans="2:17" x14ac:dyDescent="0.3">
      <c r="B42" s="93" t="s">
        <v>102</v>
      </c>
      <c r="C42" s="28">
        <v>0</v>
      </c>
      <c r="D42" s="28">
        <v>0</v>
      </c>
      <c r="E42" s="28">
        <v>0</v>
      </c>
      <c r="F42" s="28">
        <v>0</v>
      </c>
      <c r="G42" s="28">
        <v>0</v>
      </c>
      <c r="H42" s="28">
        <v>0</v>
      </c>
      <c r="I42" s="28">
        <v>0</v>
      </c>
      <c r="J42" s="28">
        <v>0</v>
      </c>
      <c r="K42" s="28">
        <v>0</v>
      </c>
      <c r="L42" s="28">
        <v>0</v>
      </c>
      <c r="M42" s="28">
        <v>0</v>
      </c>
      <c r="N42" s="28">
        <v>0</v>
      </c>
      <c r="O42" s="28">
        <v>0</v>
      </c>
      <c r="P42" s="28">
        <v>0</v>
      </c>
      <c r="Q42" s="40">
        <v>0</v>
      </c>
    </row>
    <row r="43" spans="2:17" x14ac:dyDescent="0.3">
      <c r="B43" s="38" t="s">
        <v>24</v>
      </c>
      <c r="C43" s="39">
        <f t="shared" ref="C43:Q43" si="0">SUM(C6:C42)</f>
        <v>71890.872560000003</v>
      </c>
      <c r="D43" s="39">
        <f t="shared" si="0"/>
        <v>270245.05481000006</v>
      </c>
      <c r="E43" s="39">
        <f t="shared" si="0"/>
        <v>2302.3041399999997</v>
      </c>
      <c r="F43" s="39">
        <f t="shared" si="0"/>
        <v>714097.0014699999</v>
      </c>
      <c r="G43" s="39">
        <f t="shared" si="0"/>
        <v>115835.29564999999</v>
      </c>
      <c r="H43" s="39">
        <f t="shared" si="0"/>
        <v>120667.33487000002</v>
      </c>
      <c r="I43" s="39">
        <f t="shared" si="0"/>
        <v>8715.8680000000004</v>
      </c>
      <c r="J43" s="39">
        <f t="shared" si="0"/>
        <v>7039.9380000000001</v>
      </c>
      <c r="K43" s="39">
        <f t="shared" si="0"/>
        <v>0</v>
      </c>
      <c r="L43" s="39">
        <f t="shared" si="0"/>
        <v>387545.56244000001</v>
      </c>
      <c r="M43" s="39">
        <f t="shared" si="0"/>
        <v>95086.393950000012</v>
      </c>
      <c r="N43" s="39">
        <f t="shared" si="0"/>
        <v>1934296.8982099998</v>
      </c>
      <c r="O43" s="39">
        <f t="shared" si="0"/>
        <v>0</v>
      </c>
      <c r="P43" s="39">
        <f t="shared" si="0"/>
        <v>204909.30072</v>
      </c>
      <c r="Q43" s="39">
        <f t="shared" si="0"/>
        <v>3932631.8248200002</v>
      </c>
    </row>
    <row r="44" spans="2:17" ht="14.5" customHeight="1" x14ac:dyDescent="0.35">
      <c r="B44" s="333" t="s">
        <v>104</v>
      </c>
      <c r="C44" s="269"/>
      <c r="D44" s="269"/>
      <c r="E44" s="269"/>
      <c r="F44" s="269"/>
      <c r="G44" s="269"/>
      <c r="H44" s="269"/>
      <c r="I44" s="269"/>
      <c r="J44" s="269"/>
      <c r="K44" s="269"/>
      <c r="L44" s="269"/>
      <c r="M44" s="269"/>
      <c r="N44" s="269"/>
      <c r="O44" s="269"/>
      <c r="P44" s="269"/>
      <c r="Q44" s="270"/>
    </row>
    <row r="45" spans="2:17" x14ac:dyDescent="0.3">
      <c r="B45" s="37" t="s">
        <v>104</v>
      </c>
      <c r="C45" s="28">
        <v>28913.725999999999</v>
      </c>
      <c r="D45" s="28">
        <v>548236.37800000003</v>
      </c>
      <c r="E45" s="28">
        <v>491674.52399999998</v>
      </c>
      <c r="F45" s="28">
        <v>1399381.3359999999</v>
      </c>
      <c r="G45" s="28">
        <v>203538.261</v>
      </c>
      <c r="H45" s="28">
        <v>332507.84700000001</v>
      </c>
      <c r="I45" s="28">
        <v>53307.64</v>
      </c>
      <c r="J45" s="28">
        <v>227769.00599999999</v>
      </c>
      <c r="K45" s="28">
        <v>0</v>
      </c>
      <c r="L45" s="28">
        <v>208247.29199999999</v>
      </c>
      <c r="M45" s="28">
        <v>10960.384</v>
      </c>
      <c r="N45" s="28">
        <v>21920.768</v>
      </c>
      <c r="O45" s="28">
        <v>703708.98899999994</v>
      </c>
      <c r="P45" s="28">
        <v>854909.93299999996</v>
      </c>
      <c r="Q45" s="40">
        <v>5085076.0839999998</v>
      </c>
    </row>
    <row r="46" spans="2:17" x14ac:dyDescent="0.3">
      <c r="B46" s="37" t="s">
        <v>105</v>
      </c>
      <c r="C46" s="28">
        <v>6168.478551705316</v>
      </c>
      <c r="D46" s="28">
        <v>375480.58184512547</v>
      </c>
      <c r="E46" s="28">
        <v>0</v>
      </c>
      <c r="F46" s="28">
        <v>1820870.3599560431</v>
      </c>
      <c r="G46" s="28">
        <v>44230.077086617581</v>
      </c>
      <c r="H46" s="28">
        <v>166325.0994420952</v>
      </c>
      <c r="I46" s="28">
        <v>0</v>
      </c>
      <c r="J46" s="28">
        <v>250920.84520290009</v>
      </c>
      <c r="K46" s="28">
        <v>0</v>
      </c>
      <c r="L46" s="28">
        <v>61710.809364572437</v>
      </c>
      <c r="M46" s="28">
        <v>0</v>
      </c>
      <c r="N46" s="28">
        <v>0</v>
      </c>
      <c r="O46" s="28">
        <v>1112248.9978614489</v>
      </c>
      <c r="P46" s="28">
        <v>720183.18218089838</v>
      </c>
      <c r="Q46" s="40">
        <v>4558138.4314914066</v>
      </c>
    </row>
    <row r="47" spans="2:17" x14ac:dyDescent="0.3">
      <c r="B47" s="37" t="s">
        <v>106</v>
      </c>
      <c r="C47" s="28">
        <v>5792.2640000000001</v>
      </c>
      <c r="D47" s="28">
        <v>273328.00599999999</v>
      </c>
      <c r="E47" s="28">
        <v>274336.28600000002</v>
      </c>
      <c r="F47" s="28">
        <v>2011799.423</v>
      </c>
      <c r="G47" s="28">
        <v>89533.519</v>
      </c>
      <c r="H47" s="28">
        <v>171271.13800000001</v>
      </c>
      <c r="I47" s="28">
        <v>160510.31899999999</v>
      </c>
      <c r="J47" s="28">
        <v>173886.17800000001</v>
      </c>
      <c r="K47" s="28">
        <v>0</v>
      </c>
      <c r="L47" s="28">
        <v>2759.6619999999998</v>
      </c>
      <c r="M47" s="28">
        <v>79261.581000000006</v>
      </c>
      <c r="N47" s="28">
        <v>-5046.95</v>
      </c>
      <c r="O47" s="28">
        <v>580526.31099999999</v>
      </c>
      <c r="P47" s="28">
        <v>192986.158</v>
      </c>
      <c r="Q47" s="40">
        <v>4010943.895</v>
      </c>
    </row>
    <row r="48" spans="2:17" x14ac:dyDescent="0.3">
      <c r="B48" s="4" t="s">
        <v>107</v>
      </c>
      <c r="C48" s="28">
        <v>0</v>
      </c>
      <c r="D48" s="28">
        <v>0</v>
      </c>
      <c r="E48" s="28">
        <v>0</v>
      </c>
      <c r="F48" s="28">
        <v>0</v>
      </c>
      <c r="G48" s="28">
        <v>0</v>
      </c>
      <c r="H48" s="28">
        <v>0</v>
      </c>
      <c r="I48" s="28">
        <v>0</v>
      </c>
      <c r="J48" s="28">
        <v>0</v>
      </c>
      <c r="K48" s="28">
        <v>0</v>
      </c>
      <c r="L48" s="28">
        <v>0</v>
      </c>
      <c r="M48" s="28">
        <v>0</v>
      </c>
      <c r="N48" s="28">
        <v>0</v>
      </c>
      <c r="O48" s="28">
        <v>0</v>
      </c>
      <c r="P48" s="28">
        <v>0</v>
      </c>
      <c r="Q48" s="40">
        <v>0</v>
      </c>
    </row>
    <row r="49" spans="2:17" x14ac:dyDescent="0.3">
      <c r="B49" s="37" t="s">
        <v>108</v>
      </c>
      <c r="C49" s="28">
        <v>56900.34427216398</v>
      </c>
      <c r="D49" s="28">
        <v>928111.24208891962</v>
      </c>
      <c r="E49" s="28">
        <v>0</v>
      </c>
      <c r="F49" s="28">
        <v>2837588.6810210571</v>
      </c>
      <c r="G49" s="28">
        <v>172194.3787525217</v>
      </c>
      <c r="H49" s="28">
        <v>231889.2802261762</v>
      </c>
      <c r="I49" s="28">
        <v>89875.23431845961</v>
      </c>
      <c r="J49" s="28">
        <v>110970.8401766262</v>
      </c>
      <c r="K49" s="28">
        <v>0</v>
      </c>
      <c r="L49" s="28">
        <v>1324637.8553760841</v>
      </c>
      <c r="M49" s="28">
        <v>53779.723474483057</v>
      </c>
      <c r="N49" s="28">
        <v>0</v>
      </c>
      <c r="O49" s="28">
        <v>31652.089623927859</v>
      </c>
      <c r="P49" s="28">
        <v>115239.5797533755</v>
      </c>
      <c r="Q49" s="40">
        <v>5952839.2490837947</v>
      </c>
    </row>
    <row r="50" spans="2:17" x14ac:dyDescent="0.3">
      <c r="B50" s="38" t="s">
        <v>24</v>
      </c>
      <c r="C50" s="39">
        <f t="shared" ref="C50:Q50" si="1">SUM(C45:C49)</f>
        <v>97774.812823869288</v>
      </c>
      <c r="D50" s="39">
        <f t="shared" si="1"/>
        <v>2125156.2079340452</v>
      </c>
      <c r="E50" s="39">
        <f t="shared" si="1"/>
        <v>766010.81</v>
      </c>
      <c r="F50" s="39">
        <f t="shared" si="1"/>
        <v>8069639.7999770995</v>
      </c>
      <c r="G50" s="39">
        <f t="shared" si="1"/>
        <v>509496.23583913932</v>
      </c>
      <c r="H50" s="39">
        <f t="shared" si="1"/>
        <v>901993.3646682715</v>
      </c>
      <c r="I50" s="39">
        <f t="shared" si="1"/>
        <v>303693.19331845955</v>
      </c>
      <c r="J50" s="39">
        <f t="shared" si="1"/>
        <v>763546.86937952635</v>
      </c>
      <c r="K50" s="39">
        <f t="shared" si="1"/>
        <v>0</v>
      </c>
      <c r="L50" s="39">
        <f t="shared" si="1"/>
        <v>1597355.6187406564</v>
      </c>
      <c r="M50" s="39">
        <f t="shared" si="1"/>
        <v>144001.68847448306</v>
      </c>
      <c r="N50" s="39">
        <f t="shared" si="1"/>
        <v>16873.817999999999</v>
      </c>
      <c r="O50" s="39">
        <f t="shared" si="1"/>
        <v>2428136.3874853766</v>
      </c>
      <c r="P50" s="39">
        <f t="shared" si="1"/>
        <v>1883318.8529342739</v>
      </c>
      <c r="Q50" s="39">
        <f t="shared" si="1"/>
        <v>19606997.659575202</v>
      </c>
    </row>
    <row r="51" spans="2:17" x14ac:dyDescent="0.3">
      <c r="B51" s="330" t="s">
        <v>25</v>
      </c>
      <c r="C51" s="281"/>
      <c r="D51" s="281"/>
      <c r="E51" s="281"/>
      <c r="F51" s="281"/>
      <c r="G51" s="281"/>
      <c r="H51" s="281"/>
      <c r="I51" s="281"/>
      <c r="J51" s="281"/>
      <c r="K51" s="281"/>
      <c r="L51" s="281"/>
      <c r="M51" s="281"/>
      <c r="N51" s="281"/>
      <c r="O51" s="281"/>
      <c r="P51" s="281"/>
      <c r="Q51" s="281"/>
    </row>
  </sheetData>
  <sheetProtection algorithmName="SHA-512" hashValue="jmWa/vXVW33Oq15y3oqDtJZCUGm66os2vtoRE0hH/OZIh6SmxNM7BK+yg+Hpx15brUcZx0MIj/MhiDrpxSPiwA==" saltValue="JgOwiRhBoqbw3TS1O0a+8w==" spinCount="100000" sheet="1" objects="1" scenarios="1"/>
  <mergeCells count="4">
    <mergeCell ref="B51:Q51"/>
    <mergeCell ref="B5:Q5"/>
    <mergeCell ref="B3:Q3"/>
    <mergeCell ref="B44:Q44"/>
  </mergeCell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7">
    <tabColor rgb="FF92D050"/>
    <pageSetUpPr fitToPage="1"/>
  </sheetPr>
  <dimension ref="B3:S51"/>
  <sheetViews>
    <sheetView topLeftCell="O1" workbookViewId="0"/>
  </sheetViews>
  <sheetFormatPr defaultColWidth="9.453125" defaultRowHeight="15.5" x14ac:dyDescent="0.35"/>
  <cols>
    <col min="1" max="1" width="16.54296875" style="134" customWidth="1"/>
    <col min="2" max="2" width="43.453125" style="134" customWidth="1"/>
    <col min="3" max="16" width="17.453125" style="134" customWidth="1"/>
    <col min="17" max="17" width="10.6328125" style="134" bestFit="1" customWidth="1"/>
    <col min="18" max="18" width="2" style="134" customWidth="1"/>
    <col min="19" max="19" width="9.453125" style="134" hidden="1" customWidth="1"/>
    <col min="20" max="48" width="9.453125" style="134" customWidth="1"/>
    <col min="49" max="16384" width="9.453125" style="134"/>
  </cols>
  <sheetData>
    <row r="3" spans="2:19" ht="18" customHeight="1" x14ac:dyDescent="0.35">
      <c r="B3" s="320" t="str">
        <f>_xlfn.CONCAT('Table of Contents'!B31,": ",'Table of Contents'!C31)</f>
        <v>APPENDIX 19: SUMMARY OF GENERAL INSURANCE BUSINESS MARKET SHARE PER CLASS FOR THE PERIOD ENDED 31.12.2025</v>
      </c>
      <c r="C3" s="269"/>
      <c r="D3" s="269"/>
      <c r="E3" s="269"/>
      <c r="F3" s="269"/>
      <c r="G3" s="269"/>
      <c r="H3" s="269"/>
      <c r="I3" s="269"/>
      <c r="J3" s="269"/>
      <c r="K3" s="269"/>
      <c r="L3" s="269"/>
      <c r="M3" s="269"/>
      <c r="N3" s="269"/>
      <c r="O3" s="269"/>
      <c r="P3" s="269"/>
      <c r="Q3" s="270"/>
    </row>
    <row r="4" spans="2:19" s="189" customFormat="1" ht="46.5" x14ac:dyDescent="0.35">
      <c r="B4" s="108" t="s">
        <v>0</v>
      </c>
      <c r="C4" s="74" t="s">
        <v>215</v>
      </c>
      <c r="D4" s="74" t="s">
        <v>216</v>
      </c>
      <c r="E4" s="74" t="s">
        <v>217</v>
      </c>
      <c r="F4" s="74" t="s">
        <v>218</v>
      </c>
      <c r="G4" s="74" t="s">
        <v>219</v>
      </c>
      <c r="H4" s="74" t="s">
        <v>220</v>
      </c>
      <c r="I4" s="74" t="s">
        <v>221</v>
      </c>
      <c r="J4" s="74" t="s">
        <v>222</v>
      </c>
      <c r="K4" s="74" t="s">
        <v>223</v>
      </c>
      <c r="L4" s="74" t="s">
        <v>224</v>
      </c>
      <c r="M4" s="74" t="s">
        <v>225</v>
      </c>
      <c r="N4" s="74" t="s">
        <v>226</v>
      </c>
      <c r="O4" s="74" t="s">
        <v>227</v>
      </c>
      <c r="P4" s="74" t="s">
        <v>228</v>
      </c>
      <c r="Q4" s="74" t="s">
        <v>176</v>
      </c>
    </row>
    <row r="5" spans="2:19" ht="18" customHeight="1" x14ac:dyDescent="0.35">
      <c r="B5" s="316" t="s">
        <v>17</v>
      </c>
      <c r="C5" s="269"/>
      <c r="D5" s="269"/>
      <c r="E5" s="269"/>
      <c r="F5" s="269"/>
      <c r="G5" s="269"/>
      <c r="H5" s="269"/>
      <c r="I5" s="269"/>
      <c r="J5" s="269"/>
      <c r="K5" s="269"/>
      <c r="L5" s="269"/>
      <c r="M5" s="269"/>
      <c r="N5" s="269"/>
      <c r="O5" s="269"/>
      <c r="P5" s="269"/>
      <c r="Q5" s="270"/>
    </row>
    <row r="6" spans="2:19" ht="18" customHeight="1" x14ac:dyDescent="0.35">
      <c r="B6" s="194" t="str">
        <f>'APPENDIX 18'!B6</f>
        <v>AAR INSURANCE KENYA</v>
      </c>
      <c r="C6" s="195">
        <f>IFERROR('APPENDIX 18'!C6/'APPENDIX 18'!C$43*100,"")</f>
        <v>0</v>
      </c>
      <c r="D6" s="195">
        <f>IFERROR('APPENDIX 18'!D6/'APPENDIX 18'!D$43*100,"")</f>
        <v>7.6038977065681426E-2</v>
      </c>
      <c r="E6" s="195">
        <f>IFERROR('APPENDIX 18'!E6/'APPENDIX 18'!E$43*100,"")</f>
        <v>0.10575673807829437</v>
      </c>
      <c r="F6" s="195">
        <f>IFERROR('APPENDIX 18'!F6/'APPENDIX 18'!F$43*100,"")</f>
        <v>6.9038430201175172E-2</v>
      </c>
      <c r="G6" s="195">
        <f>IFERROR('APPENDIX 18'!G6/'APPENDIX 18'!G$43*100,"")</f>
        <v>0.62010948481654626</v>
      </c>
      <c r="H6" s="195">
        <f>IFERROR('APPENDIX 18'!H6/'APPENDIX 18'!H$43*100,"")</f>
        <v>7.2995898998090683E-2</v>
      </c>
      <c r="I6" s="195">
        <f>IFERROR('APPENDIX 18'!I6/'APPENDIX 18'!I$43*100,"")</f>
        <v>1.2579068580985698E-2</v>
      </c>
      <c r="J6" s="195">
        <f>IFERROR('APPENDIX 18'!J6/'APPENDIX 18'!J$43*100,"")</f>
        <v>0</v>
      </c>
      <c r="K6" s="195">
        <f>IFERROR('APPENDIX 18'!K6/'APPENDIX 18'!K$43*100,"")</f>
        <v>0</v>
      </c>
      <c r="L6" s="195">
        <f>IFERROR('APPENDIX 18'!L6/'APPENDIX 18'!L$43*100,"")</f>
        <v>0.93901853812655878</v>
      </c>
      <c r="M6" s="195">
        <f>IFERROR('APPENDIX 18'!M6/'APPENDIX 18'!M$43*100,"")</f>
        <v>0.20826684017947145</v>
      </c>
      <c r="N6" s="195">
        <f>IFERROR('APPENDIX 18'!N6/'APPENDIX 18'!N$43*100,"")</f>
        <v>0.97019003667249726</v>
      </c>
      <c r="O6" s="195">
        <f>IFERROR('APPENDIX 18'!O6/'APPENDIX 18'!O$43*100,"")</f>
        <v>13.441438375673018</v>
      </c>
      <c r="P6" s="195">
        <f>IFERROR('APPENDIX 18'!P6/'APPENDIX 18'!P$43*100,"")</f>
        <v>0.35217038617950974</v>
      </c>
      <c r="Q6" s="196">
        <f>IFERROR('APPENDIX 18'!$Q6/'APPENDIX 18'!Q$43*100,"")</f>
        <v>5.6223217173946516</v>
      </c>
      <c r="S6" s="134">
        <f>COUNTIF(Q6:Q42,"&gt;5")</f>
        <v>7</v>
      </c>
    </row>
    <row r="7" spans="2:19" ht="18" customHeight="1" x14ac:dyDescent="0.35">
      <c r="B7" s="194" t="str">
        <f>'APPENDIX 18'!B7</f>
        <v xml:space="preserve">AFRICAN MERCHANT ASSURANCE </v>
      </c>
      <c r="C7" s="195">
        <f>IFERROR('APPENDIX 18'!C7/'APPENDIX 18'!C$43*100,"")</f>
        <v>0</v>
      </c>
      <c r="D7" s="195">
        <f>IFERROR('APPENDIX 18'!D7/'APPENDIX 18'!D$43*100,"")</f>
        <v>1.2863052561726156</v>
      </c>
      <c r="E7" s="195">
        <f>IFERROR('APPENDIX 18'!E7/'APPENDIX 18'!E$43*100,"")</f>
        <v>5.0258736310608759E-2</v>
      </c>
      <c r="F7" s="195">
        <f>IFERROR('APPENDIX 18'!F7/'APPENDIX 18'!F$43*100,"")</f>
        <v>0.47631361186796062</v>
      </c>
      <c r="G7" s="195">
        <f>IFERROR('APPENDIX 18'!G7/'APPENDIX 18'!G$43*100,"")</f>
        <v>0.41941679475551702</v>
      </c>
      <c r="H7" s="195">
        <f>IFERROR('APPENDIX 18'!H7/'APPENDIX 18'!H$43*100,"")</f>
        <v>0.116007616659505</v>
      </c>
      <c r="I7" s="195">
        <f>IFERROR('APPENDIX 18'!I7/'APPENDIX 18'!I$43*100,"")</f>
        <v>1.4620523993647916</v>
      </c>
      <c r="J7" s="195">
        <f>IFERROR('APPENDIX 18'!J7/'APPENDIX 18'!J$43*100,"")</f>
        <v>1.8782391560095635</v>
      </c>
      <c r="K7" s="195">
        <f>IFERROR('APPENDIX 18'!K7/'APPENDIX 18'!K$43*100,"")</f>
        <v>44.606934702155954</v>
      </c>
      <c r="L7" s="195">
        <f>IFERROR('APPENDIX 18'!L7/'APPENDIX 18'!L$43*100,"")</f>
        <v>0.87197031348915877</v>
      </c>
      <c r="M7" s="195">
        <f>IFERROR('APPENDIX 18'!M7/'APPENDIX 18'!M$43*100,"")</f>
        <v>0.10633044056554662</v>
      </c>
      <c r="N7" s="195">
        <f>IFERROR('APPENDIX 18'!N7/'APPENDIX 18'!N$43*100,"")</f>
        <v>0.78773175782245364</v>
      </c>
      <c r="O7" s="195">
        <f>IFERROR('APPENDIX 18'!O7/'APPENDIX 18'!O$43*100,"")</f>
        <v>0</v>
      </c>
      <c r="P7" s="195">
        <f>IFERROR('APPENDIX 18'!P7/'APPENDIX 18'!P$43*100,"")</f>
        <v>0.60522522586688565</v>
      </c>
      <c r="Q7" s="196">
        <f>IFERROR('APPENDIX 18'!$Q7/'APPENDIX 18'!Q$43*100,"")</f>
        <v>1.6951731849926224</v>
      </c>
    </row>
    <row r="8" spans="2:19" ht="18" customHeight="1" x14ac:dyDescent="0.35">
      <c r="B8" s="194" t="str">
        <f>'APPENDIX 18'!B8</f>
        <v>APA INSURANCE LIMITED</v>
      </c>
      <c r="C8" s="195">
        <f>IFERROR('APPENDIX 18'!C8/'APPENDIX 18'!C$43*100,"")</f>
        <v>9.8374418964170225</v>
      </c>
      <c r="D8" s="195">
        <f>IFERROR('APPENDIX 18'!D8/'APPENDIX 18'!D$43*100,"")</f>
        <v>5.3098611168459993</v>
      </c>
      <c r="E8" s="195">
        <f>IFERROR('APPENDIX 18'!E8/'APPENDIX 18'!E$43*100,"")</f>
        <v>6.470722931678476</v>
      </c>
      <c r="F8" s="195">
        <f>IFERROR('APPENDIX 18'!F8/'APPENDIX 18'!F$43*100,"")</f>
        <v>10.023207058548381</v>
      </c>
      <c r="G8" s="195">
        <f>IFERROR('APPENDIX 18'!G8/'APPENDIX 18'!G$43*100,"")</f>
        <v>5.911594476186683</v>
      </c>
      <c r="H8" s="195">
        <f>IFERROR('APPENDIX 18'!H8/'APPENDIX 18'!H$43*100,"")</f>
        <v>6.7498498806302143</v>
      </c>
      <c r="I8" s="195">
        <f>IFERROR('APPENDIX 18'!I8/'APPENDIX 18'!I$43*100,"")</f>
        <v>9.6877824081170232</v>
      </c>
      <c r="J8" s="195">
        <f>IFERROR('APPENDIX 18'!J8/'APPENDIX 18'!J$43*100,"")</f>
        <v>9.9621338744565175</v>
      </c>
      <c r="K8" s="195">
        <f>IFERROR('APPENDIX 18'!K8/'APPENDIX 18'!K$43*100,"")</f>
        <v>0</v>
      </c>
      <c r="L8" s="195">
        <f>IFERROR('APPENDIX 18'!L8/'APPENDIX 18'!L$43*100,"")</f>
        <v>11.041939498891528</v>
      </c>
      <c r="M8" s="195">
        <f>IFERROR('APPENDIX 18'!M8/'APPENDIX 18'!M$43*100,"")</f>
        <v>5.0570395123212961</v>
      </c>
      <c r="N8" s="195">
        <f>IFERROR('APPENDIX 18'!N8/'APPENDIX 18'!N$43*100,"")</f>
        <v>8.3543984658150414</v>
      </c>
      <c r="O8" s="195">
        <f>IFERROR('APPENDIX 18'!O8/'APPENDIX 18'!O$43*100,"")</f>
        <v>8.4697726803194087</v>
      </c>
      <c r="P8" s="195">
        <f>IFERROR('APPENDIX 18'!P8/'APPENDIX 18'!P$43*100,"")</f>
        <v>9.4985967518117977</v>
      </c>
      <c r="Q8" s="196">
        <f>IFERROR('APPENDIX 18'!$Q8/'APPENDIX 18'!Q$43*100,"")</f>
        <v>8.5316883573373676</v>
      </c>
    </row>
    <row r="9" spans="2:19" ht="18" customHeight="1" x14ac:dyDescent="0.35">
      <c r="B9" s="194" t="str">
        <f>'APPENDIX 18'!B9</f>
        <v>BRITAM GENERAL INSURANCE</v>
      </c>
      <c r="C9" s="195">
        <f>IFERROR('APPENDIX 18'!C9/'APPENDIX 18'!C$43*100,"")</f>
        <v>2.9969995260860407</v>
      </c>
      <c r="D9" s="195">
        <f>IFERROR('APPENDIX 18'!D9/'APPENDIX 18'!D$43*100,"")</f>
        <v>8.3608055632586495</v>
      </c>
      <c r="E9" s="195">
        <f>IFERROR('APPENDIX 18'!E9/'APPENDIX 18'!E$43*100,"")</f>
        <v>6.4321997209046184</v>
      </c>
      <c r="F9" s="195">
        <f>IFERROR('APPENDIX 18'!F9/'APPENDIX 18'!F$43*100,"")</f>
        <v>7.1863437832910044</v>
      </c>
      <c r="G9" s="195">
        <f>IFERROR('APPENDIX 18'!G9/'APPENDIX 18'!G$43*100,"")</f>
        <v>9.7457998957570062</v>
      </c>
      <c r="H9" s="195">
        <f>IFERROR('APPENDIX 18'!H9/'APPENDIX 18'!H$43*100,"")</f>
        <v>10.120609475810802</v>
      </c>
      <c r="I9" s="195">
        <f>IFERROR('APPENDIX 18'!I9/'APPENDIX 18'!I$43*100,"")</f>
        <v>5.0671567399790041</v>
      </c>
      <c r="J9" s="195">
        <f>IFERROR('APPENDIX 18'!J9/'APPENDIX 18'!J$43*100,"")</f>
        <v>2.9557997147943422</v>
      </c>
      <c r="K9" s="195">
        <f>IFERROR('APPENDIX 18'!K9/'APPENDIX 18'!K$43*100,"")</f>
        <v>0</v>
      </c>
      <c r="L9" s="195">
        <f>IFERROR('APPENDIX 18'!L9/'APPENDIX 18'!L$43*100,"")</f>
        <v>12.192553205734285</v>
      </c>
      <c r="M9" s="195">
        <f>IFERROR('APPENDIX 18'!M9/'APPENDIX 18'!M$43*100,"")</f>
        <v>10.604791778774363</v>
      </c>
      <c r="N9" s="195">
        <f>IFERROR('APPENDIX 18'!N9/'APPENDIX 18'!N$43*100,"")</f>
        <v>9.1210069378840597</v>
      </c>
      <c r="O9" s="195">
        <f>IFERROR('APPENDIX 18'!O9/'APPENDIX 18'!O$43*100,"")</f>
        <v>7.6135737388830105</v>
      </c>
      <c r="P9" s="195">
        <f>IFERROR('APPENDIX 18'!P9/'APPENDIX 18'!P$43*100,"")</f>
        <v>0.93601103325593271</v>
      </c>
      <c r="Q9" s="196">
        <f>IFERROR('APPENDIX 18'!$Q9/'APPENDIX 18'!Q$43*100,"")</f>
        <v>6.5787381440648112</v>
      </c>
    </row>
    <row r="10" spans="2:19" ht="18" customHeight="1" x14ac:dyDescent="0.35">
      <c r="B10" s="194" t="str">
        <f>'APPENDIX 18'!B10</f>
        <v>BUPA GLOBAL INSURANCE</v>
      </c>
      <c r="C10" s="195">
        <f>IFERROR('APPENDIX 18'!C10/'APPENDIX 18'!C$43*100,"")</f>
        <v>0</v>
      </c>
      <c r="D10" s="195">
        <f>IFERROR('APPENDIX 18'!D10/'APPENDIX 18'!D$43*100,"")</f>
        <v>0</v>
      </c>
      <c r="E10" s="195">
        <f>IFERROR('APPENDIX 18'!E10/'APPENDIX 18'!E$43*100,"")</f>
        <v>0</v>
      </c>
      <c r="F10" s="195">
        <f>IFERROR('APPENDIX 18'!F10/'APPENDIX 18'!F$43*100,"")</f>
        <v>0</v>
      </c>
      <c r="G10" s="195">
        <f>IFERROR('APPENDIX 18'!G10/'APPENDIX 18'!G$43*100,"")</f>
        <v>0</v>
      </c>
      <c r="H10" s="195">
        <f>IFERROR('APPENDIX 18'!H10/'APPENDIX 18'!H$43*100,"")</f>
        <v>0</v>
      </c>
      <c r="I10" s="195">
        <f>IFERROR('APPENDIX 18'!I10/'APPENDIX 18'!I$43*100,"")</f>
        <v>0</v>
      </c>
      <c r="J10" s="195">
        <f>IFERROR('APPENDIX 18'!J10/'APPENDIX 18'!J$43*100,"")</f>
        <v>0</v>
      </c>
      <c r="K10" s="195">
        <f>IFERROR('APPENDIX 18'!K10/'APPENDIX 18'!K$43*100,"")</f>
        <v>0</v>
      </c>
      <c r="L10" s="195">
        <f>IFERROR('APPENDIX 18'!L10/'APPENDIX 18'!L$43*100,"")</f>
        <v>0</v>
      </c>
      <c r="M10" s="195">
        <f>IFERROR('APPENDIX 18'!M10/'APPENDIX 18'!M$43*100,"")</f>
        <v>0</v>
      </c>
      <c r="N10" s="195">
        <f>IFERROR('APPENDIX 18'!N10/'APPENDIX 18'!N$43*100,"")</f>
        <v>0</v>
      </c>
      <c r="O10" s="195">
        <f>IFERROR('APPENDIX 18'!O10/'APPENDIX 18'!O$43*100,"")</f>
        <v>5.7126013226050656</v>
      </c>
      <c r="P10" s="195">
        <f>IFERROR('APPENDIX 18'!P10/'APPENDIX 18'!P$43*100,"")</f>
        <v>0</v>
      </c>
      <c r="Q10" s="196">
        <f>IFERROR('APPENDIX 18'!$Q10/'APPENDIX 18'!Q$43*100,"")</f>
        <v>2.3458683552463566</v>
      </c>
    </row>
    <row r="11" spans="2:19" ht="18" customHeight="1" x14ac:dyDescent="0.35">
      <c r="B11" s="194" t="str">
        <f>'APPENDIX 18'!B11</f>
        <v>CANNON GENERAL INSURANCE</v>
      </c>
      <c r="C11" s="195">
        <f>IFERROR('APPENDIX 18'!C11/'APPENDIX 18'!C$43*100,"")</f>
        <v>0</v>
      </c>
      <c r="D11" s="195">
        <f>IFERROR('APPENDIX 18'!D11/'APPENDIX 18'!D$43*100,"")</f>
        <v>1.7335460931436879</v>
      </c>
      <c r="E11" s="195">
        <f>IFERROR('APPENDIX 18'!E11/'APPENDIX 18'!E$43*100,"")</f>
        <v>0.74606680506100476</v>
      </c>
      <c r="F11" s="195">
        <f>IFERROR('APPENDIX 18'!F11/'APPENDIX 18'!F$43*100,"")</f>
        <v>0.67688875160356354</v>
      </c>
      <c r="G11" s="195">
        <f>IFERROR('APPENDIX 18'!G11/'APPENDIX 18'!G$43*100,"")</f>
        <v>0.57506413939445622</v>
      </c>
      <c r="H11" s="195">
        <f>IFERROR('APPENDIX 18'!H11/'APPENDIX 18'!H$43*100,"")</f>
        <v>1.2305312297065067</v>
      </c>
      <c r="I11" s="195">
        <f>IFERROR('APPENDIX 18'!I11/'APPENDIX 18'!I$43*100,"")</f>
        <v>4.4376675538492041</v>
      </c>
      <c r="J11" s="195">
        <f>IFERROR('APPENDIX 18'!J11/'APPENDIX 18'!J$43*100,"")</f>
        <v>1.8912326922146037</v>
      </c>
      <c r="K11" s="195">
        <f>IFERROR('APPENDIX 18'!K11/'APPENDIX 18'!K$43*100,"")</f>
        <v>0</v>
      </c>
      <c r="L11" s="195">
        <f>IFERROR('APPENDIX 18'!L11/'APPENDIX 18'!L$43*100,"")</f>
        <v>0.68160889240397093</v>
      </c>
      <c r="M11" s="195">
        <f>IFERROR('APPENDIX 18'!M11/'APPENDIX 18'!M$43*100,"")</f>
        <v>0.31497167808592286</v>
      </c>
      <c r="N11" s="195">
        <f>IFERROR('APPENDIX 18'!N11/'APPENDIX 18'!N$43*100,"")</f>
        <v>0.84351195027437176</v>
      </c>
      <c r="O11" s="195">
        <f>IFERROR('APPENDIX 18'!O11/'APPENDIX 18'!O$43*100,"")</f>
        <v>0</v>
      </c>
      <c r="P11" s="195">
        <f>IFERROR('APPENDIX 18'!P11/'APPENDIX 18'!P$43*100,"")</f>
        <v>0.7652180054595884</v>
      </c>
      <c r="Q11" s="196">
        <f>IFERROR('APPENDIX 18'!$Q11/'APPENDIX 18'!Q$43*100,"")</f>
        <v>1.0639751983682257</v>
      </c>
    </row>
    <row r="12" spans="2:19" ht="18" customHeight="1" x14ac:dyDescent="0.35">
      <c r="B12" s="194" t="str">
        <f>'APPENDIX 18'!B12</f>
        <v>CIC GENERAL INSURANCE COMPANY</v>
      </c>
      <c r="C12" s="195">
        <f>IFERROR('APPENDIX 18'!C12/'APPENDIX 18'!C$43*100,"")</f>
        <v>0</v>
      </c>
      <c r="D12" s="195">
        <f>IFERROR('APPENDIX 18'!D12/'APPENDIX 18'!D$43*100,"")</f>
        <v>5.3270793201625128</v>
      </c>
      <c r="E12" s="195">
        <f>IFERROR('APPENDIX 18'!E12/'APPENDIX 18'!E$43*100,"")</f>
        <v>5.6787197767515778</v>
      </c>
      <c r="F12" s="195">
        <f>IFERROR('APPENDIX 18'!F12/'APPENDIX 18'!F$43*100,"")</f>
        <v>3.3183963951432585</v>
      </c>
      <c r="G12" s="195">
        <f>IFERROR('APPENDIX 18'!G12/'APPENDIX 18'!G$43*100,"")</f>
        <v>2.9799310704313613</v>
      </c>
      <c r="H12" s="195">
        <f>IFERROR('APPENDIX 18'!H12/'APPENDIX 18'!H$43*100,"")</f>
        <v>2.5998400759990177</v>
      </c>
      <c r="I12" s="195">
        <f>IFERROR('APPENDIX 18'!I12/'APPENDIX 18'!I$43*100,"")</f>
        <v>11.631389489217865</v>
      </c>
      <c r="J12" s="195">
        <f>IFERROR('APPENDIX 18'!J12/'APPENDIX 18'!J$43*100,"")</f>
        <v>12.153776591001774</v>
      </c>
      <c r="K12" s="195">
        <f>IFERROR('APPENDIX 18'!K12/'APPENDIX 18'!K$43*100,"")</f>
        <v>0</v>
      </c>
      <c r="L12" s="195">
        <f>IFERROR('APPENDIX 18'!L12/'APPENDIX 18'!L$43*100,"")</f>
        <v>9.3299235159400862</v>
      </c>
      <c r="M12" s="195">
        <f>IFERROR('APPENDIX 18'!M12/'APPENDIX 18'!M$43*100,"")</f>
        <v>12.652523208959618</v>
      </c>
      <c r="N12" s="195">
        <f>IFERROR('APPENDIX 18'!N12/'APPENDIX 18'!N$43*100,"")</f>
        <v>9.1735418068245167</v>
      </c>
      <c r="O12" s="195">
        <f>IFERROR('APPENDIX 18'!O12/'APPENDIX 18'!O$43*100,"")</f>
        <v>10.907426162243677</v>
      </c>
      <c r="P12" s="195">
        <f>IFERROR('APPENDIX 18'!P12/'APPENDIX 18'!P$43*100,"")</f>
        <v>5.4480737513037347</v>
      </c>
      <c r="Q12" s="196">
        <f>IFERROR('APPENDIX 18'!$Q12/'APPENDIX 18'!Q$43*100,"")</f>
        <v>9.0864613759419406</v>
      </c>
    </row>
    <row r="13" spans="2:19" ht="18" customHeight="1" x14ac:dyDescent="0.35">
      <c r="B13" s="194" t="str">
        <f>'APPENDIX 18'!B13</f>
        <v>CORPORATE INSURANCE COMPANY</v>
      </c>
      <c r="C13" s="195">
        <f>IFERROR('APPENDIX 18'!C13/'APPENDIX 18'!C$43*100,"")</f>
        <v>0</v>
      </c>
      <c r="D13" s="195">
        <f>IFERROR('APPENDIX 18'!D13/'APPENDIX 18'!D$43*100,"")</f>
        <v>0</v>
      </c>
      <c r="E13" s="195">
        <f>IFERROR('APPENDIX 18'!E13/'APPENDIX 18'!E$43*100,"")</f>
        <v>0</v>
      </c>
      <c r="F13" s="195">
        <f>IFERROR('APPENDIX 18'!F13/'APPENDIX 18'!F$43*100,"")</f>
        <v>0</v>
      </c>
      <c r="G13" s="195">
        <f>IFERROR('APPENDIX 18'!G13/'APPENDIX 18'!G$43*100,"")</f>
        <v>0</v>
      </c>
      <c r="H13" s="195">
        <f>IFERROR('APPENDIX 18'!H13/'APPENDIX 18'!H$43*100,"")</f>
        <v>0</v>
      </c>
      <c r="I13" s="195">
        <f>IFERROR('APPENDIX 18'!I13/'APPENDIX 18'!I$43*100,"")</f>
        <v>0</v>
      </c>
      <c r="J13" s="195">
        <f>IFERROR('APPENDIX 18'!J13/'APPENDIX 18'!J$43*100,"")</f>
        <v>0</v>
      </c>
      <c r="K13" s="195">
        <f>IFERROR('APPENDIX 18'!K13/'APPENDIX 18'!K$43*100,"")</f>
        <v>0</v>
      </c>
      <c r="L13" s="195">
        <f>IFERROR('APPENDIX 18'!L13/'APPENDIX 18'!L$43*100,"")</f>
        <v>0</v>
      </c>
      <c r="M13" s="195">
        <f>IFERROR('APPENDIX 18'!M13/'APPENDIX 18'!M$43*100,"")</f>
        <v>0</v>
      </c>
      <c r="N13" s="195">
        <f>IFERROR('APPENDIX 18'!N13/'APPENDIX 18'!N$43*100,"")</f>
        <v>0</v>
      </c>
      <c r="O13" s="195">
        <f>IFERROR('APPENDIX 18'!O13/'APPENDIX 18'!O$43*100,"")</f>
        <v>0</v>
      </c>
      <c r="P13" s="195">
        <f>IFERROR('APPENDIX 18'!P13/'APPENDIX 18'!P$43*100,"")</f>
        <v>0</v>
      </c>
      <c r="Q13" s="196">
        <f>IFERROR('APPENDIX 18'!$Q13/'APPENDIX 18'!Q$43*100,"")</f>
        <v>0</v>
      </c>
    </row>
    <row r="14" spans="2:19" ht="18" customHeight="1" x14ac:dyDescent="0.35">
      <c r="B14" s="194" t="str">
        <f>'APPENDIX 18'!B14</f>
        <v>DEFINITE ASSURANCE COMPANY</v>
      </c>
      <c r="C14" s="195">
        <f>IFERROR('APPENDIX 18'!C14/'APPENDIX 18'!C$43*100,"")</f>
        <v>0</v>
      </c>
      <c r="D14" s="195">
        <f>IFERROR('APPENDIX 18'!D14/'APPENDIX 18'!D$43*100,"")</f>
        <v>1.6141512307122297E-2</v>
      </c>
      <c r="E14" s="195">
        <f>IFERROR('APPENDIX 18'!E14/'APPENDIX 18'!E$43*100,"")</f>
        <v>2.6051001636981933E-2</v>
      </c>
      <c r="F14" s="195">
        <f>IFERROR('APPENDIX 18'!F14/'APPENDIX 18'!F$43*100,"")</f>
        <v>9.3146543228848026E-3</v>
      </c>
      <c r="G14" s="195">
        <f>IFERROR('APPENDIX 18'!G14/'APPENDIX 18'!G$43*100,"")</f>
        <v>2.451923371977963E-2</v>
      </c>
      <c r="H14" s="195">
        <f>IFERROR('APPENDIX 18'!H14/'APPENDIX 18'!H$43*100,"")</f>
        <v>1.0846364196996122E-2</v>
      </c>
      <c r="I14" s="195">
        <f>IFERROR('APPENDIX 18'!I14/'APPENDIX 18'!I$43*100,"")</f>
        <v>0.77436240920575394</v>
      </c>
      <c r="J14" s="195">
        <f>IFERROR('APPENDIX 18'!J14/'APPENDIX 18'!J$43*100,"")</f>
        <v>0.79501386728137324</v>
      </c>
      <c r="K14" s="195">
        <f>IFERROR('APPENDIX 18'!K14/'APPENDIX 18'!K$43*100,"")</f>
        <v>10.281390831451098</v>
      </c>
      <c r="L14" s="195">
        <f>IFERROR('APPENDIX 18'!L14/'APPENDIX 18'!L$43*100,"")</f>
        <v>1.5497301798980378E-2</v>
      </c>
      <c r="M14" s="195">
        <f>IFERROR('APPENDIX 18'!M14/'APPENDIX 18'!M$43*100,"")</f>
        <v>6.534499520111979E-2</v>
      </c>
      <c r="N14" s="195">
        <f>IFERROR('APPENDIX 18'!N14/'APPENDIX 18'!N$43*100,"")</f>
        <v>7.9190749977114984E-3</v>
      </c>
      <c r="O14" s="195">
        <f>IFERROR('APPENDIX 18'!O14/'APPENDIX 18'!O$43*100,"")</f>
        <v>0</v>
      </c>
      <c r="P14" s="195">
        <f>IFERROR('APPENDIX 18'!P14/'APPENDIX 18'!P$43*100,"")</f>
        <v>1.8909669591763754</v>
      </c>
      <c r="Q14" s="196">
        <f>IFERROR('APPENDIX 18'!$Q14/'APPENDIX 18'!Q$43*100,"")</f>
        <v>0.50567230518380923</v>
      </c>
    </row>
    <row r="15" spans="2:19" ht="18" customHeight="1" x14ac:dyDescent="0.35">
      <c r="B15" s="194" t="str">
        <f>'APPENDIX 18'!B15</f>
        <v>DIRECTLINE ASSURANCE COMPANY</v>
      </c>
      <c r="C15" s="195">
        <f>IFERROR('APPENDIX 18'!C15/'APPENDIX 18'!C$43*100,"")</f>
        <v>0</v>
      </c>
      <c r="D15" s="195">
        <f>IFERROR('APPENDIX 18'!D15/'APPENDIX 18'!D$43*100,"")</f>
        <v>0</v>
      </c>
      <c r="E15" s="195">
        <f>IFERROR('APPENDIX 18'!E15/'APPENDIX 18'!E$43*100,"")</f>
        <v>0</v>
      </c>
      <c r="F15" s="195">
        <f>IFERROR('APPENDIX 18'!F15/'APPENDIX 18'!F$43*100,"")</f>
        <v>0</v>
      </c>
      <c r="G15" s="195">
        <f>IFERROR('APPENDIX 18'!G15/'APPENDIX 18'!G$43*100,"")</f>
        <v>0</v>
      </c>
      <c r="H15" s="195">
        <f>IFERROR('APPENDIX 18'!H15/'APPENDIX 18'!H$43*100,"")</f>
        <v>0</v>
      </c>
      <c r="I15" s="195">
        <f>IFERROR('APPENDIX 18'!I15/'APPENDIX 18'!I$43*100,"")</f>
        <v>1.0026347624883862</v>
      </c>
      <c r="J15" s="195">
        <f>IFERROR('APPENDIX 18'!J15/'APPENDIX 18'!J$43*100,"")</f>
        <v>0.40748766869395719</v>
      </c>
      <c r="K15" s="195">
        <f>IFERROR('APPENDIX 18'!K15/'APPENDIX 18'!K$43*100,"")</f>
        <v>40.435710734013242</v>
      </c>
      <c r="L15" s="195">
        <f>IFERROR('APPENDIX 18'!L15/'APPENDIX 18'!L$43*100,"")</f>
        <v>0</v>
      </c>
      <c r="M15" s="195">
        <f>IFERROR('APPENDIX 18'!M15/'APPENDIX 18'!M$43*100,"")</f>
        <v>0</v>
      </c>
      <c r="N15" s="195">
        <f>IFERROR('APPENDIX 18'!N15/'APPENDIX 18'!N$43*100,"")</f>
        <v>0</v>
      </c>
      <c r="O15" s="195">
        <f>IFERROR('APPENDIX 18'!O15/'APPENDIX 18'!O$43*100,"")</f>
        <v>0</v>
      </c>
      <c r="P15" s="195">
        <f>IFERROR('APPENDIX 18'!P15/'APPENDIX 18'!P$43*100,"")</f>
        <v>0</v>
      </c>
      <c r="Q15" s="196">
        <f>IFERROR('APPENDIX 18'!$Q15/'APPENDIX 18'!Q$43*100,"")</f>
        <v>1.2035423116483048</v>
      </c>
    </row>
    <row r="16" spans="2:19" ht="18" customHeight="1" x14ac:dyDescent="0.35">
      <c r="B16" s="194" t="str">
        <f>'APPENDIX 18'!B16</f>
        <v>EQUITY GENERAL INSURANCE LIMITED</v>
      </c>
      <c r="C16" s="195">
        <f>IFERROR('APPENDIX 18'!C16/'APPENDIX 18'!C$43*100,"")</f>
        <v>0</v>
      </c>
      <c r="D16" s="195">
        <f>IFERROR('APPENDIX 18'!D16/'APPENDIX 18'!D$43*100,"")</f>
        <v>0.4530444989333659</v>
      </c>
      <c r="E16" s="195">
        <f>IFERROR('APPENDIX 18'!E16/'APPENDIX 18'!E$43*100,"")</f>
        <v>4.9537741529458106E-2</v>
      </c>
      <c r="F16" s="195">
        <f>IFERROR('APPENDIX 18'!F16/'APPENDIX 18'!F$43*100,"")</f>
        <v>0.25006157940882406</v>
      </c>
      <c r="G16" s="195">
        <f>IFERROR('APPENDIX 18'!G16/'APPENDIX 18'!G$43*100,"")</f>
        <v>0.84371685038612121</v>
      </c>
      <c r="H16" s="195">
        <f>IFERROR('APPENDIX 18'!H16/'APPENDIX 18'!H$43*100,"")</f>
        <v>5.108975237305349E-3</v>
      </c>
      <c r="I16" s="195">
        <f>IFERROR('APPENDIX 18'!I16/'APPENDIX 18'!I$43*100,"")</f>
        <v>0</v>
      </c>
      <c r="J16" s="195">
        <f>IFERROR('APPENDIX 18'!J16/'APPENDIX 18'!J$43*100,"")</f>
        <v>0</v>
      </c>
      <c r="K16" s="195">
        <f>IFERROR('APPENDIX 18'!K16/'APPENDIX 18'!K$43*100,"")</f>
        <v>0</v>
      </c>
      <c r="L16" s="195">
        <f>IFERROR('APPENDIX 18'!L16/'APPENDIX 18'!L$43*100,"")</f>
        <v>3.8803260212470637E-2</v>
      </c>
      <c r="M16" s="195">
        <f>IFERROR('APPENDIX 18'!M16/'APPENDIX 18'!M$43*100,"")</f>
        <v>8.0073671863126172</v>
      </c>
      <c r="N16" s="195">
        <f>IFERROR('APPENDIX 18'!N16/'APPENDIX 18'!N$43*100,"")</f>
        <v>6.0828173189606927E-2</v>
      </c>
      <c r="O16" s="195">
        <f>IFERROR('APPENDIX 18'!O16/'APPENDIX 18'!O$43*100,"")</f>
        <v>1.28305215266251</v>
      </c>
      <c r="P16" s="195">
        <f>IFERROR('APPENDIX 18'!P16/'APPENDIX 18'!P$43*100,"")</f>
        <v>1.6904829956800882E-3</v>
      </c>
      <c r="Q16" s="196">
        <f>IFERROR('APPENDIX 18'!$Q16/'APPENDIX 18'!Q$43*100,"")</f>
        <v>0.78754599157039706</v>
      </c>
    </row>
    <row r="17" spans="2:17" ht="18" customHeight="1" x14ac:dyDescent="0.35">
      <c r="B17" s="194" t="str">
        <f>'APPENDIX 18'!B17</f>
        <v>EQUITY HEALTH INSURANCE LIMITED</v>
      </c>
      <c r="C17" s="195">
        <f>IFERROR('APPENDIX 18'!C17/'APPENDIX 18'!C$43*100,"")</f>
        <v>0</v>
      </c>
      <c r="D17" s="195">
        <f>IFERROR('APPENDIX 18'!D17/'APPENDIX 18'!D$43*100,"")</f>
        <v>0</v>
      </c>
      <c r="E17" s="195">
        <f>IFERROR('APPENDIX 18'!E17/'APPENDIX 18'!E$43*100,"")</f>
        <v>0</v>
      </c>
      <c r="F17" s="195">
        <f>IFERROR('APPENDIX 18'!F17/'APPENDIX 18'!F$43*100,"")</f>
        <v>0</v>
      </c>
      <c r="G17" s="195">
        <f>IFERROR('APPENDIX 18'!G17/'APPENDIX 18'!G$43*100,"")</f>
        <v>0</v>
      </c>
      <c r="H17" s="195">
        <f>IFERROR('APPENDIX 18'!H17/'APPENDIX 18'!H$43*100,"")</f>
        <v>0</v>
      </c>
      <c r="I17" s="195">
        <f>IFERROR('APPENDIX 18'!I17/'APPENDIX 18'!I$43*100,"")</f>
        <v>0</v>
      </c>
      <c r="J17" s="195">
        <f>IFERROR('APPENDIX 18'!J17/'APPENDIX 18'!J$43*100,"")</f>
        <v>0</v>
      </c>
      <c r="K17" s="195">
        <f>IFERROR('APPENDIX 18'!K17/'APPENDIX 18'!K$43*100,"")</f>
        <v>0</v>
      </c>
      <c r="L17" s="195">
        <f>IFERROR('APPENDIX 18'!L17/'APPENDIX 18'!L$43*100,"")</f>
        <v>0</v>
      </c>
      <c r="M17" s="195">
        <f>IFERROR('APPENDIX 18'!M17/'APPENDIX 18'!M$43*100,"")</f>
        <v>0</v>
      </c>
      <c r="N17" s="195">
        <f>IFERROR('APPENDIX 18'!N17/'APPENDIX 18'!N$43*100,"")</f>
        <v>0</v>
      </c>
      <c r="O17" s="195">
        <f>IFERROR('APPENDIX 18'!O17/'APPENDIX 18'!O$43*100,"")</f>
        <v>2.0545283653602822E-2</v>
      </c>
      <c r="P17" s="195">
        <f>IFERROR('APPENDIX 18'!P17/'APPENDIX 18'!P$43*100,"")</f>
        <v>0</v>
      </c>
      <c r="Q17" s="196">
        <f>IFERROR('APPENDIX 18'!$Q17/'APPENDIX 18'!Q$43*100,"")</f>
        <v>8.4368798119747804E-3</v>
      </c>
    </row>
    <row r="18" spans="2:17" ht="18" customHeight="1" x14ac:dyDescent="0.35">
      <c r="B18" s="194" t="str">
        <f>'APPENDIX 18'!B18</f>
        <v xml:space="preserve">FIDELITY SHIELD INSURANCE  </v>
      </c>
      <c r="C18" s="195">
        <f>IFERROR('APPENDIX 18'!C18/'APPENDIX 18'!C$43*100,"")</f>
        <v>15.058739535473908</v>
      </c>
      <c r="D18" s="195">
        <f>IFERROR('APPENDIX 18'!D18/'APPENDIX 18'!D$43*100,"")</f>
        <v>1.2858624481558731</v>
      </c>
      <c r="E18" s="195">
        <f>IFERROR('APPENDIX 18'!E18/'APPENDIX 18'!E$43*100,"")</f>
        <v>1.8106754254492337</v>
      </c>
      <c r="F18" s="195">
        <f>IFERROR('APPENDIX 18'!F18/'APPENDIX 18'!F$43*100,"")</f>
        <v>1.3758152073515044</v>
      </c>
      <c r="G18" s="195">
        <f>IFERROR('APPENDIX 18'!G18/'APPENDIX 18'!G$43*100,"")</f>
        <v>1.5135347908227805</v>
      </c>
      <c r="H18" s="195">
        <f>IFERROR('APPENDIX 18'!H18/'APPENDIX 18'!H$43*100,"")</f>
        <v>2.6058655224193776</v>
      </c>
      <c r="I18" s="195">
        <f>IFERROR('APPENDIX 18'!I18/'APPENDIX 18'!I$43*100,"")</f>
        <v>4.7191728461367637</v>
      </c>
      <c r="J18" s="195">
        <f>IFERROR('APPENDIX 18'!J18/'APPENDIX 18'!J$43*100,"")</f>
        <v>4.8452235833551214</v>
      </c>
      <c r="K18" s="195">
        <f>IFERROR('APPENDIX 18'!K18/'APPENDIX 18'!K$43*100,"")</f>
        <v>0.70775295951350148</v>
      </c>
      <c r="L18" s="195">
        <f>IFERROR('APPENDIX 18'!L18/'APPENDIX 18'!L$43*100,"")</f>
        <v>0.35428968078595247</v>
      </c>
      <c r="M18" s="195">
        <f>IFERROR('APPENDIX 18'!M18/'APPENDIX 18'!M$43*100,"")</f>
        <v>1.2947706996456989</v>
      </c>
      <c r="N18" s="195">
        <f>IFERROR('APPENDIX 18'!N18/'APPENDIX 18'!N$43*100,"")</f>
        <v>2.881492072662986</v>
      </c>
      <c r="O18" s="195">
        <f>IFERROR('APPENDIX 18'!O18/'APPENDIX 18'!O$43*100,"")</f>
        <v>0.33641736468359046</v>
      </c>
      <c r="P18" s="195">
        <f>IFERROR('APPENDIX 18'!P18/'APPENDIX 18'!P$43*100,"")</f>
        <v>3.9323165470659984</v>
      </c>
      <c r="Q18" s="196">
        <f>IFERROR('APPENDIX 18'!$Q18/'APPENDIX 18'!Q$43*100,"")</f>
        <v>2.2070987302967042</v>
      </c>
    </row>
    <row r="19" spans="2:17" ht="18" customHeight="1" x14ac:dyDescent="0.35">
      <c r="B19" s="194" t="str">
        <f>'APPENDIX 18'!B19</f>
        <v>FIRST ASSURANCE COMPANY</v>
      </c>
      <c r="C19" s="195">
        <f>IFERROR('APPENDIX 18'!C19/'APPENDIX 18'!C$43*100,"")</f>
        <v>0</v>
      </c>
      <c r="D19" s="195">
        <f>IFERROR('APPENDIX 18'!D19/'APPENDIX 18'!D$43*100,"")</f>
        <v>2.9314953573987403</v>
      </c>
      <c r="E19" s="195">
        <f>IFERROR('APPENDIX 18'!E19/'APPENDIX 18'!E$43*100,"")</f>
        <v>3.5173555899421616</v>
      </c>
      <c r="F19" s="195">
        <f>IFERROR('APPENDIX 18'!F19/'APPENDIX 18'!F$43*100,"")</f>
        <v>2.9882371714899429</v>
      </c>
      <c r="G19" s="195">
        <f>IFERROR('APPENDIX 18'!G19/'APPENDIX 18'!G$43*100,"")</f>
        <v>3.2642067964094448</v>
      </c>
      <c r="H19" s="195">
        <f>IFERROR('APPENDIX 18'!H19/'APPENDIX 18'!H$43*100,"")</f>
        <v>3.4984791447088859</v>
      </c>
      <c r="I19" s="195">
        <f>IFERROR('APPENDIX 18'!I19/'APPENDIX 18'!I$43*100,"")</f>
        <v>2.3454258554269516</v>
      </c>
      <c r="J19" s="195">
        <f>IFERROR('APPENDIX 18'!J19/'APPENDIX 18'!J$43*100,"")</f>
        <v>2.7474420797338319</v>
      </c>
      <c r="K19" s="195">
        <f>IFERROR('APPENDIX 18'!K19/'APPENDIX 18'!K$43*100,"")</f>
        <v>0</v>
      </c>
      <c r="L19" s="195">
        <f>IFERROR('APPENDIX 18'!L19/'APPENDIX 18'!L$43*100,"")</f>
        <v>6.8454916870707647</v>
      </c>
      <c r="M19" s="195">
        <f>IFERROR('APPENDIX 18'!M19/'APPENDIX 18'!M$43*100,"")</f>
        <v>4.5216697144217264</v>
      </c>
      <c r="N19" s="195">
        <f>IFERROR('APPENDIX 18'!N19/'APPENDIX 18'!N$43*100,"")</f>
        <v>1.3706563471045048</v>
      </c>
      <c r="O19" s="195">
        <f>IFERROR('APPENDIX 18'!O19/'APPENDIX 18'!O$43*100,"")</f>
        <v>4.0257842508579769</v>
      </c>
      <c r="P19" s="195">
        <f>IFERROR('APPENDIX 18'!P19/'APPENDIX 18'!P$43*100,"")</f>
        <v>3.3833313996918815</v>
      </c>
      <c r="Q19" s="196">
        <f>IFERROR('APPENDIX 18'!$Q19/'APPENDIX 18'!Q$43*100,"")</f>
        <v>3.1950708576834006</v>
      </c>
    </row>
    <row r="20" spans="2:17" ht="18" customHeight="1" x14ac:dyDescent="0.35">
      <c r="B20" s="194" t="str">
        <f>'APPENDIX 18'!B20</f>
        <v>GA INSURANCE COMPANY</v>
      </c>
      <c r="C20" s="195">
        <f>IFERROR('APPENDIX 18'!C20/'APPENDIX 18'!C$43*100,"")</f>
        <v>23.914728526842044</v>
      </c>
      <c r="D20" s="195">
        <f>IFERROR('APPENDIX 18'!D20/'APPENDIX 18'!D$43*100,"")</f>
        <v>14.334877175179331</v>
      </c>
      <c r="E20" s="195">
        <f>IFERROR('APPENDIX 18'!E20/'APPENDIX 18'!E$43*100,"")</f>
        <v>9.1242204604066224</v>
      </c>
      <c r="F20" s="195">
        <f>IFERROR('APPENDIX 18'!F20/'APPENDIX 18'!F$43*100,"")</f>
        <v>14.275367095803453</v>
      </c>
      <c r="G20" s="195">
        <f>IFERROR('APPENDIX 18'!G20/'APPENDIX 18'!G$43*100,"")</f>
        <v>5.3632749459624431</v>
      </c>
      <c r="H20" s="195">
        <f>IFERROR('APPENDIX 18'!H20/'APPENDIX 18'!H$43*100,"")</f>
        <v>16.891168101040488</v>
      </c>
      <c r="I20" s="195">
        <f>IFERROR('APPENDIX 18'!I20/'APPENDIX 18'!I$43*100,"")</f>
        <v>5.7533121596600711</v>
      </c>
      <c r="J20" s="195">
        <f>IFERROR('APPENDIX 18'!J20/'APPENDIX 18'!J$43*100,"")</f>
        <v>5.9161257893256973</v>
      </c>
      <c r="K20" s="195">
        <f>IFERROR('APPENDIX 18'!K20/'APPENDIX 18'!K$43*100,"")</f>
        <v>2.0809698421748157</v>
      </c>
      <c r="L20" s="195">
        <f>IFERROR('APPENDIX 18'!L20/'APPENDIX 18'!L$43*100,"")</f>
        <v>5.7269353254305502</v>
      </c>
      <c r="M20" s="195">
        <f>IFERROR('APPENDIX 18'!M20/'APPENDIX 18'!M$43*100,"")</f>
        <v>10.156934588944162</v>
      </c>
      <c r="N20" s="195">
        <f>IFERROR('APPENDIX 18'!N20/'APPENDIX 18'!N$43*100,"")</f>
        <v>9.1994016608655986</v>
      </c>
      <c r="O20" s="195">
        <f>IFERROR('APPENDIX 18'!O20/'APPENDIX 18'!O$43*100,"")</f>
        <v>5.0768020877305213</v>
      </c>
      <c r="P20" s="195">
        <f>IFERROR('APPENDIX 18'!P20/'APPENDIX 18'!P$43*100,"")</f>
        <v>9.7365102233651655</v>
      </c>
      <c r="Q20" s="196">
        <f>IFERROR('APPENDIX 18'!$Q20/'APPENDIX 18'!Q$43*100,"")</f>
        <v>7.5317125177721778</v>
      </c>
    </row>
    <row r="21" spans="2:17" ht="18" customHeight="1" x14ac:dyDescent="0.35">
      <c r="B21" s="194" t="str">
        <f>'APPENDIX 18'!B21</f>
        <v xml:space="preserve">GEMINIA INSURANCE COMPANY </v>
      </c>
      <c r="C21" s="195">
        <f>IFERROR('APPENDIX 18'!C21/'APPENDIX 18'!C$43*100,"")</f>
        <v>4.1338125781620123</v>
      </c>
      <c r="D21" s="195">
        <f>IFERROR('APPENDIX 18'!D21/'APPENDIX 18'!D$43*100,"")</f>
        <v>1.7510596478318836</v>
      </c>
      <c r="E21" s="195">
        <f>IFERROR('APPENDIX 18'!E21/'APPENDIX 18'!E$43*100,"")</f>
        <v>4.0024778654820325</v>
      </c>
      <c r="F21" s="195">
        <f>IFERROR('APPENDIX 18'!F21/'APPENDIX 18'!F$43*100,"")</f>
        <v>4.2758800389106515</v>
      </c>
      <c r="G21" s="195">
        <f>IFERROR('APPENDIX 18'!G21/'APPENDIX 18'!G$43*100,"")</f>
        <v>2.502779365422013</v>
      </c>
      <c r="H21" s="195">
        <f>IFERROR('APPENDIX 18'!H21/'APPENDIX 18'!H$43*100,"")</f>
        <v>7.664085542059647</v>
      </c>
      <c r="I21" s="195">
        <f>IFERROR('APPENDIX 18'!I21/'APPENDIX 18'!I$43*100,"")</f>
        <v>3.6434071057527286</v>
      </c>
      <c r="J21" s="195">
        <f>IFERROR('APPENDIX 18'!J21/'APPENDIX 18'!J$43*100,"")</f>
        <v>4.2406926660935751</v>
      </c>
      <c r="K21" s="195">
        <f>IFERROR('APPENDIX 18'!K21/'APPENDIX 18'!K$43*100,"")</f>
        <v>0</v>
      </c>
      <c r="L21" s="195">
        <f>IFERROR('APPENDIX 18'!L21/'APPENDIX 18'!L$43*100,"")</f>
        <v>5.4161387201057245</v>
      </c>
      <c r="M21" s="195">
        <f>IFERROR('APPENDIX 18'!M21/'APPENDIX 18'!M$43*100,"")</f>
        <v>3.5679137125288793</v>
      </c>
      <c r="N21" s="195">
        <f>IFERROR('APPENDIX 18'!N21/'APPENDIX 18'!N$43*100,"")</f>
        <v>3.8865319661202173</v>
      </c>
      <c r="O21" s="195">
        <f>IFERROR('APPENDIX 18'!O21/'APPENDIX 18'!O$43*100,"")</f>
        <v>0</v>
      </c>
      <c r="P21" s="195">
        <f>IFERROR('APPENDIX 18'!P21/'APPENDIX 18'!P$43*100,"")</f>
        <v>2.8817953714240523</v>
      </c>
      <c r="Q21" s="196">
        <f>IFERROR('APPENDIX 18'!$Q21/'APPENDIX 18'!Q$43*100,"")</f>
        <v>2.2115576319220716</v>
      </c>
    </row>
    <row r="22" spans="2:17" ht="18" customHeight="1" x14ac:dyDescent="0.35">
      <c r="B22" s="194" t="str">
        <f>'APPENDIX 18'!B22</f>
        <v>ICEA LION GENERAL INSURANCE</v>
      </c>
      <c r="C22" s="195">
        <f>IFERROR('APPENDIX 18'!C22/'APPENDIX 18'!C$43*100,"")</f>
        <v>20.97775821761665</v>
      </c>
      <c r="D22" s="195">
        <f>IFERROR('APPENDIX 18'!D22/'APPENDIX 18'!D$43*100,"")</f>
        <v>5.9886220098420271</v>
      </c>
      <c r="E22" s="195">
        <f>IFERROR('APPENDIX 18'!E22/'APPENDIX 18'!E$43*100,"")</f>
        <v>7.4314867710298049</v>
      </c>
      <c r="F22" s="195">
        <f>IFERROR('APPENDIX 18'!F22/'APPENDIX 18'!F$43*100,"")</f>
        <v>7.276163194192482</v>
      </c>
      <c r="G22" s="195">
        <f>IFERROR('APPENDIX 18'!G22/'APPENDIX 18'!G$43*100,"")</f>
        <v>4.3577586339663696</v>
      </c>
      <c r="H22" s="195">
        <f>IFERROR('APPENDIX 18'!H22/'APPENDIX 18'!H$43*100,"")</f>
        <v>5.3877947538264221</v>
      </c>
      <c r="I22" s="195">
        <f>IFERROR('APPENDIX 18'!I22/'APPENDIX 18'!I$43*100,"")</f>
        <v>7.8706753525592035</v>
      </c>
      <c r="J22" s="195">
        <f>IFERROR('APPENDIX 18'!J22/'APPENDIX 18'!J$43*100,"")</f>
        <v>2.5854059609008972</v>
      </c>
      <c r="K22" s="195">
        <f>IFERROR('APPENDIX 18'!K22/'APPENDIX 18'!K$43*100,"")</f>
        <v>0</v>
      </c>
      <c r="L22" s="195">
        <f>IFERROR('APPENDIX 18'!L22/'APPENDIX 18'!L$43*100,"")</f>
        <v>12.825947929536131</v>
      </c>
      <c r="M22" s="195">
        <f>IFERROR('APPENDIX 18'!M22/'APPENDIX 18'!M$43*100,"")</f>
        <v>3.8907845956390443</v>
      </c>
      <c r="N22" s="195">
        <f>IFERROR('APPENDIX 18'!N22/'APPENDIX 18'!N$43*100,"")</f>
        <v>7.2663508922924755</v>
      </c>
      <c r="O22" s="195">
        <f>IFERROR('APPENDIX 18'!O22/'APPENDIX 18'!O$43*100,"")</f>
        <v>0.63266801573196596</v>
      </c>
      <c r="P22" s="195">
        <f>IFERROR('APPENDIX 18'!P22/'APPENDIX 18'!P$43*100,"")</f>
        <v>3.8887028803044599</v>
      </c>
      <c r="Q22" s="196">
        <f>IFERROR('APPENDIX 18'!$Q22/'APPENDIX 18'!Q$43*100,"")</f>
        <v>3.98114612920488</v>
      </c>
    </row>
    <row r="23" spans="2:17" ht="18" customHeight="1" x14ac:dyDescent="0.35">
      <c r="B23" s="194" t="str">
        <f>'APPENDIX 18'!B23</f>
        <v xml:space="preserve">INTRA-AFRICA ASSURANCE </v>
      </c>
      <c r="C23" s="195">
        <f>IFERROR('APPENDIX 18'!C23/'APPENDIX 18'!C$43*100,"")</f>
        <v>0</v>
      </c>
      <c r="D23" s="195">
        <f>IFERROR('APPENDIX 18'!D23/'APPENDIX 18'!D$43*100,"")</f>
        <v>6.572825641695081</v>
      </c>
      <c r="E23" s="195">
        <f>IFERROR('APPENDIX 18'!E23/'APPENDIX 18'!E$43*100,"")</f>
        <v>4.0940034620141681</v>
      </c>
      <c r="F23" s="195">
        <f>IFERROR('APPENDIX 18'!F23/'APPENDIX 18'!F$43*100,"")</f>
        <v>2.2842791613434854</v>
      </c>
      <c r="G23" s="195">
        <f>IFERROR('APPENDIX 18'!G23/'APPENDIX 18'!G$43*100,"")</f>
        <v>0.92847411230612076</v>
      </c>
      <c r="H23" s="195">
        <f>IFERROR('APPENDIX 18'!H23/'APPENDIX 18'!H$43*100,"")</f>
        <v>5.0113797244912837</v>
      </c>
      <c r="I23" s="195">
        <f>IFERROR('APPENDIX 18'!I23/'APPENDIX 18'!I$43*100,"")</f>
        <v>2.5566844893819503</v>
      </c>
      <c r="J23" s="195">
        <f>IFERROR('APPENDIX 18'!J23/'APPENDIX 18'!J$43*100,"")</f>
        <v>1.638304724643358</v>
      </c>
      <c r="K23" s="195">
        <f>IFERROR('APPENDIX 18'!K23/'APPENDIX 18'!K$43*100,"")</f>
        <v>0.82403533956302877</v>
      </c>
      <c r="L23" s="195">
        <f>IFERROR('APPENDIX 18'!L23/'APPENDIX 18'!L$43*100,"")</f>
        <v>0.86824174686723521</v>
      </c>
      <c r="M23" s="195">
        <f>IFERROR('APPENDIX 18'!M23/'APPENDIX 18'!M$43*100,"")</f>
        <v>1.8020442706780844</v>
      </c>
      <c r="N23" s="195">
        <f>IFERROR('APPENDIX 18'!N23/'APPENDIX 18'!N$43*100,"")</f>
        <v>3.0982728438378735</v>
      </c>
      <c r="O23" s="195">
        <f>IFERROR('APPENDIX 18'!O23/'APPENDIX 18'!O$43*100,"")</f>
        <v>0</v>
      </c>
      <c r="P23" s="195">
        <f>IFERROR('APPENDIX 18'!P23/'APPENDIX 18'!P$43*100,"")</f>
        <v>7.1749331395824374</v>
      </c>
      <c r="Q23" s="196">
        <f>IFERROR('APPENDIX 18'!$Q23/'APPENDIX 18'!Q$43*100,"")</f>
        <v>1.5356442488309781</v>
      </c>
    </row>
    <row r="24" spans="2:17" ht="18" customHeight="1" x14ac:dyDescent="0.35">
      <c r="B24" s="194" t="str">
        <f>'APPENDIX 18'!B24</f>
        <v>JUBILEE HEALTH INSURANCE</v>
      </c>
      <c r="C24" s="195">
        <f>IFERROR('APPENDIX 18'!C24/'APPENDIX 18'!C$43*100,"")</f>
        <v>0</v>
      </c>
      <c r="D24" s="195">
        <f>IFERROR('APPENDIX 18'!D24/'APPENDIX 18'!D$43*100,"")</f>
        <v>0</v>
      </c>
      <c r="E24" s="195">
        <f>IFERROR('APPENDIX 18'!E24/'APPENDIX 18'!E$43*100,"")</f>
        <v>0</v>
      </c>
      <c r="F24" s="195">
        <f>IFERROR('APPENDIX 18'!F24/'APPENDIX 18'!F$43*100,"")</f>
        <v>0</v>
      </c>
      <c r="G24" s="195">
        <f>IFERROR('APPENDIX 18'!G24/'APPENDIX 18'!G$43*100,"")</f>
        <v>0</v>
      </c>
      <c r="H24" s="195">
        <f>IFERROR('APPENDIX 18'!H24/'APPENDIX 18'!H$43*100,"")</f>
        <v>0</v>
      </c>
      <c r="I24" s="195">
        <f>IFERROR('APPENDIX 18'!I24/'APPENDIX 18'!I$43*100,"")</f>
        <v>0</v>
      </c>
      <c r="J24" s="195">
        <f>IFERROR('APPENDIX 18'!J24/'APPENDIX 18'!J$43*100,"")</f>
        <v>0</v>
      </c>
      <c r="K24" s="195">
        <f>IFERROR('APPENDIX 18'!K24/'APPENDIX 18'!K$43*100,"")</f>
        <v>0</v>
      </c>
      <c r="L24" s="195">
        <f>IFERROR('APPENDIX 18'!L24/'APPENDIX 18'!L$43*100,"")</f>
        <v>0</v>
      </c>
      <c r="M24" s="195">
        <f>IFERROR('APPENDIX 18'!M24/'APPENDIX 18'!M$43*100,"")</f>
        <v>0</v>
      </c>
      <c r="N24" s="195">
        <f>IFERROR('APPENDIX 18'!N24/'APPENDIX 18'!N$43*100,"")</f>
        <v>0</v>
      </c>
      <c r="O24" s="195">
        <f>IFERROR('APPENDIX 18'!O24/'APPENDIX 18'!O$43*100,"")</f>
        <v>18.274464279773554</v>
      </c>
      <c r="P24" s="195">
        <f>IFERROR('APPENDIX 18'!P24/'APPENDIX 18'!P$43*100,"")</f>
        <v>0</v>
      </c>
      <c r="Q24" s="196">
        <f>IFERROR('APPENDIX 18'!$Q24/'APPENDIX 18'!Q$43*100,"")</f>
        <v>7.5043723589398512</v>
      </c>
    </row>
    <row r="25" spans="2:17" ht="18" customHeight="1" x14ac:dyDescent="0.35">
      <c r="B25" s="194" t="str">
        <f>'APPENDIX 18'!B25</f>
        <v xml:space="preserve">KENINDIA ASSURANCE COMPANY </v>
      </c>
      <c r="C25" s="195">
        <f>IFERROR('APPENDIX 18'!C25/'APPENDIX 18'!C$43*100,"")</f>
        <v>0</v>
      </c>
      <c r="D25" s="195">
        <f>IFERROR('APPENDIX 18'!D25/'APPENDIX 18'!D$43*100,"")</f>
        <v>2.8296406684432092</v>
      </c>
      <c r="E25" s="195">
        <f>IFERROR('APPENDIX 18'!E25/'APPENDIX 18'!E$43*100,"")</f>
        <v>1.5285337299424557</v>
      </c>
      <c r="F25" s="195">
        <f>IFERROR('APPENDIX 18'!F25/'APPENDIX 18'!F$43*100,"")</f>
        <v>2.9252939101584294</v>
      </c>
      <c r="G25" s="195">
        <f>IFERROR('APPENDIX 18'!G25/'APPENDIX 18'!G$43*100,"")</f>
        <v>1.2075335494260064</v>
      </c>
      <c r="H25" s="195">
        <f>IFERROR('APPENDIX 18'!H25/'APPENDIX 18'!H$43*100,"")</f>
        <v>3.1486894915963979</v>
      </c>
      <c r="I25" s="195">
        <f>IFERROR('APPENDIX 18'!I25/'APPENDIX 18'!I$43*100,"")</f>
        <v>1.8650202012786787</v>
      </c>
      <c r="J25" s="195">
        <f>IFERROR('APPENDIX 18'!J25/'APPENDIX 18'!J$43*100,"")</f>
        <v>1.6520129022705166</v>
      </c>
      <c r="K25" s="195">
        <f>IFERROR('APPENDIX 18'!K25/'APPENDIX 18'!K$43*100,"")</f>
        <v>0</v>
      </c>
      <c r="L25" s="195">
        <f>IFERROR('APPENDIX 18'!L25/'APPENDIX 18'!L$43*100,"")</f>
        <v>0.3246602585315066</v>
      </c>
      <c r="M25" s="195">
        <f>IFERROR('APPENDIX 18'!M25/'APPENDIX 18'!M$43*100,"")</f>
        <v>2.2871908232814078</v>
      </c>
      <c r="N25" s="195">
        <f>IFERROR('APPENDIX 18'!N25/'APPENDIX 18'!N$43*100,"")</f>
        <v>1.9260742032028471</v>
      </c>
      <c r="O25" s="195">
        <f>IFERROR('APPENDIX 18'!O25/'APPENDIX 18'!O$43*100,"")</f>
        <v>0.17382503696905288</v>
      </c>
      <c r="P25" s="195">
        <f>IFERROR('APPENDIX 18'!P25/'APPENDIX 18'!P$43*100,"")</f>
        <v>0.90324066774992107</v>
      </c>
      <c r="Q25" s="196">
        <f>IFERROR('APPENDIX 18'!$Q25/'APPENDIX 18'!Q$43*100,"")</f>
        <v>1.1768649032052827</v>
      </c>
    </row>
    <row r="26" spans="2:17" ht="18" customHeight="1" x14ac:dyDescent="0.35">
      <c r="B26" s="194" t="str">
        <f>'APPENDIX 18'!B26</f>
        <v>KENYA ORIENT INSURANCE</v>
      </c>
      <c r="C26" s="195">
        <f>IFERROR('APPENDIX 18'!C26/'APPENDIX 18'!C$43*100,"")</f>
        <v>0</v>
      </c>
      <c r="D26" s="195">
        <f>IFERROR('APPENDIX 18'!D26/'APPENDIX 18'!D$43*100,"")</f>
        <v>0.82892327537956623</v>
      </c>
      <c r="E26" s="195">
        <f>IFERROR('APPENDIX 18'!E26/'APPENDIX 18'!E$43*100,"")</f>
        <v>1.3025908487474147</v>
      </c>
      <c r="F26" s="195">
        <f>IFERROR('APPENDIX 18'!F26/'APPENDIX 18'!F$43*100,"")</f>
        <v>0.49695474999665035</v>
      </c>
      <c r="G26" s="195">
        <f>IFERROR('APPENDIX 18'!G26/'APPENDIX 18'!G$43*100,"")</f>
        <v>0.36422202830387856</v>
      </c>
      <c r="H26" s="195">
        <f>IFERROR('APPENDIX 18'!H26/'APPENDIX 18'!H$43*100,"")</f>
        <v>7.6606656942545787E-2</v>
      </c>
      <c r="I26" s="195">
        <f>IFERROR('APPENDIX 18'!I26/'APPENDIX 18'!I$43*100,"")</f>
        <v>1.126196018765468</v>
      </c>
      <c r="J26" s="195">
        <f>IFERROR('APPENDIX 18'!J26/'APPENDIX 18'!J$43*100,"")</f>
        <v>0.7869903977797299</v>
      </c>
      <c r="K26" s="195">
        <f>IFERROR('APPENDIX 18'!K26/'APPENDIX 18'!K$43*100,"")</f>
        <v>0.56609349036960332</v>
      </c>
      <c r="L26" s="195">
        <f>IFERROR('APPENDIX 18'!L26/'APPENDIX 18'!L$43*100,"")</f>
        <v>0.27003206344961839</v>
      </c>
      <c r="M26" s="195">
        <f>IFERROR('APPENDIX 18'!M26/'APPENDIX 18'!M$43*100,"")</f>
        <v>1.0915805321407062</v>
      </c>
      <c r="N26" s="195">
        <f>IFERROR('APPENDIX 18'!N26/'APPENDIX 18'!N$43*100,"")</f>
        <v>0.65594884904344908</v>
      </c>
      <c r="O26" s="195">
        <f>IFERROR('APPENDIX 18'!O26/'APPENDIX 18'!O$43*100,"")</f>
        <v>0</v>
      </c>
      <c r="P26" s="195">
        <f>IFERROR('APPENDIX 18'!P26/'APPENDIX 18'!P$43*100,"")</f>
        <v>2.8922417618103471</v>
      </c>
      <c r="Q26" s="196">
        <f>IFERROR('APPENDIX 18'!$Q26/'APPENDIX 18'!Q$43*100,"")</f>
        <v>0.49024135236289601</v>
      </c>
    </row>
    <row r="27" spans="2:17" ht="18" customHeight="1" x14ac:dyDescent="0.35">
      <c r="B27" s="194" t="str">
        <f>'APPENDIX 18'!B27</f>
        <v>MADISON INSURANCE COMPANY</v>
      </c>
      <c r="C27" s="195">
        <f>IFERROR('APPENDIX 18'!C27/'APPENDIX 18'!C$43*100,"")</f>
        <v>0</v>
      </c>
      <c r="D27" s="195">
        <f>IFERROR('APPENDIX 18'!D27/'APPENDIX 18'!D$43*100,"")</f>
        <v>1.3621664552898036</v>
      </c>
      <c r="E27" s="195">
        <f>IFERROR('APPENDIX 18'!E27/'APPENDIX 18'!E$43*100,"")</f>
        <v>1.3832039333293868</v>
      </c>
      <c r="F27" s="195">
        <f>IFERROR('APPENDIX 18'!F27/'APPENDIX 18'!F$43*100,"")</f>
        <v>3.0578621569160527</v>
      </c>
      <c r="G27" s="195">
        <f>IFERROR('APPENDIX 18'!G27/'APPENDIX 18'!G$43*100,"")</f>
        <v>5.1315569807188224</v>
      </c>
      <c r="H27" s="195">
        <f>IFERROR('APPENDIX 18'!H27/'APPENDIX 18'!H$43*100,"")</f>
        <v>0.86938053880912991</v>
      </c>
      <c r="I27" s="195">
        <f>IFERROR('APPENDIX 18'!I27/'APPENDIX 18'!I$43*100,"")</f>
        <v>1.7099342699925191</v>
      </c>
      <c r="J27" s="195">
        <f>IFERROR('APPENDIX 18'!J27/'APPENDIX 18'!J$43*100,"")</f>
        <v>14.858168628377758</v>
      </c>
      <c r="K27" s="195">
        <f>IFERROR('APPENDIX 18'!K27/'APPENDIX 18'!K$43*100,"")</f>
        <v>0</v>
      </c>
      <c r="L27" s="195">
        <f>IFERROR('APPENDIX 18'!L27/'APPENDIX 18'!L$43*100,"")</f>
        <v>1.6115403218280497</v>
      </c>
      <c r="M27" s="195">
        <f>IFERROR('APPENDIX 18'!M27/'APPENDIX 18'!M$43*100,"")</f>
        <v>2.9284181290699443</v>
      </c>
      <c r="N27" s="195">
        <f>IFERROR('APPENDIX 18'!N27/'APPENDIX 18'!N$43*100,"")</f>
        <v>3.2787551826102921</v>
      </c>
      <c r="O27" s="195">
        <f>IFERROR('APPENDIX 18'!O27/'APPENDIX 18'!O$43*100,"")</f>
        <v>3.4647542083924634</v>
      </c>
      <c r="P27" s="195">
        <f>IFERROR('APPENDIX 18'!P27/'APPENDIX 18'!P$43*100,"")</f>
        <v>6.1383831635162487</v>
      </c>
      <c r="Q27" s="196">
        <f>IFERROR('APPENDIX 18'!$Q27/'APPENDIX 18'!Q$43*100,"")</f>
        <v>4.1552860638592204</v>
      </c>
    </row>
    <row r="28" spans="2:17" ht="18" customHeight="1" x14ac:dyDescent="0.35">
      <c r="B28" s="194" t="str">
        <f>'APPENDIX 18'!B28</f>
        <v>MAYFAIR INSURANCE COMPANY</v>
      </c>
      <c r="C28" s="195">
        <f>IFERROR('APPENDIX 18'!C28/'APPENDIX 18'!C$43*100,"")</f>
        <v>14.437101113188024</v>
      </c>
      <c r="D28" s="195">
        <f>IFERROR('APPENDIX 18'!D28/'APPENDIX 18'!D$43*100,"")</f>
        <v>18.894054763973944</v>
      </c>
      <c r="E28" s="195">
        <f>IFERROR('APPENDIX 18'!E28/'APPENDIX 18'!E$43*100,"")</f>
        <v>7.3369013684558295</v>
      </c>
      <c r="F28" s="195">
        <f>IFERROR('APPENDIX 18'!F28/'APPENDIX 18'!F$43*100,"")</f>
        <v>9.102276573307055</v>
      </c>
      <c r="G28" s="195">
        <f>IFERROR('APPENDIX 18'!G28/'APPENDIX 18'!G$43*100,"")</f>
        <v>5.5560550225740863</v>
      </c>
      <c r="H28" s="195">
        <f>IFERROR('APPENDIX 18'!H28/'APPENDIX 18'!H$43*100,"")</f>
        <v>11.426192074528879</v>
      </c>
      <c r="I28" s="195">
        <f>IFERROR('APPENDIX 18'!I28/'APPENDIX 18'!I$43*100,"")</f>
        <v>2.484108312860303</v>
      </c>
      <c r="J28" s="195">
        <f>IFERROR('APPENDIX 18'!J28/'APPENDIX 18'!J$43*100,"")</f>
        <v>2.5136211421914632</v>
      </c>
      <c r="K28" s="195">
        <f>IFERROR('APPENDIX 18'!K28/'APPENDIX 18'!K$43*100,"")</f>
        <v>0.49711210075875228</v>
      </c>
      <c r="L28" s="195">
        <f>IFERROR('APPENDIX 18'!L28/'APPENDIX 18'!L$43*100,"")</f>
        <v>2.5309713297168903</v>
      </c>
      <c r="M28" s="195">
        <f>IFERROR('APPENDIX 18'!M28/'APPENDIX 18'!M$43*100,"")</f>
        <v>5.6413024619993077</v>
      </c>
      <c r="N28" s="195">
        <f>IFERROR('APPENDIX 18'!N28/'APPENDIX 18'!N$43*100,"")</f>
        <v>8.2514018544487389</v>
      </c>
      <c r="O28" s="195">
        <f>IFERROR('APPENDIX 18'!O28/'APPENDIX 18'!O$43*100,"")</f>
        <v>0</v>
      </c>
      <c r="P28" s="195">
        <f>IFERROR('APPENDIX 18'!P28/'APPENDIX 18'!P$43*100,"")</f>
        <v>21.06344040673978</v>
      </c>
      <c r="Q28" s="196">
        <f>IFERROR('APPENDIX 18'!$Q28/'APPENDIX 18'!Q$43*100,"")</f>
        <v>3.9668586321116006</v>
      </c>
    </row>
    <row r="29" spans="2:17" ht="18" customHeight="1" x14ac:dyDescent="0.35">
      <c r="B29" s="194" t="str">
        <f>'APPENDIX 18'!B29</f>
        <v>MUA INSURANCE COMPANY</v>
      </c>
      <c r="C29" s="195">
        <f>IFERROR('APPENDIX 18'!C29/'APPENDIX 18'!C$43*100,"")</f>
        <v>1.2609893216150259</v>
      </c>
      <c r="D29" s="195">
        <f>IFERROR('APPENDIX 18'!D29/'APPENDIX 18'!D$43*100,"")</f>
        <v>0.32920073109421094</v>
      </c>
      <c r="E29" s="195">
        <f>IFERROR('APPENDIX 18'!E29/'APPENDIX 18'!E$43*100,"")</f>
        <v>0.44905820846719857</v>
      </c>
      <c r="F29" s="195">
        <f>IFERROR('APPENDIX 18'!F29/'APPENDIX 18'!F$43*100,"")</f>
        <v>1.5128951400569013</v>
      </c>
      <c r="G29" s="195">
        <f>IFERROR('APPENDIX 18'!G29/'APPENDIX 18'!G$43*100,"")</f>
        <v>1.563696839382736</v>
      </c>
      <c r="H29" s="195">
        <f>IFERROR('APPENDIX 18'!H29/'APPENDIX 18'!H$43*100,"")</f>
        <v>1.686955101889599</v>
      </c>
      <c r="I29" s="195">
        <f>IFERROR('APPENDIX 18'!I29/'APPENDIX 18'!I$43*100,"")</f>
        <v>0.94356636920067094</v>
      </c>
      <c r="J29" s="195">
        <f>IFERROR('APPENDIX 18'!J29/'APPENDIX 18'!J$43*100,"")</f>
        <v>0.45589066931065331</v>
      </c>
      <c r="K29" s="195">
        <f>IFERROR('APPENDIX 18'!K29/'APPENDIX 18'!K$43*100,"")</f>
        <v>0</v>
      </c>
      <c r="L29" s="195">
        <f>IFERROR('APPENDIX 18'!L29/'APPENDIX 18'!L$43*100,"")</f>
        <v>0.9205333586012806</v>
      </c>
      <c r="M29" s="195">
        <f>IFERROR('APPENDIX 18'!M29/'APPENDIX 18'!M$43*100,"")</f>
        <v>0.6940215565951473</v>
      </c>
      <c r="N29" s="195">
        <f>IFERROR('APPENDIX 18'!N29/'APPENDIX 18'!N$43*100,"")</f>
        <v>0.5674593821385937</v>
      </c>
      <c r="O29" s="195">
        <f>IFERROR('APPENDIX 18'!O29/'APPENDIX 18'!O$43*100,"")</f>
        <v>1.0125915803705994</v>
      </c>
      <c r="P29" s="195">
        <f>IFERROR('APPENDIX 18'!P29/'APPENDIX 18'!P$43*100,"")</f>
        <v>1.1326593946306776</v>
      </c>
      <c r="Q29" s="196">
        <f>IFERROR('APPENDIX 18'!$Q29/'APPENDIX 18'!Q$43*100,"")</f>
        <v>0.94942717605791016</v>
      </c>
    </row>
    <row r="30" spans="2:17" ht="18" customHeight="1" x14ac:dyDescent="0.35">
      <c r="B30" s="194" t="str">
        <f>'APPENDIX 18'!B30</f>
        <v>NCBA INSURANCE COMPANY</v>
      </c>
      <c r="C30" s="195">
        <f>IFERROR('APPENDIX 18'!C30/'APPENDIX 18'!C$43*100,"")</f>
        <v>2.3503601595759441E-2</v>
      </c>
      <c r="D30" s="195">
        <f>IFERROR('APPENDIX 18'!D30/'APPENDIX 18'!D$43*100,"")</f>
        <v>0.55947660380307518</v>
      </c>
      <c r="E30" s="195">
        <f>IFERROR('APPENDIX 18'!E30/'APPENDIX 18'!E$43*100,"")</f>
        <v>6.0722759916326963</v>
      </c>
      <c r="F30" s="195">
        <f>IFERROR('APPENDIX 18'!F30/'APPENDIX 18'!F$43*100,"")</f>
        <v>2.5544760352598983</v>
      </c>
      <c r="G30" s="195">
        <f>IFERROR('APPENDIX 18'!G30/'APPENDIX 18'!G$43*100,"")</f>
        <v>13.004778463307082</v>
      </c>
      <c r="H30" s="195">
        <f>IFERROR('APPENDIX 18'!H30/'APPENDIX 18'!H$43*100,"")</f>
        <v>0.62073499344149896</v>
      </c>
      <c r="I30" s="195">
        <f>IFERROR('APPENDIX 18'!I30/'APPENDIX 18'!I$43*100,"")</f>
        <v>3.4222973948695086</v>
      </c>
      <c r="J30" s="195">
        <f>IFERROR('APPENDIX 18'!J30/'APPENDIX 18'!J$43*100,"")</f>
        <v>0.63197297580682321</v>
      </c>
      <c r="K30" s="195">
        <f>IFERROR('APPENDIX 18'!K30/'APPENDIX 18'!K$43*100,"")</f>
        <v>0</v>
      </c>
      <c r="L30" s="195">
        <f>IFERROR('APPENDIX 18'!L30/'APPENDIX 18'!L$43*100,"")</f>
        <v>8.4173865827542347</v>
      </c>
      <c r="M30" s="195">
        <f>IFERROR('APPENDIX 18'!M30/'APPENDIX 18'!M$43*100,"")</f>
        <v>6.4282239843850775</v>
      </c>
      <c r="N30" s="195">
        <f>IFERROR('APPENDIX 18'!N30/'APPENDIX 18'!N$43*100,"")</f>
        <v>2.6940632941981315</v>
      </c>
      <c r="O30" s="195">
        <f>IFERROR('APPENDIX 18'!O30/'APPENDIX 18'!O$43*100,"")</f>
        <v>0</v>
      </c>
      <c r="P30" s="195">
        <f>IFERROR('APPENDIX 18'!P30/'APPENDIX 18'!P$43*100,"")</f>
        <v>2.3401018012600325E-3</v>
      </c>
      <c r="Q30" s="196">
        <f>IFERROR('APPENDIX 18'!$Q30/'APPENDIX 18'!Q$43*100,"")</f>
        <v>1.5990568929722948</v>
      </c>
    </row>
    <row r="31" spans="2:17" ht="18" customHeight="1" x14ac:dyDescent="0.35">
      <c r="B31" s="194" t="str">
        <f>'APPENDIX 18'!B31</f>
        <v xml:space="preserve">OCCIDENTAL INSURANCE COMPANY </v>
      </c>
      <c r="C31" s="195">
        <f>IFERROR('APPENDIX 18'!C31/'APPENDIX 18'!C$43*100,"")</f>
        <v>0.60589191853151503</v>
      </c>
      <c r="D31" s="195">
        <f>IFERROR('APPENDIX 18'!D31/'APPENDIX 18'!D$43*100,"")</f>
        <v>2.006475665374762</v>
      </c>
      <c r="E31" s="195">
        <f>IFERROR('APPENDIX 18'!E31/'APPENDIX 18'!E$43*100,"")</f>
        <v>2.0282251890101755</v>
      </c>
      <c r="F31" s="195">
        <f>IFERROR('APPENDIX 18'!F31/'APPENDIX 18'!F$43*100,"")</f>
        <v>1.2351726621891053</v>
      </c>
      <c r="G31" s="195">
        <f>IFERROR('APPENDIX 18'!G31/'APPENDIX 18'!G$43*100,"")</f>
        <v>0.25529490658387649</v>
      </c>
      <c r="H31" s="195">
        <f>IFERROR('APPENDIX 18'!H31/'APPENDIX 18'!H$43*100,"")</f>
        <v>1.3804639706957702</v>
      </c>
      <c r="I31" s="195">
        <f>IFERROR('APPENDIX 18'!I31/'APPENDIX 18'!I$43*100,"")</f>
        <v>1.2775502931440026</v>
      </c>
      <c r="J31" s="195">
        <f>IFERROR('APPENDIX 18'!J31/'APPENDIX 18'!J$43*100,"")</f>
        <v>1.6711300397350648</v>
      </c>
      <c r="K31" s="195">
        <f>IFERROR('APPENDIX 18'!K31/'APPENDIX 18'!K$43*100,"")</f>
        <v>0</v>
      </c>
      <c r="L31" s="195">
        <f>IFERROR('APPENDIX 18'!L31/'APPENDIX 18'!L$43*100,"")</f>
        <v>1.1701575063691467</v>
      </c>
      <c r="M31" s="195">
        <f>IFERROR('APPENDIX 18'!M31/'APPENDIX 18'!M$43*100,"")</f>
        <v>1.0903547184395519</v>
      </c>
      <c r="N31" s="195">
        <f>IFERROR('APPENDIX 18'!N31/'APPENDIX 18'!N$43*100,"")</f>
        <v>1.8709057611962767</v>
      </c>
      <c r="O31" s="195">
        <f>IFERROR('APPENDIX 18'!O31/'APPENDIX 18'!O$43*100,"")</f>
        <v>0</v>
      </c>
      <c r="P31" s="195">
        <f>IFERROR('APPENDIX 18'!P31/'APPENDIX 18'!P$43*100,"")</f>
        <v>0.94917856267739009</v>
      </c>
      <c r="Q31" s="196">
        <f>IFERROR('APPENDIX 18'!$Q31/'APPENDIX 18'!Q$43*100,"")</f>
        <v>0.76477950111412696</v>
      </c>
    </row>
    <row r="32" spans="2:17" ht="18" customHeight="1" x14ac:dyDescent="0.35">
      <c r="B32" s="194" t="str">
        <f>'APPENDIX 18'!B32</f>
        <v xml:space="preserve">OLD MUTUAL GENERAL INSURANCE </v>
      </c>
      <c r="C32" s="195">
        <f>IFERROR('APPENDIX 18'!C32/'APPENDIX 18'!C$43*100,"")</f>
        <v>2.4730262473900027</v>
      </c>
      <c r="D32" s="195">
        <f>IFERROR('APPENDIX 18'!D32/'APPENDIX 18'!D$43*100,"")</f>
        <v>6.0806619088876115</v>
      </c>
      <c r="E32" s="195">
        <f>IFERROR('APPENDIX 18'!E32/'APPENDIX 18'!E$43*100,"")</f>
        <v>10.434065053964895</v>
      </c>
      <c r="F32" s="195">
        <f>IFERROR('APPENDIX 18'!F32/'APPENDIX 18'!F$43*100,"")</f>
        <v>4.8492013648361816</v>
      </c>
      <c r="G32" s="195">
        <f>IFERROR('APPENDIX 18'!G32/'APPENDIX 18'!G$43*100,"")</f>
        <v>5.7199207242060766</v>
      </c>
      <c r="H32" s="195">
        <f>IFERROR('APPENDIX 18'!H32/'APPENDIX 18'!H$43*100,"")</f>
        <v>3.5273030944042687</v>
      </c>
      <c r="I32" s="195">
        <f>IFERROR('APPENDIX 18'!I32/'APPENDIX 18'!I$43*100,"")</f>
        <v>5.6207478712772367</v>
      </c>
      <c r="J32" s="195">
        <f>IFERROR('APPENDIX 18'!J32/'APPENDIX 18'!J$43*100,"")</f>
        <v>6.4579644582553355</v>
      </c>
      <c r="K32" s="195">
        <f>IFERROR('APPENDIX 18'!K32/'APPENDIX 18'!K$43*100,"")</f>
        <v>0</v>
      </c>
      <c r="L32" s="195">
        <f>IFERROR('APPENDIX 18'!L32/'APPENDIX 18'!L$43*100,"")</f>
        <v>3.7999652978551515</v>
      </c>
      <c r="M32" s="195">
        <f>IFERROR('APPENDIX 18'!M32/'APPENDIX 18'!M$43*100,"")</f>
        <v>8.4326206527816527</v>
      </c>
      <c r="N32" s="195">
        <f>IFERROR('APPENDIX 18'!N32/'APPENDIX 18'!N$43*100,"")</f>
        <v>6.3985248737968226</v>
      </c>
      <c r="O32" s="195">
        <f>IFERROR('APPENDIX 18'!O32/'APPENDIX 18'!O$43*100,"")</f>
        <v>12.050462904351699</v>
      </c>
      <c r="P32" s="195">
        <f>IFERROR('APPENDIX 18'!P32/'APPENDIX 18'!P$43*100,"")</f>
        <v>2.4197069264848818</v>
      </c>
      <c r="Q32" s="196">
        <f>IFERROR('APPENDIX 18'!$Q32/'APPENDIX 18'!Q$43*100,"")</f>
        <v>8.0835862873283766</v>
      </c>
    </row>
    <row r="33" spans="2:17" ht="18" customHeight="1" x14ac:dyDescent="0.35">
      <c r="B33" s="194" t="str">
        <f>'APPENDIX 18'!B33</f>
        <v>PACIS INSURANCE COMPANY</v>
      </c>
      <c r="C33" s="195">
        <f>IFERROR('APPENDIX 18'!C33/'APPENDIX 18'!C$43*100,"")</f>
        <v>0</v>
      </c>
      <c r="D33" s="195">
        <f>IFERROR('APPENDIX 18'!D33/'APPENDIX 18'!D$43*100,"")</f>
        <v>0.61246960006192219</v>
      </c>
      <c r="E33" s="195">
        <f>IFERROR('APPENDIX 18'!E33/'APPENDIX 18'!E$43*100,"")</f>
        <v>0.87494918462745352</v>
      </c>
      <c r="F33" s="195">
        <f>IFERROR('APPENDIX 18'!F33/'APPENDIX 18'!F$43*100,"")</f>
        <v>0.67690731587265884</v>
      </c>
      <c r="G33" s="195">
        <f>IFERROR('APPENDIX 18'!G33/'APPENDIX 18'!G$43*100,"")</f>
        <v>5.974803598024585</v>
      </c>
      <c r="H33" s="195">
        <f>IFERROR('APPENDIX 18'!H33/'APPENDIX 18'!H$43*100,"")</f>
        <v>0.21339367517264851</v>
      </c>
      <c r="I33" s="195">
        <f>IFERROR('APPENDIX 18'!I33/'APPENDIX 18'!I$43*100,"")</f>
        <v>1.7934465826592347</v>
      </c>
      <c r="J33" s="195">
        <f>IFERROR('APPENDIX 18'!J33/'APPENDIX 18'!J$43*100,"")</f>
        <v>3.3326180504932252</v>
      </c>
      <c r="K33" s="195">
        <f>IFERROR('APPENDIX 18'!K33/'APPENDIX 18'!K$43*100,"")</f>
        <v>0</v>
      </c>
      <c r="L33" s="195">
        <f>IFERROR('APPENDIX 18'!L33/'APPENDIX 18'!L$43*100,"")</f>
        <v>1.6222337321947973</v>
      </c>
      <c r="M33" s="195">
        <f>IFERROR('APPENDIX 18'!M33/'APPENDIX 18'!M$43*100,"")</f>
        <v>0.8968126800017493</v>
      </c>
      <c r="N33" s="195">
        <f>IFERROR('APPENDIX 18'!N33/'APPENDIX 18'!N$43*100,"")</f>
        <v>1.4015656521800868</v>
      </c>
      <c r="O33" s="195">
        <f>IFERROR('APPENDIX 18'!O33/'APPENDIX 18'!O$43*100,"")</f>
        <v>1.4526848758895499</v>
      </c>
      <c r="P33" s="195">
        <f>IFERROR('APPENDIX 18'!P33/'APPENDIX 18'!P$43*100,"")</f>
        <v>8.3884995068167711E-2</v>
      </c>
      <c r="Q33" s="196">
        <f>IFERROR('APPENDIX 18'!$Q33/'APPENDIX 18'!Q$43*100,"")</f>
        <v>1.556905969875193</v>
      </c>
    </row>
    <row r="34" spans="2:17" ht="18" customHeight="1" x14ac:dyDescent="0.35">
      <c r="B34" s="194" t="str">
        <f>'APPENDIX 18'!B34</f>
        <v>PIONEER INSURANCE COMPANY</v>
      </c>
      <c r="C34" s="195">
        <f>IFERROR('APPENDIX 18'!C34/'APPENDIX 18'!C$43*100,"")</f>
        <v>0.16498896331632257</v>
      </c>
      <c r="D34" s="195">
        <f>IFERROR('APPENDIX 18'!D34/'APPENDIX 18'!D$43*100,"")</f>
        <v>2.2310360981102226</v>
      </c>
      <c r="E34" s="195">
        <f>IFERROR('APPENDIX 18'!E34/'APPENDIX 18'!E$43*100,"")</f>
        <v>0.74221764697044201</v>
      </c>
      <c r="F34" s="195">
        <f>IFERROR('APPENDIX 18'!F34/'APPENDIX 18'!F$43*100,"")</f>
        <v>1.4532764812812893</v>
      </c>
      <c r="G34" s="195">
        <f>IFERROR('APPENDIX 18'!G34/'APPENDIX 18'!G$43*100,"")</f>
        <v>2.3352981718628101</v>
      </c>
      <c r="H34" s="195">
        <f>IFERROR('APPENDIX 18'!H34/'APPENDIX 18'!H$43*100,"")</f>
        <v>1.8190976340985494</v>
      </c>
      <c r="I34" s="195">
        <f>IFERROR('APPENDIX 18'!I34/'APPENDIX 18'!I$43*100,"")</f>
        <v>3.7752533883184793</v>
      </c>
      <c r="J34" s="195">
        <f>IFERROR('APPENDIX 18'!J34/'APPENDIX 18'!J$43*100,"")</f>
        <v>3.2852746539198638</v>
      </c>
      <c r="K34" s="195">
        <f>IFERROR('APPENDIX 18'!K34/'APPENDIX 18'!K$43*100,"")</f>
        <v>0</v>
      </c>
      <c r="L34" s="195">
        <f>IFERROR('APPENDIX 18'!L34/'APPENDIX 18'!L$43*100,"")</f>
        <v>1.1924121049297414</v>
      </c>
      <c r="M34" s="195">
        <f>IFERROR('APPENDIX 18'!M34/'APPENDIX 18'!M$43*100,"")</f>
        <v>1.7065349570254364</v>
      </c>
      <c r="N34" s="195">
        <f>IFERROR('APPENDIX 18'!N34/'APPENDIX 18'!N$43*100,"")</f>
        <v>1.0699518578822156</v>
      </c>
      <c r="O34" s="195">
        <f>IFERROR('APPENDIX 18'!O34/'APPENDIX 18'!O$43*100,"")</f>
        <v>0</v>
      </c>
      <c r="P34" s="195">
        <f>IFERROR('APPENDIX 18'!P34/'APPENDIX 18'!P$43*100,"")</f>
        <v>0.96300191453073425</v>
      </c>
      <c r="Q34" s="196">
        <f>IFERROR('APPENDIX 18'!$Q34/'APPENDIX 18'!Q$43*100,"")</f>
        <v>1.3274339776984294</v>
      </c>
    </row>
    <row r="35" spans="2:17" ht="18" customHeight="1" x14ac:dyDescent="0.35">
      <c r="B35" s="194" t="str">
        <f>'APPENDIX 18'!B35</f>
        <v>SANLAM ALLIANZ GENERAL INSURANCE</v>
      </c>
      <c r="C35" s="195">
        <f>IFERROR('APPENDIX 18'!C35/'APPENDIX 18'!C$43*100,"")</f>
        <v>2.5302432394120465E-2</v>
      </c>
      <c r="D35" s="195">
        <f>IFERROR('APPENDIX 18'!D35/'APPENDIX 18'!D$43*100,"")</f>
        <v>3.3035047568160141</v>
      </c>
      <c r="E35" s="195">
        <f>IFERROR('APPENDIX 18'!E35/'APPENDIX 18'!E$43*100,"")</f>
        <v>7.5942097290498944</v>
      </c>
      <c r="F35" s="195">
        <f>IFERROR('APPENDIX 18'!F35/'APPENDIX 18'!F$43*100,"")</f>
        <v>9.3832982663734548</v>
      </c>
      <c r="G35" s="195">
        <f>IFERROR('APPENDIX 18'!G35/'APPENDIX 18'!G$43*100,"")</f>
        <v>12.115201430764877</v>
      </c>
      <c r="H35" s="195">
        <f>IFERROR('APPENDIX 18'!H35/'APPENDIX 18'!H$43*100,"")</f>
        <v>5.1082053201085547</v>
      </c>
      <c r="I35" s="195">
        <f>IFERROR('APPENDIX 18'!I35/'APPENDIX 18'!I$43*100,"")</f>
        <v>6.7363492556962266</v>
      </c>
      <c r="J35" s="195">
        <f>IFERROR('APPENDIX 18'!J35/'APPENDIX 18'!J$43*100,"")</f>
        <v>5.7945111208525688</v>
      </c>
      <c r="K35" s="195">
        <f>IFERROR('APPENDIX 18'!K35/'APPENDIX 18'!K$43*100,"")</f>
        <v>0</v>
      </c>
      <c r="L35" s="195">
        <f>IFERROR('APPENDIX 18'!L35/'APPENDIX 18'!L$43*100,"")</f>
        <v>1.2079206799641407</v>
      </c>
      <c r="M35" s="195">
        <f>IFERROR('APPENDIX 18'!M35/'APPENDIX 18'!M$43*100,"")</f>
        <v>0.69982199216078045</v>
      </c>
      <c r="N35" s="195">
        <f>IFERROR('APPENDIX 18'!N35/'APPENDIX 18'!N$43*100,"")</f>
        <v>4.4117818632748671</v>
      </c>
      <c r="O35" s="195">
        <f>IFERROR('APPENDIX 18'!O35/'APPENDIX 18'!O$43*100,"")</f>
        <v>0</v>
      </c>
      <c r="P35" s="195">
        <f>IFERROR('APPENDIX 18'!P35/'APPENDIX 18'!P$43*100,"")</f>
        <v>2.6744668958507054</v>
      </c>
      <c r="Q35" s="196">
        <f>IFERROR('APPENDIX 18'!$Q35/'APPENDIX 18'!Q$43*100,"")</f>
        <v>3.4014040358298923</v>
      </c>
    </row>
    <row r="36" spans="2:17" ht="18" customHeight="1" x14ac:dyDescent="0.35">
      <c r="B36" s="194" t="str">
        <f>'APPENDIX 18'!B36</f>
        <v>STAR DISCOVER INSURANCE</v>
      </c>
      <c r="C36" s="195">
        <f>IFERROR('APPENDIX 18'!C36/'APPENDIX 18'!C$43*100,"")</f>
        <v>1.8124608619736309</v>
      </c>
      <c r="D36" s="195">
        <f>IFERROR('APPENDIX 18'!D36/'APPENDIX 18'!D$43*100,"")</f>
        <v>0.200178075736614</v>
      </c>
      <c r="E36" s="195">
        <f>IFERROR('APPENDIX 18'!E36/'APPENDIX 18'!E$43*100,"")</f>
        <v>8.4962030541740601E-3</v>
      </c>
      <c r="F36" s="195">
        <f>IFERROR('APPENDIX 18'!F36/'APPENDIX 18'!F$43*100,"")</f>
        <v>7.4847433059435808E-2</v>
      </c>
      <c r="G36" s="195">
        <f>IFERROR('APPENDIX 18'!G36/'APPENDIX 18'!G$43*100,"")</f>
        <v>1.1096713048297222</v>
      </c>
      <c r="H36" s="195">
        <f>IFERROR('APPENDIX 18'!H36/'APPENDIX 18'!H$43*100,"")</f>
        <v>0.74635016178260671</v>
      </c>
      <c r="I36" s="195">
        <f>IFERROR('APPENDIX 18'!I36/'APPENDIX 18'!I$43*100,"")</f>
        <v>0.32714260635394554</v>
      </c>
      <c r="J36" s="195">
        <f>IFERROR('APPENDIX 18'!J36/'APPENDIX 18'!J$43*100,"")</f>
        <v>0.26601996985569315</v>
      </c>
      <c r="K36" s="195">
        <f>IFERROR('APPENDIX 18'!K36/'APPENDIX 18'!K$43*100,"")</f>
        <v>0</v>
      </c>
      <c r="L36" s="195">
        <f>IFERROR('APPENDIX 18'!L36/'APPENDIX 18'!L$43*100,"")</f>
        <v>0.52821084245653793</v>
      </c>
      <c r="M36" s="195">
        <f>IFERROR('APPENDIX 18'!M36/'APPENDIX 18'!M$43*100,"")</f>
        <v>0.58603294359160452</v>
      </c>
      <c r="N36" s="195">
        <f>IFERROR('APPENDIX 18'!N36/'APPENDIX 18'!N$43*100,"")</f>
        <v>0.86062121195535979</v>
      </c>
      <c r="O36" s="195">
        <f>IFERROR('APPENDIX 18'!O36/'APPENDIX 18'!O$43*100,"")</f>
        <v>1.6657836240327122</v>
      </c>
      <c r="P36" s="195">
        <f>IFERROR('APPENDIX 18'!P36/'APPENDIX 18'!P$43*100,"")</f>
        <v>1.4422132364840941</v>
      </c>
      <c r="Q36" s="196">
        <f>IFERROR('APPENDIX 18'!$Q36/'APPENDIX 18'!Q$43*100,"")</f>
        <v>0.95270930878186766</v>
      </c>
    </row>
    <row r="37" spans="2:17" ht="18" customHeight="1" x14ac:dyDescent="0.35">
      <c r="B37" s="194" t="str">
        <f>'APPENDIX 18'!B37</f>
        <v>TAKAFUL INSURANCE OF AFRICA</v>
      </c>
      <c r="C37" s="195">
        <f>IFERROR('APPENDIX 18'!C37/'APPENDIX 18'!C$43*100,"")</f>
        <v>0</v>
      </c>
      <c r="D37" s="195">
        <f>IFERROR('APPENDIX 18'!D37/'APPENDIX 18'!D$43*100,"")</f>
        <v>0.72061514947699945</v>
      </c>
      <c r="E37" s="195">
        <f>IFERROR('APPENDIX 18'!E37/'APPENDIX 18'!E$43*100,"")</f>
        <v>0.26306006930064219</v>
      </c>
      <c r="F37" s="195">
        <f>IFERROR('APPENDIX 18'!F37/'APPENDIX 18'!F$43*100,"")</f>
        <v>0.24793671973490136</v>
      </c>
      <c r="G37" s="195">
        <f>IFERROR('APPENDIX 18'!G37/'APPENDIX 18'!G$43*100,"")</f>
        <v>0.96701556535969024</v>
      </c>
      <c r="H37" s="195">
        <f>IFERROR('APPENDIX 18'!H37/'APPENDIX 18'!H$43*100,"")</f>
        <v>0.54549399852724234</v>
      </c>
      <c r="I37" s="195">
        <f>IFERROR('APPENDIX 18'!I37/'APPENDIX 18'!I$43*100,"")</f>
        <v>0.77657043372970846</v>
      </c>
      <c r="J37" s="195">
        <f>IFERROR('APPENDIX 18'!J37/'APPENDIX 18'!J$43*100,"")</f>
        <v>1.8519575009396507</v>
      </c>
      <c r="K37" s="195">
        <f>IFERROR('APPENDIX 18'!K37/'APPENDIX 18'!K$43*100,"")</f>
        <v>0</v>
      </c>
      <c r="L37" s="195">
        <f>IFERROR('APPENDIX 18'!L37/'APPENDIX 18'!L$43*100,"")</f>
        <v>7.5307302999794767E-2</v>
      </c>
      <c r="M37" s="195">
        <f>IFERROR('APPENDIX 18'!M37/'APPENDIX 18'!M$43*100,"")</f>
        <v>0.64771441949042485</v>
      </c>
      <c r="N37" s="195">
        <f>IFERROR('APPENDIX 18'!N37/'APPENDIX 18'!N$43*100,"")</f>
        <v>0.45834037991920207</v>
      </c>
      <c r="O37" s="195">
        <f>IFERROR('APPENDIX 18'!O37/'APPENDIX 18'!O$43*100,"")</f>
        <v>8.3967675780387049E-3</v>
      </c>
      <c r="P37" s="195">
        <f>IFERROR('APPENDIX 18'!P37/'APPENDIX 18'!P$43*100,"")</f>
        <v>0.88450987949016646</v>
      </c>
      <c r="Q37" s="196">
        <f>IFERROR('APPENDIX 18'!$Q37/'APPENDIX 18'!Q$43*100,"")</f>
        <v>0.45396712597618449</v>
      </c>
    </row>
    <row r="38" spans="2:17" ht="18" customHeight="1" x14ac:dyDescent="0.35">
      <c r="B38" s="194" t="str">
        <f>'APPENDIX 18'!B38</f>
        <v>TAUSI ASSURANCE COMPANY</v>
      </c>
      <c r="C38" s="195">
        <f>IFERROR('APPENDIX 18'!C38/'APPENDIX 18'!C$43*100,"")</f>
        <v>0</v>
      </c>
      <c r="D38" s="195">
        <f>IFERROR('APPENDIX 18'!D38/'APPENDIX 18'!D$43*100,"")</f>
        <v>2.4536432119502818</v>
      </c>
      <c r="E38" s="195">
        <f>IFERROR('APPENDIX 18'!E38/'APPENDIX 18'!E$43*100,"")</f>
        <v>4.4346945768855344</v>
      </c>
      <c r="F38" s="195">
        <f>IFERROR('APPENDIX 18'!F38/'APPENDIX 18'!F$43*100,"")</f>
        <v>3.1517383577581839</v>
      </c>
      <c r="G38" s="195">
        <f>IFERROR('APPENDIX 18'!G38/'APPENDIX 18'!G$43*100,"")</f>
        <v>0.81961026906774681</v>
      </c>
      <c r="H38" s="195">
        <f>IFERROR('APPENDIX 18'!H38/'APPENDIX 18'!H$43*100,"")</f>
        <v>4.3886107702308887</v>
      </c>
      <c r="I38" s="195">
        <f>IFERROR('APPENDIX 18'!I38/'APPENDIX 18'!I$43*100,"")</f>
        <v>0.87230019638238721</v>
      </c>
      <c r="J38" s="195">
        <f>IFERROR('APPENDIX 18'!J38/'APPENDIX 18'!J$43*100,"")</f>
        <v>0.82313142699829278</v>
      </c>
      <c r="K38" s="195">
        <f>IFERROR('APPENDIX 18'!K38/'APPENDIX 18'!K$43*100,"")</f>
        <v>0</v>
      </c>
      <c r="L38" s="195">
        <f>IFERROR('APPENDIX 18'!L38/'APPENDIX 18'!L$43*100,"")</f>
        <v>0.5453743060532813</v>
      </c>
      <c r="M38" s="195">
        <f>IFERROR('APPENDIX 18'!M38/'APPENDIX 18'!M$43*100,"")</f>
        <v>2.3999465212571893</v>
      </c>
      <c r="N38" s="195">
        <f>IFERROR('APPENDIX 18'!N38/'APPENDIX 18'!N$43*100,"")</f>
        <v>2.5443264313047989</v>
      </c>
      <c r="O38" s="195">
        <f>IFERROR('APPENDIX 18'!O38/'APPENDIX 18'!O$43*100,"")</f>
        <v>4.7082961448342208E-3</v>
      </c>
      <c r="P38" s="195">
        <f>IFERROR('APPENDIX 18'!P38/'APPENDIX 18'!P$43*100,"")</f>
        <v>0.57948874659789662</v>
      </c>
      <c r="Q38" s="196">
        <f>IFERROR('APPENDIX 18'!$Q38/'APPENDIX 18'!Q$43*100,"")</f>
        <v>0.96512186882097128</v>
      </c>
    </row>
    <row r="39" spans="2:17" ht="18" customHeight="1" x14ac:dyDescent="0.35">
      <c r="B39" s="194" t="str">
        <f>'APPENDIX 18'!B39</f>
        <v>THE HERITAGE INSURANCE COMPANY</v>
      </c>
      <c r="C39" s="195">
        <f>IFERROR('APPENDIX 18'!C39/'APPENDIX 18'!C$43*100,"")</f>
        <v>2.2772552593979167</v>
      </c>
      <c r="D39" s="195">
        <f>IFERROR('APPENDIX 18'!D39/'APPENDIX 18'!D$43*100,"")</f>
        <v>2.0216485907942934</v>
      </c>
      <c r="E39" s="195">
        <f>IFERROR('APPENDIX 18'!E39/'APPENDIX 18'!E$43*100,"")</f>
        <v>5.841328557894415</v>
      </c>
      <c r="F39" s="195">
        <f>IFERROR('APPENDIX 18'!F39/'APPENDIX 18'!F$43*100,"")</f>
        <v>4.6674511705180288</v>
      </c>
      <c r="G39" s="195">
        <f>IFERROR('APPENDIX 18'!G39/'APPENDIX 18'!G$43*100,"")</f>
        <v>4.6169704146453698</v>
      </c>
      <c r="H39" s="195">
        <f>IFERROR('APPENDIX 18'!H39/'APPENDIX 18'!H$43*100,"")</f>
        <v>2.4315774591790356</v>
      </c>
      <c r="I39" s="195">
        <f>IFERROR('APPENDIX 18'!I39/'APPENDIX 18'!I$43*100,"")</f>
        <v>4.2444485202848856</v>
      </c>
      <c r="J39" s="195">
        <f>IFERROR('APPENDIX 18'!J39/'APPENDIX 18'!J$43*100,"")</f>
        <v>2.7969579617898894</v>
      </c>
      <c r="K39" s="195">
        <f>IFERROR('APPENDIX 18'!K39/'APPENDIX 18'!K$43*100,"")</f>
        <v>0</v>
      </c>
      <c r="L39" s="195">
        <f>IFERROR('APPENDIX 18'!L39/'APPENDIX 18'!L$43*100,"")</f>
        <v>8.0787905850213999</v>
      </c>
      <c r="M39" s="195">
        <f>IFERROR('APPENDIX 18'!M39/'APPENDIX 18'!M$43*100,"")</f>
        <v>2.0544092167689181</v>
      </c>
      <c r="N39" s="195">
        <f>IFERROR('APPENDIX 18'!N39/'APPENDIX 18'!N$43*100,"")</f>
        <v>4.3870980168938267</v>
      </c>
      <c r="O39" s="195">
        <f>IFERROR('APPENDIX 18'!O39/'APPENDIX 18'!O$43*100,"")</f>
        <v>3.8761544694948991</v>
      </c>
      <c r="P39" s="195">
        <f>IFERROR('APPENDIX 18'!P39/'APPENDIX 18'!P$43*100,"")</f>
        <v>6.9552814486865007</v>
      </c>
      <c r="Q39" s="196">
        <f>IFERROR('APPENDIX 18'!$Q39/'APPENDIX 18'!Q$43*100,"")</f>
        <v>3.8268024712818121</v>
      </c>
    </row>
    <row r="40" spans="2:17" ht="18" customHeight="1" x14ac:dyDescent="0.35">
      <c r="B40" s="194" t="str">
        <f>'APPENDIX 18'!B40</f>
        <v xml:space="preserve">THE KENYAN ALLIANCE INSURANCE </v>
      </c>
      <c r="C40" s="195">
        <f>IFERROR('APPENDIX 18'!C40/'APPENDIX 18'!C$43*100,"")</f>
        <v>0</v>
      </c>
      <c r="D40" s="195">
        <f>IFERROR('APPENDIX 18'!D40/'APPENDIX 18'!D$43*100,"")</f>
        <v>0.13873982681489697</v>
      </c>
      <c r="E40" s="195">
        <f>IFERROR('APPENDIX 18'!E40/'APPENDIX 18'!E$43*100,"")</f>
        <v>0.16665668239235626</v>
      </c>
      <c r="F40" s="195">
        <f>IFERROR('APPENDIX 18'!F40/'APPENDIX 18'!F$43*100,"")</f>
        <v>0.12510552920319171</v>
      </c>
      <c r="G40" s="195">
        <f>IFERROR('APPENDIX 18'!G40/'APPENDIX 18'!G$43*100,"")</f>
        <v>0.20819014060601779</v>
      </c>
      <c r="H40" s="195">
        <f>IFERROR('APPENDIX 18'!H40/'APPENDIX 18'!H$43*100,"")</f>
        <v>4.6382752807847691E-2</v>
      </c>
      <c r="I40" s="195">
        <f>IFERROR('APPENDIX 18'!I40/'APPENDIX 18'!I$43*100,"")</f>
        <v>2.0607656454660646</v>
      </c>
      <c r="J40" s="195">
        <f>IFERROR('APPENDIX 18'!J40/'APPENDIX 18'!J$43*100,"")</f>
        <v>0.80489973291888417</v>
      </c>
      <c r="K40" s="195">
        <f>IFERROR('APPENDIX 18'!K40/'APPENDIX 18'!K$43*100,"")</f>
        <v>0</v>
      </c>
      <c r="L40" s="195">
        <f>IFERROR('APPENDIX 18'!L40/'APPENDIX 18'!L$43*100,"")</f>
        <v>0.55614411088100313</v>
      </c>
      <c r="M40" s="195">
        <f>IFERROR('APPENDIX 18'!M40/'APPENDIX 18'!M$43*100,"")</f>
        <v>0.16426118875355336</v>
      </c>
      <c r="N40" s="195">
        <f>IFERROR('APPENDIX 18'!N40/'APPENDIX 18'!N$43*100,"")</f>
        <v>2.2013471995905798</v>
      </c>
      <c r="O40" s="195">
        <f>IFERROR('APPENDIX 18'!O40/'APPENDIX 18'!O$43*100,"")</f>
        <v>0.49609252195827785</v>
      </c>
      <c r="P40" s="195">
        <f>IFERROR('APPENDIX 18'!P40/'APPENDIX 18'!P$43*100,"")</f>
        <v>0.4204197403977431</v>
      </c>
      <c r="Q40" s="196">
        <f>IFERROR('APPENDIX 18'!$Q40/'APPENDIX 18'!Q$43*100,"")</f>
        <v>0.73352813651340931</v>
      </c>
    </row>
    <row r="41" spans="2:17" ht="18" customHeight="1" x14ac:dyDescent="0.35">
      <c r="B41" s="194" t="str">
        <f>'APPENDIX 18'!B41</f>
        <v xml:space="preserve">THE MONARCH INSURANCE </v>
      </c>
      <c r="C41" s="195">
        <f>IFERROR('APPENDIX 18'!C41/'APPENDIX 18'!C$43*100,"")</f>
        <v>0</v>
      </c>
      <c r="D41" s="195">
        <f>IFERROR('APPENDIX 18'!D41/'APPENDIX 18'!D$43*100,"")</f>
        <v>0</v>
      </c>
      <c r="E41" s="195">
        <f>IFERROR('APPENDIX 18'!E41/'APPENDIX 18'!E$43*100,"")</f>
        <v>0</v>
      </c>
      <c r="F41" s="195">
        <f>IFERROR('APPENDIX 18'!F41/'APPENDIX 18'!F$43*100,"")</f>
        <v>0</v>
      </c>
      <c r="G41" s="195">
        <f>IFERROR('APPENDIX 18'!G41/'APPENDIX 18'!G$43*100,"")</f>
        <v>0</v>
      </c>
      <c r="H41" s="195">
        <f>IFERROR('APPENDIX 18'!H41/'APPENDIX 18'!H$43*100,"")</f>
        <v>0</v>
      </c>
      <c r="I41" s="195">
        <f>IFERROR('APPENDIX 18'!I41/'APPENDIX 18'!I$43*100,"")</f>
        <v>0</v>
      </c>
      <c r="J41" s="195">
        <f>IFERROR('APPENDIX 18'!J41/'APPENDIX 18'!J$43*100,"")</f>
        <v>0</v>
      </c>
      <c r="K41" s="195">
        <f>IFERROR('APPENDIX 18'!K41/'APPENDIX 18'!K$43*100,"")</f>
        <v>0</v>
      </c>
      <c r="L41" s="195">
        <f>IFERROR('APPENDIX 18'!L41/'APPENDIX 18'!L$43*100,"")</f>
        <v>0</v>
      </c>
      <c r="M41" s="195">
        <f>IFERROR('APPENDIX 18'!M41/'APPENDIX 18'!M$43*100,"")</f>
        <v>0</v>
      </c>
      <c r="N41" s="195">
        <f>IFERROR('APPENDIX 18'!N41/'APPENDIX 18'!N$43*100,"")</f>
        <v>0</v>
      </c>
      <c r="O41" s="195">
        <f>IFERROR('APPENDIX 18'!O41/'APPENDIX 18'!O$43*100,"")</f>
        <v>0</v>
      </c>
      <c r="P41" s="195">
        <f>IFERROR('APPENDIX 18'!P41/'APPENDIX 18'!P$43*100,"")</f>
        <v>0</v>
      </c>
      <c r="Q41" s="196">
        <f>IFERROR('APPENDIX 18'!$Q41/'APPENDIX 18'!Q$43*100,"")</f>
        <v>0</v>
      </c>
    </row>
    <row r="42" spans="2:17" ht="18" customHeight="1" x14ac:dyDescent="0.35">
      <c r="B42" s="194" t="str">
        <f>'APPENDIX 18'!B42</f>
        <v xml:space="preserve">TRIDENT INSURANCE COMPANY </v>
      </c>
      <c r="C42" s="195">
        <f>IFERROR('APPENDIX 18'!C42/'APPENDIX 18'!C$43*100,"")</f>
        <v>0</v>
      </c>
      <c r="D42" s="195">
        <f>IFERROR('APPENDIX 18'!D42/'APPENDIX 18'!D$43*100,"")</f>
        <v>0</v>
      </c>
      <c r="E42" s="195">
        <f>IFERROR('APPENDIX 18'!E42/'APPENDIX 18'!E$43*100,"")</f>
        <v>0</v>
      </c>
      <c r="F42" s="195">
        <f>IFERROR('APPENDIX 18'!F42/'APPENDIX 18'!F$43*100,"")</f>
        <v>0</v>
      </c>
      <c r="G42" s="195">
        <f>IFERROR('APPENDIX 18'!G42/'APPENDIX 18'!G$43*100,"")</f>
        <v>0</v>
      </c>
      <c r="H42" s="195">
        <f>IFERROR('APPENDIX 18'!H42/'APPENDIX 18'!H$43*100,"")</f>
        <v>0</v>
      </c>
      <c r="I42" s="195">
        <f>IFERROR('APPENDIX 18'!I42/'APPENDIX 18'!I$43*100,"")</f>
        <v>0</v>
      </c>
      <c r="J42" s="195">
        <f>IFERROR('APPENDIX 18'!J42/'APPENDIX 18'!J$43*100,"")</f>
        <v>0</v>
      </c>
      <c r="K42" s="195">
        <f>IFERROR('APPENDIX 18'!K42/'APPENDIX 18'!K$43*100,"")</f>
        <v>0</v>
      </c>
      <c r="L42" s="195">
        <f>IFERROR('APPENDIX 18'!L42/'APPENDIX 18'!L$43*100,"")</f>
        <v>0</v>
      </c>
      <c r="M42" s="195">
        <f>IFERROR('APPENDIX 18'!M42/'APPENDIX 18'!M$43*100,"")</f>
        <v>0</v>
      </c>
      <c r="N42" s="195">
        <f>IFERROR('APPENDIX 18'!N42/'APPENDIX 18'!N$43*100,"")</f>
        <v>0</v>
      </c>
      <c r="O42" s="195">
        <f>IFERROR('APPENDIX 18'!O42/'APPENDIX 18'!O$43*100,"")</f>
        <v>0</v>
      </c>
      <c r="P42" s="195">
        <f>IFERROR('APPENDIX 18'!P42/'APPENDIX 18'!P$43*100,"")</f>
        <v>0</v>
      </c>
      <c r="Q42" s="196">
        <f>IFERROR('APPENDIX 18'!$Q42/'APPENDIX 18'!Q$43*100,"")</f>
        <v>0</v>
      </c>
    </row>
    <row r="43" spans="2:17" ht="18" customHeight="1" x14ac:dyDescent="0.35">
      <c r="B43" s="197" t="s">
        <v>24</v>
      </c>
      <c r="C43" s="198">
        <f>IFERROR('APPENDIX 18'!C43/'APPENDIX 18'!C$43*100,"")</f>
        <v>100</v>
      </c>
      <c r="D43" s="198">
        <f>IFERROR('APPENDIX 18'!D43/'APPENDIX 18'!D$43*100,"")</f>
        <v>100</v>
      </c>
      <c r="E43" s="198">
        <f>IFERROR('APPENDIX 18'!E43/'APPENDIX 18'!E$43*100,"")</f>
        <v>100</v>
      </c>
      <c r="F43" s="198">
        <f>IFERROR('APPENDIX 18'!F43/'APPENDIX 18'!F$43*100,"")</f>
        <v>100</v>
      </c>
      <c r="G43" s="198">
        <f>IFERROR('APPENDIX 18'!G43/'APPENDIX 18'!G$43*100,"")</f>
        <v>100</v>
      </c>
      <c r="H43" s="198">
        <f>IFERROR('APPENDIX 18'!H43/'APPENDIX 18'!H$43*100,"")</f>
        <v>100</v>
      </c>
      <c r="I43" s="198">
        <f>IFERROR('APPENDIX 18'!I43/'APPENDIX 18'!I$43*100,"")</f>
        <v>100</v>
      </c>
      <c r="J43" s="198">
        <f>IFERROR('APPENDIX 18'!J43/'APPENDIX 18'!J$43*100,"")</f>
        <v>100</v>
      </c>
      <c r="K43" s="198">
        <f>IFERROR('APPENDIX 18'!K43/'APPENDIX 18'!K$43*100,"")</f>
        <v>100</v>
      </c>
      <c r="L43" s="198">
        <f>IFERROR('APPENDIX 18'!L43/'APPENDIX 18'!L$43*100,"")</f>
        <v>100</v>
      </c>
      <c r="M43" s="198">
        <f>IFERROR('APPENDIX 18'!M43/'APPENDIX 18'!M$43*100,"")</f>
        <v>100</v>
      </c>
      <c r="N43" s="198">
        <f>IFERROR('APPENDIX 18'!N43/'APPENDIX 18'!N$43*100,"")</f>
        <v>100</v>
      </c>
      <c r="O43" s="198">
        <f>IFERROR('APPENDIX 18'!O43/'APPENDIX 18'!O$43*100,"")</f>
        <v>100</v>
      </c>
      <c r="P43" s="198">
        <f>IFERROR('APPENDIX 18'!P43/'APPENDIX 18'!P$43*100,"")</f>
        <v>100</v>
      </c>
      <c r="Q43" s="198">
        <f>SUM(Q6:Q42)</f>
        <v>100</v>
      </c>
    </row>
    <row r="44" spans="2:17" ht="18" customHeight="1" x14ac:dyDescent="0.35">
      <c r="B44" s="316" t="s">
        <v>103</v>
      </c>
      <c r="C44" s="269"/>
      <c r="D44" s="269"/>
      <c r="E44" s="269"/>
      <c r="F44" s="269"/>
      <c r="G44" s="269"/>
      <c r="H44" s="269"/>
      <c r="I44" s="269"/>
      <c r="J44" s="269"/>
      <c r="K44" s="269"/>
      <c r="L44" s="269"/>
      <c r="M44" s="269"/>
      <c r="N44" s="269"/>
      <c r="O44" s="269"/>
      <c r="P44" s="269"/>
      <c r="Q44" s="270"/>
    </row>
    <row r="45" spans="2:17" ht="18" customHeight="1" x14ac:dyDescent="0.35">
      <c r="B45" s="194" t="str">
        <f>'APPENDIX 18'!B45</f>
        <v>CONTINENTAL REINSURANCE</v>
      </c>
      <c r="C45" s="199">
        <f>IFERROR('APPENDIX 18'!C45/'APPENDIX 18'!C$50*100,"")</f>
        <v>13.99677097758547</v>
      </c>
      <c r="D45" s="199">
        <f>IFERROR('APPENDIX 18'!D45/'APPENDIX 18'!D$50*100,"")</f>
        <v>14.757960526408139</v>
      </c>
      <c r="E45" s="199">
        <f>IFERROR('APPENDIX 18'!E45/'APPENDIX 18'!E$50*100,"")</f>
        <v>55.713315577097866</v>
      </c>
      <c r="F45" s="199">
        <f>IFERROR('APPENDIX 18'!F45/'APPENDIX 18'!F$50*100,"")</f>
        <v>11.018136641037012</v>
      </c>
      <c r="G45" s="199">
        <f>IFERROR('APPENDIX 18'!G45/'APPENDIX 18'!G$50*100,"")</f>
        <v>30.685298375129268</v>
      </c>
      <c r="H45" s="199">
        <f>IFERROR('APPENDIX 18'!H45/'APPENDIX 18'!H$50*100,"")</f>
        <v>19.984850237718998</v>
      </c>
      <c r="I45" s="199">
        <f>IFERROR('APPENDIX 18'!I45/'APPENDIX 18'!I$50*100,"")</f>
        <v>16.813017352801012</v>
      </c>
      <c r="J45" s="199">
        <f>IFERROR('APPENDIX 18'!J45/'APPENDIX 18'!J$50*100,"")</f>
        <v>18.965409872588072</v>
      </c>
      <c r="K45" s="200">
        <f>IFERROR('APPENDIX 18'!K45/'APPENDIX 18'!K$50*100,0)</f>
        <v>0</v>
      </c>
      <c r="L45" s="199">
        <f>IFERROR('APPENDIX 18'!L45/'APPENDIX 18'!L$50*100,"")</f>
        <v>10.691430609698601</v>
      </c>
      <c r="M45" s="199">
        <f>IFERROR('APPENDIX 18'!M45/'APPENDIX 18'!M$50*100,"")</f>
        <v>6.235823544441506</v>
      </c>
      <c r="N45" s="199">
        <f>IFERROR('APPENDIX 18'!N45/'APPENDIX 18'!N$50*100,"")</f>
        <v>58.936700613504392</v>
      </c>
      <c r="O45" s="199">
        <f>IFERROR('APPENDIX 18'!O45/'APPENDIX 18'!O$50*100,"")</f>
        <v>13.071410634133587</v>
      </c>
      <c r="P45" s="199">
        <f>IFERROR('APPENDIX 18'!P45/'APPENDIX 18'!$P$50*100,"")</f>
        <v>24.080493653425375</v>
      </c>
      <c r="Q45" s="201">
        <f>IFERROR('APPENDIX 18'!$Q45/'APPENDIX 18'!$Q$50*100,"")</f>
        <v>15.673235669290586</v>
      </c>
    </row>
    <row r="46" spans="2:17" ht="18" customHeight="1" x14ac:dyDescent="0.35">
      <c r="B46" s="194" t="str">
        <f>'APPENDIX 18'!B46</f>
        <v xml:space="preserve">EAST AFRICA REINSURANCE </v>
      </c>
      <c r="C46" s="199">
        <f>IFERROR('APPENDIX 18'!C46/'APPENDIX 18'!C$50*100,"")</f>
        <v>2.986082857960521</v>
      </c>
      <c r="D46" s="199">
        <f>IFERROR('APPENDIX 18'!D46/'APPENDIX 18'!D$50*100,"")</f>
        <v>10.107551829227797</v>
      </c>
      <c r="E46" s="199">
        <f>IFERROR('APPENDIX 18'!E46/'APPENDIX 18'!E$50*100,"")</f>
        <v>0</v>
      </c>
      <c r="F46" s="199">
        <f>IFERROR('APPENDIX 18'!F46/'APPENDIX 18'!F$50*100,"")</f>
        <v>14.336762907641019</v>
      </c>
      <c r="G46" s="199">
        <f>IFERROR('APPENDIX 18'!G46/'APPENDIX 18'!G$50*100,"")</f>
        <v>6.6680982036975767</v>
      </c>
      <c r="H46" s="199">
        <f>IFERROR('APPENDIX 18'!H46/'APPENDIX 18'!H$50*100,"")</f>
        <v>9.9967030345722705</v>
      </c>
      <c r="I46" s="199">
        <f>IFERROR('APPENDIX 18'!I46/'APPENDIX 18'!I$50*100,"")</f>
        <v>0</v>
      </c>
      <c r="J46" s="199">
        <f>IFERROR('APPENDIX 18'!J46/'APPENDIX 18'!J$50*100,"")</f>
        <v>20.893170490673455</v>
      </c>
      <c r="K46" s="200">
        <f>IFERROR('APPENDIX 18'!K46/'APPENDIX 18'!K$50*100,0)</f>
        <v>0</v>
      </c>
      <c r="L46" s="199">
        <f>IFERROR('APPENDIX 18'!L46/'APPENDIX 18'!L$50*100,"")</f>
        <v>3.1682372906422471</v>
      </c>
      <c r="M46" s="199">
        <f>IFERROR('APPENDIX 18'!M46/'APPENDIX 18'!M$50*100,"")</f>
        <v>0</v>
      </c>
      <c r="N46" s="199">
        <f>IFERROR('APPENDIX 18'!N46/'APPENDIX 18'!N$50*100,"")</f>
        <v>0</v>
      </c>
      <c r="O46" s="199">
        <f>IFERROR('APPENDIX 18'!O46/'APPENDIX 18'!O$50*100,"")</f>
        <v>20.660050682471201</v>
      </c>
      <c r="P46" s="199">
        <f>IFERROR('APPENDIX 18'!P46/'APPENDIX 18'!$P$50*100,"")</f>
        <v>20.285606563201338</v>
      </c>
      <c r="Q46" s="201">
        <f>IFERROR('APPENDIX 18'!$Q46/'APPENDIX 18'!$Q$50*100,"")</f>
        <v>14.049106969077824</v>
      </c>
    </row>
    <row r="47" spans="2:17" ht="18" customHeight="1" x14ac:dyDescent="0.35">
      <c r="B47" s="194" t="str">
        <f>'APPENDIX 18'!B47</f>
        <v>GHANA REINSURANCE COMPANY</v>
      </c>
      <c r="C47" s="199">
        <f>IFERROR('APPENDIX 18'!C47/'APPENDIX 18'!C$50*100,"")</f>
        <v>2.8039621268359927</v>
      </c>
      <c r="D47" s="199">
        <f>IFERROR('APPENDIX 18'!D47/'APPENDIX 18'!D$50*100,"")</f>
        <v>7.3577093479737066</v>
      </c>
      <c r="E47" s="199">
        <f>IFERROR('APPENDIX 18'!E47/'APPENDIX 18'!E$50*100,"")</f>
        <v>31.085979301557177</v>
      </c>
      <c r="F47" s="199">
        <f>IFERROR('APPENDIX 18'!F47/'APPENDIX 18'!F$50*100,"")</f>
        <v>15.840057578825261</v>
      </c>
      <c r="G47" s="199">
        <f>IFERROR('APPENDIX 18'!G47/'APPENDIX 18'!G$50*100,"")</f>
        <v>13.498016203893503</v>
      </c>
      <c r="H47" s="199">
        <f>IFERROR('APPENDIX 18'!H47/'APPENDIX 18'!H$50*100,"")</f>
        <v>10.293976740265332</v>
      </c>
      <c r="I47" s="199">
        <f>IFERROR('APPENDIX 18'!I47/'APPENDIX 18'!I$50*100,"")</f>
        <v>50.624315363625662</v>
      </c>
      <c r="J47" s="199">
        <f>IFERROR('APPENDIX 18'!J47/'APPENDIX 18'!J$50*100,"")</f>
        <v>14.478803305432203</v>
      </c>
      <c r="K47" s="200">
        <f>IFERROR('APPENDIX 18'!K47/'APPENDIX 18'!K$50*100,0)</f>
        <v>0</v>
      </c>
      <c r="L47" s="199">
        <f>IFERROR('APPENDIX 18'!L47/'APPENDIX 18'!L$50*100,"")</f>
        <v>0.14168124106613622</v>
      </c>
      <c r="M47" s="199">
        <f>IFERROR('APPENDIX 18'!M47/'APPENDIX 18'!M$50*100,"")</f>
        <v>45.09524784619385</v>
      </c>
      <c r="N47" s="199">
        <f>IFERROR('APPENDIX 18'!N47/'APPENDIX 18'!N$50*100,"")</f>
        <v>-13.569350360412827</v>
      </c>
      <c r="O47" s="199">
        <f>IFERROR('APPENDIX 18'!O47/'APPENDIX 18'!O$50*100,"")</f>
        <v>10.783289560906464</v>
      </c>
      <c r="P47" s="199">
        <f>IFERROR('APPENDIX 18'!P47/'APPENDIX 18'!$P$50*100,"")</f>
        <v>5.4358965471488405</v>
      </c>
      <c r="Q47" s="201">
        <f>IFERROR('APPENDIX 18'!$Q47/'APPENDIX 18'!$Q$50*100,"")</f>
        <v>12.362542444632835</v>
      </c>
    </row>
    <row r="48" spans="2:17" ht="18" customHeight="1" x14ac:dyDescent="0.35">
      <c r="B48" s="194" t="str">
        <f>'APPENDIX 18'!B48</f>
        <v>KENYA REINSURANCE CORPORATION</v>
      </c>
      <c r="C48" s="199">
        <f>IFERROR('APPENDIX 18'!C48/'APPENDIX 18'!C$50*100,"")</f>
        <v>52.668443269055473</v>
      </c>
      <c r="D48" s="199">
        <f>IFERROR('APPENDIX 18'!D48/'APPENDIX 18'!D$50*100,"")</f>
        <v>42.792976373519956</v>
      </c>
      <c r="E48" s="199">
        <f>IFERROR('APPENDIX 18'!E48/'APPENDIX 18'!E$50*100,"")</f>
        <v>13.200705121344964</v>
      </c>
      <c r="F48" s="199">
        <f>IFERROR('APPENDIX 18'!F48/'APPENDIX 18'!F$50*100,"")</f>
        <v>36.463070020466326</v>
      </c>
      <c r="G48" s="199">
        <f>IFERROR('APPENDIX 18'!G48/'APPENDIX 18'!G$50*100,"")</f>
        <v>23.18867253302701</v>
      </c>
      <c r="H48" s="199">
        <f>IFERROR('APPENDIX 18'!H48/'APPENDIX 18'!H$50*100,"")</f>
        <v>45.787137142926845</v>
      </c>
      <c r="I48" s="199">
        <f>IFERROR('APPENDIX 18'!I48/'APPENDIX 18'!I$50*100,"")</f>
        <v>4.216376316962946</v>
      </c>
      <c r="J48" s="199">
        <f>IFERROR('APPENDIX 18'!J48/'APPENDIX 18'!J$50*100,"")</f>
        <v>36.422520390179059</v>
      </c>
      <c r="K48" s="200">
        <f>IFERROR('APPENDIX 18'!K48/'APPENDIX 18'!K$50*100,0)</f>
        <v>0</v>
      </c>
      <c r="L48" s="199">
        <f>IFERROR('APPENDIX 18'!L48/'APPENDIX 18'!L$50*100,"")</f>
        <v>17.991650250232759</v>
      </c>
      <c r="M48" s="199">
        <f>IFERROR('APPENDIX 18'!M48/'APPENDIX 18'!M$50*100,"")</f>
        <v>18.071381492791449</v>
      </c>
      <c r="N48" s="199">
        <f>IFERROR('APPENDIX 18'!N48/'APPENDIX 18'!N$50*100,"")</f>
        <v>54.632649746908427</v>
      </c>
      <c r="O48" s="199">
        <f>IFERROR('APPENDIX 18'!O48/'APPENDIX 18'!O$50*100,"")</f>
        <v>54.897310830708932</v>
      </c>
      <c r="P48" s="199">
        <f>IFERROR('APPENDIX 18'!P48/'APPENDIX 18'!$P$50*100,"")</f>
        <v>46.952016891046988</v>
      </c>
      <c r="Q48" s="201">
        <f>IFERROR('APPENDIX 18'!$Q48/'APPENDIX 18'!$Q$50*100,"")</f>
        <v>39.567257203353357</v>
      </c>
    </row>
    <row r="49" spans="2:17" ht="18" customHeight="1" x14ac:dyDescent="0.35">
      <c r="B49" s="194" t="str">
        <f>'APPENDIX 18'!B49</f>
        <v>WAICA REINSURANCE KENYA LIMITED</v>
      </c>
      <c r="C49" s="199">
        <f>IFERROR('APPENDIX 18'!C49/'APPENDIX 18'!C$50*100,"")</f>
        <v>27.54474076856253</v>
      </c>
      <c r="D49" s="199">
        <f>IFERROR('APPENDIX 18'!D49/'APPENDIX 18'!D$50*100,"")</f>
        <v>24.983801922870398</v>
      </c>
      <c r="E49" s="199">
        <f>IFERROR('APPENDIX 18'!E49/'APPENDIX 18'!E$50*100,"")</f>
        <v>0</v>
      </c>
      <c r="F49" s="199">
        <f>IFERROR('APPENDIX 18'!F49/'APPENDIX 18'!F$50*100,"")</f>
        <v>22.341972852030377</v>
      </c>
      <c r="G49" s="199">
        <f>IFERROR('APPENDIX 18'!G49/'APPENDIX 18'!G$50*100,"")</f>
        <v>25.959914684252645</v>
      </c>
      <c r="H49" s="199">
        <f>IFERROR('APPENDIX 18'!H49/'APPENDIX 18'!H$50*100,"")</f>
        <v>13.937332844516554</v>
      </c>
      <c r="I49" s="199">
        <f>IFERROR('APPENDIX 18'!I49/'APPENDIX 18'!I$50*100,"")</f>
        <v>28.34629096661039</v>
      </c>
      <c r="J49" s="199">
        <f>IFERROR('APPENDIX 18'!J49/'APPENDIX 18'!J$50*100,"")</f>
        <v>9.2400959411272119</v>
      </c>
      <c r="K49" s="200">
        <f>IFERROR('APPENDIX 18'!K49/'APPENDIX 18'!K$50*100,0)</f>
        <v>0</v>
      </c>
      <c r="L49" s="199">
        <f>IFERROR('APPENDIX 18'!L49/'APPENDIX 18'!L$50*100,"")</f>
        <v>68.007000608360258</v>
      </c>
      <c r="M49" s="199">
        <f>IFERROR('APPENDIX 18'!M49/'APPENDIX 18'!M$50*100,"")</f>
        <v>30.597547116573192</v>
      </c>
      <c r="N49" s="199">
        <f>IFERROR('APPENDIX 18'!N49/'APPENDIX 18'!N$50*100,"")</f>
        <v>0</v>
      </c>
      <c r="O49" s="199">
        <f>IFERROR('APPENDIX 18'!O49/'APPENDIX 18'!O$50*100,"")</f>
        <v>0.58793829177981416</v>
      </c>
      <c r="P49" s="199">
        <f>IFERROR('APPENDIX 18'!P49/'APPENDIX 18'!$P$50*100,"")</f>
        <v>3.2459863451774469</v>
      </c>
      <c r="Q49" s="201">
        <f>IFERROR('APPENDIX 18'!$Q49/'APPENDIX 18'!$Q$50*100,"")</f>
        <v>18.347857713645396</v>
      </c>
    </row>
    <row r="50" spans="2:17" ht="18" customHeight="1" x14ac:dyDescent="0.35">
      <c r="B50" s="197" t="s">
        <v>230</v>
      </c>
      <c r="C50" s="198">
        <f t="shared" ref="C50:Q50" si="0">SUM(C45:C49)</f>
        <v>99.999999999999986</v>
      </c>
      <c r="D50" s="198">
        <f t="shared" si="0"/>
        <v>99.999999999999986</v>
      </c>
      <c r="E50" s="198">
        <f t="shared" si="0"/>
        <v>100.00000000000001</v>
      </c>
      <c r="F50" s="198">
        <f t="shared" si="0"/>
        <v>100</v>
      </c>
      <c r="G50" s="198">
        <f t="shared" si="0"/>
        <v>100</v>
      </c>
      <c r="H50" s="198">
        <f t="shared" si="0"/>
        <v>100</v>
      </c>
      <c r="I50" s="198">
        <f t="shared" si="0"/>
        <v>100.00000000000003</v>
      </c>
      <c r="J50" s="198">
        <f t="shared" si="0"/>
        <v>100</v>
      </c>
      <c r="K50" s="198">
        <f t="shared" si="0"/>
        <v>0</v>
      </c>
      <c r="L50" s="198">
        <f t="shared" si="0"/>
        <v>100</v>
      </c>
      <c r="M50" s="198">
        <f t="shared" si="0"/>
        <v>100</v>
      </c>
      <c r="N50" s="198">
        <f t="shared" si="0"/>
        <v>100</v>
      </c>
      <c r="O50" s="198">
        <f t="shared" si="0"/>
        <v>100</v>
      </c>
      <c r="P50" s="198">
        <f t="shared" si="0"/>
        <v>99.999999999999986</v>
      </c>
      <c r="Q50" s="198">
        <f t="shared" si="0"/>
        <v>100</v>
      </c>
    </row>
    <row r="51" spans="2:17" ht="18" customHeight="1" x14ac:dyDescent="0.35">
      <c r="B51" s="334" t="s">
        <v>231</v>
      </c>
      <c r="C51" s="272"/>
      <c r="D51" s="272"/>
      <c r="E51" s="272"/>
      <c r="F51" s="272"/>
      <c r="G51" s="272"/>
      <c r="H51" s="272"/>
      <c r="I51" s="272"/>
      <c r="J51" s="272"/>
      <c r="K51" s="272"/>
      <c r="L51" s="272"/>
      <c r="M51" s="272"/>
      <c r="N51" s="272"/>
      <c r="O51" s="272"/>
      <c r="P51" s="272"/>
      <c r="Q51" s="272"/>
    </row>
  </sheetData>
  <sheetProtection algorithmName="SHA-512" hashValue="ACv7wa1xeN2CQqHm9NF1RpfqH9vyXKRzG2IXKh76/Pdtey33xC9bub4qDEXffHQzo1q5hWgHU/+JgcYxtQGwEQ==" saltValue="TWzj606TZIaHWaiKoSe1hA==" spinCount="100000" sheet="1" objects="1" scenarios="1"/>
  <mergeCells count="4">
    <mergeCell ref="B51:Q51"/>
    <mergeCell ref="B5:Q5"/>
    <mergeCell ref="B3:Q3"/>
    <mergeCell ref="B44:Q44"/>
  </mergeCells>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8">
    <tabColor rgb="FF92D050"/>
    <pageSetUpPr fitToPage="1"/>
  </sheetPr>
  <dimension ref="B3:Q51"/>
  <sheetViews>
    <sheetView topLeftCell="M1" workbookViewId="0"/>
  </sheetViews>
  <sheetFormatPr defaultColWidth="9.453125" defaultRowHeight="15.5" x14ac:dyDescent="0.35"/>
  <cols>
    <col min="1" max="1" width="17" style="76" customWidth="1"/>
    <col min="2" max="2" width="45.453125" style="76" bestFit="1" customWidth="1"/>
    <col min="3" max="17" width="19.54296875" style="76" customWidth="1"/>
    <col min="18" max="18" width="11.54296875" style="76" customWidth="1"/>
    <col min="19" max="19" width="16.453125" style="76" customWidth="1"/>
    <col min="20" max="106" width="9.453125" style="76" customWidth="1"/>
    <col min="107" max="16384" width="9.453125" style="76"/>
  </cols>
  <sheetData>
    <row r="3" spans="2:17" ht="18" customHeight="1" x14ac:dyDescent="0.35">
      <c r="B3" s="336" t="str">
        <f>_xlfn.CONCAT('Table of Contents'!B32,": ",'Table of Contents'!C32)</f>
        <v>APPENDIX 20: SUMMARY OF CLAIMS PAID UNDER GENERAL INSURANCE BUSINESS FOR THE PERIOD ENDED 31.12.2025</v>
      </c>
      <c r="C3" s="269"/>
      <c r="D3" s="269"/>
      <c r="E3" s="269"/>
      <c r="F3" s="269"/>
      <c r="G3" s="269"/>
      <c r="H3" s="269"/>
      <c r="I3" s="269"/>
      <c r="J3" s="269"/>
      <c r="K3" s="269"/>
      <c r="L3" s="269"/>
      <c r="M3" s="269"/>
      <c r="N3" s="269"/>
      <c r="O3" s="269"/>
      <c r="P3" s="269"/>
      <c r="Q3" s="270"/>
    </row>
    <row r="4" spans="2:17" ht="46.5"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7" ht="18" customHeight="1" x14ac:dyDescent="0.35">
      <c r="B5" s="335" t="s">
        <v>17</v>
      </c>
      <c r="C5" s="269"/>
      <c r="D5" s="269"/>
      <c r="E5" s="269"/>
      <c r="F5" s="269"/>
      <c r="G5" s="269"/>
      <c r="H5" s="269"/>
      <c r="I5" s="269"/>
      <c r="J5" s="269"/>
      <c r="K5" s="269"/>
      <c r="L5" s="269"/>
      <c r="M5" s="269"/>
      <c r="N5" s="269"/>
      <c r="O5" s="269"/>
      <c r="P5" s="269"/>
      <c r="Q5" s="270"/>
    </row>
    <row r="6" spans="2:17" ht="18" customHeight="1" x14ac:dyDescent="0.35">
      <c r="B6" s="67" t="s">
        <v>66</v>
      </c>
      <c r="C6" s="68">
        <v>0</v>
      </c>
      <c r="D6" s="68">
        <v>3356.8055400936018</v>
      </c>
      <c r="E6" s="68">
        <v>269.43733403806169</v>
      </c>
      <c r="F6" s="68">
        <v>387.76608260971079</v>
      </c>
      <c r="G6" s="68">
        <v>6078.3743521991091</v>
      </c>
      <c r="H6" s="68">
        <v>0</v>
      </c>
      <c r="I6" s="68">
        <v>468.35065383514052</v>
      </c>
      <c r="J6" s="68">
        <v>0</v>
      </c>
      <c r="K6" s="68">
        <v>0</v>
      </c>
      <c r="L6" s="68">
        <v>1800.121631499765</v>
      </c>
      <c r="M6" s="68">
        <v>7968.0331042616181</v>
      </c>
      <c r="N6" s="68">
        <v>22103.512510847129</v>
      </c>
      <c r="O6" s="68">
        <v>6089350.9031373998</v>
      </c>
      <c r="P6" s="68">
        <v>147.52583684296209</v>
      </c>
      <c r="Q6" s="69">
        <v>6131930.8301836262</v>
      </c>
    </row>
    <row r="7" spans="2:17" ht="18" customHeight="1" x14ac:dyDescent="0.35">
      <c r="B7" s="67" t="s">
        <v>67</v>
      </c>
      <c r="C7" s="68">
        <v>0</v>
      </c>
      <c r="D7" s="68">
        <v>49448.764189999987</v>
      </c>
      <c r="E7" s="68">
        <v>187.73811000000001</v>
      </c>
      <c r="F7" s="68">
        <v>6334.4359999999997</v>
      </c>
      <c r="G7" s="68">
        <v>324.77800000000002</v>
      </c>
      <c r="H7" s="68">
        <v>1605.471</v>
      </c>
      <c r="I7" s="68">
        <v>554693.70542999997</v>
      </c>
      <c r="J7" s="68">
        <v>0</v>
      </c>
      <c r="K7" s="68">
        <v>1229947.81935</v>
      </c>
      <c r="L7" s="68">
        <v>20810.830999999998</v>
      </c>
      <c r="M7" s="68">
        <v>1290.027</v>
      </c>
      <c r="N7" s="68">
        <v>24830.654999999999</v>
      </c>
      <c r="O7" s="68">
        <v>0</v>
      </c>
      <c r="P7" s="68">
        <v>19063.27867</v>
      </c>
      <c r="Q7" s="69">
        <v>1908537.5037499999</v>
      </c>
    </row>
    <row r="8" spans="2:17" ht="18" customHeight="1" x14ac:dyDescent="0.35">
      <c r="B8" s="67" t="s">
        <v>68</v>
      </c>
      <c r="C8" s="70">
        <v>0</v>
      </c>
      <c r="D8" s="70">
        <v>47350.667999999998</v>
      </c>
      <c r="E8" s="70">
        <v>58294.63</v>
      </c>
      <c r="F8" s="70">
        <v>176756.50099999999</v>
      </c>
      <c r="G8" s="70">
        <v>124297.959</v>
      </c>
      <c r="H8" s="70">
        <v>118156.17600000001</v>
      </c>
      <c r="I8" s="70">
        <v>2217652.83</v>
      </c>
      <c r="J8" s="70">
        <v>1959755.8729999999</v>
      </c>
      <c r="K8" s="70">
        <v>0</v>
      </c>
      <c r="L8" s="70">
        <v>41347.921999999999</v>
      </c>
      <c r="M8" s="70">
        <v>86565.706000000006</v>
      </c>
      <c r="N8" s="70">
        <v>245077.53400000001</v>
      </c>
      <c r="O8" s="70">
        <v>3286303.6839999999</v>
      </c>
      <c r="P8" s="70">
        <v>77264.146551479338</v>
      </c>
      <c r="Q8" s="69">
        <v>8438823.6295514796</v>
      </c>
    </row>
    <row r="9" spans="2:17" ht="18" customHeight="1" x14ac:dyDescent="0.35">
      <c r="B9" s="67" t="s">
        <v>69</v>
      </c>
      <c r="C9" s="70">
        <v>0</v>
      </c>
      <c r="D9" s="70">
        <v>12414.39145497818</v>
      </c>
      <c r="E9" s="70">
        <v>20658.897897942079</v>
      </c>
      <c r="F9" s="70">
        <v>209868.3575202256</v>
      </c>
      <c r="G9" s="70">
        <v>13519.98991</v>
      </c>
      <c r="H9" s="70">
        <v>29576.857459759089</v>
      </c>
      <c r="I9" s="70">
        <v>956077.31648000004</v>
      </c>
      <c r="J9" s="70">
        <v>624178.03580999991</v>
      </c>
      <c r="K9" s="70">
        <v>0</v>
      </c>
      <c r="L9" s="70">
        <v>86316.817132275915</v>
      </c>
      <c r="M9" s="70">
        <v>49752.250253266822</v>
      </c>
      <c r="N9" s="70">
        <v>68457.349101934466</v>
      </c>
      <c r="O9" s="70">
        <v>4421950.6568299988</v>
      </c>
      <c r="P9" s="70">
        <v>758726.46733000001</v>
      </c>
      <c r="Q9" s="69">
        <v>7251497.3871803815</v>
      </c>
    </row>
    <row r="10" spans="2:17" ht="18" customHeight="1" x14ac:dyDescent="0.35">
      <c r="B10" s="67" t="s">
        <v>70</v>
      </c>
      <c r="C10" s="70">
        <v>0</v>
      </c>
      <c r="D10" s="70">
        <v>0</v>
      </c>
      <c r="E10" s="70">
        <v>0</v>
      </c>
      <c r="F10" s="70">
        <v>0</v>
      </c>
      <c r="G10" s="70">
        <v>0</v>
      </c>
      <c r="H10" s="70">
        <v>0</v>
      </c>
      <c r="I10" s="70">
        <v>0</v>
      </c>
      <c r="J10" s="70">
        <v>0</v>
      </c>
      <c r="K10" s="70">
        <v>0</v>
      </c>
      <c r="L10" s="70">
        <v>0</v>
      </c>
      <c r="M10" s="70">
        <v>0</v>
      </c>
      <c r="N10" s="70">
        <v>0</v>
      </c>
      <c r="O10" s="70">
        <v>83167.597999999998</v>
      </c>
      <c r="P10" s="70">
        <v>0</v>
      </c>
      <c r="Q10" s="69">
        <v>83167.597999999998</v>
      </c>
    </row>
    <row r="11" spans="2:17" ht="18" customHeight="1" x14ac:dyDescent="0.35">
      <c r="B11" s="67" t="s">
        <v>71</v>
      </c>
      <c r="C11" s="70">
        <v>0</v>
      </c>
      <c r="D11" s="70">
        <v>8816.0030000000006</v>
      </c>
      <c r="E11" s="70">
        <v>24613.937000000002</v>
      </c>
      <c r="F11" s="70">
        <v>10495.525</v>
      </c>
      <c r="G11" s="70">
        <v>11205.822</v>
      </c>
      <c r="H11" s="70">
        <v>6767.0829999999996</v>
      </c>
      <c r="I11" s="70">
        <v>1054826.781</v>
      </c>
      <c r="J11" s="70">
        <v>252143.899</v>
      </c>
      <c r="K11" s="70">
        <v>0</v>
      </c>
      <c r="L11" s="70">
        <v>1522.4190000000001</v>
      </c>
      <c r="M11" s="70">
        <v>6627.78</v>
      </c>
      <c r="N11" s="70">
        <v>33694.472000000002</v>
      </c>
      <c r="O11" s="70">
        <v>0</v>
      </c>
      <c r="P11" s="70">
        <v>601.798</v>
      </c>
      <c r="Q11" s="69">
        <v>1411315.5190000001</v>
      </c>
    </row>
    <row r="12" spans="2:17" ht="18" customHeight="1" x14ac:dyDescent="0.35">
      <c r="B12" s="67" t="s">
        <v>72</v>
      </c>
      <c r="C12" s="70">
        <v>0</v>
      </c>
      <c r="D12" s="70">
        <v>128186.28</v>
      </c>
      <c r="E12" s="70">
        <v>18617.185000000001</v>
      </c>
      <c r="F12" s="70">
        <v>160002.59</v>
      </c>
      <c r="G12" s="70">
        <v>91597.388000000006</v>
      </c>
      <c r="H12" s="70">
        <v>-3261.0010000000002</v>
      </c>
      <c r="I12" s="70">
        <v>2462412.8569999998</v>
      </c>
      <c r="J12" s="70">
        <v>1886367.6780000001</v>
      </c>
      <c r="K12" s="70">
        <v>0</v>
      </c>
      <c r="L12" s="70">
        <v>17299.468000000001</v>
      </c>
      <c r="M12" s="70">
        <v>58353.8</v>
      </c>
      <c r="N12" s="70">
        <v>70121.263999999996</v>
      </c>
      <c r="O12" s="70">
        <v>6613141.6909999996</v>
      </c>
      <c r="P12" s="70">
        <v>-148493.83900000001</v>
      </c>
      <c r="Q12" s="69">
        <v>11354345.361</v>
      </c>
    </row>
    <row r="13" spans="2:17" ht="18"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69">
        <v>0</v>
      </c>
    </row>
    <row r="14" spans="2:17" ht="18" customHeight="1" x14ac:dyDescent="0.35">
      <c r="B14" s="67" t="s">
        <v>74</v>
      </c>
      <c r="C14" s="70">
        <v>0</v>
      </c>
      <c r="D14" s="70">
        <v>0</v>
      </c>
      <c r="E14" s="70">
        <v>0</v>
      </c>
      <c r="F14" s="70">
        <v>0</v>
      </c>
      <c r="G14" s="70">
        <v>0</v>
      </c>
      <c r="H14" s="70">
        <v>0</v>
      </c>
      <c r="I14" s="70">
        <v>14747</v>
      </c>
      <c r="J14" s="70">
        <v>1962.6020000000001</v>
      </c>
      <c r="K14" s="70">
        <v>16420.912</v>
      </c>
      <c r="L14" s="70">
        <v>0</v>
      </c>
      <c r="M14" s="70">
        <v>0</v>
      </c>
      <c r="N14" s="70">
        <v>0</v>
      </c>
      <c r="O14" s="70">
        <v>0</v>
      </c>
      <c r="P14" s="70">
        <v>88</v>
      </c>
      <c r="Q14" s="69">
        <v>33218.514000000003</v>
      </c>
    </row>
    <row r="15" spans="2:17" ht="18" customHeight="1" x14ac:dyDescent="0.35">
      <c r="B15" s="67" t="s">
        <v>75</v>
      </c>
      <c r="C15" s="70">
        <v>0</v>
      </c>
      <c r="D15" s="70">
        <v>0</v>
      </c>
      <c r="E15" s="70">
        <v>3054.7063600000001</v>
      </c>
      <c r="F15" s="70">
        <v>0</v>
      </c>
      <c r="G15" s="70">
        <v>0</v>
      </c>
      <c r="H15" s="70">
        <v>0</v>
      </c>
      <c r="I15" s="70">
        <v>261714.4350933143</v>
      </c>
      <c r="J15" s="70">
        <v>111746.6315076139</v>
      </c>
      <c r="K15" s="70">
        <v>1676098.5396616489</v>
      </c>
      <c r="L15" s="70">
        <v>0</v>
      </c>
      <c r="M15" s="70">
        <v>0</v>
      </c>
      <c r="N15" s="70">
        <v>0</v>
      </c>
      <c r="O15" s="70">
        <v>0</v>
      </c>
      <c r="P15" s="70">
        <v>0</v>
      </c>
      <c r="Q15" s="69">
        <v>2052614.3126225781</v>
      </c>
    </row>
    <row r="16" spans="2:17" ht="18" customHeight="1" x14ac:dyDescent="0.35">
      <c r="B16" s="67" t="s">
        <v>76</v>
      </c>
      <c r="C16" s="70">
        <v>0</v>
      </c>
      <c r="D16" s="70">
        <v>0</v>
      </c>
      <c r="E16" s="70">
        <v>0</v>
      </c>
      <c r="F16" s="70">
        <v>0</v>
      </c>
      <c r="G16" s="70">
        <v>0</v>
      </c>
      <c r="H16" s="70">
        <v>0</v>
      </c>
      <c r="I16" s="70">
        <v>0</v>
      </c>
      <c r="J16" s="70">
        <v>0</v>
      </c>
      <c r="K16" s="70">
        <v>0</v>
      </c>
      <c r="L16" s="70">
        <v>0</v>
      </c>
      <c r="M16" s="70">
        <v>11101.392</v>
      </c>
      <c r="N16" s="70">
        <v>0</v>
      </c>
      <c r="O16" s="70">
        <v>613974.21946812409</v>
      </c>
      <c r="P16" s="70">
        <v>0</v>
      </c>
      <c r="Q16" s="69">
        <v>625075.6114681242</v>
      </c>
    </row>
    <row r="17" spans="2:17" ht="18" customHeight="1" x14ac:dyDescent="0.35">
      <c r="B17" s="67" t="s">
        <v>77</v>
      </c>
      <c r="C17" s="70">
        <v>0</v>
      </c>
      <c r="D17" s="70">
        <v>0</v>
      </c>
      <c r="E17" s="70">
        <v>0</v>
      </c>
      <c r="F17" s="70">
        <v>0</v>
      </c>
      <c r="G17" s="70">
        <v>0</v>
      </c>
      <c r="H17" s="70">
        <v>0</v>
      </c>
      <c r="I17" s="70">
        <v>0</v>
      </c>
      <c r="J17" s="70">
        <v>0</v>
      </c>
      <c r="K17" s="70">
        <v>0</v>
      </c>
      <c r="L17" s="70">
        <v>0</v>
      </c>
      <c r="M17" s="70">
        <v>0</v>
      </c>
      <c r="N17" s="70">
        <v>0</v>
      </c>
      <c r="O17" s="70">
        <v>1372.068</v>
      </c>
      <c r="P17" s="70">
        <v>0</v>
      </c>
      <c r="Q17" s="69">
        <v>1372.068</v>
      </c>
    </row>
    <row r="18" spans="2:17" ht="18" customHeight="1" x14ac:dyDescent="0.35">
      <c r="B18" s="67" t="s">
        <v>78</v>
      </c>
      <c r="C18" s="70">
        <v>0</v>
      </c>
      <c r="D18" s="70">
        <v>3504.2130000000002</v>
      </c>
      <c r="E18" s="70">
        <v>5864.308</v>
      </c>
      <c r="F18" s="70">
        <v>13927.813249999999</v>
      </c>
      <c r="G18" s="70">
        <v>17284.665000000001</v>
      </c>
      <c r="H18" s="70">
        <v>23233.716</v>
      </c>
      <c r="I18" s="70">
        <v>874939.147</v>
      </c>
      <c r="J18" s="70">
        <v>563858.18799999997</v>
      </c>
      <c r="K18" s="70">
        <v>12298.653</v>
      </c>
      <c r="L18" s="70">
        <v>2194.672</v>
      </c>
      <c r="M18" s="70">
        <v>16625.472000000002</v>
      </c>
      <c r="N18" s="70">
        <v>88944.207999999999</v>
      </c>
      <c r="O18" s="70">
        <v>80378.607999999993</v>
      </c>
      <c r="P18" s="70">
        <v>2523.9450000000002</v>
      </c>
      <c r="Q18" s="69">
        <v>1705577.60825</v>
      </c>
    </row>
    <row r="19" spans="2:17" ht="18" customHeight="1" x14ac:dyDescent="0.35">
      <c r="B19" s="67" t="s">
        <v>79</v>
      </c>
      <c r="C19" s="70">
        <v>0</v>
      </c>
      <c r="D19" s="70">
        <v>17972.39297999999</v>
      </c>
      <c r="E19" s="70">
        <v>12298.84159</v>
      </c>
      <c r="F19" s="70">
        <v>86063.335200000045</v>
      </c>
      <c r="G19" s="70">
        <v>10746.687400000001</v>
      </c>
      <c r="H19" s="70">
        <v>16351.04412</v>
      </c>
      <c r="I19" s="70">
        <v>504316.42920000001</v>
      </c>
      <c r="J19" s="70">
        <v>585538.05099999998</v>
      </c>
      <c r="K19" s="70">
        <v>0</v>
      </c>
      <c r="L19" s="70">
        <v>28364.35238</v>
      </c>
      <c r="M19" s="70">
        <v>39295.79694</v>
      </c>
      <c r="N19" s="70">
        <v>30718.634999999998</v>
      </c>
      <c r="O19" s="70">
        <v>1438951.1444699999</v>
      </c>
      <c r="P19" s="70">
        <v>308.62673000000052</v>
      </c>
      <c r="Q19" s="69">
        <v>2770925.3370099999</v>
      </c>
    </row>
    <row r="20" spans="2:17" ht="18" customHeight="1" x14ac:dyDescent="0.35">
      <c r="B20" s="67" t="s">
        <v>80</v>
      </c>
      <c r="C20" s="70">
        <v>409.86900000000003</v>
      </c>
      <c r="D20" s="70">
        <v>87987.199779999995</v>
      </c>
      <c r="E20" s="70">
        <v>95427.097985500004</v>
      </c>
      <c r="F20" s="70">
        <v>159822.64240350001</v>
      </c>
      <c r="G20" s="70">
        <v>50498.526696000001</v>
      </c>
      <c r="H20" s="70">
        <v>115795.631182</v>
      </c>
      <c r="I20" s="70">
        <v>1345057.6569999999</v>
      </c>
      <c r="J20" s="70">
        <v>1016800.772</v>
      </c>
      <c r="K20" s="70">
        <v>377675.22200000001</v>
      </c>
      <c r="L20" s="70">
        <v>16783.273000000001</v>
      </c>
      <c r="M20" s="70">
        <v>262159.136</v>
      </c>
      <c r="N20" s="70">
        <v>521788.364</v>
      </c>
      <c r="O20" s="70">
        <v>1568202.149</v>
      </c>
      <c r="P20" s="70">
        <v>4013.9769999999999</v>
      </c>
      <c r="Q20" s="69">
        <v>5622421.5170470001</v>
      </c>
    </row>
    <row r="21" spans="2:17" ht="18" customHeight="1" x14ac:dyDescent="0.35">
      <c r="B21" s="67" t="s">
        <v>81</v>
      </c>
      <c r="C21" s="70">
        <v>105.328</v>
      </c>
      <c r="D21" s="70">
        <v>52209.917999999998</v>
      </c>
      <c r="E21" s="70">
        <v>31016.32</v>
      </c>
      <c r="F21" s="70">
        <v>54418.624000000003</v>
      </c>
      <c r="G21" s="70">
        <v>57598.756999999998</v>
      </c>
      <c r="H21" s="70">
        <v>49364.767</v>
      </c>
      <c r="I21" s="70">
        <v>1046760.205</v>
      </c>
      <c r="J21" s="70">
        <v>1209565.523</v>
      </c>
      <c r="K21" s="70">
        <v>0</v>
      </c>
      <c r="L21" s="70">
        <v>20686.871999999999</v>
      </c>
      <c r="M21" s="70">
        <v>41500.83</v>
      </c>
      <c r="N21" s="70">
        <v>297401.59499999997</v>
      </c>
      <c r="O21" s="70">
        <v>0</v>
      </c>
      <c r="P21" s="70">
        <v>10481.991</v>
      </c>
      <c r="Q21" s="69">
        <v>2871110.73</v>
      </c>
    </row>
    <row r="22" spans="2:17" ht="18" customHeight="1" x14ac:dyDescent="0.35">
      <c r="B22" s="67" t="s">
        <v>82</v>
      </c>
      <c r="C22" s="70">
        <v>12473.710999999999</v>
      </c>
      <c r="D22" s="70">
        <v>49553.523999999998</v>
      </c>
      <c r="E22" s="70">
        <v>17777.588</v>
      </c>
      <c r="F22" s="70">
        <v>87664.137000000002</v>
      </c>
      <c r="G22" s="70">
        <v>14591.789000000001</v>
      </c>
      <c r="H22" s="70">
        <v>44744.95</v>
      </c>
      <c r="I22" s="70">
        <v>1427501.8230000001</v>
      </c>
      <c r="J22" s="70">
        <v>332619.38699999999</v>
      </c>
      <c r="K22" s="70">
        <v>0</v>
      </c>
      <c r="L22" s="70">
        <v>69847.430999999997</v>
      </c>
      <c r="M22" s="70">
        <v>124104.164</v>
      </c>
      <c r="N22" s="70">
        <v>170133.53899999999</v>
      </c>
      <c r="O22" s="70">
        <v>140385.01800000001</v>
      </c>
      <c r="P22" s="70">
        <v>6152.0640000000003</v>
      </c>
      <c r="Q22" s="69">
        <v>2497549.125</v>
      </c>
    </row>
    <row r="23" spans="2:17" ht="18" customHeight="1" x14ac:dyDescent="0.35">
      <c r="B23" s="67" t="s">
        <v>83</v>
      </c>
      <c r="C23" s="70">
        <v>0</v>
      </c>
      <c r="D23" s="70">
        <v>30728.107</v>
      </c>
      <c r="E23" s="70">
        <v>-2179.982</v>
      </c>
      <c r="F23" s="70">
        <v>56772.663999999997</v>
      </c>
      <c r="G23" s="70">
        <v>8341.5619999999999</v>
      </c>
      <c r="H23" s="70">
        <v>32399.985000000001</v>
      </c>
      <c r="I23" s="70">
        <v>747714.75699999998</v>
      </c>
      <c r="J23" s="70">
        <v>359165.85700000002</v>
      </c>
      <c r="K23" s="70">
        <v>0</v>
      </c>
      <c r="L23" s="70">
        <v>3350.51</v>
      </c>
      <c r="M23" s="70">
        <v>46921.110999999997</v>
      </c>
      <c r="N23" s="70">
        <v>61073.302000000003</v>
      </c>
      <c r="O23" s="70">
        <v>0</v>
      </c>
      <c r="P23" s="70">
        <v>-1467.252</v>
      </c>
      <c r="Q23" s="69">
        <v>1342820.621</v>
      </c>
    </row>
    <row r="24" spans="2:17" ht="18" customHeight="1" x14ac:dyDescent="0.35">
      <c r="B24" s="67" t="s">
        <v>84</v>
      </c>
      <c r="C24" s="70">
        <v>0</v>
      </c>
      <c r="D24" s="70">
        <v>0</v>
      </c>
      <c r="E24" s="70">
        <v>0</v>
      </c>
      <c r="F24" s="70">
        <v>0</v>
      </c>
      <c r="G24" s="70">
        <v>0</v>
      </c>
      <c r="H24" s="70">
        <v>0</v>
      </c>
      <c r="I24" s="70">
        <v>0</v>
      </c>
      <c r="J24" s="70">
        <v>0</v>
      </c>
      <c r="K24" s="70">
        <v>0</v>
      </c>
      <c r="L24" s="70">
        <v>0</v>
      </c>
      <c r="M24" s="70">
        <v>0</v>
      </c>
      <c r="N24" s="70">
        <v>0</v>
      </c>
      <c r="O24" s="70">
        <v>13186526.761</v>
      </c>
      <c r="P24" s="70">
        <v>0</v>
      </c>
      <c r="Q24" s="69">
        <v>13186526.761</v>
      </c>
    </row>
    <row r="25" spans="2:17" ht="18" customHeight="1" x14ac:dyDescent="0.35">
      <c r="B25" s="67" t="s">
        <v>85</v>
      </c>
      <c r="C25" s="70">
        <v>0</v>
      </c>
      <c r="D25" s="70">
        <v>13695.503000000001</v>
      </c>
      <c r="E25" s="70">
        <v>3798.1709999999998</v>
      </c>
      <c r="F25" s="70">
        <v>40780.135999999999</v>
      </c>
      <c r="G25" s="70">
        <v>22030.325000000001</v>
      </c>
      <c r="H25" s="70">
        <v>17516.223999999998</v>
      </c>
      <c r="I25" s="70">
        <v>442566.53</v>
      </c>
      <c r="J25" s="70">
        <v>347670.61700000003</v>
      </c>
      <c r="K25" s="70">
        <v>0</v>
      </c>
      <c r="L25" s="70">
        <v>1291.6079999999999</v>
      </c>
      <c r="M25" s="70">
        <v>17557.455999999998</v>
      </c>
      <c r="N25" s="70">
        <v>170361.40900000001</v>
      </c>
      <c r="O25" s="70">
        <v>32786.07</v>
      </c>
      <c r="P25" s="70">
        <v>552.928</v>
      </c>
      <c r="Q25" s="69">
        <v>1110606.977</v>
      </c>
    </row>
    <row r="26" spans="2:17" ht="18" customHeight="1" x14ac:dyDescent="0.35">
      <c r="B26" s="67" t="s">
        <v>86</v>
      </c>
      <c r="C26" s="70">
        <v>0</v>
      </c>
      <c r="D26" s="70">
        <v>260.66899999999998</v>
      </c>
      <c r="E26" s="70">
        <v>1847.3489999999999</v>
      </c>
      <c r="F26" s="70">
        <v>8344.9789999999994</v>
      </c>
      <c r="G26" s="70">
        <v>3672.7249999999999</v>
      </c>
      <c r="H26" s="70">
        <v>106.42</v>
      </c>
      <c r="I26" s="70">
        <v>407354.59619000001</v>
      </c>
      <c r="J26" s="70">
        <v>225570.98790999991</v>
      </c>
      <c r="K26" s="70">
        <v>43827.093999999997</v>
      </c>
      <c r="L26" s="70">
        <v>3258.3150000000001</v>
      </c>
      <c r="M26" s="70">
        <v>18130.282999999999</v>
      </c>
      <c r="N26" s="70">
        <v>7730.86</v>
      </c>
      <c r="O26" s="70">
        <v>0</v>
      </c>
      <c r="P26" s="70">
        <v>77555.627999999997</v>
      </c>
      <c r="Q26" s="69">
        <v>797659.90609999991</v>
      </c>
    </row>
    <row r="27" spans="2:17" ht="18" customHeight="1" x14ac:dyDescent="0.35">
      <c r="B27" s="67" t="s">
        <v>87</v>
      </c>
      <c r="C27" s="70">
        <v>0</v>
      </c>
      <c r="D27" s="70">
        <v>21287.155602023129</v>
      </c>
      <c r="E27" s="70">
        <v>5289.1644840987065</v>
      </c>
      <c r="F27" s="70">
        <v>42777.659825050949</v>
      </c>
      <c r="G27" s="70">
        <v>72500.511933028334</v>
      </c>
      <c r="H27" s="70">
        <v>7673.3873258817794</v>
      </c>
      <c r="I27" s="70">
        <v>418023.17508833052</v>
      </c>
      <c r="J27" s="70">
        <v>2657064.0425849869</v>
      </c>
      <c r="K27" s="70">
        <v>0</v>
      </c>
      <c r="L27" s="70">
        <v>6505.7647578026972</v>
      </c>
      <c r="M27" s="70">
        <v>11962.66761210046</v>
      </c>
      <c r="N27" s="70">
        <v>73795.076207708058</v>
      </c>
      <c r="O27" s="70">
        <v>1638074.682121515</v>
      </c>
      <c r="P27" s="70">
        <v>26135.109919821101</v>
      </c>
      <c r="Q27" s="69">
        <v>4981088.3974623466</v>
      </c>
    </row>
    <row r="28" spans="2:17" ht="18" customHeight="1" x14ac:dyDescent="0.35">
      <c r="B28" s="67" t="s">
        <v>88</v>
      </c>
      <c r="C28" s="70">
        <v>145.07984578499989</v>
      </c>
      <c r="D28" s="70">
        <v>215655.9870506172</v>
      </c>
      <c r="E28" s="70">
        <v>20676.276399999999</v>
      </c>
      <c r="F28" s="70">
        <v>202368.18263009991</v>
      </c>
      <c r="G28" s="70">
        <v>9035.1030800000008</v>
      </c>
      <c r="H28" s="70">
        <v>47900.311676500001</v>
      </c>
      <c r="I28" s="70">
        <v>360525.48426</v>
      </c>
      <c r="J28" s="70">
        <v>387293.65022990003</v>
      </c>
      <c r="K28" s="70">
        <v>0</v>
      </c>
      <c r="L28" s="70">
        <v>5763.3019999999997</v>
      </c>
      <c r="M28" s="70">
        <v>19372.640447199999</v>
      </c>
      <c r="N28" s="70">
        <v>327604.23535999999</v>
      </c>
      <c r="O28" s="70">
        <v>0</v>
      </c>
      <c r="P28" s="70">
        <v>7696.6121228000002</v>
      </c>
      <c r="Q28" s="69">
        <v>1604036.8651029021</v>
      </c>
    </row>
    <row r="29" spans="2:17" ht="18" customHeight="1" x14ac:dyDescent="0.35">
      <c r="B29" s="67" t="s">
        <v>89</v>
      </c>
      <c r="C29" s="70">
        <v>1148.3332199999991</v>
      </c>
      <c r="D29" s="70">
        <v>4222.2458540449979</v>
      </c>
      <c r="E29" s="70">
        <v>20121.068780000001</v>
      </c>
      <c r="F29" s="70">
        <v>5558.5644124879982</v>
      </c>
      <c r="G29" s="70">
        <v>16870.541000000001</v>
      </c>
      <c r="H29" s="70">
        <v>1160.1674577779991</v>
      </c>
      <c r="I29" s="70">
        <v>274017.30563036742</v>
      </c>
      <c r="J29" s="70">
        <v>145592.0657200861</v>
      </c>
      <c r="K29" s="70">
        <v>0</v>
      </c>
      <c r="L29" s="70">
        <v>3547.8410099999978</v>
      </c>
      <c r="M29" s="70">
        <v>3830.25371</v>
      </c>
      <c r="N29" s="70">
        <v>23470.819</v>
      </c>
      <c r="O29" s="70">
        <v>472834.68099999998</v>
      </c>
      <c r="P29" s="70">
        <v>8531.2348999999977</v>
      </c>
      <c r="Q29" s="69">
        <v>980905.12169476447</v>
      </c>
    </row>
    <row r="30" spans="2:17" ht="18" customHeight="1" x14ac:dyDescent="0.35">
      <c r="B30" s="67" t="s">
        <v>90</v>
      </c>
      <c r="C30" s="70">
        <v>0</v>
      </c>
      <c r="D30" s="70">
        <v>0</v>
      </c>
      <c r="E30" s="70">
        <v>25875.249469999999</v>
      </c>
      <c r="F30" s="70">
        <v>45085.73860000007</v>
      </c>
      <c r="G30" s="70">
        <v>19604.17383</v>
      </c>
      <c r="H30" s="70">
        <v>4347.0530599999984</v>
      </c>
      <c r="I30" s="70">
        <v>335194.79384500731</v>
      </c>
      <c r="J30" s="70">
        <v>47715.509810000003</v>
      </c>
      <c r="K30" s="70">
        <v>0</v>
      </c>
      <c r="L30" s="70">
        <v>7261.1717000000071</v>
      </c>
      <c r="M30" s="70">
        <v>11027.54508</v>
      </c>
      <c r="N30" s="70">
        <v>29427.195489999969</v>
      </c>
      <c r="O30" s="70">
        <v>0</v>
      </c>
      <c r="P30" s="70">
        <v>0</v>
      </c>
      <c r="Q30" s="69">
        <v>525538.43088500726</v>
      </c>
    </row>
    <row r="31" spans="2:17" ht="18" customHeight="1" x14ac:dyDescent="0.35">
      <c r="B31" s="67" t="s">
        <v>91</v>
      </c>
      <c r="C31" s="70">
        <v>0</v>
      </c>
      <c r="D31" s="70">
        <v>65780.009030000001</v>
      </c>
      <c r="E31" s="70">
        <v>25634.356</v>
      </c>
      <c r="F31" s="70">
        <v>-10920.393749999999</v>
      </c>
      <c r="G31" s="70">
        <v>2270.4935</v>
      </c>
      <c r="H31" s="70">
        <v>20546.171999999999</v>
      </c>
      <c r="I31" s="70">
        <v>159097.51742532011</v>
      </c>
      <c r="J31" s="70">
        <v>77828.277744679872</v>
      </c>
      <c r="K31" s="70">
        <v>0</v>
      </c>
      <c r="L31" s="70">
        <v>29050.651999999998</v>
      </c>
      <c r="M31" s="70">
        <v>16019.096</v>
      </c>
      <c r="N31" s="70">
        <v>63317.196499999998</v>
      </c>
      <c r="O31" s="70">
        <v>0</v>
      </c>
      <c r="P31" s="70">
        <v>20259.441999999999</v>
      </c>
      <c r="Q31" s="69">
        <v>468882.8184499999</v>
      </c>
    </row>
    <row r="32" spans="2:17" ht="18" customHeight="1" x14ac:dyDescent="0.35">
      <c r="B32" s="67" t="s">
        <v>92</v>
      </c>
      <c r="C32" s="70">
        <v>1662.819562900007</v>
      </c>
      <c r="D32" s="70">
        <v>36935.1100191</v>
      </c>
      <c r="E32" s="70">
        <v>18362.97105</v>
      </c>
      <c r="F32" s="70">
        <v>34901.337157599977</v>
      </c>
      <c r="G32" s="70">
        <v>10693.2363279</v>
      </c>
      <c r="H32" s="70">
        <v>22471.333269999999</v>
      </c>
      <c r="I32" s="70">
        <v>867134.98270000017</v>
      </c>
      <c r="J32" s="70">
        <v>778815.92475000012</v>
      </c>
      <c r="K32" s="70">
        <v>0</v>
      </c>
      <c r="L32" s="70">
        <v>8995.7483616999998</v>
      </c>
      <c r="M32" s="70">
        <v>56464.046689999966</v>
      </c>
      <c r="N32" s="70">
        <v>110765.67989</v>
      </c>
      <c r="O32" s="70">
        <v>8189945.9421749832</v>
      </c>
      <c r="P32" s="70">
        <v>6092.8198200000043</v>
      </c>
      <c r="Q32" s="69">
        <v>10143241.95177418</v>
      </c>
    </row>
    <row r="33" spans="2:17" ht="18" customHeight="1" x14ac:dyDescent="0.35">
      <c r="B33" s="67" t="s">
        <v>93</v>
      </c>
      <c r="C33" s="70">
        <v>0</v>
      </c>
      <c r="D33" s="70">
        <v>20709.617999999999</v>
      </c>
      <c r="E33" s="70">
        <v>1976.97</v>
      </c>
      <c r="F33" s="70">
        <v>16543.349999999999</v>
      </c>
      <c r="G33" s="70">
        <v>23648.295999999998</v>
      </c>
      <c r="H33" s="70">
        <v>994.41700000000003</v>
      </c>
      <c r="I33" s="70">
        <v>374024.34399999998</v>
      </c>
      <c r="J33" s="70">
        <v>277627.64899999998</v>
      </c>
      <c r="K33" s="70">
        <v>0</v>
      </c>
      <c r="L33" s="70">
        <v>5300.8329999999996</v>
      </c>
      <c r="M33" s="70">
        <v>2019.21</v>
      </c>
      <c r="N33" s="70">
        <v>26276.870999999999</v>
      </c>
      <c r="O33" s="70">
        <v>713654.88699999999</v>
      </c>
      <c r="P33" s="70">
        <v>1670.681</v>
      </c>
      <c r="Q33" s="69">
        <v>1464447.1259999999</v>
      </c>
    </row>
    <row r="34" spans="2:17" ht="18" customHeight="1" x14ac:dyDescent="0.35">
      <c r="B34" s="67" t="s">
        <v>94</v>
      </c>
      <c r="C34" s="70">
        <v>0</v>
      </c>
      <c r="D34" s="70">
        <v>1212.271</v>
      </c>
      <c r="E34" s="70">
        <v>0</v>
      </c>
      <c r="F34" s="70">
        <v>40867.09505645695</v>
      </c>
      <c r="G34" s="70">
        <v>9149.0115867122004</v>
      </c>
      <c r="H34" s="70">
        <v>0</v>
      </c>
      <c r="I34" s="70">
        <v>675783.96257642354</v>
      </c>
      <c r="J34" s="70">
        <v>331064.59642357641</v>
      </c>
      <c r="K34" s="70">
        <v>0</v>
      </c>
      <c r="L34" s="70">
        <v>-513.66657751115042</v>
      </c>
      <c r="M34" s="70">
        <v>7093.1689999999999</v>
      </c>
      <c r="N34" s="70">
        <v>92790.152934341997</v>
      </c>
      <c r="O34" s="70">
        <v>0</v>
      </c>
      <c r="P34" s="70">
        <v>37.817999999999998</v>
      </c>
      <c r="Q34" s="69">
        <v>1157484.4099999999</v>
      </c>
    </row>
    <row r="35" spans="2:17" ht="18" customHeight="1" x14ac:dyDescent="0.35">
      <c r="B35" s="67" t="s">
        <v>95</v>
      </c>
      <c r="C35" s="70">
        <v>0</v>
      </c>
      <c r="D35" s="70">
        <v>7821.3969999999999</v>
      </c>
      <c r="E35" s="70">
        <v>90833.264999999999</v>
      </c>
      <c r="F35" s="70">
        <v>161687.712</v>
      </c>
      <c r="G35" s="70">
        <v>30539.968000000001</v>
      </c>
      <c r="H35" s="70">
        <v>34264.127999999997</v>
      </c>
      <c r="I35" s="70">
        <v>1363028.2709999999</v>
      </c>
      <c r="J35" s="70">
        <v>851571.07499999995</v>
      </c>
      <c r="K35" s="70">
        <v>125250.14200000001</v>
      </c>
      <c r="L35" s="70">
        <v>14202.233</v>
      </c>
      <c r="M35" s="70">
        <v>18442.442999999999</v>
      </c>
      <c r="N35" s="70">
        <v>173413.98</v>
      </c>
      <c r="O35" s="70">
        <v>9809.3649999999998</v>
      </c>
      <c r="P35" s="70">
        <v>47220.201000000001</v>
      </c>
      <c r="Q35" s="69">
        <v>2928084.18</v>
      </c>
    </row>
    <row r="36" spans="2:17" ht="18" customHeight="1" x14ac:dyDescent="0.35">
      <c r="B36" s="67" t="s">
        <v>96</v>
      </c>
      <c r="C36" s="70">
        <v>0</v>
      </c>
      <c r="D36" s="70">
        <v>-5438.0034169986166</v>
      </c>
      <c r="E36" s="70">
        <v>0</v>
      </c>
      <c r="F36" s="70">
        <v>-698.0684</v>
      </c>
      <c r="G36" s="70">
        <v>0</v>
      </c>
      <c r="H36" s="70">
        <v>0</v>
      </c>
      <c r="I36" s="70">
        <v>-11160.72461000003</v>
      </c>
      <c r="J36" s="70">
        <v>-14132.331399999999</v>
      </c>
      <c r="K36" s="70">
        <v>0</v>
      </c>
      <c r="L36" s="70">
        <v>-1852.7093600000001</v>
      </c>
      <c r="M36" s="70">
        <v>290856.12050999998</v>
      </c>
      <c r="N36" s="70">
        <v>-10834.968129999999</v>
      </c>
      <c r="O36" s="70">
        <v>1455312.3</v>
      </c>
      <c r="P36" s="70">
        <v>-270</v>
      </c>
      <c r="Q36" s="69">
        <v>1701781.615193001</v>
      </c>
    </row>
    <row r="37" spans="2:17" ht="18" customHeight="1" x14ac:dyDescent="0.35">
      <c r="B37" s="67" t="s">
        <v>97</v>
      </c>
      <c r="C37" s="70">
        <v>0</v>
      </c>
      <c r="D37" s="70">
        <v>522.35735</v>
      </c>
      <c r="E37" s="70">
        <v>85</v>
      </c>
      <c r="F37" s="70">
        <v>1519.513729999999</v>
      </c>
      <c r="G37" s="70">
        <v>7226.143</v>
      </c>
      <c r="H37" s="70">
        <v>403.84147000000002</v>
      </c>
      <c r="I37" s="70">
        <v>167220.89300000001</v>
      </c>
      <c r="J37" s="70">
        <v>260743.5020595612</v>
      </c>
      <c r="K37" s="70">
        <v>0</v>
      </c>
      <c r="L37" s="70">
        <v>2053.4349999999999</v>
      </c>
      <c r="M37" s="70">
        <v>9576.9315000000006</v>
      </c>
      <c r="N37" s="70">
        <v>18669.734</v>
      </c>
      <c r="O37" s="70">
        <v>1597.7371200000021</v>
      </c>
      <c r="P37" s="70">
        <v>-2267.1438999999991</v>
      </c>
      <c r="Q37" s="69">
        <v>467351.94432956132</v>
      </c>
    </row>
    <row r="38" spans="2:17" ht="18" customHeight="1" x14ac:dyDescent="0.35">
      <c r="B38" s="67" t="s">
        <v>98</v>
      </c>
      <c r="C38" s="70">
        <v>0</v>
      </c>
      <c r="D38" s="70">
        <v>12483.147999999999</v>
      </c>
      <c r="E38" s="70">
        <v>15395.226000000001</v>
      </c>
      <c r="F38" s="70">
        <v>35264.517</v>
      </c>
      <c r="G38" s="70">
        <v>5430.5259999999998</v>
      </c>
      <c r="H38" s="70">
        <v>30836.159</v>
      </c>
      <c r="I38" s="70">
        <v>114278.626</v>
      </c>
      <c r="J38" s="70">
        <v>92266.923999999999</v>
      </c>
      <c r="K38" s="70">
        <v>0</v>
      </c>
      <c r="L38" s="70">
        <v>2909.78</v>
      </c>
      <c r="M38" s="70">
        <v>49283.644</v>
      </c>
      <c r="N38" s="70">
        <v>60884.286</v>
      </c>
      <c r="O38" s="70">
        <v>3350.4830000000002</v>
      </c>
      <c r="P38" s="70">
        <v>2766.2510000000002</v>
      </c>
      <c r="Q38" s="69">
        <v>425149.57</v>
      </c>
    </row>
    <row r="39" spans="2:17" ht="18" customHeight="1" x14ac:dyDescent="0.35">
      <c r="B39" s="67" t="s">
        <v>99</v>
      </c>
      <c r="C39" s="70">
        <v>2000.7180000000001</v>
      </c>
      <c r="D39" s="70">
        <v>12875.463</v>
      </c>
      <c r="E39" s="70">
        <v>16744.100999999999</v>
      </c>
      <c r="F39" s="70">
        <v>110426.891</v>
      </c>
      <c r="G39" s="70">
        <v>13572.102000000001</v>
      </c>
      <c r="H39" s="70">
        <v>5083.0510000000004</v>
      </c>
      <c r="I39" s="70">
        <v>785517.51599999995</v>
      </c>
      <c r="J39" s="70">
        <v>370283.22</v>
      </c>
      <c r="K39" s="70">
        <v>12399.303</v>
      </c>
      <c r="L39" s="70">
        <v>27209.768</v>
      </c>
      <c r="M39" s="70">
        <v>29967.995999999999</v>
      </c>
      <c r="N39" s="70">
        <v>41290.368000000002</v>
      </c>
      <c r="O39" s="70">
        <v>2160790.8670000001</v>
      </c>
      <c r="P39" s="70">
        <v>32954.286</v>
      </c>
      <c r="Q39" s="69">
        <v>3621115.65</v>
      </c>
    </row>
    <row r="40" spans="2:17" ht="18" customHeight="1" x14ac:dyDescent="0.35">
      <c r="B40" s="67" t="s">
        <v>100</v>
      </c>
      <c r="C40" s="70">
        <v>0</v>
      </c>
      <c r="D40" s="70">
        <v>1171.2411300000001</v>
      </c>
      <c r="E40" s="70">
        <v>1122.92</v>
      </c>
      <c r="F40" s="70">
        <v>1956.4124300000001</v>
      </c>
      <c r="G40" s="70">
        <v>354.85</v>
      </c>
      <c r="H40" s="70">
        <v>1328.9580000000001</v>
      </c>
      <c r="I40" s="70">
        <v>486657.45766000001</v>
      </c>
      <c r="J40" s="70">
        <v>178625.09839999999</v>
      </c>
      <c r="K40" s="70">
        <v>0</v>
      </c>
      <c r="L40" s="70">
        <v>2413.4764599999999</v>
      </c>
      <c r="M40" s="70">
        <v>3028.3132700000001</v>
      </c>
      <c r="N40" s="70">
        <v>13903.871139999999</v>
      </c>
      <c r="O40" s="70">
        <v>413116.18</v>
      </c>
      <c r="P40" s="70">
        <v>31.757010000000012</v>
      </c>
      <c r="Q40" s="69">
        <v>1103710.5355</v>
      </c>
    </row>
    <row r="41" spans="2:17" ht="18"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69">
        <v>0</v>
      </c>
    </row>
    <row r="42" spans="2:17" ht="18"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69">
        <v>0</v>
      </c>
    </row>
    <row r="43" spans="2:17" ht="18" customHeight="1" x14ac:dyDescent="0.35">
      <c r="B43" s="71" t="s">
        <v>24</v>
      </c>
      <c r="C43" s="72">
        <f t="shared" ref="C43:Q43" si="0">SUM(C6:C42)</f>
        <v>17945.858628685004</v>
      </c>
      <c r="D43" s="72">
        <f t="shared" si="0"/>
        <v>900722.43856385839</v>
      </c>
      <c r="E43" s="72">
        <f t="shared" si="0"/>
        <v>533662.79346157878</v>
      </c>
      <c r="F43" s="72">
        <f t="shared" si="0"/>
        <v>1758978.0181480311</v>
      </c>
      <c r="G43" s="72">
        <f t="shared" si="0"/>
        <v>652684.30461583938</v>
      </c>
      <c r="H43" s="72">
        <f t="shared" si="0"/>
        <v>629366.30302191887</v>
      </c>
      <c r="I43" s="72">
        <f t="shared" si="0"/>
        <v>20688148.024622593</v>
      </c>
      <c r="J43" s="72">
        <f t="shared" si="0"/>
        <v>15919303.30655041</v>
      </c>
      <c r="K43" s="72">
        <f t="shared" si="0"/>
        <v>3493917.6850116486</v>
      </c>
      <c r="L43" s="72">
        <f t="shared" si="0"/>
        <v>427722.2414957672</v>
      </c>
      <c r="M43" s="72">
        <f t="shared" si="0"/>
        <v>1316897.3141168288</v>
      </c>
      <c r="N43" s="72">
        <f t="shared" si="0"/>
        <v>2857211.1960048312</v>
      </c>
      <c r="O43" s="72">
        <f t="shared" si="0"/>
        <v>52614977.695322022</v>
      </c>
      <c r="P43" s="72">
        <f t="shared" si="0"/>
        <v>958378.35399094329</v>
      </c>
      <c r="Q43" s="72">
        <f t="shared" si="0"/>
        <v>102769915.53355496</v>
      </c>
    </row>
    <row r="44" spans="2:17" ht="18" customHeight="1" x14ac:dyDescent="0.35">
      <c r="B44" s="337" t="s">
        <v>103</v>
      </c>
      <c r="C44" s="269"/>
      <c r="D44" s="269"/>
      <c r="E44" s="269"/>
      <c r="F44" s="269"/>
      <c r="G44" s="269"/>
      <c r="H44" s="269"/>
      <c r="I44" s="269"/>
      <c r="J44" s="269"/>
      <c r="K44" s="269"/>
      <c r="L44" s="269"/>
      <c r="M44" s="269"/>
      <c r="N44" s="269"/>
      <c r="O44" s="269"/>
      <c r="P44" s="269"/>
      <c r="Q44" s="270"/>
    </row>
    <row r="45" spans="2:17" ht="18" customHeight="1" x14ac:dyDescent="0.35">
      <c r="B45" s="67" t="s">
        <v>104</v>
      </c>
      <c r="C45" s="70">
        <v>6961.5776912000056</v>
      </c>
      <c r="D45" s="70">
        <v>204602.18974999999</v>
      </c>
      <c r="E45" s="70">
        <v>167115.8148426</v>
      </c>
      <c r="F45" s="70">
        <v>475637.3191673999</v>
      </c>
      <c r="G45" s="70">
        <v>78832.523939400009</v>
      </c>
      <c r="H45" s="70">
        <v>80058.143448800067</v>
      </c>
      <c r="I45" s="70">
        <v>20646.6134127</v>
      </c>
      <c r="J45" s="70">
        <v>88217.348217900013</v>
      </c>
      <c r="K45" s="70">
        <v>0</v>
      </c>
      <c r="L45" s="70">
        <v>91415.230422999986</v>
      </c>
      <c r="M45" s="70">
        <v>4811.3279170000014</v>
      </c>
      <c r="N45" s="70">
        <v>9622.6558340000011</v>
      </c>
      <c r="O45" s="70">
        <v>764571.29599999997</v>
      </c>
      <c r="P45" s="70">
        <v>375283.57752599998</v>
      </c>
      <c r="Q45" s="73">
        <v>2367775.6181700001</v>
      </c>
    </row>
    <row r="46" spans="2:17" ht="18" customHeight="1" x14ac:dyDescent="0.35">
      <c r="B46" s="67" t="s">
        <v>105</v>
      </c>
      <c r="C46" s="70">
        <v>284.47518000000002</v>
      </c>
      <c r="D46" s="70">
        <v>97229.734680000052</v>
      </c>
      <c r="E46" s="70">
        <v>0</v>
      </c>
      <c r="F46" s="70">
        <v>799118.17882999964</v>
      </c>
      <c r="G46" s="70">
        <v>3926.3692299999998</v>
      </c>
      <c r="H46" s="70">
        <v>98515.835590000017</v>
      </c>
      <c r="I46" s="70">
        <v>0</v>
      </c>
      <c r="J46" s="70">
        <v>167069.50973000011</v>
      </c>
      <c r="K46" s="70">
        <v>0</v>
      </c>
      <c r="L46" s="70">
        <v>28630.837660000001</v>
      </c>
      <c r="M46" s="70">
        <v>0</v>
      </c>
      <c r="N46" s="70">
        <v>0</v>
      </c>
      <c r="O46" s="70">
        <v>784442.71119000029</v>
      </c>
      <c r="P46" s="70">
        <v>190819.12313999989</v>
      </c>
      <c r="Q46" s="73">
        <v>2170036.7752299998</v>
      </c>
    </row>
    <row r="47" spans="2:17" ht="18" customHeight="1" x14ac:dyDescent="0.35">
      <c r="B47" s="67" t="s">
        <v>106</v>
      </c>
      <c r="C47" s="70">
        <v>-4656.0519999999997</v>
      </c>
      <c r="D47" s="70">
        <v>69455.615999999995</v>
      </c>
      <c r="E47" s="70">
        <v>79078.963000000003</v>
      </c>
      <c r="F47" s="70">
        <v>579912.39</v>
      </c>
      <c r="G47" s="70">
        <v>1539.0419999999999</v>
      </c>
      <c r="H47" s="70">
        <v>36084.171000000002</v>
      </c>
      <c r="I47" s="70">
        <v>73522.285000000003</v>
      </c>
      <c r="J47" s="70">
        <v>79649.142000000007</v>
      </c>
      <c r="K47" s="70">
        <v>0</v>
      </c>
      <c r="L47" s="70">
        <v>598.97199999999998</v>
      </c>
      <c r="M47" s="70">
        <v>79290.077000000005</v>
      </c>
      <c r="N47" s="70">
        <v>4635.223</v>
      </c>
      <c r="O47" s="70">
        <v>483019.93199999997</v>
      </c>
      <c r="P47" s="70">
        <v>9553.7489999999998</v>
      </c>
      <c r="Q47" s="73">
        <v>1491683.51</v>
      </c>
    </row>
    <row r="48" spans="2:17" ht="18" customHeight="1" x14ac:dyDescent="0.35">
      <c r="B48" s="64" t="s">
        <v>107</v>
      </c>
      <c r="C48" s="70">
        <v>23399.417249999999</v>
      </c>
      <c r="D48" s="70">
        <v>377106.29824000021</v>
      </c>
      <c r="E48" s="70">
        <v>98306.109609999985</v>
      </c>
      <c r="F48" s="70">
        <v>2466721.4416099978</v>
      </c>
      <c r="G48" s="70">
        <v>12301.56875</v>
      </c>
      <c r="H48" s="70">
        <v>362245.17441999941</v>
      </c>
      <c r="I48" s="70">
        <v>4836.6521299999986</v>
      </c>
      <c r="J48" s="70">
        <v>494183.80370000022</v>
      </c>
      <c r="K48" s="70">
        <v>0</v>
      </c>
      <c r="L48" s="70">
        <v>313625.7615899996</v>
      </c>
      <c r="M48" s="70">
        <v>6464.0650700000006</v>
      </c>
      <c r="N48" s="70">
        <v>1610.1041399999999</v>
      </c>
      <c r="O48" s="70">
        <v>2441161.9168199999</v>
      </c>
      <c r="P48" s="70">
        <v>746278.19002999971</v>
      </c>
      <c r="Q48" s="73">
        <v>7348240.5033599967</v>
      </c>
    </row>
    <row r="49" spans="2:17" ht="18" customHeight="1" x14ac:dyDescent="0.35">
      <c r="B49" s="67" t="s">
        <v>108</v>
      </c>
      <c r="C49" s="70">
        <v>1051.564786377472</v>
      </c>
      <c r="D49" s="70">
        <v>391969.41526699992</v>
      </c>
      <c r="E49" s="70">
        <v>3702.5397863609928</v>
      </c>
      <c r="F49" s="70">
        <v>809693.47249727265</v>
      </c>
      <c r="G49" s="70">
        <v>5628.2501642868301</v>
      </c>
      <c r="H49" s="70">
        <v>122679.8101031421</v>
      </c>
      <c r="I49" s="70">
        <v>27402.192950408029</v>
      </c>
      <c r="J49" s="70">
        <v>95037.861760368905</v>
      </c>
      <c r="K49" s="70">
        <v>0</v>
      </c>
      <c r="L49" s="70">
        <v>599873.0988872567</v>
      </c>
      <c r="M49" s="70">
        <v>10833.196890018969</v>
      </c>
      <c r="N49" s="70">
        <v>123360.17687113849</v>
      </c>
      <c r="O49" s="70">
        <v>36229.436193198548</v>
      </c>
      <c r="P49" s="70">
        <v>197336.4524915668</v>
      </c>
      <c r="Q49" s="73">
        <v>2424797.468648396</v>
      </c>
    </row>
    <row r="50" spans="2:17" ht="18" customHeight="1" x14ac:dyDescent="0.35">
      <c r="B50" s="71" t="s">
        <v>24</v>
      </c>
      <c r="C50" s="72">
        <f t="shared" ref="C50:Q50" si="1">SUM(C45:C49)</f>
        <v>27040.982907577476</v>
      </c>
      <c r="D50" s="72">
        <f t="shared" si="1"/>
        <v>1140363.2539370002</v>
      </c>
      <c r="E50" s="72">
        <f t="shared" si="1"/>
        <v>348203.42723896098</v>
      </c>
      <c r="F50" s="72">
        <f t="shared" si="1"/>
        <v>5131082.8021046696</v>
      </c>
      <c r="G50" s="72">
        <f t="shared" si="1"/>
        <v>102227.75408368684</v>
      </c>
      <c r="H50" s="72">
        <f t="shared" si="1"/>
        <v>699583.13456194161</v>
      </c>
      <c r="I50" s="72">
        <f t="shared" si="1"/>
        <v>126407.74349310804</v>
      </c>
      <c r="J50" s="72">
        <f t="shared" si="1"/>
        <v>924157.66540826927</v>
      </c>
      <c r="K50" s="72">
        <f t="shared" si="1"/>
        <v>0</v>
      </c>
      <c r="L50" s="72">
        <f t="shared" si="1"/>
        <v>1034143.9005602563</v>
      </c>
      <c r="M50" s="72">
        <f t="shared" si="1"/>
        <v>101398.66687701897</v>
      </c>
      <c r="N50" s="72">
        <f t="shared" si="1"/>
        <v>139228.15984513849</v>
      </c>
      <c r="O50" s="72">
        <f t="shared" si="1"/>
        <v>4509425.2922031991</v>
      </c>
      <c r="P50" s="72">
        <f t="shared" si="1"/>
        <v>1519271.0921875664</v>
      </c>
      <c r="Q50" s="72">
        <f t="shared" si="1"/>
        <v>15802533.875408392</v>
      </c>
    </row>
    <row r="51" spans="2:17" ht="18" customHeight="1" x14ac:dyDescent="0.35">
      <c r="B51" s="298" t="s">
        <v>25</v>
      </c>
      <c r="C51" s="304"/>
      <c r="D51" s="304"/>
      <c r="E51" s="304"/>
      <c r="F51" s="304"/>
      <c r="G51" s="304"/>
      <c r="H51" s="304"/>
      <c r="I51" s="304"/>
      <c r="J51" s="304"/>
      <c r="K51" s="304"/>
      <c r="L51" s="304"/>
      <c r="M51" s="304"/>
      <c r="N51" s="304"/>
      <c r="O51" s="304"/>
      <c r="P51" s="304"/>
      <c r="Q51" s="304"/>
    </row>
  </sheetData>
  <sheetProtection algorithmName="SHA-512" hashValue="6Nr9WDTHQlzoFUKwbOqNxHR2Kfz4QULJv+6FJQmLD9gj6RUsJnf0MszpkR82UFsYaDmjQk4D/TliqrwpGsoLhQ==" saltValue="xIiUVR945KhLDbP+yucYlA==" spinCount="100000" sheet="1" objects="1" scenarios="1"/>
  <mergeCells count="4">
    <mergeCell ref="B51:Q51"/>
    <mergeCell ref="B5:Q5"/>
    <mergeCell ref="B3:Q3"/>
    <mergeCell ref="B44:Q44"/>
  </mergeCells>
  <pageMargins left="0.7" right="0.7" top="0.75" bottom="0.75" header="0.3" footer="0.3"/>
  <pageSetup scale="34"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tabColor rgb="FF92D050"/>
  </sheetPr>
  <dimension ref="B3:Q51"/>
  <sheetViews>
    <sheetView topLeftCell="O1" workbookViewId="0"/>
  </sheetViews>
  <sheetFormatPr defaultColWidth="9.453125" defaultRowHeight="15.5" x14ac:dyDescent="0.35"/>
  <cols>
    <col min="1" max="1" width="16.453125" style="76" customWidth="1"/>
    <col min="2" max="2" width="52.7265625" style="76" bestFit="1" customWidth="1"/>
    <col min="3" max="17" width="19.54296875" style="76" customWidth="1"/>
    <col min="18" max="18" width="21.54296875" style="76" customWidth="1"/>
    <col min="19" max="19" width="14.54296875" style="76" bestFit="1" customWidth="1"/>
    <col min="20" max="106" width="9.453125" style="76" customWidth="1"/>
    <col min="107" max="16384" width="9.453125" style="76"/>
  </cols>
  <sheetData>
    <row r="3" spans="2:17" ht="20" customHeight="1" x14ac:dyDescent="0.35">
      <c r="B3" s="336" t="str">
        <f>_xlfn.CONCAT('Table of Contents'!B33,": ",'Table of Contents'!C33)</f>
        <v>APPENDIX 21: SUMMARY OF CLAIMS INCURRED UNDER GENERAL INSURANCE BUSINESS FOR THE PERIOD ENDED 31.12.2025</v>
      </c>
      <c r="C3" s="269"/>
      <c r="D3" s="269"/>
      <c r="E3" s="269"/>
      <c r="F3" s="269"/>
      <c r="G3" s="269"/>
      <c r="H3" s="269"/>
      <c r="I3" s="269"/>
      <c r="J3" s="269"/>
      <c r="K3" s="269"/>
      <c r="L3" s="269"/>
      <c r="M3" s="269"/>
      <c r="N3" s="269"/>
      <c r="O3" s="269"/>
      <c r="P3" s="269"/>
      <c r="Q3" s="270"/>
    </row>
    <row r="4" spans="2:17" s="202" customFormat="1" ht="46.5" x14ac:dyDescent="0.35">
      <c r="B4" s="74" t="s">
        <v>0</v>
      </c>
      <c r="C4" s="74" t="s">
        <v>215</v>
      </c>
      <c r="D4" s="74" t="s">
        <v>216</v>
      </c>
      <c r="E4" s="74" t="s">
        <v>217</v>
      </c>
      <c r="F4" s="74" t="s">
        <v>218</v>
      </c>
      <c r="G4" s="74" t="s">
        <v>219</v>
      </c>
      <c r="H4" s="74" t="s">
        <v>220</v>
      </c>
      <c r="I4" s="74" t="s">
        <v>221</v>
      </c>
      <c r="J4" s="74" t="s">
        <v>222</v>
      </c>
      <c r="K4" s="74" t="s">
        <v>223</v>
      </c>
      <c r="L4" s="74" t="s">
        <v>224</v>
      </c>
      <c r="M4" s="74" t="s">
        <v>225</v>
      </c>
      <c r="N4" s="74" t="s">
        <v>226</v>
      </c>
      <c r="O4" s="74" t="s">
        <v>227</v>
      </c>
      <c r="P4" s="74" t="s">
        <v>228</v>
      </c>
      <c r="Q4" s="74" t="s">
        <v>229</v>
      </c>
    </row>
    <row r="5" spans="2:17" ht="20" customHeight="1" x14ac:dyDescent="0.35">
      <c r="B5" s="335" t="s">
        <v>17</v>
      </c>
      <c r="C5" s="269"/>
      <c r="D5" s="269"/>
      <c r="E5" s="269"/>
      <c r="F5" s="269"/>
      <c r="G5" s="269"/>
      <c r="H5" s="269"/>
      <c r="I5" s="269"/>
      <c r="J5" s="269"/>
      <c r="K5" s="269"/>
      <c r="L5" s="269"/>
      <c r="M5" s="269"/>
      <c r="N5" s="269"/>
      <c r="O5" s="269"/>
      <c r="P5" s="269"/>
      <c r="Q5" s="270"/>
    </row>
    <row r="6" spans="2:17" ht="20" customHeight="1" x14ac:dyDescent="0.35">
      <c r="B6" s="67" t="s">
        <v>66</v>
      </c>
      <c r="C6" s="68">
        <v>0</v>
      </c>
      <c r="D6" s="68">
        <v>3325.9075400936022</v>
      </c>
      <c r="E6" s="68">
        <v>417.85733403806171</v>
      </c>
      <c r="F6" s="68">
        <v>711.4380826097107</v>
      </c>
      <c r="G6" s="68">
        <v>12181.31535219911</v>
      </c>
      <c r="H6" s="68">
        <v>-787.01099999999997</v>
      </c>
      <c r="I6" s="68">
        <v>1537.46965383514</v>
      </c>
      <c r="J6" s="68">
        <v>0</v>
      </c>
      <c r="K6" s="68">
        <v>0</v>
      </c>
      <c r="L6" s="68">
        <v>-783.58136850023641</v>
      </c>
      <c r="M6" s="68">
        <v>11830.976104261619</v>
      </c>
      <c r="N6" s="68">
        <v>23221.21651084712</v>
      </c>
      <c r="O6" s="68">
        <v>6422406.6991373999</v>
      </c>
      <c r="P6" s="68">
        <v>7400.0128368429614</v>
      </c>
      <c r="Q6" s="69">
        <v>6481462.3001836259</v>
      </c>
    </row>
    <row r="7" spans="2:17" ht="20" customHeight="1" x14ac:dyDescent="0.35">
      <c r="B7" s="67" t="s">
        <v>67</v>
      </c>
      <c r="C7" s="68">
        <v>0</v>
      </c>
      <c r="D7" s="68">
        <v>56158.896258474073</v>
      </c>
      <c r="E7" s="68">
        <v>4741.6538307801166</v>
      </c>
      <c r="F7" s="68">
        <v>31043.327888891879</v>
      </c>
      <c r="G7" s="68">
        <v>10538.89920549891</v>
      </c>
      <c r="H7" s="68">
        <v>3843.2237400000108</v>
      </c>
      <c r="I7" s="68">
        <v>559694.51359034539</v>
      </c>
      <c r="J7" s="68">
        <v>-587359.68022919702</v>
      </c>
      <c r="K7" s="68">
        <v>2378445.8805619958</v>
      </c>
      <c r="L7" s="68">
        <v>31759.05951949977</v>
      </c>
      <c r="M7" s="68">
        <v>27735.29917424329</v>
      </c>
      <c r="N7" s="68">
        <v>25915.035891037031</v>
      </c>
      <c r="O7" s="68">
        <v>0</v>
      </c>
      <c r="P7" s="68">
        <v>84176.041023414946</v>
      </c>
      <c r="Q7" s="69">
        <v>2626692.150454985</v>
      </c>
    </row>
    <row r="8" spans="2:17" ht="20" customHeight="1" x14ac:dyDescent="0.35">
      <c r="B8" s="67" t="s">
        <v>68</v>
      </c>
      <c r="C8" s="70">
        <v>-4.0767370744990181</v>
      </c>
      <c r="D8" s="70">
        <v>80642.795025569023</v>
      </c>
      <c r="E8" s="70">
        <v>76962.995444659377</v>
      </c>
      <c r="F8" s="70">
        <v>104792.7372810469</v>
      </c>
      <c r="G8" s="70">
        <v>158766.25795647479</v>
      </c>
      <c r="H8" s="70">
        <v>133773.81318244181</v>
      </c>
      <c r="I8" s="70">
        <v>2437957.4306591982</v>
      </c>
      <c r="J8" s="70">
        <v>2257990.485580992</v>
      </c>
      <c r="K8" s="70">
        <v>0</v>
      </c>
      <c r="L8" s="70">
        <v>44756.238128821373</v>
      </c>
      <c r="M8" s="70">
        <v>112436.76339004211</v>
      </c>
      <c r="N8" s="70">
        <v>233290.86483485551</v>
      </c>
      <c r="O8" s="70">
        <v>3254111.084961839</v>
      </c>
      <c r="P8" s="70">
        <v>76754.93780381394</v>
      </c>
      <c r="Q8" s="69">
        <v>8972232.3275126796</v>
      </c>
    </row>
    <row r="9" spans="2:17" ht="20" customHeight="1" x14ac:dyDescent="0.35">
      <c r="B9" s="67" t="s">
        <v>69</v>
      </c>
      <c r="C9" s="70">
        <v>-267.29199999999997</v>
      </c>
      <c r="D9" s="70">
        <v>15486.46622497828</v>
      </c>
      <c r="E9" s="70">
        <v>22142.675977942079</v>
      </c>
      <c r="F9" s="70">
        <v>178974.0139802254</v>
      </c>
      <c r="G9" s="70">
        <v>53530.862999999998</v>
      </c>
      <c r="H9" s="70">
        <v>25406.951839759098</v>
      </c>
      <c r="I9" s="70">
        <v>937559.16797000007</v>
      </c>
      <c r="J9" s="70">
        <v>549677.6553499999</v>
      </c>
      <c r="K9" s="70">
        <v>0</v>
      </c>
      <c r="L9" s="70">
        <v>86295.474682276006</v>
      </c>
      <c r="M9" s="70">
        <v>33044.511083266763</v>
      </c>
      <c r="N9" s="70">
        <v>135550.7815419345</v>
      </c>
      <c r="O9" s="70">
        <v>4588833.3039299985</v>
      </c>
      <c r="P9" s="70">
        <v>572155.10648000007</v>
      </c>
      <c r="Q9" s="69">
        <v>7198389.6800603811</v>
      </c>
    </row>
    <row r="10" spans="2:17" ht="20" customHeight="1" x14ac:dyDescent="0.35">
      <c r="B10" s="67" t="s">
        <v>70</v>
      </c>
      <c r="C10" s="70">
        <v>0</v>
      </c>
      <c r="D10" s="70">
        <v>0</v>
      </c>
      <c r="E10" s="70">
        <v>0</v>
      </c>
      <c r="F10" s="70">
        <v>0</v>
      </c>
      <c r="G10" s="70">
        <v>0</v>
      </c>
      <c r="H10" s="70">
        <v>0</v>
      </c>
      <c r="I10" s="70">
        <v>0</v>
      </c>
      <c r="J10" s="70">
        <v>0</v>
      </c>
      <c r="K10" s="70">
        <v>0</v>
      </c>
      <c r="L10" s="70">
        <v>0</v>
      </c>
      <c r="M10" s="70">
        <v>0</v>
      </c>
      <c r="N10" s="70">
        <v>0</v>
      </c>
      <c r="O10" s="70">
        <v>108469.76300000001</v>
      </c>
      <c r="P10" s="70">
        <v>0</v>
      </c>
      <c r="Q10" s="69">
        <v>108469.76300000001</v>
      </c>
    </row>
    <row r="11" spans="2:17" ht="20" customHeight="1" x14ac:dyDescent="0.35">
      <c r="B11" s="67" t="s">
        <v>71</v>
      </c>
      <c r="C11" s="70">
        <v>0</v>
      </c>
      <c r="D11" s="70">
        <v>1697.1766764827521</v>
      </c>
      <c r="E11" s="70">
        <v>13140.58873792697</v>
      </c>
      <c r="F11" s="70">
        <v>7922.2057135648429</v>
      </c>
      <c r="G11" s="70">
        <v>18985.507442277751</v>
      </c>
      <c r="H11" s="70">
        <v>8075.2760597854931</v>
      </c>
      <c r="I11" s="70">
        <v>1243279.8825883321</v>
      </c>
      <c r="J11" s="70">
        <v>277779.99452870898</v>
      </c>
      <c r="K11" s="70">
        <v>0</v>
      </c>
      <c r="L11" s="70">
        <v>1476.166080345025</v>
      </c>
      <c r="M11" s="70">
        <v>9251.7591050316041</v>
      </c>
      <c r="N11" s="70">
        <v>38312.394128759057</v>
      </c>
      <c r="O11" s="70">
        <v>0</v>
      </c>
      <c r="P11" s="70">
        <v>403.92418981597581</v>
      </c>
      <c r="Q11" s="69">
        <v>1620324.875251031</v>
      </c>
    </row>
    <row r="12" spans="2:17" ht="20" customHeight="1" x14ac:dyDescent="0.35">
      <c r="B12" s="67" t="s">
        <v>72</v>
      </c>
      <c r="C12" s="70">
        <v>0</v>
      </c>
      <c r="D12" s="70">
        <v>19049.08360999998</v>
      </c>
      <c r="E12" s="70">
        <v>34329.315940000008</v>
      </c>
      <c r="F12" s="70">
        <v>103609.8234699999</v>
      </c>
      <c r="G12" s="70">
        <v>79656.621930000008</v>
      </c>
      <c r="H12" s="70">
        <v>-26333.348569999998</v>
      </c>
      <c r="I12" s="70">
        <v>2595873.39549</v>
      </c>
      <c r="J12" s="70">
        <v>2112554.4660399999</v>
      </c>
      <c r="K12" s="70">
        <v>0</v>
      </c>
      <c r="L12" s="70">
        <v>46595.571810000023</v>
      </c>
      <c r="M12" s="70">
        <v>17975.08211999997</v>
      </c>
      <c r="N12" s="70">
        <v>67997.988020000033</v>
      </c>
      <c r="O12" s="70">
        <v>7067258.5938800015</v>
      </c>
      <c r="P12" s="70">
        <v>43399.965120000008</v>
      </c>
      <c r="Q12" s="69">
        <v>12161966.55886</v>
      </c>
    </row>
    <row r="13" spans="2:17" ht="20"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69">
        <v>0</v>
      </c>
    </row>
    <row r="14" spans="2:17" ht="20" customHeight="1" x14ac:dyDescent="0.35">
      <c r="B14" s="67" t="s">
        <v>74</v>
      </c>
      <c r="C14" s="70">
        <v>0</v>
      </c>
      <c r="D14" s="70">
        <v>0</v>
      </c>
      <c r="E14" s="70">
        <v>0</v>
      </c>
      <c r="F14" s="70">
        <v>0</v>
      </c>
      <c r="G14" s="70">
        <v>0</v>
      </c>
      <c r="H14" s="70">
        <v>0</v>
      </c>
      <c r="I14" s="70">
        <v>55532.413</v>
      </c>
      <c r="J14" s="70">
        <v>9899.6669999999995</v>
      </c>
      <c r="K14" s="70">
        <v>165427.22200000001</v>
      </c>
      <c r="L14" s="70">
        <v>0</v>
      </c>
      <c r="M14" s="70">
        <v>0</v>
      </c>
      <c r="N14" s="70">
        <v>0</v>
      </c>
      <c r="O14" s="70">
        <v>0</v>
      </c>
      <c r="P14" s="70">
        <v>88</v>
      </c>
      <c r="Q14" s="69">
        <v>230947.302</v>
      </c>
    </row>
    <row r="15" spans="2:17" ht="20" customHeight="1" x14ac:dyDescent="0.35">
      <c r="B15" s="67" t="s">
        <v>75</v>
      </c>
      <c r="C15" s="70">
        <v>0</v>
      </c>
      <c r="D15" s="70">
        <v>0</v>
      </c>
      <c r="E15" s="70">
        <v>3245.6913599999998</v>
      </c>
      <c r="F15" s="70">
        <v>287.50799999999998</v>
      </c>
      <c r="G15" s="70">
        <v>-8500</v>
      </c>
      <c r="H15" s="70">
        <v>0</v>
      </c>
      <c r="I15" s="70">
        <v>471183.21456754592</v>
      </c>
      <c r="J15" s="70">
        <v>126403.2362865125</v>
      </c>
      <c r="K15" s="70">
        <v>1662291.782503265</v>
      </c>
      <c r="L15" s="70">
        <v>0</v>
      </c>
      <c r="M15" s="70">
        <v>0</v>
      </c>
      <c r="N15" s="70">
        <v>-200</v>
      </c>
      <c r="O15" s="70">
        <v>0</v>
      </c>
      <c r="P15" s="70">
        <v>-478.49310000038139</v>
      </c>
      <c r="Q15" s="69">
        <v>2254232.9396173232</v>
      </c>
    </row>
    <row r="16" spans="2:17" ht="20" customHeight="1" x14ac:dyDescent="0.35">
      <c r="B16" s="67" t="s">
        <v>76</v>
      </c>
      <c r="C16" s="70">
        <v>0</v>
      </c>
      <c r="D16" s="70">
        <v>0</v>
      </c>
      <c r="E16" s="70">
        <v>0</v>
      </c>
      <c r="F16" s="70">
        <v>0</v>
      </c>
      <c r="G16" s="70">
        <v>10</v>
      </c>
      <c r="H16" s="70">
        <v>0</v>
      </c>
      <c r="I16" s="70">
        <v>0</v>
      </c>
      <c r="J16" s="70">
        <v>0</v>
      </c>
      <c r="K16" s="70">
        <v>0</v>
      </c>
      <c r="L16" s="70">
        <v>0</v>
      </c>
      <c r="M16" s="70">
        <v>22268.289000000001</v>
      </c>
      <c r="N16" s="70">
        <v>250</v>
      </c>
      <c r="O16" s="70">
        <v>710592.50498209987</v>
      </c>
      <c r="P16" s="70">
        <v>0</v>
      </c>
      <c r="Q16" s="69">
        <v>733120.79398209986</v>
      </c>
    </row>
    <row r="17" spans="2:17" ht="20" customHeight="1" x14ac:dyDescent="0.35">
      <c r="B17" s="67" t="s">
        <v>77</v>
      </c>
      <c r="C17" s="70">
        <v>0</v>
      </c>
      <c r="D17" s="70">
        <v>0</v>
      </c>
      <c r="E17" s="70">
        <v>0</v>
      </c>
      <c r="F17" s="70">
        <v>0</v>
      </c>
      <c r="G17" s="70">
        <v>0</v>
      </c>
      <c r="H17" s="70">
        <v>0</v>
      </c>
      <c r="I17" s="70">
        <v>0</v>
      </c>
      <c r="J17" s="70">
        <v>0</v>
      </c>
      <c r="K17" s="70">
        <v>0</v>
      </c>
      <c r="L17" s="70">
        <v>0</v>
      </c>
      <c r="M17" s="70">
        <v>0</v>
      </c>
      <c r="N17" s="70">
        <v>0</v>
      </c>
      <c r="O17" s="70">
        <v>2999.73</v>
      </c>
      <c r="P17" s="70">
        <v>0</v>
      </c>
      <c r="Q17" s="69">
        <v>2999.73</v>
      </c>
    </row>
    <row r="18" spans="2:17" ht="20" customHeight="1" x14ac:dyDescent="0.35">
      <c r="B18" s="67" t="s">
        <v>78</v>
      </c>
      <c r="C18" s="70">
        <v>0</v>
      </c>
      <c r="D18" s="70">
        <v>-3982.9090000000001</v>
      </c>
      <c r="E18" s="70">
        <v>6249.3919999999998</v>
      </c>
      <c r="F18" s="70">
        <v>12615.41325</v>
      </c>
      <c r="G18" s="70">
        <v>99509.144</v>
      </c>
      <c r="H18" s="70">
        <v>46991.635000000002</v>
      </c>
      <c r="I18" s="70">
        <v>1048465.57215</v>
      </c>
      <c r="J18" s="70">
        <v>758499.12699999998</v>
      </c>
      <c r="K18" s="70">
        <v>10508.674999999999</v>
      </c>
      <c r="L18" s="70">
        <v>2680.5680000000002</v>
      </c>
      <c r="M18" s="70">
        <v>23405.754000000001</v>
      </c>
      <c r="N18" s="70">
        <v>181299.929</v>
      </c>
      <c r="O18" s="70">
        <v>103853.226</v>
      </c>
      <c r="P18" s="70">
        <v>-31771.742880000002</v>
      </c>
      <c r="Q18" s="69">
        <v>2258323.7835200001</v>
      </c>
    </row>
    <row r="19" spans="2:17" ht="20" customHeight="1" x14ac:dyDescent="0.35">
      <c r="B19" s="67" t="s">
        <v>79</v>
      </c>
      <c r="C19" s="70">
        <v>0</v>
      </c>
      <c r="D19" s="70">
        <v>3165.107699999995</v>
      </c>
      <c r="E19" s="70">
        <v>12529.865589999999</v>
      </c>
      <c r="F19" s="70">
        <v>-1867.936379999906</v>
      </c>
      <c r="G19" s="70">
        <v>23523.169330000001</v>
      </c>
      <c r="H19" s="70">
        <v>49534.824330000003</v>
      </c>
      <c r="I19" s="70">
        <v>475157.4679799999</v>
      </c>
      <c r="J19" s="70">
        <v>627698.57990000013</v>
      </c>
      <c r="K19" s="70">
        <v>0</v>
      </c>
      <c r="L19" s="70">
        <v>35819.360700000027</v>
      </c>
      <c r="M19" s="70">
        <v>51659.503400000009</v>
      </c>
      <c r="N19" s="70">
        <v>27170.391</v>
      </c>
      <c r="O19" s="70">
        <v>1535381.3187500001</v>
      </c>
      <c r="P19" s="70">
        <v>206.40212000000099</v>
      </c>
      <c r="Q19" s="69">
        <v>2839978.0544199999</v>
      </c>
    </row>
    <row r="20" spans="2:17" ht="20" customHeight="1" x14ac:dyDescent="0.35">
      <c r="B20" s="67" t="s">
        <v>80</v>
      </c>
      <c r="C20" s="70">
        <v>2045.422</v>
      </c>
      <c r="D20" s="70">
        <v>55850.49278</v>
      </c>
      <c r="E20" s="70">
        <v>76468.600985500001</v>
      </c>
      <c r="F20" s="70">
        <v>116814.8634035</v>
      </c>
      <c r="G20" s="70">
        <v>86712.847696000012</v>
      </c>
      <c r="H20" s="70">
        <v>79662.397182000015</v>
      </c>
      <c r="I20" s="70">
        <v>1353863.3030000001</v>
      </c>
      <c r="J20" s="70">
        <v>1038515.501</v>
      </c>
      <c r="K20" s="70">
        <v>377675.22200000001</v>
      </c>
      <c r="L20" s="70">
        <v>19908.21</v>
      </c>
      <c r="M20" s="70">
        <v>315240.57199999999</v>
      </c>
      <c r="N20" s="70">
        <v>467313.13</v>
      </c>
      <c r="O20" s="70">
        <v>1620400.476</v>
      </c>
      <c r="P20" s="70">
        <v>3713.9960000000001</v>
      </c>
      <c r="Q20" s="69">
        <v>5614185.0340470001</v>
      </c>
    </row>
    <row r="21" spans="2:17" ht="20" customHeight="1" x14ac:dyDescent="0.35">
      <c r="B21" s="67" t="s">
        <v>81</v>
      </c>
      <c r="C21" s="70">
        <v>169.93</v>
      </c>
      <c r="D21" s="70">
        <v>51791.404999999999</v>
      </c>
      <c r="E21" s="70">
        <v>30196.698</v>
      </c>
      <c r="F21" s="70">
        <v>47908.093000000001</v>
      </c>
      <c r="G21" s="70">
        <v>55139.597999999998</v>
      </c>
      <c r="H21" s="70">
        <v>82357.629000000001</v>
      </c>
      <c r="I21" s="70">
        <v>1011903.912</v>
      </c>
      <c r="J21" s="70">
        <v>1240189.6299999999</v>
      </c>
      <c r="K21" s="70">
        <v>0</v>
      </c>
      <c r="L21" s="70">
        <v>24440.255000000001</v>
      </c>
      <c r="M21" s="70">
        <v>24817.875</v>
      </c>
      <c r="N21" s="70">
        <v>423769.20799999998</v>
      </c>
      <c r="O21" s="70">
        <v>0</v>
      </c>
      <c r="P21" s="70">
        <v>8648.5589999999993</v>
      </c>
      <c r="Q21" s="69">
        <v>3001332.7919999999</v>
      </c>
    </row>
    <row r="22" spans="2:17" ht="20" customHeight="1" x14ac:dyDescent="0.35">
      <c r="B22" s="67" t="s">
        <v>82</v>
      </c>
      <c r="C22" s="70">
        <v>10787.378000000001</v>
      </c>
      <c r="D22" s="70">
        <v>25545.91</v>
      </c>
      <c r="E22" s="70">
        <v>9583.0210000000006</v>
      </c>
      <c r="F22" s="70">
        <v>53147.858999999997</v>
      </c>
      <c r="G22" s="70">
        <v>29591.584999999999</v>
      </c>
      <c r="H22" s="70">
        <v>37306.159</v>
      </c>
      <c r="I22" s="70">
        <v>1444943.476</v>
      </c>
      <c r="J22" s="70">
        <v>314696.609</v>
      </c>
      <c r="K22" s="70">
        <v>0</v>
      </c>
      <c r="L22" s="70">
        <v>88144.493000000002</v>
      </c>
      <c r="M22" s="70">
        <v>72887.903999999995</v>
      </c>
      <c r="N22" s="70">
        <v>111096.603</v>
      </c>
      <c r="O22" s="70">
        <v>160701.93799999999</v>
      </c>
      <c r="P22" s="70">
        <v>2876.5619999999999</v>
      </c>
      <c r="Q22" s="69">
        <v>2361309.497</v>
      </c>
    </row>
    <row r="23" spans="2:17" ht="20" customHeight="1" x14ac:dyDescent="0.35">
      <c r="B23" s="67" t="s">
        <v>83</v>
      </c>
      <c r="C23" s="70">
        <v>0</v>
      </c>
      <c r="D23" s="70">
        <v>-9932.1409999999996</v>
      </c>
      <c r="E23" s="70">
        <v>-6294.0879999999997</v>
      </c>
      <c r="F23" s="70">
        <v>5598.7330000000002</v>
      </c>
      <c r="G23" s="70">
        <v>11680.663</v>
      </c>
      <c r="H23" s="70">
        <v>15625.697</v>
      </c>
      <c r="I23" s="70">
        <v>663791.05099999998</v>
      </c>
      <c r="J23" s="70">
        <v>256774.80900000001</v>
      </c>
      <c r="K23" s="70">
        <v>0</v>
      </c>
      <c r="L23" s="70">
        <v>-404.11</v>
      </c>
      <c r="M23" s="70">
        <v>48571.252999999997</v>
      </c>
      <c r="N23" s="70">
        <v>10041.016</v>
      </c>
      <c r="O23" s="70">
        <v>0</v>
      </c>
      <c r="P23" s="70">
        <v>-4075.337</v>
      </c>
      <c r="Q23" s="69">
        <v>991377.54599999997</v>
      </c>
    </row>
    <row r="24" spans="2:17" ht="20" customHeight="1" x14ac:dyDescent="0.35">
      <c r="B24" s="67" t="s">
        <v>84</v>
      </c>
      <c r="C24" s="70">
        <v>0</v>
      </c>
      <c r="D24" s="70">
        <v>0</v>
      </c>
      <c r="E24" s="70">
        <v>0</v>
      </c>
      <c r="F24" s="70">
        <v>0</v>
      </c>
      <c r="G24" s="70">
        <v>0</v>
      </c>
      <c r="H24" s="70">
        <v>0</v>
      </c>
      <c r="I24" s="70">
        <v>0</v>
      </c>
      <c r="J24" s="70">
        <v>0</v>
      </c>
      <c r="K24" s="70">
        <v>0</v>
      </c>
      <c r="L24" s="70">
        <v>0</v>
      </c>
      <c r="M24" s="70">
        <v>0</v>
      </c>
      <c r="N24" s="70">
        <v>0</v>
      </c>
      <c r="O24" s="70">
        <v>13613006.617000001</v>
      </c>
      <c r="P24" s="70">
        <v>0</v>
      </c>
      <c r="Q24" s="69">
        <v>13613006.617000001</v>
      </c>
    </row>
    <row r="25" spans="2:17" ht="20" customHeight="1" x14ac:dyDescent="0.35">
      <c r="B25" s="67" t="s">
        <v>85</v>
      </c>
      <c r="C25" s="70">
        <v>0</v>
      </c>
      <c r="D25" s="70">
        <v>19114.644</v>
      </c>
      <c r="E25" s="70">
        <v>-877.66499999999996</v>
      </c>
      <c r="F25" s="70">
        <v>76101.831999999995</v>
      </c>
      <c r="G25" s="70">
        <v>21358.205999999998</v>
      </c>
      <c r="H25" s="70">
        <v>-165.62700000000001</v>
      </c>
      <c r="I25" s="70">
        <v>539446.04700000002</v>
      </c>
      <c r="J25" s="70">
        <v>273818.26199999999</v>
      </c>
      <c r="K25" s="70">
        <v>0</v>
      </c>
      <c r="L25" s="70">
        <v>-1482.432</v>
      </c>
      <c r="M25" s="70">
        <v>50242.324999999997</v>
      </c>
      <c r="N25" s="70">
        <v>86051.554000000004</v>
      </c>
      <c r="O25" s="70">
        <v>28982.780999999999</v>
      </c>
      <c r="P25" s="70">
        <v>514.40599999999995</v>
      </c>
      <c r="Q25" s="69">
        <v>1093104.3330000001</v>
      </c>
    </row>
    <row r="26" spans="2:17" ht="20" customHeight="1" x14ac:dyDescent="0.35">
      <c r="B26" s="67" t="s">
        <v>86</v>
      </c>
      <c r="C26" s="70">
        <v>0</v>
      </c>
      <c r="D26" s="70">
        <v>-24669.022812409319</v>
      </c>
      <c r="E26" s="70">
        <v>6226.5656557500524</v>
      </c>
      <c r="F26" s="70">
        <v>7481.8814565868379</v>
      </c>
      <c r="G26" s="70">
        <v>-2532.0754691980669</v>
      </c>
      <c r="H26" s="70">
        <v>-2389.697140142096</v>
      </c>
      <c r="I26" s="70">
        <v>143763.3655836306</v>
      </c>
      <c r="J26" s="70">
        <v>36849.402476545692</v>
      </c>
      <c r="K26" s="70">
        <v>43827.093999999997</v>
      </c>
      <c r="L26" s="70">
        <v>4291.5813149369887</v>
      </c>
      <c r="M26" s="70">
        <v>-6496.3221462339388</v>
      </c>
      <c r="N26" s="70">
        <v>5124.7086972264196</v>
      </c>
      <c r="O26" s="70">
        <v>0</v>
      </c>
      <c r="P26" s="70">
        <v>123895.54978996811</v>
      </c>
      <c r="Q26" s="69">
        <v>335373.0314066612</v>
      </c>
    </row>
    <row r="27" spans="2:17" ht="20" customHeight="1" x14ac:dyDescent="0.35">
      <c r="B27" s="67" t="s">
        <v>87</v>
      </c>
      <c r="C27" s="70">
        <v>0</v>
      </c>
      <c r="D27" s="70">
        <v>14425.953509249701</v>
      </c>
      <c r="E27" s="70">
        <v>6591.2074018661733</v>
      </c>
      <c r="F27" s="70">
        <v>36484.41887531559</v>
      </c>
      <c r="G27" s="70">
        <v>103427.6664039976</v>
      </c>
      <c r="H27" s="70">
        <v>8788.0347957359954</v>
      </c>
      <c r="I27" s="70">
        <v>456907.99233632261</v>
      </c>
      <c r="J27" s="70">
        <v>2689912.9473707019</v>
      </c>
      <c r="K27" s="70">
        <v>0</v>
      </c>
      <c r="L27" s="70">
        <v>7838.205634745872</v>
      </c>
      <c r="M27" s="70">
        <v>10280.58582082748</v>
      </c>
      <c r="N27" s="70">
        <v>90888.437234488272</v>
      </c>
      <c r="O27" s="70">
        <v>1759831.5507906419</v>
      </c>
      <c r="P27" s="70">
        <v>31619.55755269459</v>
      </c>
      <c r="Q27" s="69">
        <v>5216996.5577265881</v>
      </c>
    </row>
    <row r="28" spans="2:17" ht="20" customHeight="1" x14ac:dyDescent="0.35">
      <c r="B28" s="67" t="s">
        <v>88</v>
      </c>
      <c r="C28" s="70">
        <v>1169.4881230350959</v>
      </c>
      <c r="D28" s="70">
        <v>130274.03005061721</v>
      </c>
      <c r="E28" s="70">
        <v>-5469.0775295128824</v>
      </c>
      <c r="F28" s="70">
        <v>153595.0167542827</v>
      </c>
      <c r="G28" s="70">
        <v>43808.783639790578</v>
      </c>
      <c r="H28" s="70">
        <v>138272.28947242579</v>
      </c>
      <c r="I28" s="70">
        <v>380443.32849546807</v>
      </c>
      <c r="J28" s="70">
        <v>467038.00772265223</v>
      </c>
      <c r="K28" s="70">
        <v>0</v>
      </c>
      <c r="L28" s="70">
        <v>6383.4590642000576</v>
      </c>
      <c r="M28" s="70">
        <v>50350.747210756177</v>
      </c>
      <c r="N28" s="70">
        <v>494871.37291791971</v>
      </c>
      <c r="O28" s="70">
        <v>0</v>
      </c>
      <c r="P28" s="70">
        <v>112807.5280982972</v>
      </c>
      <c r="Q28" s="69">
        <v>1973544.9740199321</v>
      </c>
    </row>
    <row r="29" spans="2:17" ht="20" customHeight="1" x14ac:dyDescent="0.35">
      <c r="B29" s="67" t="s">
        <v>89</v>
      </c>
      <c r="C29" s="70">
        <v>2055.7463689831789</v>
      </c>
      <c r="D29" s="70">
        <v>3530.8114085501788</v>
      </c>
      <c r="E29" s="70">
        <v>21935.990242549171</v>
      </c>
      <c r="F29" s="70">
        <v>2340.361561996453</v>
      </c>
      <c r="G29" s="70">
        <v>9995.7544151976999</v>
      </c>
      <c r="H29" s="70">
        <v>1984.2726935257019</v>
      </c>
      <c r="I29" s="70">
        <v>191495.21685192359</v>
      </c>
      <c r="J29" s="70">
        <v>92639.90100399626</v>
      </c>
      <c r="K29" s="70">
        <v>0</v>
      </c>
      <c r="L29" s="70">
        <v>7337.5821625593062</v>
      </c>
      <c r="M29" s="70">
        <v>1296.483115514189</v>
      </c>
      <c r="N29" s="70">
        <v>31268.969103358031</v>
      </c>
      <c r="O29" s="70">
        <v>493013.701</v>
      </c>
      <c r="P29" s="70">
        <v>-26559.966033083831</v>
      </c>
      <c r="Q29" s="69">
        <v>832334.82389507</v>
      </c>
    </row>
    <row r="30" spans="2:17" ht="20" customHeight="1" x14ac:dyDescent="0.35">
      <c r="B30" s="67" t="s">
        <v>90</v>
      </c>
      <c r="C30" s="70">
        <v>0</v>
      </c>
      <c r="D30" s="70">
        <v>439.62944156217583</v>
      </c>
      <c r="E30" s="70">
        <v>33427.422312680203</v>
      </c>
      <c r="F30" s="70">
        <v>59963.089137580631</v>
      </c>
      <c r="G30" s="70">
        <v>20487.254872777339</v>
      </c>
      <c r="H30" s="70">
        <v>3923.1776226578281</v>
      </c>
      <c r="I30" s="70">
        <v>416716.52120856149</v>
      </c>
      <c r="J30" s="70">
        <v>62291.412459125197</v>
      </c>
      <c r="K30" s="70">
        <v>0</v>
      </c>
      <c r="L30" s="70">
        <v>-1099.667290626109</v>
      </c>
      <c r="M30" s="70">
        <v>-5226.9169702922482</v>
      </c>
      <c r="N30" s="70">
        <v>56747.30690753497</v>
      </c>
      <c r="O30" s="70">
        <v>0</v>
      </c>
      <c r="P30" s="70">
        <v>0</v>
      </c>
      <c r="Q30" s="69">
        <v>647669.2297015615</v>
      </c>
    </row>
    <row r="31" spans="2:17" ht="20" customHeight="1" x14ac:dyDescent="0.35">
      <c r="B31" s="67" t="s">
        <v>91</v>
      </c>
      <c r="C31" s="70">
        <v>0</v>
      </c>
      <c r="D31" s="70">
        <v>96387.619913274684</v>
      </c>
      <c r="E31" s="70">
        <v>21090.87703316853</v>
      </c>
      <c r="F31" s="70">
        <v>-44724.821336543959</v>
      </c>
      <c r="G31" s="70">
        <v>5089.971232138184</v>
      </c>
      <c r="H31" s="70">
        <v>12317.6591413078</v>
      </c>
      <c r="I31" s="70">
        <v>82451.521919396342</v>
      </c>
      <c r="J31" s="70">
        <v>15034.942325477899</v>
      </c>
      <c r="K31" s="70">
        <v>0</v>
      </c>
      <c r="L31" s="70">
        <v>32626.89063764716</v>
      </c>
      <c r="M31" s="70">
        <v>9221.5480535182887</v>
      </c>
      <c r="N31" s="70">
        <v>99026.99240977435</v>
      </c>
      <c r="O31" s="70">
        <v>0</v>
      </c>
      <c r="P31" s="70">
        <v>13428.5359058019</v>
      </c>
      <c r="Q31" s="69">
        <v>341951.73723496118</v>
      </c>
    </row>
    <row r="32" spans="2:17" ht="20" customHeight="1" x14ac:dyDescent="0.35">
      <c r="B32" s="67" t="s">
        <v>92</v>
      </c>
      <c r="C32" s="70">
        <v>598.88786180016393</v>
      </c>
      <c r="D32" s="70">
        <v>32082.967080724429</v>
      </c>
      <c r="E32" s="70">
        <v>13016.222628513849</v>
      </c>
      <c r="F32" s="70">
        <v>49870.59070173958</v>
      </c>
      <c r="G32" s="70">
        <v>-8415.9500182083702</v>
      </c>
      <c r="H32" s="70">
        <v>20211.458975833859</v>
      </c>
      <c r="I32" s="70">
        <v>982333.38576133805</v>
      </c>
      <c r="J32" s="70">
        <v>901836.37705462193</v>
      </c>
      <c r="K32" s="70">
        <v>0</v>
      </c>
      <c r="L32" s="70">
        <v>2602.1989778950442</v>
      </c>
      <c r="M32" s="70">
        <v>59865.583110372871</v>
      </c>
      <c r="N32" s="70">
        <v>117495.7159849594</v>
      </c>
      <c r="O32" s="70">
        <v>8329409.7760529378</v>
      </c>
      <c r="P32" s="70">
        <v>5687.7666199671439</v>
      </c>
      <c r="Q32" s="69">
        <v>10506594.980792491</v>
      </c>
    </row>
    <row r="33" spans="2:17" ht="20" customHeight="1" x14ac:dyDescent="0.35">
      <c r="B33" s="67" t="s">
        <v>93</v>
      </c>
      <c r="C33" s="70">
        <v>0</v>
      </c>
      <c r="D33" s="70">
        <v>21961.891</v>
      </c>
      <c r="E33" s="70">
        <v>3913.4789999999998</v>
      </c>
      <c r="F33" s="70">
        <v>17399.312000000002</v>
      </c>
      <c r="G33" s="70">
        <v>36620.43</v>
      </c>
      <c r="H33" s="70">
        <v>1012.39</v>
      </c>
      <c r="I33" s="70">
        <v>312885.51</v>
      </c>
      <c r="J33" s="70">
        <v>361216.34600000002</v>
      </c>
      <c r="K33" s="70">
        <v>0</v>
      </c>
      <c r="L33" s="70">
        <v>6182.6530000000002</v>
      </c>
      <c r="M33" s="70">
        <v>-1453.9780000000001</v>
      </c>
      <c r="N33" s="70">
        <v>33447.232000000004</v>
      </c>
      <c r="O33" s="70">
        <v>770883.30700000003</v>
      </c>
      <c r="P33" s="70">
        <v>-13.342000000000001</v>
      </c>
      <c r="Q33" s="69">
        <v>1564055.23</v>
      </c>
    </row>
    <row r="34" spans="2:17" ht="20" customHeight="1" x14ac:dyDescent="0.35">
      <c r="B34" s="67" t="s">
        <v>94</v>
      </c>
      <c r="C34" s="70">
        <v>0</v>
      </c>
      <c r="D34" s="70">
        <v>-313.887</v>
      </c>
      <c r="E34" s="70">
        <v>-160.69800000000001</v>
      </c>
      <c r="F34" s="70">
        <v>-63562.003943543037</v>
      </c>
      <c r="G34" s="70">
        <v>18240.336586712201</v>
      </c>
      <c r="H34" s="70">
        <v>3420.8049999999998</v>
      </c>
      <c r="I34" s="70">
        <v>816891.08257642365</v>
      </c>
      <c r="J34" s="70">
        <v>636592.28942357632</v>
      </c>
      <c r="K34" s="70">
        <v>0</v>
      </c>
      <c r="L34" s="70">
        <v>7877.84942248885</v>
      </c>
      <c r="M34" s="70">
        <v>10544.775</v>
      </c>
      <c r="N34" s="70">
        <v>96669.836934341991</v>
      </c>
      <c r="O34" s="70">
        <v>0</v>
      </c>
      <c r="P34" s="70">
        <v>-201.40700000000001</v>
      </c>
      <c r="Q34" s="69">
        <v>1525998.9790000001</v>
      </c>
    </row>
    <row r="35" spans="2:17" ht="20" customHeight="1" x14ac:dyDescent="0.35">
      <c r="B35" s="67" t="s">
        <v>95</v>
      </c>
      <c r="C35" s="70">
        <v>0</v>
      </c>
      <c r="D35" s="70">
        <v>21896.695</v>
      </c>
      <c r="E35" s="70">
        <v>109698.674</v>
      </c>
      <c r="F35" s="70">
        <v>203547.63</v>
      </c>
      <c r="G35" s="70">
        <v>93207.031000000003</v>
      </c>
      <c r="H35" s="70">
        <v>32888.678</v>
      </c>
      <c r="I35" s="70">
        <v>1430659.405</v>
      </c>
      <c r="J35" s="70">
        <v>852846.68900000001</v>
      </c>
      <c r="K35" s="70">
        <v>92043.619000000006</v>
      </c>
      <c r="L35" s="70">
        <v>28687.232</v>
      </c>
      <c r="M35" s="70">
        <v>15703.321</v>
      </c>
      <c r="N35" s="70">
        <v>-51986.017999999996</v>
      </c>
      <c r="O35" s="70">
        <v>9861.7729999999992</v>
      </c>
      <c r="P35" s="70">
        <v>46197.389000000003</v>
      </c>
      <c r="Q35" s="69">
        <v>2885252.1179999998</v>
      </c>
    </row>
    <row r="36" spans="2:17" ht="20" customHeight="1" x14ac:dyDescent="0.35">
      <c r="B36" s="67" t="s">
        <v>96</v>
      </c>
      <c r="C36" s="70">
        <v>0</v>
      </c>
      <c r="D36" s="70">
        <v>-2667.3206484993079</v>
      </c>
      <c r="E36" s="70">
        <v>0</v>
      </c>
      <c r="F36" s="70">
        <v>-297.58139999999997</v>
      </c>
      <c r="G36" s="70">
        <v>0</v>
      </c>
      <c r="H36" s="70">
        <v>0</v>
      </c>
      <c r="I36" s="70">
        <v>57388.218419999983</v>
      </c>
      <c r="J36" s="70">
        <v>5155.4806000000017</v>
      </c>
      <c r="K36" s="70">
        <v>0</v>
      </c>
      <c r="L36" s="70">
        <v>-95.46774999999954</v>
      </c>
      <c r="M36" s="70">
        <v>145532.85991</v>
      </c>
      <c r="N36" s="70">
        <v>-346.70413999999852</v>
      </c>
      <c r="O36" s="70">
        <v>1541887.66496</v>
      </c>
      <c r="P36" s="70">
        <v>-120</v>
      </c>
      <c r="Q36" s="69">
        <v>1746437.1499515011</v>
      </c>
    </row>
    <row r="37" spans="2:17" ht="20" customHeight="1" x14ac:dyDescent="0.35">
      <c r="B37" s="67" t="s">
        <v>97</v>
      </c>
      <c r="C37" s="70">
        <v>0</v>
      </c>
      <c r="D37" s="70">
        <v>272.80120244915781</v>
      </c>
      <c r="E37" s="70">
        <v>626.91914622879642</v>
      </c>
      <c r="F37" s="70">
        <v>-16134.169222934741</v>
      </c>
      <c r="G37" s="70">
        <v>8909.6652570154893</v>
      </c>
      <c r="H37" s="70">
        <v>1822.9392272463799</v>
      </c>
      <c r="I37" s="70">
        <v>287303.55956143251</v>
      </c>
      <c r="J37" s="70">
        <v>271811.50823105342</v>
      </c>
      <c r="K37" s="70">
        <v>0</v>
      </c>
      <c r="L37" s="70">
        <v>4676.5781273205284</v>
      </c>
      <c r="M37" s="70">
        <v>7956.3872244748118</v>
      </c>
      <c r="N37" s="70">
        <v>10541.438755288709</v>
      </c>
      <c r="O37" s="70">
        <v>13507.5920505748</v>
      </c>
      <c r="P37" s="70">
        <v>-2152.6768793650022</v>
      </c>
      <c r="Q37" s="69">
        <v>589142.54268078494</v>
      </c>
    </row>
    <row r="38" spans="2:17" ht="20" customHeight="1" x14ac:dyDescent="0.35">
      <c r="B38" s="67" t="s">
        <v>98</v>
      </c>
      <c r="C38" s="70">
        <v>0</v>
      </c>
      <c r="D38" s="70">
        <v>12668.929002538611</v>
      </c>
      <c r="E38" s="70">
        <v>7071.9080686602447</v>
      </c>
      <c r="F38" s="70">
        <v>-23.005365973919631</v>
      </c>
      <c r="G38" s="70">
        <v>11377.77039918668</v>
      </c>
      <c r="H38" s="70">
        <v>42673.95356684515</v>
      </c>
      <c r="I38" s="70">
        <v>121685.35936375969</v>
      </c>
      <c r="J38" s="70">
        <v>75053.089155563299</v>
      </c>
      <c r="K38" s="70">
        <v>0</v>
      </c>
      <c r="L38" s="70">
        <v>3405.3056245762082</v>
      </c>
      <c r="M38" s="70">
        <v>26503.48069561478</v>
      </c>
      <c r="N38" s="70">
        <v>79752.350427440135</v>
      </c>
      <c r="O38" s="70">
        <v>-2049.359416660001</v>
      </c>
      <c r="P38" s="70">
        <v>1958.9137169495971</v>
      </c>
      <c r="Q38" s="69">
        <v>380078.69523850048</v>
      </c>
    </row>
    <row r="39" spans="2:17" ht="20" customHeight="1" x14ac:dyDescent="0.35">
      <c r="B39" s="67" t="s">
        <v>99</v>
      </c>
      <c r="C39" s="70">
        <v>1911.306</v>
      </c>
      <c r="D39" s="70">
        <v>14128.582</v>
      </c>
      <c r="E39" s="70">
        <v>19795.940999999999</v>
      </c>
      <c r="F39" s="70">
        <v>86967.601999999999</v>
      </c>
      <c r="G39" s="70">
        <v>63228.786999999997</v>
      </c>
      <c r="H39" s="70">
        <v>10758.173000000001</v>
      </c>
      <c r="I39" s="70">
        <v>853887.11899999995</v>
      </c>
      <c r="J39" s="70">
        <v>470563.33399999997</v>
      </c>
      <c r="K39" s="70">
        <v>14216.565000000001</v>
      </c>
      <c r="L39" s="70">
        <v>33994.589999999997</v>
      </c>
      <c r="M39" s="70">
        <v>13737.79</v>
      </c>
      <c r="N39" s="70">
        <v>135132.58600000001</v>
      </c>
      <c r="O39" s="70">
        <v>2301331.8459999999</v>
      </c>
      <c r="P39" s="70">
        <v>32114.411</v>
      </c>
      <c r="Q39" s="69">
        <v>4051768.6320000002</v>
      </c>
    </row>
    <row r="40" spans="2:17" ht="20" customHeight="1" x14ac:dyDescent="0.35">
      <c r="B40" s="67" t="s">
        <v>100</v>
      </c>
      <c r="C40" s="70">
        <v>0</v>
      </c>
      <c r="D40" s="70">
        <v>-449.32083276597501</v>
      </c>
      <c r="E40" s="70">
        <v>-471.67059913324101</v>
      </c>
      <c r="F40" s="70">
        <v>-12999.43497822455</v>
      </c>
      <c r="G40" s="70">
        <v>696.68766027015442</v>
      </c>
      <c r="H40" s="70">
        <v>-1107.80048462427</v>
      </c>
      <c r="I40" s="70">
        <v>507115.55540500948</v>
      </c>
      <c r="J40" s="70">
        <v>219408.88891466541</v>
      </c>
      <c r="K40" s="70">
        <v>0</v>
      </c>
      <c r="L40" s="70">
        <v>2819.9969908355511</v>
      </c>
      <c r="M40" s="70">
        <v>-7713.1399097795711</v>
      </c>
      <c r="N40" s="70">
        <v>7340.8428594121406</v>
      </c>
      <c r="O40" s="70">
        <v>490202.20861221227</v>
      </c>
      <c r="P40" s="70">
        <v>4713.6898466937</v>
      </c>
      <c r="Q40" s="69">
        <v>1209556.5034845709</v>
      </c>
    </row>
    <row r="41" spans="2:17" ht="20"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69">
        <v>0</v>
      </c>
    </row>
    <row r="42" spans="2:17" ht="20"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69">
        <v>0</v>
      </c>
    </row>
    <row r="43" spans="2:17" ht="20" customHeight="1" x14ac:dyDescent="0.35">
      <c r="B43" s="71" t="s">
        <v>24</v>
      </c>
      <c r="C43" s="72">
        <f t="shared" ref="C43:Q43" si="0">SUM(C6:C42)</f>
        <v>18466.789616743943</v>
      </c>
      <c r="D43" s="72">
        <f t="shared" si="0"/>
        <v>637883.19313088898</v>
      </c>
      <c r="E43" s="72">
        <f t="shared" si="0"/>
        <v>520130.36356161756</v>
      </c>
      <c r="F43" s="72">
        <f t="shared" si="0"/>
        <v>1217568.7979301203</v>
      </c>
      <c r="G43" s="72">
        <f t="shared" si="0"/>
        <v>1056826.7908921298</v>
      </c>
      <c r="H43" s="72">
        <f t="shared" si="0"/>
        <v>729867.95363479853</v>
      </c>
      <c r="I43" s="72">
        <f t="shared" si="0"/>
        <v>21882115.458132524</v>
      </c>
      <c r="J43" s="72">
        <f t="shared" si="0"/>
        <v>16415388.958194997</v>
      </c>
      <c r="K43" s="72">
        <f t="shared" si="0"/>
        <v>4744436.0600652611</v>
      </c>
      <c r="L43" s="72">
        <f t="shared" si="0"/>
        <v>526734.26146902144</v>
      </c>
      <c r="M43" s="72">
        <f t="shared" si="0"/>
        <v>1151471.0704916182</v>
      </c>
      <c r="N43" s="72">
        <f t="shared" si="0"/>
        <v>3037055.180019178</v>
      </c>
      <c r="O43" s="72">
        <f t="shared" si="0"/>
        <v>54924878.096691042</v>
      </c>
      <c r="P43" s="72">
        <f t="shared" si="0"/>
        <v>1107388.289211811</v>
      </c>
      <c r="Q43" s="72">
        <f t="shared" si="0"/>
        <v>107970211.26304176</v>
      </c>
    </row>
    <row r="44" spans="2:17" ht="20" customHeight="1" x14ac:dyDescent="0.35">
      <c r="B44" s="338" t="s">
        <v>103</v>
      </c>
      <c r="C44" s="269"/>
      <c r="D44" s="269"/>
      <c r="E44" s="269"/>
      <c r="F44" s="269"/>
      <c r="G44" s="269"/>
      <c r="H44" s="269"/>
      <c r="I44" s="269"/>
      <c r="J44" s="269"/>
      <c r="K44" s="269"/>
      <c r="L44" s="269"/>
      <c r="M44" s="269"/>
      <c r="N44" s="269"/>
      <c r="O44" s="269"/>
      <c r="P44" s="269"/>
      <c r="Q44" s="270"/>
    </row>
    <row r="45" spans="2:17" ht="20" customHeight="1" x14ac:dyDescent="0.35">
      <c r="B45" s="67" t="s">
        <v>104</v>
      </c>
      <c r="C45" s="70">
        <v>10303.628440902159</v>
      </c>
      <c r="D45" s="70">
        <v>147854.90517429161</v>
      </c>
      <c r="E45" s="70">
        <v>173342.03626227879</v>
      </c>
      <c r="F45" s="70">
        <v>493358.1012849469</v>
      </c>
      <c r="G45" s="70">
        <v>89534.61222657669</v>
      </c>
      <c r="H45" s="70">
        <v>118491.7310703749</v>
      </c>
      <c r="I45" s="70">
        <v>23449.541035531991</v>
      </c>
      <c r="J45" s="70">
        <v>100193.49451545491</v>
      </c>
      <c r="K45" s="70">
        <v>0</v>
      </c>
      <c r="L45" s="70">
        <v>71216.661125443643</v>
      </c>
      <c r="M45" s="70">
        <v>3748.245059233876</v>
      </c>
      <c r="N45" s="70">
        <v>7496.4901184677519</v>
      </c>
      <c r="O45" s="70">
        <v>388096.45527722221</v>
      </c>
      <c r="P45" s="70">
        <v>292363.13262024242</v>
      </c>
      <c r="Q45" s="73">
        <v>1919449.0342109681</v>
      </c>
    </row>
    <row r="46" spans="2:17" ht="20" customHeight="1" x14ac:dyDescent="0.35">
      <c r="B46" s="67" t="s">
        <v>105</v>
      </c>
      <c r="C46" s="70">
        <v>388.9837582789558</v>
      </c>
      <c r="D46" s="70">
        <v>98489.67347493273</v>
      </c>
      <c r="E46" s="70">
        <v>0</v>
      </c>
      <c r="F46" s="70">
        <v>711590.52559447102</v>
      </c>
      <c r="G46" s="70">
        <v>4206.9215087597468</v>
      </c>
      <c r="H46" s="70">
        <v>79750.727893052011</v>
      </c>
      <c r="I46" s="70">
        <v>0</v>
      </c>
      <c r="J46" s="70">
        <v>145614.86466780279</v>
      </c>
      <c r="K46" s="70">
        <v>0</v>
      </c>
      <c r="L46" s="70">
        <v>24283.59290534673</v>
      </c>
      <c r="M46" s="70">
        <v>0</v>
      </c>
      <c r="N46" s="70">
        <v>0</v>
      </c>
      <c r="O46" s="70">
        <v>814268.669993093</v>
      </c>
      <c r="P46" s="70">
        <v>186787.1378727142</v>
      </c>
      <c r="Q46" s="73">
        <v>2065381.097668451</v>
      </c>
    </row>
    <row r="47" spans="2:17" ht="20" customHeight="1" x14ac:dyDescent="0.35">
      <c r="B47" s="67" t="s">
        <v>106</v>
      </c>
      <c r="C47" s="70">
        <v>-17384.859238487621</v>
      </c>
      <c r="D47" s="70">
        <v>115966.15191942079</v>
      </c>
      <c r="E47" s="70">
        <v>165721.5074832761</v>
      </c>
      <c r="F47" s="70">
        <v>666554.9344832761</v>
      </c>
      <c r="G47" s="70">
        <v>-4113.4171337988228</v>
      </c>
      <c r="H47" s="70">
        <v>90298.008406980487</v>
      </c>
      <c r="I47" s="70">
        <v>89832.074225250966</v>
      </c>
      <c r="J47" s="70">
        <v>95958.931225250955</v>
      </c>
      <c r="K47" s="70">
        <v>0</v>
      </c>
      <c r="L47" s="70">
        <v>-4400.2357400175679</v>
      </c>
      <c r="M47" s="70">
        <v>52315.570841698027</v>
      </c>
      <c r="N47" s="70">
        <v>-363.9847400175687</v>
      </c>
      <c r="O47" s="70">
        <v>516255.57548143069</v>
      </c>
      <c r="P47" s="70">
        <v>13251.194838721891</v>
      </c>
      <c r="Q47" s="73">
        <v>1779891.4520529839</v>
      </c>
    </row>
    <row r="48" spans="2:17" ht="20" customHeight="1" x14ac:dyDescent="0.35">
      <c r="B48" s="64" t="s">
        <v>107</v>
      </c>
      <c r="C48" s="70">
        <v>23399.417249999999</v>
      </c>
      <c r="D48" s="70">
        <v>377106.29824000021</v>
      </c>
      <c r="E48" s="70">
        <v>98306.109609999985</v>
      </c>
      <c r="F48" s="70">
        <v>2466721.4416099978</v>
      </c>
      <c r="G48" s="70">
        <v>12301.56875</v>
      </c>
      <c r="H48" s="70">
        <v>362245.17441999941</v>
      </c>
      <c r="I48" s="70">
        <v>4836.6521299999986</v>
      </c>
      <c r="J48" s="70">
        <v>494183.80370000022</v>
      </c>
      <c r="K48" s="70">
        <v>0</v>
      </c>
      <c r="L48" s="70">
        <v>313625.7615899996</v>
      </c>
      <c r="M48" s="70">
        <v>6464.0650700000006</v>
      </c>
      <c r="N48" s="70">
        <v>1610.1041399999999</v>
      </c>
      <c r="O48" s="70">
        <v>2441161.9168199999</v>
      </c>
      <c r="P48" s="70">
        <v>746278.19002999971</v>
      </c>
      <c r="Q48" s="73">
        <v>7348240.5033599967</v>
      </c>
    </row>
    <row r="49" spans="2:17" ht="20" customHeight="1" x14ac:dyDescent="0.35">
      <c r="B49" s="67" t="s">
        <v>108</v>
      </c>
      <c r="C49" s="70">
        <v>36664.896507017998</v>
      </c>
      <c r="D49" s="70">
        <v>841734.16793615848</v>
      </c>
      <c r="E49" s="70">
        <v>12089.266516405811</v>
      </c>
      <c r="F49" s="70">
        <v>813441.82385249471</v>
      </c>
      <c r="G49" s="70">
        <v>-718861.58546896616</v>
      </c>
      <c r="H49" s="70">
        <v>148100.1805803685</v>
      </c>
      <c r="I49" s="70">
        <v>19639.316149621831</v>
      </c>
      <c r="J49" s="70">
        <v>206163.4223485642</v>
      </c>
      <c r="K49" s="70">
        <v>0</v>
      </c>
      <c r="L49" s="70">
        <v>698263.21710326429</v>
      </c>
      <c r="M49" s="70">
        <v>21024.828660538838</v>
      </c>
      <c r="N49" s="70">
        <v>139858.10923562641</v>
      </c>
      <c r="O49" s="70">
        <v>347446.05911513639</v>
      </c>
      <c r="P49" s="70">
        <v>113447.6345344431</v>
      </c>
      <c r="Q49" s="73">
        <v>2679011.3370706751</v>
      </c>
    </row>
    <row r="50" spans="2:17" ht="20" customHeight="1" x14ac:dyDescent="0.35">
      <c r="B50" s="71" t="s">
        <v>24</v>
      </c>
      <c r="C50" s="72">
        <f t="shared" ref="C50:Q50" si="1">SUM(C45:C49)</f>
        <v>53372.066717711488</v>
      </c>
      <c r="D50" s="72">
        <f t="shared" si="1"/>
        <v>1581151.1967448038</v>
      </c>
      <c r="E50" s="72">
        <f t="shared" si="1"/>
        <v>449458.91987196065</v>
      </c>
      <c r="F50" s="72">
        <f t="shared" si="1"/>
        <v>5151666.8268251866</v>
      </c>
      <c r="G50" s="72">
        <f t="shared" si="1"/>
        <v>-616931.90011742851</v>
      </c>
      <c r="H50" s="72">
        <f t="shared" si="1"/>
        <v>798885.82237077528</v>
      </c>
      <c r="I50" s="72">
        <f t="shared" si="1"/>
        <v>137757.5835404048</v>
      </c>
      <c r="J50" s="72">
        <f t="shared" si="1"/>
        <v>1042114.5164570732</v>
      </c>
      <c r="K50" s="72">
        <f t="shared" si="1"/>
        <v>0</v>
      </c>
      <c r="L50" s="72">
        <f t="shared" si="1"/>
        <v>1102988.9969840366</v>
      </c>
      <c r="M50" s="72">
        <f t="shared" si="1"/>
        <v>83552.709631470745</v>
      </c>
      <c r="N50" s="72">
        <f t="shared" si="1"/>
        <v>148600.7187540766</v>
      </c>
      <c r="O50" s="72">
        <f t="shared" si="1"/>
        <v>4507228.676686882</v>
      </c>
      <c r="P50" s="72">
        <f t="shared" si="1"/>
        <v>1352127.2898961212</v>
      </c>
      <c r="Q50" s="72">
        <f t="shared" si="1"/>
        <v>15791973.424363075</v>
      </c>
    </row>
    <row r="51" spans="2:17" ht="20" customHeight="1" x14ac:dyDescent="0.35">
      <c r="B51" s="275" t="s">
        <v>25</v>
      </c>
      <c r="C51" s="272"/>
      <c r="D51" s="272"/>
      <c r="E51" s="272"/>
      <c r="F51" s="272"/>
      <c r="G51" s="272"/>
      <c r="H51" s="272"/>
      <c r="I51" s="272"/>
      <c r="J51" s="272"/>
      <c r="K51" s="272"/>
      <c r="L51" s="272"/>
      <c r="M51" s="272"/>
      <c r="N51" s="272"/>
      <c r="O51" s="272"/>
      <c r="P51" s="272"/>
      <c r="Q51" s="272"/>
    </row>
  </sheetData>
  <sheetProtection algorithmName="SHA-512" hashValue="3swJL8iZ+TPt0zV54WvLq3sQ84gnGfyC+iwDTpGsm4tyqvIsCBHz3jHvvVanaKoJ2LasC0zD3I8to4mjvsR88w==" saltValue="6C8VN1nb+innpocWLAFD9Q==" spinCount="100000" sheet="1" objects="1" scenarios="1"/>
  <mergeCells count="4">
    <mergeCell ref="B51:Q51"/>
    <mergeCell ref="B5:Q5"/>
    <mergeCell ref="B3:Q3"/>
    <mergeCell ref="B44:Q44"/>
  </mergeCells>
  <pageMargins left="0.7" right="0.7" top="0.75" bottom="0.75" header="0.3" footer="0.3"/>
  <pageSetup paperSize="9" scale="31"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0">
    <tabColor rgb="FF92D050"/>
    <pageSetUpPr fitToPage="1"/>
  </sheetPr>
  <dimension ref="B3:Q51"/>
  <sheetViews>
    <sheetView topLeftCell="Q1" workbookViewId="0"/>
  </sheetViews>
  <sheetFormatPr defaultColWidth="9.453125" defaultRowHeight="15.5" x14ac:dyDescent="0.35"/>
  <cols>
    <col min="1" max="1" width="17.453125" style="76" customWidth="1"/>
    <col min="2" max="2" width="52" style="76" bestFit="1" customWidth="1"/>
    <col min="3" max="17" width="20.453125" style="76" customWidth="1"/>
    <col min="18" max="18" width="9.1796875" style="76" customWidth="1"/>
    <col min="19" max="105" width="9.453125" style="76" customWidth="1"/>
    <col min="106" max="16384" width="9.453125" style="76"/>
  </cols>
  <sheetData>
    <row r="3" spans="2:17" ht="20" customHeight="1" x14ac:dyDescent="0.35">
      <c r="B3" s="336" t="str">
        <f>_xlfn.CONCAT('Table of Contents'!B34,": ",'Table of Contents'!C34)</f>
        <v>APPENDIX 22: SUMMARY OF INCURRED CLAIMS RATIOS UNDER GENERAL INSURANCE BUSINESS FOR THE PERIOD ENDED 31.12.2025</v>
      </c>
      <c r="C3" s="269"/>
      <c r="D3" s="269"/>
      <c r="E3" s="269"/>
      <c r="F3" s="269"/>
      <c r="G3" s="269"/>
      <c r="H3" s="269"/>
      <c r="I3" s="269"/>
      <c r="J3" s="269"/>
      <c r="K3" s="269"/>
      <c r="L3" s="269"/>
      <c r="M3" s="269"/>
      <c r="N3" s="269"/>
      <c r="O3" s="269"/>
      <c r="P3" s="269"/>
      <c r="Q3" s="270"/>
    </row>
    <row r="4" spans="2:17" ht="31"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7" ht="20" customHeight="1" x14ac:dyDescent="0.35">
      <c r="B5" s="335" t="s">
        <v>17</v>
      </c>
      <c r="C5" s="269"/>
      <c r="D5" s="269"/>
      <c r="E5" s="269"/>
      <c r="F5" s="269"/>
      <c r="G5" s="269"/>
      <c r="H5" s="269"/>
      <c r="I5" s="269"/>
      <c r="J5" s="269"/>
      <c r="K5" s="269"/>
      <c r="L5" s="269"/>
      <c r="M5" s="269"/>
      <c r="N5" s="269"/>
      <c r="O5" s="269"/>
      <c r="P5" s="269"/>
      <c r="Q5" s="270"/>
    </row>
    <row r="6" spans="2:17" ht="20" customHeight="1" x14ac:dyDescent="0.35">
      <c r="B6" s="75" t="str">
        <f>'APPENDIX 21'!B6</f>
        <v>AAR INSURANCE KENYA</v>
      </c>
      <c r="C6" s="203" t="str">
        <f>IFERROR('APPENDIX 21'!C6/NEPI!C6*100,"0.0")</f>
        <v>0.0</v>
      </c>
      <c r="D6" s="203">
        <f>IFERROR('APPENDIX 21'!D6/NEPI!D6*100,"0.0")</f>
        <v>-1386.2431093317448</v>
      </c>
      <c r="E6" s="203">
        <f>IFERROR('APPENDIX 21'!E6/NEPI!E6*100,"0.0")</f>
        <v>66.845498029084311</v>
      </c>
      <c r="F6" s="203">
        <f>IFERROR('APPENDIX 21'!F6/NEPI!F6*100,"0.0")</f>
        <v>15.512623108881938</v>
      </c>
      <c r="G6" s="203">
        <f>IFERROR('APPENDIX 21'!G6/NEPI!G6*100,"0.0")</f>
        <v>51.196238974768036</v>
      </c>
      <c r="H6" s="203">
        <f>IFERROR('APPENDIX 21'!H6/NEPI!H6*100,"0.0")</f>
        <v>58.599599614788723</v>
      </c>
      <c r="I6" s="203">
        <f>IFERROR('APPENDIX 21'!I6/NEPI!I6*100,"0.0")</f>
        <v>81.534974142224442</v>
      </c>
      <c r="J6" s="203" t="str">
        <f>IFERROR('APPENDIX 21'!J6/NEPI!J6*100,"0.0")</f>
        <v>0.0</v>
      </c>
      <c r="K6" s="203" t="str">
        <f>IFERROR('APPENDIX 21'!K6/NEPI!K6*100,"0.0")</f>
        <v>0.0</v>
      </c>
      <c r="L6" s="203">
        <f>IFERROR('APPENDIX 21'!L6/NEPI!L6*100,"0.0")</f>
        <v>-8.8699863236439036</v>
      </c>
      <c r="M6" s="203">
        <f>IFERROR('APPENDIX 21'!M6/NEPI!M6*100,"0.0")</f>
        <v>102.84024604889524</v>
      </c>
      <c r="N6" s="203">
        <f>IFERROR('APPENDIX 21'!N6/NEPI!N6*100,"0.0")</f>
        <v>24.883281106289783</v>
      </c>
      <c r="O6" s="203">
        <f>IFERROR('APPENDIX 21'!O6/NEPI!O6*100,"0.0")</f>
        <v>74.667639270252778</v>
      </c>
      <c r="P6" s="203">
        <f>IFERROR('APPENDIX 21'!P6/NEPI!P6*100,"0.0")</f>
        <v>80.546645911878088</v>
      </c>
      <c r="Q6" s="204">
        <f>IFERROR('APPENDIX 21'!Q6/NEPI!Q6*100,"0.00")</f>
        <v>74.044414946163357</v>
      </c>
    </row>
    <row r="7" spans="2:17" ht="20" customHeight="1" x14ac:dyDescent="0.35">
      <c r="B7" s="75" t="str">
        <f>'APPENDIX 21'!B7</f>
        <v xml:space="preserve">AFRICAN MERCHANT ASSURANCE </v>
      </c>
      <c r="C7" s="203" t="str">
        <f>IFERROR('APPENDIX 21'!C7/NEPI!C7*100,"0.0")</f>
        <v>0.0</v>
      </c>
      <c r="D7" s="203">
        <f>IFERROR('APPENDIX 21'!D7/NEPI!D7*100,"0.0")</f>
        <v>118.34694912218704</v>
      </c>
      <c r="E7" s="203">
        <f>IFERROR('APPENDIX 21'!E7/NEPI!E7*100,"0.0")</f>
        <v>687.23691242478958</v>
      </c>
      <c r="F7" s="203">
        <f>IFERROR('APPENDIX 21'!F7/NEPI!F7*100,"0.0")</f>
        <v>145.8564757833534</v>
      </c>
      <c r="G7" s="203">
        <f>IFERROR('APPENDIX 21'!G7/NEPI!G7*100,"0.0")</f>
        <v>50.264687062784674</v>
      </c>
      <c r="H7" s="203">
        <f>IFERROR('APPENDIX 21'!H7/NEPI!H7*100,"0.0")</f>
        <v>176.35206582053516</v>
      </c>
      <c r="I7" s="203">
        <f>IFERROR('APPENDIX 21'!I7/NEPI!I7*100,"0.0")</f>
        <v>94.285568415237051</v>
      </c>
      <c r="J7" s="203">
        <f>IFERROR('APPENDIX 21'!J7/NEPI!J7*100,"0.0")</f>
        <v>-281.02994564596793</v>
      </c>
      <c r="K7" s="203">
        <f>IFERROR('APPENDIX 21'!K7/NEPI!K7*100,"0.0")</f>
        <v>92.907898484442327</v>
      </c>
      <c r="L7" s="203">
        <f>IFERROR('APPENDIX 21'!L7/NEPI!L7*100,"0.0")</f>
        <v>159.58716623763897</v>
      </c>
      <c r="M7" s="203">
        <f>IFERROR('APPENDIX 21'!M7/NEPI!M7*100,"0.0")</f>
        <v>552.95932116156473</v>
      </c>
      <c r="N7" s="203">
        <f>IFERROR('APPENDIX 21'!N7/NEPI!N7*100,"0.0")</f>
        <v>30.719924561531165</v>
      </c>
      <c r="O7" s="203" t="str">
        <f>IFERROR('APPENDIX 21'!O7/NEPI!O7*100,"0.0")</f>
        <v>0.0</v>
      </c>
      <c r="P7" s="203">
        <f>IFERROR('APPENDIX 21'!P7/NEPI!P7*100,"0.0")</f>
        <v>322.24055697699924</v>
      </c>
      <c r="Q7" s="204">
        <f>IFERROR('APPENDIX 21'!Q7/NEPI!Q7*100,"0.00")</f>
        <v>73.154832472595913</v>
      </c>
    </row>
    <row r="8" spans="2:17" ht="20" customHeight="1" x14ac:dyDescent="0.35">
      <c r="B8" s="75" t="str">
        <f>'APPENDIX 21'!B8</f>
        <v>APA INSURANCE LIMITED</v>
      </c>
      <c r="C8" s="203">
        <f>IFERROR('APPENDIX 21'!C8/NEPI!C8*100,"0.0")</f>
        <v>-0.56929706173074812</v>
      </c>
      <c r="D8" s="203">
        <f>IFERROR('APPENDIX 21'!D8/NEPI!D8*100,"0.0")</f>
        <v>75.473120780027571</v>
      </c>
      <c r="E8" s="203">
        <f>IFERROR('APPENDIX 21'!E8/NEPI!E8*100,"0.0")</f>
        <v>79.915636977540032</v>
      </c>
      <c r="F8" s="203">
        <f>IFERROR('APPENDIX 21'!F8/NEPI!F8*100,"0.0")</f>
        <v>16.999190301324024</v>
      </c>
      <c r="G8" s="203">
        <f>IFERROR('APPENDIX 21'!G8/NEPI!G8*100,"0.0")</f>
        <v>140.42260531473246</v>
      </c>
      <c r="H8" s="203">
        <f>IFERROR('APPENDIX 21'!H8/NEPI!H8*100,"0.0")</f>
        <v>73.83387918702401</v>
      </c>
      <c r="I8" s="203">
        <f>IFERROR('APPENDIX 21'!I8/NEPI!I8*100,"0.0")</f>
        <v>79.996307507592519</v>
      </c>
      <c r="J8" s="203">
        <f>IFERROR('APPENDIX 21'!J8/NEPI!J8*100,"0.0")</f>
        <v>100.40218599876481</v>
      </c>
      <c r="K8" s="203" t="str">
        <f>IFERROR('APPENDIX 21'!K8/NEPI!K8*100,"0.0")</f>
        <v>0.0</v>
      </c>
      <c r="L8" s="203">
        <f>IFERROR('APPENDIX 21'!L8/NEPI!L8*100,"0.0")</f>
        <v>24.006548374773377</v>
      </c>
      <c r="M8" s="203">
        <f>IFERROR('APPENDIX 21'!M8/NEPI!M8*100,"0.0")</f>
        <v>43.341299805853161</v>
      </c>
      <c r="N8" s="203">
        <f>IFERROR('APPENDIX 21'!N8/NEPI!N8*100,"0.0")</f>
        <v>33.563133343908227</v>
      </c>
      <c r="O8" s="203">
        <f>IFERROR('APPENDIX 21'!O8/NEPI!O8*100,"0.0")</f>
        <v>72.635902856982327</v>
      </c>
      <c r="P8" s="203">
        <f>IFERROR('APPENDIX 21'!P8/NEPI!P8*100,"0.0")</f>
        <v>25.970449281681347</v>
      </c>
      <c r="Q8" s="204">
        <f>IFERROR('APPENDIX 21'!Q8/NEPI!Q8*100,"0.00")</f>
        <v>72.781539663831978</v>
      </c>
    </row>
    <row r="9" spans="2:17" ht="20" customHeight="1" x14ac:dyDescent="0.35">
      <c r="B9" s="75" t="str">
        <f>'APPENDIX 21'!B9</f>
        <v>BRITAM GENERAL INSURANCE</v>
      </c>
      <c r="C9" s="203">
        <f>IFERROR('APPENDIX 21'!C9/NEPI!C9*100,"0.0")</f>
        <v>6.6058173675961704</v>
      </c>
      <c r="D9" s="203">
        <f>IFERROR('APPENDIX 21'!D9/NEPI!D9*100,"0.0")</f>
        <v>27.862902891497583</v>
      </c>
      <c r="E9" s="203">
        <f>IFERROR('APPENDIX 21'!E9/NEPI!E9*100,"0.0")</f>
        <v>19.714742754297827</v>
      </c>
      <c r="F9" s="203">
        <f>IFERROR('APPENDIX 21'!F9/NEPI!F9*100,"0.0")</f>
        <v>56.023634152430645</v>
      </c>
      <c r="G9" s="203">
        <f>IFERROR('APPENDIX 21'!G9/NEPI!G9*100,"0.0")</f>
        <v>32.357557021116399</v>
      </c>
      <c r="H9" s="203">
        <f>IFERROR('APPENDIX 21'!H9/NEPI!H9*100,"0.0")</f>
        <v>30.022918316199089</v>
      </c>
      <c r="I9" s="203">
        <f>IFERROR('APPENDIX 21'!I9/NEPI!I9*100,"0.0")</f>
        <v>66.834642293363899</v>
      </c>
      <c r="J9" s="203">
        <f>IFERROR('APPENDIX 21'!J9/NEPI!J9*100,"0.0")</f>
        <v>80.463748243998253</v>
      </c>
      <c r="K9" s="203" t="str">
        <f>IFERROR('APPENDIX 21'!K9/NEPI!K9*100,"0.0")</f>
        <v>0.0</v>
      </c>
      <c r="L9" s="203">
        <f>IFERROR('APPENDIX 21'!L9/NEPI!L9*100,"0.0")</f>
        <v>30.71635779924134</v>
      </c>
      <c r="M9" s="203">
        <f>IFERROR('APPENDIX 21'!M9/NEPI!M9*100,"0.0")</f>
        <v>22.07955055909661</v>
      </c>
      <c r="N9" s="203">
        <f>IFERROR('APPENDIX 21'!N9/NEPI!N9*100,"0.0")</f>
        <v>21.701893996609691</v>
      </c>
      <c r="O9" s="203">
        <f>IFERROR('APPENDIX 21'!O9/NEPI!O9*100,"0.0")</f>
        <v>73.222054304550639</v>
      </c>
      <c r="P9" s="203">
        <f>IFERROR('APPENDIX 21'!P9/NEPI!P9*100,"0.0")</f>
        <v>109.02838752438073</v>
      </c>
      <c r="Q9" s="204">
        <f>IFERROR('APPENDIX 21'!Q9/NEPI!Q9*100,"0.00")</f>
        <v>67.487177853768415</v>
      </c>
    </row>
    <row r="10" spans="2:17" ht="20" customHeight="1" x14ac:dyDescent="0.35">
      <c r="B10" s="75" t="str">
        <f>'APPENDIX 21'!B10</f>
        <v>BUPA GLOBAL INSURANCE</v>
      </c>
      <c r="C10" s="203" t="str">
        <f>IFERROR('APPENDIX 21'!C10/NEPI!C10*100,"0.0")</f>
        <v>0.0</v>
      </c>
      <c r="D10" s="203" t="str">
        <f>IFERROR('APPENDIX 21'!D10/NEPI!D10*100,"0.0")</f>
        <v>0.0</v>
      </c>
      <c r="E10" s="203" t="str">
        <f>IFERROR('APPENDIX 21'!E10/NEPI!E10*100,"0.0")</f>
        <v>0.0</v>
      </c>
      <c r="F10" s="203" t="str">
        <f>IFERROR('APPENDIX 21'!F10/NEPI!F10*100,"0.0")</f>
        <v>0.0</v>
      </c>
      <c r="G10" s="203" t="str">
        <f>IFERROR('APPENDIX 21'!G10/NEPI!G10*100,"0.0")</f>
        <v>0.0</v>
      </c>
      <c r="H10" s="203" t="str">
        <f>IFERROR('APPENDIX 21'!H10/NEPI!H10*100,"0.0")</f>
        <v>0.0</v>
      </c>
      <c r="I10" s="203" t="str">
        <f>IFERROR('APPENDIX 21'!I10/NEPI!I10*100,"0.0")</f>
        <v>0.0</v>
      </c>
      <c r="J10" s="203" t="str">
        <f>IFERROR('APPENDIX 21'!J10/NEPI!J10*100,"0.0")</f>
        <v>0.0</v>
      </c>
      <c r="K10" s="203" t="str">
        <f>IFERROR('APPENDIX 21'!K10/NEPI!K10*100,"0.0")</f>
        <v>0.0</v>
      </c>
      <c r="L10" s="203" t="str">
        <f>IFERROR('APPENDIX 21'!L10/NEPI!L10*100,"0.0")</f>
        <v>0.0</v>
      </c>
      <c r="M10" s="203" t="str">
        <f>IFERROR('APPENDIX 21'!M10/NEPI!M10*100,"0.0")</f>
        <v>0.0</v>
      </c>
      <c r="N10" s="203" t="str">
        <f>IFERROR('APPENDIX 21'!N10/NEPI!N10*100,"0.0")</f>
        <v>0.0</v>
      </c>
      <c r="O10" s="203">
        <f>IFERROR('APPENDIX 21'!O10/NEPI!O10*100,"0.0")</f>
        <v>71.528743446866045</v>
      </c>
      <c r="P10" s="203" t="str">
        <f>IFERROR('APPENDIX 21'!P10/NEPI!P10*100,"0.0")</f>
        <v>0.0</v>
      </c>
      <c r="Q10" s="204">
        <f>IFERROR('APPENDIX 21'!Q10/NEPI!Q10*100,"0.00")</f>
        <v>71.528743446866045</v>
      </c>
    </row>
    <row r="11" spans="2:17" ht="20" customHeight="1" x14ac:dyDescent="0.35">
      <c r="B11" s="75" t="str">
        <f>'APPENDIX 21'!B11</f>
        <v>CANNON GENERAL INSURANCE</v>
      </c>
      <c r="C11" s="203" t="str">
        <f>IFERROR('APPENDIX 21'!C11/NEPI!C11*100,"0.0")</f>
        <v>0.0</v>
      </c>
      <c r="D11" s="203">
        <f>IFERROR('APPENDIX 21'!D11/NEPI!D11*100,"0.0")</f>
        <v>17.646527462425475</v>
      </c>
      <c r="E11" s="203">
        <f>IFERROR('APPENDIX 21'!E11/NEPI!E11*100,"0.0")</f>
        <v>104.52472193650013</v>
      </c>
      <c r="F11" s="203">
        <f>IFERROR('APPENDIX 21'!F11/NEPI!F11*100,"0.0")</f>
        <v>23.303933180875415</v>
      </c>
      <c r="G11" s="203">
        <f>IFERROR('APPENDIX 21'!G11/NEPI!G11*100,"0.0")</f>
        <v>139.04179355182515</v>
      </c>
      <c r="H11" s="203">
        <f>IFERROR('APPENDIX 21'!H11/NEPI!H11*100,"0.0")</f>
        <v>41.33545706465042</v>
      </c>
      <c r="I11" s="203">
        <f>IFERROR('APPENDIX 21'!I11/NEPI!I11*100,"0.0")</f>
        <v>96.728862458547326</v>
      </c>
      <c r="J11" s="203">
        <f>IFERROR('APPENDIX 21'!J11/NEPI!J11*100,"0.0")</f>
        <v>73.113616361814593</v>
      </c>
      <c r="K11" s="203" t="str">
        <f>IFERROR('APPENDIX 21'!K11/NEPI!K11*100,"0.0")</f>
        <v>0.0</v>
      </c>
      <c r="L11" s="203">
        <f>IFERROR('APPENDIX 21'!L11/NEPI!L11*100,"0.0")</f>
        <v>-4.1821444601560991</v>
      </c>
      <c r="M11" s="203">
        <f>IFERROR('APPENDIX 21'!M11/NEPI!M11*100,"0.0")</f>
        <v>49.108331957793972</v>
      </c>
      <c r="N11" s="203">
        <f>IFERROR('APPENDIX 21'!N11/NEPI!N11*100,"0.0")</f>
        <v>35.403091399732304</v>
      </c>
      <c r="O11" s="203" t="str">
        <f>IFERROR('APPENDIX 21'!O11/NEPI!O11*100,"0.0")</f>
        <v>0.0</v>
      </c>
      <c r="P11" s="203">
        <f>IFERROR('APPENDIX 21'!P11/NEPI!P11*100,"0.0")</f>
        <v>-0.79216503999528931</v>
      </c>
      <c r="Q11" s="204">
        <f>IFERROR('APPENDIX 21'!Q11/NEPI!Q11*100,"0.00")</f>
        <v>90.248723489909651</v>
      </c>
    </row>
    <row r="12" spans="2:17" ht="20" customHeight="1" x14ac:dyDescent="0.35">
      <c r="B12" s="75" t="str">
        <f>'APPENDIX 21'!B12</f>
        <v>CIC GENERAL INSURANCE COMPANY</v>
      </c>
      <c r="C12" s="203" t="str">
        <f>IFERROR('APPENDIX 21'!C12/NEPI!C12*100,"0.0")</f>
        <v>0.0</v>
      </c>
      <c r="D12" s="203">
        <f>IFERROR('APPENDIX 21'!D12/NEPI!D12*100,"0.0")</f>
        <v>25.864494514226344</v>
      </c>
      <c r="E12" s="203">
        <f>IFERROR('APPENDIX 21'!E12/NEPI!E12*100,"0.0")</f>
        <v>38.588761558219865</v>
      </c>
      <c r="F12" s="203">
        <f>IFERROR('APPENDIX 21'!F12/NEPI!F12*100,"0.0")</f>
        <v>45.569672043527923</v>
      </c>
      <c r="G12" s="203">
        <f>IFERROR('APPENDIX 21'!G12/NEPI!G12*100,"0.0")</f>
        <v>91.379095694688743</v>
      </c>
      <c r="H12" s="203">
        <f>IFERROR('APPENDIX 21'!H12/NEPI!H12*100,"0.0")</f>
        <v>-50.676816372920456</v>
      </c>
      <c r="I12" s="203">
        <f>IFERROR('APPENDIX 21'!I12/NEPI!I12*100,"0.0")</f>
        <v>77.202107715153829</v>
      </c>
      <c r="J12" s="203">
        <f>IFERROR('APPENDIX 21'!J12/NEPI!J12*100,"0.0")</f>
        <v>83.124366181399694</v>
      </c>
      <c r="K12" s="203" t="str">
        <f>IFERROR('APPENDIX 21'!K12/NEPI!K12*100,"0.0")</f>
        <v>0.0</v>
      </c>
      <c r="L12" s="203">
        <f>IFERROR('APPENDIX 21'!L12/NEPI!L12*100,"0.0")</f>
        <v>39.292843908630438</v>
      </c>
      <c r="M12" s="203">
        <f>IFERROR('APPENDIX 21'!M12/NEPI!M12*100,"0.0")</f>
        <v>3.6904658278719484</v>
      </c>
      <c r="N12" s="203">
        <f>IFERROR('APPENDIX 21'!N12/NEPI!N12*100,"0.0")</f>
        <v>14.017883057236025</v>
      </c>
      <c r="O12" s="203">
        <f>IFERROR('APPENDIX 21'!O12/NEPI!O12*100,"0.0")</f>
        <v>76.754814376949525</v>
      </c>
      <c r="P12" s="203">
        <f>IFERROR('APPENDIX 21'!P12/NEPI!P12*100,"0.0")</f>
        <v>82.862005821062894</v>
      </c>
      <c r="Q12" s="204">
        <f>IFERROR('APPENDIX 21'!Q12/NEPI!Q12*100,"0.00")</f>
        <v>72.463068591874233</v>
      </c>
    </row>
    <row r="13" spans="2:17" ht="20" customHeight="1" x14ac:dyDescent="0.35">
      <c r="B13" s="75" t="str">
        <f>'APPENDIX 21'!B13</f>
        <v>CORPORATE INSURANCE COMPANY</v>
      </c>
      <c r="C13" s="203" t="str">
        <f>IFERROR('APPENDIX 21'!C13/NEPI!C13*100,"0.0")</f>
        <v>0.0</v>
      </c>
      <c r="D13" s="203" t="str">
        <f>IFERROR('APPENDIX 21'!D13/NEPI!D13*100,"0.0")</f>
        <v>0.0</v>
      </c>
      <c r="E13" s="203" t="str">
        <f>IFERROR('APPENDIX 21'!E13/NEPI!E13*100,"0.0")</f>
        <v>0.0</v>
      </c>
      <c r="F13" s="203" t="str">
        <f>IFERROR('APPENDIX 21'!F13/NEPI!F13*100,"0.0")</f>
        <v>0.0</v>
      </c>
      <c r="G13" s="203" t="str">
        <f>IFERROR('APPENDIX 21'!G13/NEPI!G13*100,"0.0")</f>
        <v>0.0</v>
      </c>
      <c r="H13" s="203" t="str">
        <f>IFERROR('APPENDIX 21'!H13/NEPI!H13*100,"0.0")</f>
        <v>0.0</v>
      </c>
      <c r="I13" s="203" t="str">
        <f>IFERROR('APPENDIX 21'!I13/NEPI!I13*100,"0.0")</f>
        <v>0.0</v>
      </c>
      <c r="J13" s="203" t="str">
        <f>IFERROR('APPENDIX 21'!J13/NEPI!J13*100,"0.0")</f>
        <v>0.0</v>
      </c>
      <c r="K13" s="203" t="str">
        <f>IFERROR('APPENDIX 21'!K13/NEPI!K13*100,"0.0")</f>
        <v>0.0</v>
      </c>
      <c r="L13" s="203" t="str">
        <f>IFERROR('APPENDIX 21'!L13/NEPI!L13*100,"0.0")</f>
        <v>0.0</v>
      </c>
      <c r="M13" s="203" t="str">
        <f>IFERROR('APPENDIX 21'!M13/NEPI!M13*100,"0.0")</f>
        <v>0.0</v>
      </c>
      <c r="N13" s="203" t="str">
        <f>IFERROR('APPENDIX 21'!N13/NEPI!N13*100,"0.0")</f>
        <v>0.0</v>
      </c>
      <c r="O13" s="203" t="str">
        <f>IFERROR('APPENDIX 21'!O13/NEPI!O13*100,"0.0")</f>
        <v>0.0</v>
      </c>
      <c r="P13" s="203" t="str">
        <f>IFERROR('APPENDIX 21'!P13/NEPI!P13*100,"0.0")</f>
        <v>0.0</v>
      </c>
      <c r="Q13" s="204" t="str">
        <f>IFERROR('APPENDIX 21'!Q13/NEPI!Q13*100,"0.00")</f>
        <v>0.00</v>
      </c>
    </row>
    <row r="14" spans="2:17" ht="20" customHeight="1" x14ac:dyDescent="0.35">
      <c r="B14" s="75" t="str">
        <f>'APPENDIX 21'!B14</f>
        <v>DEFINITE ASSURANCE COMPANY</v>
      </c>
      <c r="C14" s="203" t="str">
        <f>IFERROR('APPENDIX 21'!C14/NEPI!C14*100,"0.0")</f>
        <v>0.0</v>
      </c>
      <c r="D14" s="203">
        <f>IFERROR('APPENDIX 21'!D14/NEPI!D14*100,"0.0")</f>
        <v>0</v>
      </c>
      <c r="E14" s="203">
        <f>IFERROR('APPENDIX 21'!E14/NEPI!E14*100,"0.0")</f>
        <v>0</v>
      </c>
      <c r="F14" s="203">
        <f>IFERROR('APPENDIX 21'!F14/NEPI!F14*100,"0.0")</f>
        <v>0</v>
      </c>
      <c r="G14" s="203">
        <f>IFERROR('APPENDIX 21'!G14/NEPI!G14*100,"0.0")</f>
        <v>0</v>
      </c>
      <c r="H14" s="203">
        <f>IFERROR('APPENDIX 21'!H14/NEPI!H14*100,"0.0")</f>
        <v>0</v>
      </c>
      <c r="I14" s="203">
        <f>IFERROR('APPENDIX 21'!I14/NEPI!I14*100,"0.0")</f>
        <v>44.312935792148245</v>
      </c>
      <c r="J14" s="203">
        <f>IFERROR('APPENDIX 21'!J14/NEPI!J14*100,"0.0")</f>
        <v>10.866873374226811</v>
      </c>
      <c r="K14" s="203">
        <f>IFERROR('APPENDIX 21'!K14/NEPI!K14*100,"0.0")</f>
        <v>40.296872553244498</v>
      </c>
      <c r="L14" s="203">
        <f>IFERROR('APPENDIX 21'!L14/NEPI!L14*100,"0.0")</f>
        <v>0</v>
      </c>
      <c r="M14" s="203">
        <f>IFERROR('APPENDIX 21'!M14/NEPI!M14*100,"0.0")</f>
        <v>0</v>
      </c>
      <c r="N14" s="203">
        <f>IFERROR('APPENDIX 21'!N14/NEPI!N14*100,"0.0")</f>
        <v>0</v>
      </c>
      <c r="O14" s="203" t="str">
        <f>IFERROR('APPENDIX 21'!O14/NEPI!O14*100,"0.0")</f>
        <v>0.0</v>
      </c>
      <c r="P14" s="203">
        <f>IFERROR('APPENDIX 21'!P14/NEPI!P14*100,"0.0")</f>
        <v>-0.2376387928694644</v>
      </c>
      <c r="Q14" s="204">
        <f>IFERROR('APPENDIX 21'!Q14/NEPI!Q14*100,"0.00")</f>
        <v>39.216384060985533</v>
      </c>
    </row>
    <row r="15" spans="2:17" ht="20" customHeight="1" x14ac:dyDescent="0.35">
      <c r="B15" s="75" t="str">
        <f>'APPENDIX 21'!B15</f>
        <v>DIRECTLINE ASSURANCE COMPANY</v>
      </c>
      <c r="C15" s="203" t="str">
        <f>IFERROR('APPENDIX 21'!C15/NEPI!C15*100,"0.0")</f>
        <v>0.0</v>
      </c>
      <c r="D15" s="203" t="str">
        <f>IFERROR('APPENDIX 21'!D15/NEPI!D15*100,"0.0")</f>
        <v>0.0</v>
      </c>
      <c r="E15" s="203">
        <f>IFERROR('APPENDIX 21'!E15/NEPI!E15*100,"0.0")</f>
        <v>4907.9748263181373</v>
      </c>
      <c r="F15" s="203">
        <f>IFERROR('APPENDIX 21'!F15/NEPI!F15*100,"0.0")</f>
        <v>2.7056169023027632</v>
      </c>
      <c r="G15" s="203">
        <f>IFERROR('APPENDIX 21'!G15/NEPI!G15*100,"0.0")</f>
        <v>-1434.3783707891714</v>
      </c>
      <c r="H15" s="203">
        <f>IFERROR('APPENDIX 21'!H15/NEPI!H15*100,"0.0")</f>
        <v>0</v>
      </c>
      <c r="I15" s="203">
        <f>IFERROR('APPENDIX 21'!I15/NEPI!I15*100,"0.0")</f>
        <v>125.75771696127869</v>
      </c>
      <c r="J15" s="203">
        <f>IFERROR('APPENDIX 21'!J15/NEPI!J15*100,"0.0")</f>
        <v>102.59429668961862</v>
      </c>
      <c r="K15" s="203">
        <f>IFERROR('APPENDIX 21'!K15/NEPI!K15*100,"0.0")</f>
        <v>82.106757711675058</v>
      </c>
      <c r="L15" s="203">
        <f>IFERROR('APPENDIX 21'!L15/NEPI!L15*100,"0.0")</f>
        <v>0</v>
      </c>
      <c r="M15" s="203">
        <f>IFERROR('APPENDIX 21'!M15/NEPI!M15*100,"0.0")</f>
        <v>0</v>
      </c>
      <c r="N15" s="203">
        <f>IFERROR('APPENDIX 21'!N15/NEPI!N15*100,"0.0")</f>
        <v>-2.7224106676398812</v>
      </c>
      <c r="O15" s="203" t="str">
        <f>IFERROR('APPENDIX 21'!O15/NEPI!O15*100,"0.0")</f>
        <v>0.0</v>
      </c>
      <c r="P15" s="203">
        <f>IFERROR('APPENDIX 21'!P15/NEPI!P15*100,"0.0")</f>
        <v>-4.4253192733648046</v>
      </c>
      <c r="Q15" s="204">
        <f>IFERROR('APPENDIX 21'!Q15/NEPI!Q15*100,"0.00")</f>
        <v>88.30721026306469</v>
      </c>
    </row>
    <row r="16" spans="2:17" ht="20" customHeight="1" x14ac:dyDescent="0.35">
      <c r="B16" s="75" t="str">
        <f>'APPENDIX 21'!B16</f>
        <v>EQUITY GENERAL INSURANCE LIMITED</v>
      </c>
      <c r="C16" s="203" t="str">
        <f>IFERROR('APPENDIX 21'!C16/NEPI!C16*100,"0.0")</f>
        <v>0.0</v>
      </c>
      <c r="D16" s="203">
        <f>IFERROR('APPENDIX 21'!D16/NEPI!D16*100,"0.0")</f>
        <v>0</v>
      </c>
      <c r="E16" s="203">
        <f>IFERROR('APPENDIX 21'!E16/NEPI!E16*100,"0.0")</f>
        <v>0</v>
      </c>
      <c r="F16" s="203">
        <f>IFERROR('APPENDIX 21'!F16/NEPI!F16*100,"0.0")</f>
        <v>0</v>
      </c>
      <c r="G16" s="203">
        <f>IFERROR('APPENDIX 21'!G16/NEPI!G16*100,"0.0")</f>
        <v>0.25310997279255831</v>
      </c>
      <c r="H16" s="203">
        <f>IFERROR('APPENDIX 21'!H16/NEPI!H16*100,"0.0")</f>
        <v>0</v>
      </c>
      <c r="I16" s="203" t="str">
        <f>IFERROR('APPENDIX 21'!I16/NEPI!I16*100,"0.0")</f>
        <v>0.0</v>
      </c>
      <c r="J16" s="203" t="str">
        <f>IFERROR('APPENDIX 21'!J16/NEPI!J16*100,"0.0")</f>
        <v>0.0</v>
      </c>
      <c r="K16" s="203" t="str">
        <f>IFERROR('APPENDIX 21'!K16/NEPI!K16*100,"0.0")</f>
        <v>0.0</v>
      </c>
      <c r="L16" s="203">
        <f>IFERROR('APPENDIX 21'!L16/NEPI!L16*100,"0.0")</f>
        <v>0</v>
      </c>
      <c r="M16" s="203">
        <f>IFERROR('APPENDIX 21'!M16/NEPI!M16*100,"0.0")</f>
        <v>34.473598819693841</v>
      </c>
      <c r="N16" s="203">
        <f>IFERROR('APPENDIX 21'!N16/NEPI!N16*100,"0.0")</f>
        <v>21.933719010486243</v>
      </c>
      <c r="O16" s="203">
        <f>IFERROR('APPENDIX 21'!O16/NEPI!O16*100,"0.0")</f>
        <v>66.293722503904362</v>
      </c>
      <c r="P16" s="203">
        <f>IFERROR('APPENDIX 21'!P16/NEPI!P16*100,"0.0")</f>
        <v>0</v>
      </c>
      <c r="Q16" s="204">
        <f>IFERROR('APPENDIX 21'!Q16/NEPI!Q16*100,"0.00")</f>
        <v>64.589460022019225</v>
      </c>
    </row>
    <row r="17" spans="2:17" ht="20" customHeight="1" x14ac:dyDescent="0.35">
      <c r="B17" s="75" t="str">
        <f>'APPENDIX 21'!B17</f>
        <v>EQUITY HEALTH INSURANCE LIMITED</v>
      </c>
      <c r="C17" s="203" t="str">
        <f>IFERROR('APPENDIX 21'!C17/NEPI!C17*100,"0.0")</f>
        <v>0.0</v>
      </c>
      <c r="D17" s="203" t="str">
        <f>IFERROR('APPENDIX 21'!D17/NEPI!D17*100,"0.0")</f>
        <v>0.0</v>
      </c>
      <c r="E17" s="203" t="str">
        <f>IFERROR('APPENDIX 21'!E17/NEPI!E17*100,"0.0")</f>
        <v>0.0</v>
      </c>
      <c r="F17" s="203" t="str">
        <f>IFERROR('APPENDIX 21'!F17/NEPI!F17*100,"0.0")</f>
        <v>0.0</v>
      </c>
      <c r="G17" s="203" t="str">
        <f>IFERROR('APPENDIX 21'!G17/NEPI!G17*100,"0.0")</f>
        <v>0.0</v>
      </c>
      <c r="H17" s="203" t="str">
        <f>IFERROR('APPENDIX 21'!H17/NEPI!H17*100,"0.0")</f>
        <v>0.0</v>
      </c>
      <c r="I17" s="203" t="str">
        <f>IFERROR('APPENDIX 21'!I17/NEPI!I17*100,"0.0")</f>
        <v>0.0</v>
      </c>
      <c r="J17" s="203" t="str">
        <f>IFERROR('APPENDIX 21'!J17/NEPI!J17*100,"0.0")</f>
        <v>0.0</v>
      </c>
      <c r="K17" s="203" t="str">
        <f>IFERROR('APPENDIX 21'!K17/NEPI!K17*100,"0.0")</f>
        <v>0.0</v>
      </c>
      <c r="L17" s="203" t="str">
        <f>IFERROR('APPENDIX 21'!L17/NEPI!L17*100,"0.0")</f>
        <v>0.0</v>
      </c>
      <c r="M17" s="203" t="str">
        <f>IFERROR('APPENDIX 21'!M17/NEPI!M17*100,"0.0")</f>
        <v>0.0</v>
      </c>
      <c r="N17" s="203" t="str">
        <f>IFERROR('APPENDIX 21'!N17/NEPI!N17*100,"0.0")</f>
        <v>0.0</v>
      </c>
      <c r="O17" s="203">
        <f>IFERROR('APPENDIX 21'!O17/NEPI!O17*100,"0.0")</f>
        <v>164.98868033125319</v>
      </c>
      <c r="P17" s="203" t="str">
        <f>IFERROR('APPENDIX 21'!P17/NEPI!P17*100,"0.0")</f>
        <v>0.0</v>
      </c>
      <c r="Q17" s="204">
        <f>IFERROR('APPENDIX 21'!Q17/NEPI!Q17*100,"0.00")</f>
        <v>164.98868033125319</v>
      </c>
    </row>
    <row r="18" spans="2:17" ht="20" customHeight="1" x14ac:dyDescent="0.35">
      <c r="B18" s="75" t="str">
        <f>'APPENDIX 21'!B18</f>
        <v xml:space="preserve">FIDELITY SHIELD INSURANCE  </v>
      </c>
      <c r="C18" s="203">
        <f>IFERROR('APPENDIX 21'!C18/NEPI!C18*100,"0.0")</f>
        <v>0</v>
      </c>
      <c r="D18" s="203">
        <f>IFERROR('APPENDIX 21'!D18/NEPI!D18*100,"0.0")</f>
        <v>-20.354761497866665</v>
      </c>
      <c r="E18" s="203">
        <f>IFERROR('APPENDIX 21'!E18/NEPI!E18*100,"0.0")</f>
        <v>36.229777107220137</v>
      </c>
      <c r="F18" s="203">
        <f>IFERROR('APPENDIX 21'!F18/NEPI!F18*100,"0.0")</f>
        <v>29.784271548863835</v>
      </c>
      <c r="G18" s="203">
        <f>IFERROR('APPENDIX 21'!G18/NEPI!G18*100,"0.0")</f>
        <v>249.00849674046549</v>
      </c>
      <c r="H18" s="203">
        <f>IFERROR('APPENDIX 21'!H18/NEPI!H18*100,"0.0")</f>
        <v>114.06059729895748</v>
      </c>
      <c r="I18" s="203">
        <f>IFERROR('APPENDIX 21'!I18/NEPI!I18*100,"0.0")</f>
        <v>79.735647818043574</v>
      </c>
      <c r="J18" s="203">
        <f>IFERROR('APPENDIX 21'!J18/NEPI!J18*100,"0.0")</f>
        <v>80.319587633658443</v>
      </c>
      <c r="K18" s="203">
        <f>IFERROR('APPENDIX 21'!K18/NEPI!K18*100,"0.0")</f>
        <v>28.170529808647586</v>
      </c>
      <c r="L18" s="203">
        <f>IFERROR('APPENDIX 21'!L18/NEPI!L18*100,"0.0")</f>
        <v>37.44580937472324</v>
      </c>
      <c r="M18" s="203">
        <f>IFERROR('APPENDIX 21'!M18/NEPI!M18*100,"0.0")</f>
        <v>78.817602284873232</v>
      </c>
      <c r="N18" s="203">
        <f>IFERROR('APPENDIX 21'!N18/NEPI!N18*100,"0.0")</f>
        <v>64.783700419536629</v>
      </c>
      <c r="O18" s="203">
        <f>IFERROR('APPENDIX 21'!O18/NEPI!O18*100,"0.0")</f>
        <v>84.30726636603066</v>
      </c>
      <c r="P18" s="203">
        <f>IFERROR('APPENDIX 21'!P18/NEPI!P18*100,"0.0")</f>
        <v>-90.574515046689058</v>
      </c>
      <c r="Q18" s="204">
        <f>IFERROR('APPENDIX 21'!Q18/NEPI!Q18*100,"0.00")</f>
        <v>77.029077328799588</v>
      </c>
    </row>
    <row r="19" spans="2:17" ht="20" customHeight="1" x14ac:dyDescent="0.35">
      <c r="B19" s="75" t="str">
        <f>'APPENDIX 21'!B19</f>
        <v>FIRST ASSURANCE COMPANY</v>
      </c>
      <c r="C19" s="203" t="str">
        <f>IFERROR('APPENDIX 21'!C19/NEPI!C19*100,"0.0")</f>
        <v>0.0</v>
      </c>
      <c r="D19" s="203">
        <f>IFERROR('APPENDIX 21'!D19/NEPI!D19*100,"0.0")</f>
        <v>10.71293252111974</v>
      </c>
      <c r="E19" s="203">
        <f>IFERROR('APPENDIX 21'!E19/NEPI!E19*100,"0.0")</f>
        <v>28.591043799948963</v>
      </c>
      <c r="F19" s="203">
        <f>IFERROR('APPENDIX 21'!F19/NEPI!F19*100,"0.0")</f>
        <v>-1.676593882167722</v>
      </c>
      <c r="G19" s="203">
        <f>IFERROR('APPENDIX 21'!G19/NEPI!G19*100,"0.0")</f>
        <v>64.305543133148163</v>
      </c>
      <c r="H19" s="203">
        <f>IFERROR('APPENDIX 21'!H19/NEPI!H19*100,"0.0")</f>
        <v>100.60444290185615</v>
      </c>
      <c r="I19" s="203">
        <f>IFERROR('APPENDIX 21'!I19/NEPI!I19*100,"0.0")</f>
        <v>69.506172158969264</v>
      </c>
      <c r="J19" s="203">
        <f>IFERROR('APPENDIX 21'!J19/NEPI!J19*100,"0.0")</f>
        <v>99.653566539818655</v>
      </c>
      <c r="K19" s="203" t="str">
        <f>IFERROR('APPENDIX 21'!K19/NEPI!K19*100,"0.0")</f>
        <v>0.0</v>
      </c>
      <c r="L19" s="203">
        <f>IFERROR('APPENDIX 21'!L19/NEPI!L19*100,"0.0")</f>
        <v>25.077750939703503</v>
      </c>
      <c r="M19" s="203">
        <f>IFERROR('APPENDIX 21'!M19/NEPI!M19*100,"0.0")</f>
        <v>64.373101196567717</v>
      </c>
      <c r="N19" s="203">
        <f>IFERROR('APPENDIX 21'!N19/NEPI!N19*100,"0.0")</f>
        <v>20.172008051354364</v>
      </c>
      <c r="O19" s="203">
        <f>IFERROR('APPENDIX 21'!O19/NEPI!O19*100,"0.0")</f>
        <v>78.54517490219007</v>
      </c>
      <c r="P19" s="203">
        <f>IFERROR('APPENDIX 21'!P19/NEPI!P19*100,"0.0")</f>
        <v>1.5180327055932614</v>
      </c>
      <c r="Q19" s="204">
        <f>IFERROR('APPENDIX 21'!Q19/NEPI!Q19*100,"0.00")</f>
        <v>72.629112383005861</v>
      </c>
    </row>
    <row r="20" spans="2:17" ht="20" customHeight="1" x14ac:dyDescent="0.35">
      <c r="B20" s="75" t="str">
        <f>'APPENDIX 21'!B20</f>
        <v>GA INSURANCE COMPANY</v>
      </c>
      <c r="C20" s="203">
        <f>IFERROR('APPENDIX 21'!C20/NEPI!C20*100,"0.0")</f>
        <v>-17.495746930087133</v>
      </c>
      <c r="D20" s="203">
        <f>IFERROR('APPENDIX 21'!D20/NEPI!D20*100,"0.0")</f>
        <v>49.904131997078373</v>
      </c>
      <c r="E20" s="203">
        <f>IFERROR('APPENDIX 21'!E20/NEPI!E20*100,"0.0")</f>
        <v>56.833781518919999</v>
      </c>
      <c r="F20" s="203">
        <f>IFERROR('APPENDIX 21'!F20/NEPI!F20*100,"0.0")</f>
        <v>39.419447490148542</v>
      </c>
      <c r="G20" s="203">
        <f>IFERROR('APPENDIX 21'!G20/NEPI!G20*100,"0.0")</f>
        <v>72.426251700397032</v>
      </c>
      <c r="H20" s="203">
        <f>IFERROR('APPENDIX 21'!H20/NEPI!H20*100,"0.0")</f>
        <v>21.732256061497896</v>
      </c>
      <c r="I20" s="203">
        <f>IFERROR('APPENDIX 21'!I20/NEPI!I20*100,"0.0")</f>
        <v>76.049949093292867</v>
      </c>
      <c r="J20" s="203">
        <f>IFERROR('APPENDIX 21'!J20/NEPI!J20*100,"0.0")</f>
        <v>79.424418431368878</v>
      </c>
      <c r="K20" s="203">
        <f>IFERROR('APPENDIX 21'!K20/NEPI!K20*100,"0.0")</f>
        <v>319.81322799912164</v>
      </c>
      <c r="L20" s="203">
        <f>IFERROR('APPENDIX 21'!L20/NEPI!L20*100,"0.0")</f>
        <v>19.405314294153857</v>
      </c>
      <c r="M20" s="203">
        <f>IFERROR('APPENDIX 21'!M20/NEPI!M20*100,"0.0")</f>
        <v>72.698495906637177</v>
      </c>
      <c r="N20" s="203">
        <f>IFERROR('APPENDIX 21'!N20/NEPI!N20*100,"0.0")</f>
        <v>53.690290995142654</v>
      </c>
      <c r="O20" s="203">
        <f>IFERROR('APPENDIX 21'!O20/NEPI!O20*100,"0.0")</f>
        <v>86.967600315892597</v>
      </c>
      <c r="P20" s="203">
        <f>IFERROR('APPENDIX 21'!P20/NEPI!P20*100,"0.0")</f>
        <v>3.1759425496172722</v>
      </c>
      <c r="Q20" s="204">
        <f>IFERROR('APPENDIX 21'!Q20/NEPI!Q20*100,"0.00")</f>
        <v>73.77336917637173</v>
      </c>
    </row>
    <row r="21" spans="2:17" ht="20" customHeight="1" x14ac:dyDescent="0.35">
      <c r="B21" s="75" t="str">
        <f>'APPENDIX 21'!B21</f>
        <v xml:space="preserve">GEMINIA INSURANCE COMPANY </v>
      </c>
      <c r="C21" s="203">
        <f>IFERROR('APPENDIX 21'!C21/NEPI!C21*100,"0.0")</f>
        <v>2.2073088121540323</v>
      </c>
      <c r="D21" s="203">
        <f>IFERROR('APPENDIX 21'!D21/NEPI!D21*100,"0.0")</f>
        <v>97.335326495250129</v>
      </c>
      <c r="E21" s="203">
        <f>IFERROR('APPENDIX 21'!E21/NEPI!E21*100,"0.0")</f>
        <v>50.095285181423577</v>
      </c>
      <c r="F21" s="203">
        <f>IFERROR('APPENDIX 21'!F21/NEPI!F21*100,"0.0")</f>
        <v>24.82141483147327</v>
      </c>
      <c r="G21" s="203">
        <f>IFERROR('APPENDIX 21'!G21/NEPI!G21*100,"0.0")</f>
        <v>53.577205257343863</v>
      </c>
      <c r="H21" s="203">
        <f>IFERROR('APPENDIX 21'!H21/NEPI!H21*100,"0.0")</f>
        <v>60.876221500177131</v>
      </c>
      <c r="I21" s="203">
        <f>IFERROR('APPENDIX 21'!I21/NEPI!I21*100,"0.0")</f>
        <v>80.279883963575855</v>
      </c>
      <c r="J21" s="203">
        <f>IFERROR('APPENDIX 21'!J21/NEPI!J21*100,"0.0")</f>
        <v>118.13871186990943</v>
      </c>
      <c r="K21" s="203" t="str">
        <f>IFERROR('APPENDIX 21'!K21/NEPI!K21*100,"0.0")</f>
        <v>0.0</v>
      </c>
      <c r="L21" s="203">
        <f>IFERROR('APPENDIX 21'!L21/NEPI!L21*100,"0.0")</f>
        <v>45.183383277952224</v>
      </c>
      <c r="M21" s="203">
        <f>IFERROR('APPENDIX 21'!M21/NEPI!M21*100,"0.0")</f>
        <v>20.939942898416906</v>
      </c>
      <c r="N21" s="203">
        <f>IFERROR('APPENDIX 21'!N21/NEPI!N21*100,"0.0")</f>
        <v>100.59507330144082</v>
      </c>
      <c r="O21" s="203" t="str">
        <f>IFERROR('APPENDIX 21'!O21/NEPI!O21*100,"0.0")</f>
        <v>0.0</v>
      </c>
      <c r="P21" s="203">
        <f>IFERROR('APPENDIX 21'!P21/NEPI!P21*100,"0.0")</f>
        <v>31.980300550282237</v>
      </c>
      <c r="Q21" s="204">
        <f>IFERROR('APPENDIX 21'!Q21/NEPI!Q21*100,"0.00")</f>
        <v>86.157029396828136</v>
      </c>
    </row>
    <row r="22" spans="2:17" ht="20" customHeight="1" x14ac:dyDescent="0.35">
      <c r="B22" s="75" t="str">
        <f>'APPENDIX 21'!B22</f>
        <v>ICEA LION GENERAL INSURANCE</v>
      </c>
      <c r="C22" s="203">
        <f>IFERROR('APPENDIX 21'!C22/NEPI!C22*100,"0.0")</f>
        <v>123.77254966304227</v>
      </c>
      <c r="D22" s="203">
        <f>IFERROR('APPENDIX 21'!D22/NEPI!D22*100,"0.0")</f>
        <v>37.265205657148307</v>
      </c>
      <c r="E22" s="203">
        <f>IFERROR('APPENDIX 21'!E22/NEPI!E22*100,"0.0")</f>
        <v>8.8406331621211276</v>
      </c>
      <c r="F22" s="203">
        <f>IFERROR('APPENDIX 21'!F22/NEPI!F22*100,"0.0")</f>
        <v>24.331184001322352</v>
      </c>
      <c r="G22" s="203">
        <f>IFERROR('APPENDIX 21'!G22/NEPI!G22*100,"0.0")</f>
        <v>60.203715694748148</v>
      </c>
      <c r="H22" s="203">
        <f>IFERROR('APPENDIX 21'!H22/NEPI!H22*100,"0.0")</f>
        <v>28.088260238568672</v>
      </c>
      <c r="I22" s="203">
        <f>IFERROR('APPENDIX 21'!I22/NEPI!I22*100,"0.0")</f>
        <v>63.68059235714275</v>
      </c>
      <c r="J22" s="203">
        <f>IFERROR('APPENDIX 21'!J22/NEPI!J22*100,"0.0")</f>
        <v>52.39638096511441</v>
      </c>
      <c r="K22" s="203" t="str">
        <f>IFERROR('APPENDIX 21'!K22/NEPI!K22*100,"0.0")</f>
        <v>0.0</v>
      </c>
      <c r="L22" s="203">
        <f>IFERROR('APPENDIX 21'!L22/NEPI!L22*100,"0.0")</f>
        <v>64.850457641081022</v>
      </c>
      <c r="M22" s="203">
        <f>IFERROR('APPENDIX 21'!M22/NEPI!M22*100,"0.0")</f>
        <v>46.03406135978107</v>
      </c>
      <c r="N22" s="203">
        <f>IFERROR('APPENDIX 21'!N22/NEPI!N22*100,"0.0")</f>
        <v>14.189171201490748</v>
      </c>
      <c r="O22" s="203">
        <f>IFERROR('APPENDIX 21'!O22/NEPI!O22*100,"0.0")</f>
        <v>93.76244868201519</v>
      </c>
      <c r="P22" s="203">
        <f>IFERROR('APPENDIX 21'!P22/NEPI!P22*100,"0.0")</f>
        <v>11.478374274172669</v>
      </c>
      <c r="Q22" s="204">
        <f>IFERROR('APPENDIX 21'!Q22/NEPI!Q22*100,"0.00")</f>
        <v>49.928300114580644</v>
      </c>
    </row>
    <row r="23" spans="2:17" ht="20" customHeight="1" x14ac:dyDescent="0.35">
      <c r="B23" s="75" t="str">
        <f>'APPENDIX 21'!B23</f>
        <v xml:space="preserve">INTRA-AFRICA ASSURANCE </v>
      </c>
      <c r="C23" s="203" t="str">
        <f>IFERROR('APPENDIX 21'!C23/NEPI!C23*100,"0.0")</f>
        <v>0.0</v>
      </c>
      <c r="D23" s="203">
        <f>IFERROR('APPENDIX 21'!D23/NEPI!D23*100,"0.0")</f>
        <v>-8.4242716819243739</v>
      </c>
      <c r="E23" s="203">
        <f>IFERROR('APPENDIX 21'!E23/NEPI!E23*100,"0.0")</f>
        <v>-13.169836307333313</v>
      </c>
      <c r="F23" s="203">
        <f>IFERROR('APPENDIX 21'!F23/NEPI!F23*100,"0.0")</f>
        <v>4.0952986253279695</v>
      </c>
      <c r="G23" s="203">
        <f>IFERROR('APPENDIX 21'!G23/NEPI!G23*100,"0.0")</f>
        <v>36.726780088121664</v>
      </c>
      <c r="H23" s="203">
        <f>IFERROR('APPENDIX 21'!H23/NEPI!H23*100,"0.0")</f>
        <v>9.0792524582163416</v>
      </c>
      <c r="I23" s="203">
        <f>IFERROR('APPENDIX 21'!I23/NEPI!I23*100,"0.0")</f>
        <v>82.756794372677547</v>
      </c>
      <c r="J23" s="203">
        <f>IFERROR('APPENDIX 21'!J23/NEPI!J23*100,"0.0")</f>
        <v>70.959372787820399</v>
      </c>
      <c r="K23" s="203">
        <f>IFERROR('APPENDIX 21'!K23/NEPI!K23*100,"0.0")</f>
        <v>0</v>
      </c>
      <c r="L23" s="203">
        <f>IFERROR('APPENDIX 21'!L23/NEPI!L23*100,"0.0")</f>
        <v>-3.0173871417986784</v>
      </c>
      <c r="M23" s="203">
        <f>IFERROR('APPENDIX 21'!M23/NEPI!M23*100,"0.0")</f>
        <v>63.393817201406534</v>
      </c>
      <c r="N23" s="203">
        <f>IFERROR('APPENDIX 21'!N23/NEPI!N23*100,"0.0")</f>
        <v>3.5248179222590341</v>
      </c>
      <c r="O23" s="203" t="str">
        <f>IFERROR('APPENDIX 21'!O23/NEPI!O23*100,"0.0")</f>
        <v>0.0</v>
      </c>
      <c r="P23" s="203">
        <f>IFERROR('APPENDIX 21'!P23/NEPI!P23*100,"0.0")</f>
        <v>-3.3441065656229889</v>
      </c>
      <c r="Q23" s="204">
        <f>IFERROR('APPENDIX 21'!Q23/NEPI!Q23*100,"0.00")</f>
        <v>44.772708552311357</v>
      </c>
    </row>
    <row r="24" spans="2:17" ht="20" customHeight="1" x14ac:dyDescent="0.35">
      <c r="B24" s="75" t="str">
        <f>'APPENDIX 21'!B24</f>
        <v>JUBILEE HEALTH INSURANCE</v>
      </c>
      <c r="C24" s="203" t="str">
        <f>IFERROR('APPENDIX 21'!C24/NEPI!C24*100,"0.0")</f>
        <v>0.0</v>
      </c>
      <c r="D24" s="203" t="str">
        <f>IFERROR('APPENDIX 21'!D24/NEPI!D24*100,"0.0")</f>
        <v>0.0</v>
      </c>
      <c r="E24" s="203" t="str">
        <f>IFERROR('APPENDIX 21'!E24/NEPI!E24*100,"0.0")</f>
        <v>0.0</v>
      </c>
      <c r="F24" s="203" t="str">
        <f>IFERROR('APPENDIX 21'!F24/NEPI!F24*100,"0.0")</f>
        <v>0.0</v>
      </c>
      <c r="G24" s="203" t="str">
        <f>IFERROR('APPENDIX 21'!G24/NEPI!G24*100,"0.0")</f>
        <v>0.0</v>
      </c>
      <c r="H24" s="203" t="str">
        <f>IFERROR('APPENDIX 21'!H24/NEPI!H24*100,"0.0")</f>
        <v>0.0</v>
      </c>
      <c r="I24" s="203" t="str">
        <f>IFERROR('APPENDIX 21'!I24/NEPI!I24*100,"0.0")</f>
        <v>0.0</v>
      </c>
      <c r="J24" s="203" t="str">
        <f>IFERROR('APPENDIX 21'!J24/NEPI!J24*100,"0.0")</f>
        <v>0.0</v>
      </c>
      <c r="K24" s="203" t="str">
        <f>IFERROR('APPENDIX 21'!K24/NEPI!K24*100,"0.0")</f>
        <v>0.0</v>
      </c>
      <c r="L24" s="203" t="str">
        <f>IFERROR('APPENDIX 21'!L24/NEPI!L24*100,"0.0")</f>
        <v>0.0</v>
      </c>
      <c r="M24" s="203" t="str">
        <f>IFERROR('APPENDIX 21'!M24/NEPI!M24*100,"0.0")</f>
        <v>0.0</v>
      </c>
      <c r="N24" s="203" t="str">
        <f>IFERROR('APPENDIX 21'!N24/NEPI!N24*100,"0.0")</f>
        <v>0.0</v>
      </c>
      <c r="O24" s="203">
        <f>IFERROR('APPENDIX 21'!O24/NEPI!O24*100,"0.0")</f>
        <v>81.869608719044322</v>
      </c>
      <c r="P24" s="203" t="str">
        <f>IFERROR('APPENDIX 21'!P24/NEPI!P24*100,"0.0")</f>
        <v>0.0</v>
      </c>
      <c r="Q24" s="204">
        <f>IFERROR('APPENDIX 21'!Q24/NEPI!Q24*100,"0.00")</f>
        <v>81.869608719044322</v>
      </c>
    </row>
    <row r="25" spans="2:17" ht="20" customHeight="1" x14ac:dyDescent="0.35">
      <c r="B25" s="75" t="str">
        <f>'APPENDIX 21'!B25</f>
        <v xml:space="preserve">KENINDIA ASSURANCE COMPANY </v>
      </c>
      <c r="C25" s="203" t="str">
        <f>IFERROR('APPENDIX 21'!C25/NEPI!C25*100,"0.0")</f>
        <v>0.0</v>
      </c>
      <c r="D25" s="203">
        <f>IFERROR('APPENDIX 21'!D25/NEPI!D25*100,"0.0")</f>
        <v>123.07772546581907</v>
      </c>
      <c r="E25" s="203">
        <f>IFERROR('APPENDIX 21'!E25/NEPI!E25*100,"0.0")</f>
        <v>-3.9548586499591969</v>
      </c>
      <c r="F25" s="203">
        <f>IFERROR('APPENDIX 21'!F25/NEPI!F25*100,"0.0")</f>
        <v>99.219231243652345</v>
      </c>
      <c r="G25" s="203">
        <f>IFERROR('APPENDIX 21'!G25/NEPI!G25*100,"0.0")</f>
        <v>71.860630346702493</v>
      </c>
      <c r="H25" s="203">
        <f>IFERROR('APPENDIX 21'!H25/NEPI!H25*100,"0.0")</f>
        <v>-0.12436262437416884</v>
      </c>
      <c r="I25" s="203">
        <f>IFERROR('APPENDIX 21'!I25/NEPI!I25*100,"0.0")</f>
        <v>93.927404214413968</v>
      </c>
      <c r="J25" s="203">
        <f>IFERROR('APPENDIX 21'!J25/NEPI!J25*100,"0.0")</f>
        <v>69.104575751099915</v>
      </c>
      <c r="K25" s="203" t="str">
        <f>IFERROR('APPENDIX 21'!K25/NEPI!K25*100,"0.0")</f>
        <v>0.0</v>
      </c>
      <c r="L25" s="203">
        <f>IFERROR('APPENDIX 21'!L25/NEPI!L25*100,"0.0")</f>
        <v>-30.458044251147705</v>
      </c>
      <c r="M25" s="203">
        <f>IFERROR('APPENDIX 21'!M25/NEPI!M25*100,"0.0")</f>
        <v>124.0079728697723</v>
      </c>
      <c r="N25" s="203">
        <f>IFERROR('APPENDIX 21'!N25/NEPI!N25*100,"0.0")</f>
        <v>36.11679956170736</v>
      </c>
      <c r="O25" s="203">
        <f>IFERROR('APPENDIX 21'!O25/NEPI!O25*100,"0.0")</f>
        <v>56.421086660080036</v>
      </c>
      <c r="P25" s="203">
        <f>IFERROR('APPENDIX 21'!P25/NEPI!P25*100,"0.0")</f>
        <v>8.6257991221708448</v>
      </c>
      <c r="Q25" s="204">
        <f>IFERROR('APPENDIX 21'!Q25/NEPI!Q25*100,"0.00")</f>
        <v>68.798051670564647</v>
      </c>
    </row>
    <row r="26" spans="2:17" ht="20" customHeight="1" x14ac:dyDescent="0.35">
      <c r="B26" s="75" t="str">
        <f>'APPENDIX 21'!B26</f>
        <v>KENYA ORIENT INSURANCE</v>
      </c>
      <c r="C26" s="203" t="str">
        <f>IFERROR('APPENDIX 21'!C26/NEPI!C26*100,"0.0")</f>
        <v>0.0</v>
      </c>
      <c r="D26" s="203">
        <f>IFERROR('APPENDIX 21'!D26/NEPI!D26*100,"0.0")</f>
        <v>-62.500384162741682</v>
      </c>
      <c r="E26" s="203">
        <f>IFERROR('APPENDIX 21'!E26/NEPI!E26*100,"0.0")</f>
        <v>24.120005549318087</v>
      </c>
      <c r="F26" s="203">
        <f>IFERROR('APPENDIX 21'!F26/NEPI!F26*100,"0.0")</f>
        <v>9.2464591061550347</v>
      </c>
      <c r="G26" s="203">
        <f>IFERROR('APPENDIX 21'!G26/NEPI!G26*100,"0.0")</f>
        <v>-12.744776184619708</v>
      </c>
      <c r="H26" s="203">
        <f>IFERROR('APPENDIX 21'!H26/NEPI!H26*100,"0.0")</f>
        <v>-235.86581645747106</v>
      </c>
      <c r="I26" s="203">
        <f>IFERROR('APPENDIX 21'!I26/NEPI!I26*100,"0.0")</f>
        <v>33.428677272314722</v>
      </c>
      <c r="J26" s="203">
        <f>IFERROR('APPENDIX 21'!J26/NEPI!J26*100,"0.0")</f>
        <v>15.547266016167951</v>
      </c>
      <c r="K26" s="203">
        <f>IFERROR('APPENDIX 21'!K26/NEPI!K26*100,"0.0")</f>
        <v>139.2735729478531</v>
      </c>
      <c r="L26" s="203">
        <f>IFERROR('APPENDIX 21'!L26/NEPI!L26*100,"0.0")</f>
        <v>72.39983430689621</v>
      </c>
      <c r="M26" s="203">
        <f>IFERROR('APPENDIX 21'!M26/NEPI!M26*100,"0.0")</f>
        <v>-16.640136433450454</v>
      </c>
      <c r="N26" s="203">
        <f>IFERROR('APPENDIX 21'!N26/NEPI!N26*100,"0.0")</f>
        <v>6.4011133408181795</v>
      </c>
      <c r="O26" s="203" t="str">
        <f>IFERROR('APPENDIX 21'!O26/NEPI!O26*100,"0.0")</f>
        <v>0.0</v>
      </c>
      <c r="P26" s="203">
        <f>IFERROR('APPENDIX 21'!P26/NEPI!P26*100,"0.0")</f>
        <v>75.127944083275551</v>
      </c>
      <c r="Q26" s="204">
        <f>IFERROR('APPENDIX 21'!Q26/NEPI!Q26*100,"0.00")</f>
        <v>29.02240979222816</v>
      </c>
    </row>
    <row r="27" spans="2:17" ht="20" customHeight="1" x14ac:dyDescent="0.35">
      <c r="B27" s="75" t="str">
        <f>'APPENDIX 21'!B27</f>
        <v>MADISON INSURANCE COMPANY</v>
      </c>
      <c r="C27" s="203" t="str">
        <f>IFERROR('APPENDIX 21'!C27/NEPI!C27*100,"0.0")</f>
        <v>0.0</v>
      </c>
      <c r="D27" s="203">
        <f>IFERROR('APPENDIX 21'!D27/NEPI!D27*100,"0.0")</f>
        <v>24.170204861733531</v>
      </c>
      <c r="E27" s="203">
        <f>IFERROR('APPENDIX 21'!E27/NEPI!E27*100,"0.0")</f>
        <v>25.446914459600382</v>
      </c>
      <c r="F27" s="203">
        <f>IFERROR('APPENDIX 21'!F27/NEPI!F27*100,"0.0")</f>
        <v>23.743231318240788</v>
      </c>
      <c r="G27" s="203">
        <f>IFERROR('APPENDIX 21'!G27/NEPI!G27*100,"0.0")</f>
        <v>44.696776701427261</v>
      </c>
      <c r="H27" s="203">
        <f>IFERROR('APPENDIX 21'!H27/NEPI!H27*100,"0.0")</f>
        <v>63.602830002776159</v>
      </c>
      <c r="I27" s="203">
        <f>IFERROR('APPENDIX 21'!I27/NEPI!I27*100,"0.0")</f>
        <v>83.941222432489099</v>
      </c>
      <c r="J27" s="203">
        <f>IFERROR('APPENDIX 21'!J27/NEPI!J27*100,"0.0")</f>
        <v>52.21942321195754</v>
      </c>
      <c r="K27" s="203">
        <f>IFERROR('APPENDIX 21'!K27/NEPI!K27*100,"0.0")</f>
        <v>0</v>
      </c>
      <c r="L27" s="203">
        <f>IFERROR('APPENDIX 21'!L27/NEPI!L27*100,"0.0")</f>
        <v>30.130981432746722</v>
      </c>
      <c r="M27" s="203">
        <f>IFERROR('APPENDIX 21'!M27/NEPI!M27*100,"0.0")</f>
        <v>32.249288447017172</v>
      </c>
      <c r="N27" s="203">
        <f>IFERROR('APPENDIX 21'!N27/NEPI!N27*100,"0.0")</f>
        <v>51.208224750673914</v>
      </c>
      <c r="O27" s="203">
        <f>IFERROR('APPENDIX 21'!O27/NEPI!O27*100,"0.0")</f>
        <v>85.898894750759609</v>
      </c>
      <c r="P27" s="203">
        <f>IFERROR('APPENDIX 21'!P27/NEPI!P27*100,"0.0")</f>
        <v>18.125051408987751</v>
      </c>
      <c r="Q27" s="204">
        <f>IFERROR('APPENDIX 21'!Q27/NEPI!Q27*100,"0.00")</f>
        <v>74.22959529674975</v>
      </c>
    </row>
    <row r="28" spans="2:17" ht="20" customHeight="1" x14ac:dyDescent="0.35">
      <c r="B28" s="75" t="str">
        <f>'APPENDIX 21'!B28</f>
        <v>MAYFAIR INSURANCE COMPANY</v>
      </c>
      <c r="C28" s="203">
        <f>IFERROR('APPENDIX 21'!C28/NEPI!C28*100,"0.0")</f>
        <v>38.053231465274905</v>
      </c>
      <c r="D28" s="203">
        <f>IFERROR('APPENDIX 21'!D28/NEPI!D28*100,"0.0")</f>
        <v>51.847214803723688</v>
      </c>
      <c r="E28" s="203">
        <f>IFERROR('APPENDIX 21'!E28/NEPI!E28*100,"0.0")</f>
        <v>-5.2194158046794659</v>
      </c>
      <c r="F28" s="203">
        <f>IFERROR('APPENDIX 21'!F28/NEPI!F28*100,"0.0")</f>
        <v>56.442620315370284</v>
      </c>
      <c r="G28" s="203">
        <f>IFERROR('APPENDIX 21'!G28/NEPI!G28*100,"0.0")</f>
        <v>32.108385358624233</v>
      </c>
      <c r="H28" s="203">
        <f>IFERROR('APPENDIX 21'!H28/NEPI!H28*100,"0.0")</f>
        <v>39.13220472857406</v>
      </c>
      <c r="I28" s="203">
        <f>IFERROR('APPENDIX 21'!I28/NEPI!I28*100,"0.0")</f>
        <v>49.94334020695527</v>
      </c>
      <c r="J28" s="203">
        <f>IFERROR('APPENDIX 21'!J28/NEPI!J28*100,"0.0")</f>
        <v>80.529812008629193</v>
      </c>
      <c r="K28" s="203">
        <f>IFERROR('APPENDIX 21'!K28/NEPI!K28*100,"0.0")</f>
        <v>0</v>
      </c>
      <c r="L28" s="203">
        <f>IFERROR('APPENDIX 21'!L28/NEPI!L28*100,"0.0")</f>
        <v>20.231235507152601</v>
      </c>
      <c r="M28" s="203">
        <f>IFERROR('APPENDIX 21'!M28/NEPI!M28*100,"0.0")</f>
        <v>75.093054961779231</v>
      </c>
      <c r="N28" s="203">
        <f>IFERROR('APPENDIX 21'!N28/NEPI!N28*100,"0.0")</f>
        <v>57.514946976185378</v>
      </c>
      <c r="O28" s="203" t="str">
        <f>IFERROR('APPENDIX 21'!O28/NEPI!O28*100,"0.0")</f>
        <v>0.0</v>
      </c>
      <c r="P28" s="203">
        <f>IFERROR('APPENDIX 21'!P28/NEPI!P28*100,"0.0")</f>
        <v>35.761215727258268</v>
      </c>
      <c r="Q28" s="204">
        <f>IFERROR('APPENDIX 21'!Q28/NEPI!Q28*100,"0.00")</f>
        <v>52.408352513077247</v>
      </c>
    </row>
    <row r="29" spans="2:17" ht="20" customHeight="1" x14ac:dyDescent="0.35">
      <c r="B29" s="75" t="str">
        <f>'APPENDIX 21'!B29</f>
        <v>MUA INSURANCE COMPANY</v>
      </c>
      <c r="C29" s="203">
        <f>IFERROR('APPENDIX 21'!C29/NEPI!C29*100,"0.0")</f>
        <v>32.970521239206477</v>
      </c>
      <c r="D29" s="203">
        <f>IFERROR('APPENDIX 21'!D29/NEPI!D29*100,"0.0")</f>
        <v>30.806859294209481</v>
      </c>
      <c r="E29" s="203">
        <f>IFERROR('APPENDIX 21'!E29/NEPI!E29*100,"0.0")</f>
        <v>227.61226648726671</v>
      </c>
      <c r="F29" s="203">
        <f>IFERROR('APPENDIX 21'!F29/NEPI!F29*100,"0.0")</f>
        <v>7.6264254032083452</v>
      </c>
      <c r="G29" s="203">
        <f>IFERROR('APPENDIX 21'!G29/NEPI!G29*100,"0.0")</f>
        <v>103.47763704179638</v>
      </c>
      <c r="H29" s="203">
        <f>IFERROR('APPENDIX 21'!H29/NEPI!H29*100,"0.0")</f>
        <v>19.029808632846283</v>
      </c>
      <c r="I29" s="203">
        <f>IFERROR('APPENDIX 21'!I29/NEPI!I29*100,"0.0")</f>
        <v>74.242063763995588</v>
      </c>
      <c r="J29" s="203">
        <f>IFERROR('APPENDIX 21'!J29/NEPI!J29*100,"0.0")</f>
        <v>95.474797947869618</v>
      </c>
      <c r="K29" s="203" t="str">
        <f>IFERROR('APPENDIX 21'!K29/NEPI!K29*100,"0.0")</f>
        <v>0.0</v>
      </c>
      <c r="L29" s="203">
        <f>IFERROR('APPENDIX 21'!L29/NEPI!L29*100,"0.0")</f>
        <v>73.426768990670695</v>
      </c>
      <c r="M29" s="203">
        <f>IFERROR('APPENDIX 21'!M29/NEPI!M29*100,"0.0")</f>
        <v>3.6426651386369504</v>
      </c>
      <c r="N29" s="203">
        <f>IFERROR('APPENDIX 21'!N29/NEPI!N29*100,"0.0")</f>
        <v>43.97988109816621</v>
      </c>
      <c r="O29" s="203">
        <f>IFERROR('APPENDIX 21'!O29/NEPI!O29*100,"0.0")</f>
        <v>79.066945424484686</v>
      </c>
      <c r="P29" s="203">
        <f>IFERROR('APPENDIX 21'!P29/NEPI!P29*100,"0.0")</f>
        <v>-269.67538007550957</v>
      </c>
      <c r="Q29" s="204">
        <f>IFERROR('APPENDIX 21'!Q29/NEPI!Q29*100,"0.00")</f>
        <v>70.349410967207106</v>
      </c>
    </row>
    <row r="30" spans="2:17" ht="20" customHeight="1" x14ac:dyDescent="0.35">
      <c r="B30" s="75" t="str">
        <f>'APPENDIX 21'!B30</f>
        <v>NCBA INSURANCE COMPANY</v>
      </c>
      <c r="C30" s="203">
        <f>IFERROR('APPENDIX 21'!C30/NEPI!C30*100,"0.0")</f>
        <v>0</v>
      </c>
      <c r="D30" s="203">
        <f>IFERROR('APPENDIX 21'!D30/NEPI!D30*100,"0.0")</f>
        <v>20.562420282970486</v>
      </c>
      <c r="E30" s="203">
        <f>IFERROR('APPENDIX 21'!E30/NEPI!E30*100,"0.0")</f>
        <v>35.300832557944005</v>
      </c>
      <c r="F30" s="203">
        <f>IFERROR('APPENDIX 21'!F30/NEPI!F30*100,"0.0")</f>
        <v>29.319638449800905</v>
      </c>
      <c r="G30" s="203">
        <f>IFERROR('APPENDIX 21'!G30/NEPI!G30*100,"0.0")</f>
        <v>19.124154972605389</v>
      </c>
      <c r="H30" s="203">
        <f>IFERROR('APPENDIX 21'!H30/NEPI!H30*100,"0.0")</f>
        <v>114.54112930863126</v>
      </c>
      <c r="I30" s="203">
        <f>IFERROR('APPENDIX 21'!I30/NEPI!I30*100,"0.0")</f>
        <v>46.837912733193491</v>
      </c>
      <c r="J30" s="203">
        <f>IFERROR('APPENDIX 21'!J30/NEPI!J30*100,"0.0")</f>
        <v>52.80660965764563</v>
      </c>
      <c r="K30" s="203" t="str">
        <f>IFERROR('APPENDIX 21'!K30/NEPI!K30*100,"0.0")</f>
        <v>0.0</v>
      </c>
      <c r="L30" s="203">
        <f>IFERROR('APPENDIX 21'!L30/NEPI!L30*100,"0.0")</f>
        <v>-0.78692539656299121</v>
      </c>
      <c r="M30" s="203">
        <f>IFERROR('APPENDIX 21'!M30/NEPI!M30*100,"0.0")</f>
        <v>-19.071329923536862</v>
      </c>
      <c r="N30" s="203">
        <f>IFERROR('APPENDIX 21'!N30/NEPI!N30*100,"0.0")</f>
        <v>53.51563937453404</v>
      </c>
      <c r="O30" s="203" t="str">
        <f>IFERROR('APPENDIX 21'!O30/NEPI!O30*100,"0.0")</f>
        <v>0.0</v>
      </c>
      <c r="P30" s="203">
        <f>IFERROR('APPENDIX 21'!P30/NEPI!P30*100,"0.0")</f>
        <v>0</v>
      </c>
      <c r="Q30" s="204">
        <f>IFERROR('APPENDIX 21'!Q30/NEPI!Q30*100,"0.00")</f>
        <v>38.260176054461496</v>
      </c>
    </row>
    <row r="31" spans="2:17" ht="20" customHeight="1" x14ac:dyDescent="0.35">
      <c r="B31" s="75" t="str">
        <f>'APPENDIX 21'!B31</f>
        <v xml:space="preserve">OCCIDENTAL INSURANCE COMPANY </v>
      </c>
      <c r="C31" s="203">
        <f>IFERROR('APPENDIX 21'!C31/NEPI!C31*100,"0.0")</f>
        <v>0</v>
      </c>
      <c r="D31" s="203">
        <f>IFERROR('APPENDIX 21'!D31/NEPI!D31*100,"0.0")</f>
        <v>198.83715068210915</v>
      </c>
      <c r="E31" s="203">
        <f>IFERROR('APPENDIX 21'!E31/NEPI!E31*100,"0.0")</f>
        <v>-57.602629962033845</v>
      </c>
      <c r="F31" s="203">
        <f>IFERROR('APPENDIX 21'!F31/NEPI!F31*100,"0.0")</f>
        <v>-39.28311304573819</v>
      </c>
      <c r="G31" s="203">
        <f>IFERROR('APPENDIX 21'!G31/NEPI!G31*100,"0.0")</f>
        <v>80.351533794170422</v>
      </c>
      <c r="H31" s="203">
        <f>IFERROR('APPENDIX 21'!H31/NEPI!H31*100,"0.0")</f>
        <v>21.371083196517887</v>
      </c>
      <c r="I31" s="203">
        <f>IFERROR('APPENDIX 21'!I31/NEPI!I31*100,"0.0")</f>
        <v>34.373116096537828</v>
      </c>
      <c r="J31" s="203">
        <f>IFERROR('APPENDIX 21'!J31/NEPI!J31*100,"0.0")</f>
        <v>6.7175906307032154</v>
      </c>
      <c r="K31" s="203" t="str">
        <f>IFERROR('APPENDIX 21'!K31/NEPI!K31*100,"0.0")</f>
        <v>0.0</v>
      </c>
      <c r="L31" s="203">
        <f>IFERROR('APPENDIX 21'!L31/NEPI!L31*100,"0.0")</f>
        <v>222.24447539938285</v>
      </c>
      <c r="M31" s="203">
        <f>IFERROR('APPENDIX 21'!M31/NEPI!M31*100,"0.0")</f>
        <v>20.410922497948206</v>
      </c>
      <c r="N31" s="203">
        <f>IFERROR('APPENDIX 21'!N31/NEPI!N31*100,"0.0")</f>
        <v>124.46628635345417</v>
      </c>
      <c r="O31" s="203" t="str">
        <f>IFERROR('APPENDIX 21'!O31/NEPI!O31*100,"0.0")</f>
        <v>0.0</v>
      </c>
      <c r="P31" s="203">
        <f>IFERROR('APPENDIX 21'!P31/NEPI!P31*100,"0.0")</f>
        <v>59.33783678864615</v>
      </c>
      <c r="Q31" s="204">
        <f>IFERROR('APPENDIX 21'!Q31/NEPI!Q31*100,"0.00")</f>
        <v>41.849438232448257</v>
      </c>
    </row>
    <row r="32" spans="2:17" ht="20" customHeight="1" x14ac:dyDescent="0.35">
      <c r="B32" s="75" t="str">
        <f>'APPENDIX 21'!B32</f>
        <v xml:space="preserve">OLD MUTUAL GENERAL INSURANCE </v>
      </c>
      <c r="C32" s="203">
        <f>IFERROR('APPENDIX 21'!C32/NEPI!C32*100,"0.0")</f>
        <v>106.98923942467988</v>
      </c>
      <c r="D32" s="203">
        <f>IFERROR('APPENDIX 21'!D32/NEPI!D32*100,"0.0")</f>
        <v>37.684733180404301</v>
      </c>
      <c r="E32" s="203">
        <f>IFERROR('APPENDIX 21'!E32/NEPI!E32*100,"0.0")</f>
        <v>6.9563190933084247</v>
      </c>
      <c r="F32" s="203">
        <f>IFERROR('APPENDIX 21'!F32/NEPI!F32*100,"0.0")</f>
        <v>12.19126533928417</v>
      </c>
      <c r="G32" s="203">
        <f>IFERROR('APPENDIX 21'!G32/NEPI!G32*100,"0.0")</f>
        <v>-9.1931276187103776</v>
      </c>
      <c r="H32" s="203">
        <f>IFERROR('APPENDIX 21'!H32/NEPI!H32*100,"0.0")</f>
        <v>22.315728387172236</v>
      </c>
      <c r="I32" s="203">
        <f>IFERROR('APPENDIX 21'!I32/NEPI!I32*100,"0.0")</f>
        <v>59.395955237260786</v>
      </c>
      <c r="J32" s="203">
        <f>IFERROR('APPENDIX 21'!J32/NEPI!J32*100,"0.0")</f>
        <v>63.492251138900954</v>
      </c>
      <c r="K32" s="203" t="str">
        <f>IFERROR('APPENDIX 21'!K32/NEPI!K32*100,"0.0")</f>
        <v>0.0</v>
      </c>
      <c r="L32" s="203">
        <f>IFERROR('APPENDIX 21'!L32/NEPI!L32*100,"0.0")</f>
        <v>4.0923633146119078</v>
      </c>
      <c r="M32" s="203">
        <f>IFERROR('APPENDIX 21'!M32/NEPI!M32*100,"0.0")</f>
        <v>36.391427014745908</v>
      </c>
      <c r="N32" s="203">
        <f>IFERROR('APPENDIX 21'!N32/NEPI!N32*100,"0.0")</f>
        <v>28.848904878916731</v>
      </c>
      <c r="O32" s="203">
        <f>IFERROR('APPENDIX 21'!O32/NEPI!O32*100,"0.0")</f>
        <v>75.870517625632445</v>
      </c>
      <c r="P32" s="203">
        <f>IFERROR('APPENDIX 21'!P32/NEPI!P32*100,"0.0")</f>
        <v>34.401598217850321</v>
      </c>
      <c r="Q32" s="204">
        <f>IFERROR('APPENDIX 21'!Q32/NEPI!Q32*100,"0.00")</f>
        <v>67.485751408972433</v>
      </c>
    </row>
    <row r="33" spans="2:17" ht="20" customHeight="1" x14ac:dyDescent="0.35">
      <c r="B33" s="75" t="str">
        <f>'APPENDIX 21'!B33</f>
        <v>PACIS INSURANCE COMPANY</v>
      </c>
      <c r="C33" s="203" t="str">
        <f>IFERROR('APPENDIX 21'!C33/NEPI!C33*100,"0.0")</f>
        <v>0.0</v>
      </c>
      <c r="D33" s="203">
        <f>IFERROR('APPENDIX 21'!D33/NEPI!D33*100,"0.0")</f>
        <v>111.66601982897757</v>
      </c>
      <c r="E33" s="203">
        <f>IFERROR('APPENDIX 21'!E33/NEPI!E33*100,"0.0")</f>
        <v>25.421823624019762</v>
      </c>
      <c r="F33" s="203">
        <f>IFERROR('APPENDIX 21'!F33/NEPI!F33*100,"0.0")</f>
        <v>21.13416178150635</v>
      </c>
      <c r="G33" s="203">
        <f>IFERROR('APPENDIX 21'!G33/NEPI!G33*100,"0.0")</f>
        <v>22.011620676884611</v>
      </c>
      <c r="H33" s="203">
        <f>IFERROR('APPENDIX 21'!H33/NEPI!H33*100,"0.0")</f>
        <v>20.935679431960022</v>
      </c>
      <c r="I33" s="203">
        <f>IFERROR('APPENDIX 21'!I33/NEPI!I33*100,"0.0")</f>
        <v>57.125402298122793</v>
      </c>
      <c r="J33" s="203">
        <f>IFERROR('APPENDIX 21'!J33/NEPI!J33*100,"0.0")</f>
        <v>53.276196991251723</v>
      </c>
      <c r="K33" s="203" t="str">
        <f>IFERROR('APPENDIX 21'!K33/NEPI!K33*100,"0.0")</f>
        <v>0.0</v>
      </c>
      <c r="L33" s="203">
        <f>IFERROR('APPENDIX 21'!L33/NEPI!L33*100,"0.0")</f>
        <v>15.309424347451472</v>
      </c>
      <c r="M33" s="203">
        <f>IFERROR('APPENDIX 21'!M33/NEPI!M33*100,"0.0")</f>
        <v>-4.2443921798313715</v>
      </c>
      <c r="N33" s="203">
        <f>IFERROR('APPENDIX 21'!N33/NEPI!N33*100,"0.0")</f>
        <v>25.760109143794118</v>
      </c>
      <c r="O33" s="203">
        <f>IFERROR('APPENDIX 21'!O33/NEPI!O33*100,"0.0")</f>
        <v>72.995778231031395</v>
      </c>
      <c r="P33" s="203">
        <f>IFERROR('APPENDIX 21'!P33/NEPI!P33*100,"0.0")</f>
        <v>-0.13728498415902915</v>
      </c>
      <c r="Q33" s="204">
        <f>IFERROR('APPENDIX 21'!Q33/NEPI!Q33*100,"0.00")</f>
        <v>56.168358822313827</v>
      </c>
    </row>
    <row r="34" spans="2:17" ht="20" customHeight="1" x14ac:dyDescent="0.35">
      <c r="B34" s="75" t="str">
        <f>'APPENDIX 21'!B34</f>
        <v>PIONEER INSURANCE COMPANY</v>
      </c>
      <c r="C34" s="203">
        <f>IFERROR('APPENDIX 21'!C34/NEPI!C34*100,"0.0")</f>
        <v>0</v>
      </c>
      <c r="D34" s="203">
        <f>IFERROR('APPENDIX 21'!D34/NEPI!D34*100,"0.0")</f>
        <v>-1.3296102540261512</v>
      </c>
      <c r="E34" s="203">
        <f>IFERROR('APPENDIX 21'!E34/NEPI!E34*100,"0.0")</f>
        <v>-1.3081155263939883</v>
      </c>
      <c r="F34" s="203">
        <f>IFERROR('APPENDIX 21'!F34/NEPI!F34*100,"0.0")</f>
        <v>-81.617853445007484</v>
      </c>
      <c r="G34" s="203">
        <f>IFERROR('APPENDIX 21'!G34/NEPI!G34*100,"0.0")</f>
        <v>19.026231815994457</v>
      </c>
      <c r="H34" s="203">
        <f>IFERROR('APPENDIX 21'!H34/NEPI!H34*100,"0.0")</f>
        <v>23.095033449037778</v>
      </c>
      <c r="I34" s="203">
        <f>IFERROR('APPENDIX 21'!I34/NEPI!I34*100,"0.0")</f>
        <v>74.309342946698592</v>
      </c>
      <c r="J34" s="203">
        <f>IFERROR('APPENDIX 21'!J34/NEPI!J34*100,"0.0")</f>
        <v>91.435262689289772</v>
      </c>
      <c r="K34" s="203">
        <f>IFERROR('APPENDIX 21'!K34/NEPI!K34*100,"0.0")</f>
        <v>0</v>
      </c>
      <c r="L34" s="203">
        <f>IFERROR('APPENDIX 21'!L34/NEPI!L34*100,"0.0")</f>
        <v>32.232206254091494</v>
      </c>
      <c r="M34" s="203">
        <f>IFERROR('APPENDIX 21'!M34/NEPI!M34*100,"0.0")</f>
        <v>11.983161291419547</v>
      </c>
      <c r="N34" s="203">
        <f>IFERROR('APPENDIX 21'!N34/NEPI!N34*100,"0.0")</f>
        <v>110.92329259933462</v>
      </c>
      <c r="O34" s="203" t="str">
        <f>IFERROR('APPENDIX 21'!O34/NEPI!O34*100,"0.0")</f>
        <v>0.0</v>
      </c>
      <c r="P34" s="203">
        <f>IFERROR('APPENDIX 21'!P34/NEPI!P34*100,"0.0")</f>
        <v>-0.67374417137349951</v>
      </c>
      <c r="Q34" s="204">
        <f>IFERROR('APPENDIX 21'!Q34/NEPI!Q34*100,"0.00")</f>
        <v>68.351789580447644</v>
      </c>
    </row>
    <row r="35" spans="2:17" ht="20" customHeight="1" x14ac:dyDescent="0.35">
      <c r="B35" s="75" t="str">
        <f>'APPENDIX 21'!B35</f>
        <v>SANLAM ALLIANZ GENERAL INSURANCE</v>
      </c>
      <c r="C35" s="203" t="str">
        <f>IFERROR('APPENDIX 21'!C35/NEPI!C35*100,"0.0")</f>
        <v>0.0</v>
      </c>
      <c r="D35" s="203">
        <f>IFERROR('APPENDIX 21'!D35/NEPI!D35*100,"0.0")</f>
        <v>41.13974713122969</v>
      </c>
      <c r="E35" s="203">
        <f>IFERROR('APPENDIX 21'!E35/NEPI!E35*100,"0.0")</f>
        <v>60.687686992738236</v>
      </c>
      <c r="F35" s="203">
        <f>IFERROR('APPENDIX 21'!F35/NEPI!F35*100,"0.0")</f>
        <v>36.657423299562772</v>
      </c>
      <c r="G35" s="203">
        <f>IFERROR('APPENDIX 21'!G35/NEPI!G35*100,"0.0")</f>
        <v>51.545148927698449</v>
      </c>
      <c r="H35" s="203">
        <f>IFERROR('APPENDIX 21'!H35/NEPI!H35*100,"0.0")</f>
        <v>45.483145079155818</v>
      </c>
      <c r="I35" s="203">
        <f>IFERROR('APPENDIX 21'!I35/NEPI!I35*100,"0.0")</f>
        <v>70.756709918824285</v>
      </c>
      <c r="J35" s="203">
        <f>IFERROR('APPENDIX 21'!J35/NEPI!J35*100,"0.0")</f>
        <v>66.095384951905118</v>
      </c>
      <c r="K35" s="203" t="str">
        <f>IFERROR('APPENDIX 21'!K35/NEPI!K35*100,"0.0")</f>
        <v>0.0</v>
      </c>
      <c r="L35" s="203">
        <f>IFERROR('APPENDIX 21'!L35/NEPI!L35*100,"0.0")</f>
        <v>128.61675140843104</v>
      </c>
      <c r="M35" s="203">
        <f>IFERROR('APPENDIX 21'!M35/NEPI!M35*100,"0.0")</f>
        <v>60.773525158517629</v>
      </c>
      <c r="N35" s="203">
        <f>IFERROR('APPENDIX 21'!N35/NEPI!N35*100,"0.0")</f>
        <v>-17.272080809043043</v>
      </c>
      <c r="O35" s="203" t="str">
        <f>IFERROR('APPENDIX 21'!O35/NEPI!O35*100,"0.0")</f>
        <v>0.0</v>
      </c>
      <c r="P35" s="203">
        <f>IFERROR('APPENDIX 21'!P35/NEPI!P35*100,"0.0")</f>
        <v>111.32485486406622</v>
      </c>
      <c r="Q35" s="204">
        <f>IFERROR('APPENDIX 21'!Q35/NEPI!Q35*100,"0.00")</f>
        <v>60.802528914332946</v>
      </c>
    </row>
    <row r="36" spans="2:17" ht="20" customHeight="1" x14ac:dyDescent="0.35">
      <c r="B36" s="75" t="str">
        <f>'APPENDIX 21'!B36</f>
        <v>STAR DISCOVER INSURANCE</v>
      </c>
      <c r="C36" s="203">
        <f>IFERROR('APPENDIX 21'!C36/NEPI!C36*100,"0.0")</f>
        <v>0</v>
      </c>
      <c r="D36" s="203">
        <f>IFERROR('APPENDIX 21'!D36/NEPI!D36*100,"0.0")</f>
        <v>95.112583923312172</v>
      </c>
      <c r="E36" s="203">
        <f>IFERROR('APPENDIX 21'!E36/NEPI!E36*100,"0.0")</f>
        <v>0</v>
      </c>
      <c r="F36" s="203">
        <f>IFERROR('APPENDIX 21'!F36/NEPI!F36*100,"0.0")</f>
        <v>-142.03929213254665</v>
      </c>
      <c r="G36" s="203">
        <f>IFERROR('APPENDIX 21'!G36/NEPI!G36*100,"0.0")</f>
        <v>0</v>
      </c>
      <c r="H36" s="203">
        <f>IFERROR('APPENDIX 21'!H36/NEPI!H36*100,"0.0")</f>
        <v>0</v>
      </c>
      <c r="I36" s="203">
        <f>IFERROR('APPENDIX 21'!I36/NEPI!I36*100,"0.0")</f>
        <v>197.80751966256551</v>
      </c>
      <c r="J36" s="203">
        <f>IFERROR('APPENDIX 21'!J36/NEPI!J36*100,"0.0")</f>
        <v>17.266702718897886</v>
      </c>
      <c r="K36" s="203" t="str">
        <f>IFERROR('APPENDIX 21'!K36/NEPI!K36*100,"0.0")</f>
        <v>0.0</v>
      </c>
      <c r="L36" s="203">
        <f>IFERROR('APPENDIX 21'!L36/NEPI!L36*100,"0.0")</f>
        <v>-4.2561806372279873</v>
      </c>
      <c r="M36" s="203">
        <f>IFERROR('APPENDIX 21'!M36/NEPI!M36*100,"0.0")</f>
        <v>96.674754729603407</v>
      </c>
      <c r="N36" s="203">
        <f>IFERROR('APPENDIX 21'!N36/NEPI!N36*100,"0.0")</f>
        <v>-0.49677199970573793</v>
      </c>
      <c r="O36" s="203">
        <f>IFERROR('APPENDIX 21'!O36/NEPI!O36*100,"0.0")</f>
        <v>84.63331881212477</v>
      </c>
      <c r="P36" s="203">
        <f>IFERROR('APPENDIX 21'!P36/NEPI!P36*100,"0.0")</f>
        <v>0.52754639729483666</v>
      </c>
      <c r="Q36" s="204">
        <f>IFERROR('APPENDIX 21'!Q36/NEPI!Q36*100,"0.00")</f>
        <v>84.261198562729959</v>
      </c>
    </row>
    <row r="37" spans="2:17" ht="20" customHeight="1" x14ac:dyDescent="0.35">
      <c r="B37" s="75" t="str">
        <f>'APPENDIX 21'!B37</f>
        <v>TAKAFUL INSURANCE OF AFRICA</v>
      </c>
      <c r="C37" s="203" t="str">
        <f>IFERROR('APPENDIX 21'!C37/NEPI!C37*100,"0.0")</f>
        <v>0.0</v>
      </c>
      <c r="D37" s="203">
        <f>IFERROR('APPENDIX 21'!D37/NEPI!D37*100,"0.0")</f>
        <v>2.9375914275709238</v>
      </c>
      <c r="E37" s="203">
        <f>IFERROR('APPENDIX 21'!E37/NEPI!E37*100,"0.0")</f>
        <v>15.382291911292734</v>
      </c>
      <c r="F37" s="203">
        <f>IFERROR('APPENDIX 21'!F37/NEPI!F37*100,"0.0")</f>
        <v>-109.91728452667941</v>
      </c>
      <c r="G37" s="203">
        <f>IFERROR('APPENDIX 21'!G37/NEPI!G37*100,"0.0")</f>
        <v>26.984478110942934</v>
      </c>
      <c r="H37" s="203">
        <f>IFERROR('APPENDIX 21'!H37/NEPI!H37*100,"0.0")</f>
        <v>18.370441176882156</v>
      </c>
      <c r="I37" s="203">
        <f>IFERROR('APPENDIX 21'!I37/NEPI!I37*100,"0.0")</f>
        <v>117.32479202834523</v>
      </c>
      <c r="J37" s="203">
        <f>IFERROR('APPENDIX 21'!J37/NEPI!J37*100,"0.0")</f>
        <v>60.593962005055054</v>
      </c>
      <c r="K37" s="203" t="str">
        <f>IFERROR('APPENDIX 21'!K37/NEPI!K37*100,"0.0")</f>
        <v>0.0</v>
      </c>
      <c r="L37" s="203">
        <f>IFERROR('APPENDIX 21'!L37/NEPI!L37*100,"0.0")</f>
        <v>188.61565217616686</v>
      </c>
      <c r="M37" s="203">
        <f>IFERROR('APPENDIX 21'!M37/NEPI!M37*100,"0.0")</f>
        <v>31.347320981166014</v>
      </c>
      <c r="N37" s="203">
        <f>IFERROR('APPENDIX 21'!N37/NEPI!N37*100,"0.0")</f>
        <v>24.268747579749753</v>
      </c>
      <c r="O37" s="203">
        <f>IFERROR('APPENDIX 21'!O37/NEPI!O37*100,"0.0")</f>
        <v>169.79885045500623</v>
      </c>
      <c r="P37" s="203">
        <f>IFERROR('APPENDIX 21'!P37/NEPI!P37*100,"0.0")</f>
        <v>-39.654952600699708</v>
      </c>
      <c r="Q37" s="204">
        <f>IFERROR('APPENDIX 21'!Q37/NEPI!Q37*100,"0.00")</f>
        <v>69.38275252360711</v>
      </c>
    </row>
    <row r="38" spans="2:17" ht="20" customHeight="1" x14ac:dyDescent="0.35">
      <c r="B38" s="75" t="str">
        <f>'APPENDIX 21'!B38</f>
        <v>TAUSI ASSURANCE COMPANY</v>
      </c>
      <c r="C38" s="203" t="str">
        <f>IFERROR('APPENDIX 21'!C38/NEPI!C38*100,"0.0")</f>
        <v>0.0</v>
      </c>
      <c r="D38" s="203">
        <f>IFERROR('APPENDIX 21'!D38/NEPI!D38*100,"0.0")</f>
        <v>21.702108737644611</v>
      </c>
      <c r="E38" s="203">
        <f>IFERROR('APPENDIX 21'!E38/NEPI!E38*100,"0.0")</f>
        <v>11.964173196568716</v>
      </c>
      <c r="F38" s="203">
        <f>IFERROR('APPENDIX 21'!F38/NEPI!F38*100,"0.0")</f>
        <v>-1.0096545973432524E-2</v>
      </c>
      <c r="G38" s="203">
        <f>IFERROR('APPENDIX 21'!G38/NEPI!G38*100,"0.0")</f>
        <v>35.209590656980296</v>
      </c>
      <c r="H38" s="203">
        <f>IFERROR('APPENDIX 21'!H38/NEPI!H38*100,"0.0")</f>
        <v>29.663074981552061</v>
      </c>
      <c r="I38" s="203">
        <f>IFERROR('APPENDIX 21'!I38/NEPI!I38*100,"0.0")</f>
        <v>55.961001075803281</v>
      </c>
      <c r="J38" s="203">
        <f>IFERROR('APPENDIX 21'!J38/NEPI!J38*100,"0.0")</f>
        <v>42.45435280113314</v>
      </c>
      <c r="K38" s="203" t="str">
        <f>IFERROR('APPENDIX 21'!K38/NEPI!K38*100,"0.0")</f>
        <v>0.0</v>
      </c>
      <c r="L38" s="203">
        <f>IFERROR('APPENDIX 21'!L38/NEPI!L38*100,"0.0")</f>
        <v>39.542516410824838</v>
      </c>
      <c r="M38" s="203">
        <f>IFERROR('APPENDIX 21'!M38/NEPI!M38*100,"0.0")</f>
        <v>23.94375249329476</v>
      </c>
      <c r="N38" s="203">
        <f>IFERROR('APPENDIX 21'!N38/NEPI!N38*100,"0.0")</f>
        <v>29.260494955355281</v>
      </c>
      <c r="O38" s="203">
        <f>IFERROR('APPENDIX 21'!O38/NEPI!O38*100,"0.0")</f>
        <v>-41.324945376753298</v>
      </c>
      <c r="P38" s="203">
        <f>IFERROR('APPENDIX 21'!P38/NEPI!P38*100,"0.0")</f>
        <v>24.844415690902931</v>
      </c>
      <c r="Q38" s="204">
        <f>IFERROR('APPENDIX 21'!Q38/NEPI!Q38*100,"0.00")</f>
        <v>28.783938888352651</v>
      </c>
    </row>
    <row r="39" spans="2:17" ht="20" customHeight="1" x14ac:dyDescent="0.35">
      <c r="B39" s="75" t="str">
        <f>'APPENDIX 21'!B39</f>
        <v>THE HERITAGE INSURANCE COMPANY</v>
      </c>
      <c r="C39" s="203">
        <f>IFERROR('APPENDIX 21'!C39/NEPI!C39*100,"0.0")</f>
        <v>78.508535563478631</v>
      </c>
      <c r="D39" s="203">
        <f>IFERROR('APPENDIX 21'!D39/NEPI!D39*100,"0.0")</f>
        <v>23.252324396061884</v>
      </c>
      <c r="E39" s="203">
        <f>IFERROR('APPENDIX 21'!E39/NEPI!E39*100,"0.0")</f>
        <v>18.820722491051932</v>
      </c>
      <c r="F39" s="203">
        <f>IFERROR('APPENDIX 21'!F39/NEPI!F39*100,"0.0")</f>
        <v>40.879570419217941</v>
      </c>
      <c r="G39" s="203">
        <f>IFERROR('APPENDIX 21'!G39/NEPI!G39*100,"0.0")</f>
        <v>35.502571591048479</v>
      </c>
      <c r="H39" s="203">
        <f>IFERROR('APPENDIX 21'!H39/NEPI!H39*100,"0.0")</f>
        <v>14.259277692647924</v>
      </c>
      <c r="I39" s="203">
        <f>IFERROR('APPENDIX 21'!I39/NEPI!I39*100,"0.0")</f>
        <v>64.890337911291979</v>
      </c>
      <c r="J39" s="203">
        <f>IFERROR('APPENDIX 21'!J39/NEPI!J39*100,"0.0")</f>
        <v>75.718883074318313</v>
      </c>
      <c r="K39" s="203">
        <f>IFERROR('APPENDIX 21'!K39/NEPI!K39*100,"0.0")</f>
        <v>-154.22479518511446</v>
      </c>
      <c r="L39" s="203">
        <f>IFERROR('APPENDIX 21'!L39/NEPI!L39*100,"0.0")</f>
        <v>24.898463471250363</v>
      </c>
      <c r="M39" s="203">
        <f>IFERROR('APPENDIX 21'!M39/NEPI!M39*100,"0.0")</f>
        <v>12.042214735115307</v>
      </c>
      <c r="N39" s="203">
        <f>IFERROR('APPENDIX 21'!N39/NEPI!N39*100,"0.0")</f>
        <v>38.251021816736255</v>
      </c>
      <c r="O39" s="203">
        <f>IFERROR('APPENDIX 21'!O39/NEPI!O39*100,"0.0")</f>
        <v>74.958768004027405</v>
      </c>
      <c r="P39" s="203">
        <f>IFERROR('APPENDIX 21'!P39/NEPI!P39*100,"0.0")</f>
        <v>20.217638958510165</v>
      </c>
      <c r="Q39" s="204">
        <f>IFERROR('APPENDIX 21'!Q39/NEPI!Q39*100,"0.00")</f>
        <v>63.351814172710995</v>
      </c>
    </row>
    <row r="40" spans="2:17" ht="20" customHeight="1" x14ac:dyDescent="0.35">
      <c r="B40" s="75" t="str">
        <f>'APPENDIX 21'!B40</f>
        <v xml:space="preserve">THE KENYAN ALLIANCE INSURANCE </v>
      </c>
      <c r="C40" s="203" t="str">
        <f>IFERROR('APPENDIX 21'!C40/NEPI!C40*100,"0.0")</f>
        <v>0.0</v>
      </c>
      <c r="D40" s="203">
        <f>IFERROR('APPENDIX 21'!D40/NEPI!D40*100,"0.0")</f>
        <v>-6.318269401491114</v>
      </c>
      <c r="E40" s="203">
        <f>IFERROR('APPENDIX 21'!E40/NEPI!E40*100,"0.0")</f>
        <v>-14.396909180920673</v>
      </c>
      <c r="F40" s="203">
        <f>IFERROR('APPENDIX 21'!F40/NEPI!F40*100,"0.0")</f>
        <v>-18.562840594269421</v>
      </c>
      <c r="G40" s="203">
        <f>IFERROR('APPENDIX 21'!G40/NEPI!G40*100,"0.0")</f>
        <v>4.5783097511581508</v>
      </c>
      <c r="H40" s="203">
        <f>IFERROR('APPENDIX 21'!H40/NEPI!H40*100,"0.0")</f>
        <v>-40.267220974567422</v>
      </c>
      <c r="I40" s="203">
        <f>IFERROR('APPENDIX 21'!I40/NEPI!I40*100,"0.0")</f>
        <v>83.158150094295635</v>
      </c>
      <c r="J40" s="203">
        <f>IFERROR('APPENDIX 21'!J40/NEPI!J40*100,"0.0")</f>
        <v>103.13174273944867</v>
      </c>
      <c r="K40" s="203" t="str">
        <f>IFERROR('APPENDIX 21'!K40/NEPI!K40*100,"0.0")</f>
        <v>0.0</v>
      </c>
      <c r="L40" s="203">
        <f>IFERROR('APPENDIX 21'!L40/NEPI!L40*100,"0.0")</f>
        <v>29.049045323613491</v>
      </c>
      <c r="M40" s="203">
        <f>IFERROR('APPENDIX 21'!M40/NEPI!M40*100,"0.0")</f>
        <v>-74.45654330522504</v>
      </c>
      <c r="N40" s="203">
        <f>IFERROR('APPENDIX 21'!N40/NEPI!N40*100,"0.0")</f>
        <v>2.7475625894082367</v>
      </c>
      <c r="O40" s="203">
        <f>IFERROR('APPENDIX 21'!O40/NEPI!O40*100,"0.0")</f>
        <v>97.22050229550436</v>
      </c>
      <c r="P40" s="203">
        <f>IFERROR('APPENDIX 21'!P40/NEPI!P40*100,"0.0")</f>
        <v>21.269870527849719</v>
      </c>
      <c r="Q40" s="204">
        <f>IFERROR('APPENDIX 21'!Q40/NEPI!Q40*100,"0.00")</f>
        <v>69.73219928678661</v>
      </c>
    </row>
    <row r="41" spans="2:17" ht="20" customHeight="1" x14ac:dyDescent="0.35">
      <c r="B41" s="75" t="str">
        <f>'APPENDIX 21'!B41</f>
        <v xml:space="preserve">THE MONARCH INSURANCE </v>
      </c>
      <c r="C41" s="203" t="str">
        <f>IFERROR('APPENDIX 21'!C41/NEPI!C41*100,"0.0")</f>
        <v>0.0</v>
      </c>
      <c r="D41" s="203" t="str">
        <f>IFERROR('APPENDIX 21'!D41/NEPI!D41*100,"0.0")</f>
        <v>0.0</v>
      </c>
      <c r="E41" s="203" t="str">
        <f>IFERROR('APPENDIX 21'!E41/NEPI!E41*100,"0.0")</f>
        <v>0.0</v>
      </c>
      <c r="F41" s="203" t="str">
        <f>IFERROR('APPENDIX 21'!F41/NEPI!F41*100,"0.0")</f>
        <v>0.0</v>
      </c>
      <c r="G41" s="203" t="str">
        <f>IFERROR('APPENDIX 21'!G41/NEPI!G41*100,"0.0")</f>
        <v>0.0</v>
      </c>
      <c r="H41" s="203" t="str">
        <f>IFERROR('APPENDIX 21'!H41/NEPI!H41*100,"0.0")</f>
        <v>0.0</v>
      </c>
      <c r="I41" s="203" t="str">
        <f>IFERROR('APPENDIX 21'!I41/NEPI!I41*100,"0.0")</f>
        <v>0.0</v>
      </c>
      <c r="J41" s="203" t="str">
        <f>IFERROR('APPENDIX 21'!J41/NEPI!J41*100,"0.0")</f>
        <v>0.0</v>
      </c>
      <c r="K41" s="203" t="str">
        <f>IFERROR('APPENDIX 21'!K41/NEPI!K41*100,"0.0")</f>
        <v>0.0</v>
      </c>
      <c r="L41" s="203" t="str">
        <f>IFERROR('APPENDIX 21'!L41/NEPI!L41*100,"0.0")</f>
        <v>0.0</v>
      </c>
      <c r="M41" s="203" t="str">
        <f>IFERROR('APPENDIX 21'!M41/NEPI!M41*100,"0.0")</f>
        <v>0.0</v>
      </c>
      <c r="N41" s="203" t="str">
        <f>IFERROR('APPENDIX 21'!N41/NEPI!N41*100,"0.0")</f>
        <v>0.0</v>
      </c>
      <c r="O41" s="203" t="str">
        <f>IFERROR('APPENDIX 21'!O41/NEPI!O41*100,"0.0")</f>
        <v>0.0</v>
      </c>
      <c r="P41" s="203" t="str">
        <f>IFERROR('APPENDIX 21'!P41/NEPI!P41*100,"0.0")</f>
        <v>0.0</v>
      </c>
      <c r="Q41" s="204" t="str">
        <f>IFERROR('APPENDIX 21'!Q41/NEPI!Q41*100,"0.00")</f>
        <v>0.00</v>
      </c>
    </row>
    <row r="42" spans="2:17" ht="20" customHeight="1" x14ac:dyDescent="0.35">
      <c r="B42" s="75" t="str">
        <f>'APPENDIX 21'!B42</f>
        <v xml:space="preserve">TRIDENT INSURANCE COMPANY </v>
      </c>
      <c r="C42" s="203" t="str">
        <f>IFERROR('APPENDIX 21'!C42/NEPI!C42*100,"0.0")</f>
        <v>0.0</v>
      </c>
      <c r="D42" s="203" t="str">
        <f>IFERROR('APPENDIX 21'!D42/NEPI!D42*100,"0.0")</f>
        <v>0.0</v>
      </c>
      <c r="E42" s="203" t="str">
        <f>IFERROR('APPENDIX 21'!E42/NEPI!E42*100,"0.0")</f>
        <v>0.0</v>
      </c>
      <c r="F42" s="203" t="str">
        <f>IFERROR('APPENDIX 21'!F42/NEPI!F42*100,"0.0")</f>
        <v>0.0</v>
      </c>
      <c r="G42" s="203" t="str">
        <f>IFERROR('APPENDIX 21'!G42/NEPI!G42*100,"0.0")</f>
        <v>0.0</v>
      </c>
      <c r="H42" s="203" t="str">
        <f>IFERROR('APPENDIX 21'!H42/NEPI!H42*100,"0.0")</f>
        <v>0.0</v>
      </c>
      <c r="I42" s="203" t="str">
        <f>IFERROR('APPENDIX 21'!I42/NEPI!I42*100,"0.0")</f>
        <v>0.0</v>
      </c>
      <c r="J42" s="203" t="str">
        <f>IFERROR('APPENDIX 21'!J42/NEPI!J42*100,"0.0")</f>
        <v>0.0</v>
      </c>
      <c r="K42" s="203" t="str">
        <f>IFERROR('APPENDIX 21'!K42/NEPI!K42*100,"0.0")</f>
        <v>0.0</v>
      </c>
      <c r="L42" s="203" t="str">
        <f>IFERROR('APPENDIX 21'!L42/NEPI!L42*100,"0.0")</f>
        <v>0.0</v>
      </c>
      <c r="M42" s="203" t="str">
        <f>IFERROR('APPENDIX 21'!M42/NEPI!M42*100,"0.0")</f>
        <v>0.0</v>
      </c>
      <c r="N42" s="203" t="str">
        <f>IFERROR('APPENDIX 21'!N42/NEPI!N42*100,"0.0")</f>
        <v>0.0</v>
      </c>
      <c r="O42" s="203" t="str">
        <f>IFERROR('APPENDIX 21'!O42/NEPI!O42*100,"0.0")</f>
        <v>0.0</v>
      </c>
      <c r="P42" s="203" t="str">
        <f>IFERROR('APPENDIX 21'!P42/NEPI!P42*100,"0.0")</f>
        <v>0.0</v>
      </c>
      <c r="Q42" s="204" t="str">
        <f>IFERROR('APPENDIX 21'!Q42/NEPI!Q42*100,"0.00")</f>
        <v>0.00</v>
      </c>
    </row>
    <row r="43" spans="2:17" ht="20" customHeight="1" x14ac:dyDescent="0.35">
      <c r="B43" s="71" t="s">
        <v>24</v>
      </c>
      <c r="C43" s="205">
        <f>IFERROR('APPENDIX 21'!C43/NEPI!C43*100,"0.0")</f>
        <v>62.014313770337779</v>
      </c>
      <c r="D43" s="205">
        <f>IFERROR('APPENDIX 21'!D43/NEPI!D43*100,"0.0")</f>
        <v>44.609917688124476</v>
      </c>
      <c r="E43" s="205">
        <f>IFERROR('APPENDIX 21'!E43/NEPI!E43*100,"0.0")</f>
        <v>33.825689692998196</v>
      </c>
      <c r="F43" s="205">
        <f>IFERROR('APPENDIX 21'!F43/NEPI!F43*100,"0.0")</f>
        <v>25.317624656764327</v>
      </c>
      <c r="G43" s="205">
        <f>IFERROR('APPENDIX 21'!G43/NEPI!G43*100,"0.0")</f>
        <v>49.858661982172563</v>
      </c>
      <c r="H43" s="205">
        <f>IFERROR('APPENDIX 21'!H43/NEPI!H43*100,"0.0")</f>
        <v>32.777437764871451</v>
      </c>
      <c r="I43" s="205">
        <f>IFERROR('APPENDIX 21'!I43/NEPI!I43*100,"0.0")</f>
        <v>73.57337947926078</v>
      </c>
      <c r="J43" s="205">
        <f>IFERROR('APPENDIX 21'!J43/NEPI!J43*100,"0.0")</f>
        <v>69.709299087266814</v>
      </c>
      <c r="K43" s="205">
        <f>IFERROR('APPENDIX 21'!K43/NEPI!K43*100,"0.0")</f>
        <v>131.02028381042862</v>
      </c>
      <c r="L43" s="205">
        <f>IFERROR('APPENDIX 21'!L43/NEPI!L43*100,"0.0")</f>
        <v>33.355050508403231</v>
      </c>
      <c r="M43" s="205">
        <f>IFERROR('APPENDIX 21'!M43/NEPI!M43*100,"0.0")</f>
        <v>39.624676389860568</v>
      </c>
      <c r="N43" s="205">
        <f>IFERROR('APPENDIX 21'!N43/NEPI!N43*100,"0.0")</f>
        <v>36.078649836699434</v>
      </c>
      <c r="O43" s="205">
        <f>IFERROR('APPENDIX 21'!O43/NEPI!O43*100,"0.0")</f>
        <v>77.699556248771941</v>
      </c>
      <c r="P43" s="205">
        <f>IFERROR('APPENDIX 21'!P43/NEPI!P43*100,"0.0")</f>
        <v>51.918796444732827</v>
      </c>
      <c r="Q43" s="205">
        <f>IFERROR('APPENDIX 21'!Q43/NEPI!Q43*100,"0.0")</f>
        <v>69.753143866939709</v>
      </c>
    </row>
    <row r="44" spans="2:17" ht="20" customHeight="1" x14ac:dyDescent="0.35">
      <c r="B44" s="335" t="str">
        <f>'APPENDIX 21'!B44</f>
        <v>REINSURERS</v>
      </c>
      <c r="C44" s="269"/>
      <c r="D44" s="269"/>
      <c r="E44" s="269"/>
      <c r="F44" s="269"/>
      <c r="G44" s="269"/>
      <c r="H44" s="269"/>
      <c r="I44" s="269"/>
      <c r="J44" s="269"/>
      <c r="K44" s="269"/>
      <c r="L44" s="269"/>
      <c r="M44" s="269"/>
      <c r="N44" s="269"/>
      <c r="O44" s="269"/>
      <c r="P44" s="269"/>
      <c r="Q44" s="270"/>
    </row>
    <row r="45" spans="2:17" ht="20" customHeight="1" x14ac:dyDescent="0.35">
      <c r="B45" s="75" t="str">
        <f>'APPENDIX 21'!B45</f>
        <v>CONTINENTAL REINSURANCE</v>
      </c>
      <c r="C45" s="203">
        <f>IFERROR('APPENDIX 21'!C45/NEPI!C45*100,"0.0")</f>
        <v>39.628879278431725</v>
      </c>
      <c r="D45" s="203">
        <f>IFERROR('APPENDIX 21'!D45/NEPI!D45*100,"0.0")</f>
        <v>43.321049661438522</v>
      </c>
      <c r="E45" s="203">
        <f>IFERROR('APPENDIX 21'!E45/NEPI!E45*100,"0.0")</f>
        <v>54.352340031866994</v>
      </c>
      <c r="F45" s="203">
        <f>IFERROR('APPENDIX 21'!F45/NEPI!F45*100,"0.0")</f>
        <v>54.352339944369156</v>
      </c>
      <c r="G45" s="203">
        <f>IFERROR('APPENDIX 21'!G45/NEPI!G45*100,"0.0")</f>
        <v>49.989659103996907</v>
      </c>
      <c r="H45" s="203">
        <f>IFERROR('APPENDIX 21'!H45/NEPI!H45*100,"0.0")</f>
        <v>39.628881146354921</v>
      </c>
      <c r="I45" s="203">
        <f>IFERROR('APPENDIX 21'!I45/NEPI!I45*100,"0.0")</f>
        <v>49.98965813969658</v>
      </c>
      <c r="J45" s="203">
        <f>IFERROR('APPENDIX 21'!J45/NEPI!J45*100,"0.0")</f>
        <v>49.989659092107779</v>
      </c>
      <c r="K45" s="203" t="str">
        <f>IFERROR('APPENDIX 21'!K45/NEPI!K45*100,"0.0")</f>
        <v>0.0</v>
      </c>
      <c r="L45" s="203">
        <f>IFERROR('APPENDIX 21'!L45/NEPI!L45*100,"0.0")</f>
        <v>37.854600870891005</v>
      </c>
      <c r="M45" s="203">
        <f>IFERROR('APPENDIX 21'!M45/NEPI!M45*100,"0.0")</f>
        <v>37.854596402268683</v>
      </c>
      <c r="N45" s="203">
        <f>IFERROR('APPENDIX 21'!N45/NEPI!N45*100,"0.0")</f>
        <v>37.854596402268683</v>
      </c>
      <c r="O45" s="203">
        <f>IFERROR('APPENDIX 21'!O45/NEPI!O45*100,"0.0")</f>
        <v>51.299343564707947</v>
      </c>
      <c r="P45" s="203">
        <f>IFERROR('APPENDIX 21'!P45/NEPI!P45*100,"0.0")</f>
        <v>37.85460064439507</v>
      </c>
      <c r="Q45" s="204">
        <f>IFERROR('APPENDIX 21'!Q45/NEPI!Q45*100,"0.00")</f>
        <v>47.206422625617201</v>
      </c>
    </row>
    <row r="46" spans="2:17" ht="20" customHeight="1" x14ac:dyDescent="0.35">
      <c r="B46" s="75" t="str">
        <f>'APPENDIX 21'!B46</f>
        <v xml:space="preserve">EAST AFRICA REINSURANCE </v>
      </c>
      <c r="C46" s="203">
        <f>IFERROR('APPENDIX 21'!C46/NEPI!C46*100,"0.0")</f>
        <v>10.974797756846336</v>
      </c>
      <c r="D46" s="203">
        <f>IFERROR('APPENDIX 21'!D46/NEPI!D46*100,"0.0")</f>
        <v>295.22979378167304</v>
      </c>
      <c r="E46" s="203" t="str">
        <f>IFERROR('APPENDIX 21'!E46/NEPI!E46*100,"0.0")</f>
        <v>0.0</v>
      </c>
      <c r="F46" s="203">
        <f>IFERROR('APPENDIX 21'!F46/NEPI!F46*100,"0.0")</f>
        <v>45.301256405882576</v>
      </c>
      <c r="G46" s="203">
        <f>IFERROR('APPENDIX 21'!G46/NEPI!G46*100,"0.0")</f>
        <v>9.7554977255877979</v>
      </c>
      <c r="H46" s="203">
        <f>IFERROR('APPENDIX 21'!H46/NEPI!H46*100,"0.0")</f>
        <v>49.558462198634018</v>
      </c>
      <c r="I46" s="203" t="str">
        <f>IFERROR('APPENDIX 21'!I46/NEPI!I46*100,"0.0")</f>
        <v>0.0</v>
      </c>
      <c r="J46" s="203">
        <f>IFERROR('APPENDIX 21'!J46/NEPI!J46*100,"0.0")</f>
        <v>60.098845422568544</v>
      </c>
      <c r="K46" s="203" t="str">
        <f>IFERROR('APPENDIX 21'!K46/NEPI!K46*100,"0.0")</f>
        <v>0.0</v>
      </c>
      <c r="L46" s="203">
        <f>IFERROR('APPENDIX 21'!L46/NEPI!L46*100,"0.0")</f>
        <v>27.3164326716694</v>
      </c>
      <c r="M46" s="203" t="str">
        <f>IFERROR('APPENDIX 21'!M46/NEPI!M46*100,"0.0")</f>
        <v>0.0</v>
      </c>
      <c r="N46" s="203" t="str">
        <f>IFERROR('APPENDIX 21'!N46/NEPI!N46*100,"0.0")</f>
        <v>0.0</v>
      </c>
      <c r="O46" s="203">
        <f>IFERROR('APPENDIX 21'!O46/NEPI!O46*100,"0.0")</f>
        <v>83.72725889401481</v>
      </c>
      <c r="P46" s="203">
        <f>IFERROR('APPENDIX 21'!P46/NEPI!P46*100,"0.0")</f>
        <v>36.26627964074747</v>
      </c>
      <c r="Q46" s="204">
        <f>IFERROR('APPENDIX 21'!Q46/NEPI!Q46*100,"0.00")</f>
        <v>56.889626424601857</v>
      </c>
    </row>
    <row r="47" spans="2:17" ht="20" customHeight="1" x14ac:dyDescent="0.35">
      <c r="B47" s="75" t="str">
        <f>'APPENDIX 21'!B47</f>
        <v>GHANA REINSURANCE COMPANY</v>
      </c>
      <c r="C47" s="203">
        <f>IFERROR('APPENDIX 21'!C47/NEPI!C47*100,"0.0")</f>
        <v>-169.21250612058913</v>
      </c>
      <c r="D47" s="203">
        <f>IFERROR('APPENDIX 21'!D47/NEPI!D47*100,"0.0")</f>
        <v>54.922415236119029</v>
      </c>
      <c r="E47" s="203">
        <f>IFERROR('APPENDIX 21'!E47/NEPI!E47*100,"0.0")</f>
        <v>124.39904091810901</v>
      </c>
      <c r="F47" s="203">
        <f>IFERROR('APPENDIX 21'!F47/NEPI!F47*100,"0.0")</f>
        <v>42.301892952090498</v>
      </c>
      <c r="G47" s="203">
        <f>IFERROR('APPENDIX 21'!G47/NEPI!G47*100,"0.0")</f>
        <v>-5.4947395269345289</v>
      </c>
      <c r="H47" s="203">
        <f>IFERROR('APPENDIX 21'!H47/NEPI!H47*100,"0.0")</f>
        <v>57.547522543047336</v>
      </c>
      <c r="I47" s="203">
        <f>IFERROR('APPENDIX 21'!I47/NEPI!I47*100,"0.0")</f>
        <v>56.492270647532386</v>
      </c>
      <c r="J47" s="203">
        <f>IFERROR('APPENDIX 21'!J47/NEPI!J47*100,"0.0")</f>
        <v>55.663075635828861</v>
      </c>
      <c r="K47" s="203" t="str">
        <f>IFERROR('APPENDIX 21'!K47/NEPI!K47*100,"0.0")</f>
        <v>0.0</v>
      </c>
      <c r="L47" s="203">
        <f>IFERROR('APPENDIX 21'!L47/NEPI!L47*100,"0.0")</f>
        <v>-193.94607736776823</v>
      </c>
      <c r="M47" s="203">
        <f>IFERROR('APPENDIX 21'!M47/NEPI!M47*100,"0.0")</f>
        <v>57.239016859653233</v>
      </c>
      <c r="N47" s="203">
        <f>IFERROR('APPENDIX 21'!N47/NEPI!N47*100,"0.0")</f>
        <v>6.5727096566008978</v>
      </c>
      <c r="O47" s="203">
        <f>IFERROR('APPENDIX 21'!O47/NEPI!O47*100,"0.0")</f>
        <v>76.501091574427122</v>
      </c>
      <c r="P47" s="203">
        <f>IFERROR('APPENDIX 21'!P47/NEPI!P47*100,"0.0")</f>
        <v>8.3528594361625803</v>
      </c>
      <c r="Q47" s="204">
        <f>IFERROR('APPENDIX 21'!Q47/NEPI!Q47*100,"0.00")</f>
        <v>52.117775973328676</v>
      </c>
    </row>
    <row r="48" spans="2:17" ht="20" customHeight="1" x14ac:dyDescent="0.35">
      <c r="B48" s="75" t="str">
        <f>'APPENDIX 21'!B48</f>
        <v>KENYA REINSURANCE CORPORATION</v>
      </c>
      <c r="C48" s="203">
        <f>IFERROR('APPENDIX 21'!C48/NEPI!C48*100,"0.0")</f>
        <v>24.811824570456711</v>
      </c>
      <c r="D48" s="203">
        <f>IFERROR('APPENDIX 21'!D48/NEPI!D48*100,"0.0")</f>
        <v>328.69970449533878</v>
      </c>
      <c r="E48" s="203">
        <f>IFERROR('APPENDIX 21'!E48/NEPI!E48*100,"0.0")</f>
        <v>84.377761047578431</v>
      </c>
      <c r="F48" s="203">
        <f>IFERROR('APPENDIX 21'!F48/NEPI!F48*100,"0.0")</f>
        <v>54.275030930446597</v>
      </c>
      <c r="G48" s="203">
        <f>IFERROR('APPENDIX 21'!G48/NEPI!G48*100,"0.0")</f>
        <v>9.0474040591100504</v>
      </c>
      <c r="H48" s="203">
        <f>IFERROR('APPENDIX 21'!H48/NEPI!H48*100,"0.0")</f>
        <v>54.609425114891621</v>
      </c>
      <c r="I48" s="203">
        <f>IFERROR('APPENDIX 21'!I48/NEPI!I48*100,"0.0")</f>
        <v>19.480000489447491</v>
      </c>
      <c r="J48" s="203">
        <f>IFERROR('APPENDIX 21'!J48/NEPI!J48*100,"0.0")</f>
        <v>105.34745935552401</v>
      </c>
      <c r="K48" s="203" t="str">
        <f>IFERROR('APPENDIX 21'!K48/NEPI!K48*100,"0.0")</f>
        <v>0.0</v>
      </c>
      <c r="L48" s="203">
        <f>IFERROR('APPENDIX 21'!L48/NEPI!L48*100,"0.0")</f>
        <v>71.177502288571645</v>
      </c>
      <c r="M48" s="203">
        <f>IFERROR('APPENDIX 21'!M48/NEPI!M48*100,"0.0")</f>
        <v>5.1331751722000334</v>
      </c>
      <c r="N48" s="203">
        <f>IFERROR('APPENDIX 21'!N48/NEPI!N48*100,"0.0")</f>
        <v>5.806840628637886</v>
      </c>
      <c r="O48" s="203">
        <f>IFERROR('APPENDIX 21'!O48/NEPI!O48*100,"0.0")</f>
        <v>84.452561252103166</v>
      </c>
      <c r="P48" s="203">
        <f>IFERROR('APPENDIX 21'!P48/NEPI!P48*100,"0.0")</f>
        <v>48.523823414008248</v>
      </c>
      <c r="Q48" s="204">
        <f>IFERROR('APPENDIX 21'!Q48/NEPI!Q48*100,"0.00")</f>
        <v>65.68879571964132</v>
      </c>
    </row>
    <row r="49" spans="2:17" ht="20" customHeight="1" x14ac:dyDescent="0.35">
      <c r="B49" s="75" t="str">
        <f>'APPENDIX 21'!B49</f>
        <v>WAICA REINSURANCE KENYA LIMITED</v>
      </c>
      <c r="C49" s="203">
        <f>IFERROR('APPENDIX 21'!C49/NEPI!C49*100,"0.0")</f>
        <v>152.82326535390223</v>
      </c>
      <c r="D49" s="203">
        <f>IFERROR('APPENDIX 21'!D49/NEPI!D49*100,"0.0")</f>
        <v>135.76171040950788</v>
      </c>
      <c r="E49" s="203">
        <f>IFERROR('APPENDIX 21'!E49/NEPI!E49*100,"0.0")</f>
        <v>-7763.6475720157005</v>
      </c>
      <c r="F49" s="203">
        <f>IFERROR('APPENDIX 21'!F49/NEPI!F49*100,"0.0")</f>
        <v>33.855145812464556</v>
      </c>
      <c r="G49" s="203">
        <f>IFERROR('APPENDIX 21'!G49/NEPI!G49*100,"0.0")</f>
        <v>-456.01630480350497</v>
      </c>
      <c r="H49" s="203">
        <f>IFERROR('APPENDIX 21'!H49/NEPI!H49*100,"0.0")</f>
        <v>75.097865467962393</v>
      </c>
      <c r="I49" s="203">
        <f>IFERROR('APPENDIX 21'!I49/NEPI!I49*100,"0.0")</f>
        <v>21.851755156523783</v>
      </c>
      <c r="J49" s="203">
        <f>IFERROR('APPENDIX 21'!J49/NEPI!J49*100,"0.0")</f>
        <v>186.2141644044913</v>
      </c>
      <c r="K49" s="203" t="str">
        <f>IFERROR('APPENDIX 21'!K49/NEPI!K49*100,"0.0")</f>
        <v>0.0</v>
      </c>
      <c r="L49" s="203">
        <f>IFERROR('APPENDIX 21'!L49/NEPI!L49*100,"0.0")</f>
        <v>58.969943535226221</v>
      </c>
      <c r="M49" s="203">
        <f>IFERROR('APPENDIX 21'!M49/NEPI!M49*100,"0.0")</f>
        <v>39.094341328315899</v>
      </c>
      <c r="N49" s="203">
        <f>IFERROR('APPENDIX 21'!N49/NEPI!N49*100,"0.0")</f>
        <v>-3011.1475131163943</v>
      </c>
      <c r="O49" s="203">
        <f>IFERROR('APPENDIX 21'!O49/NEPI!O49*100,"0.0")</f>
        <v>1565.5982232606038</v>
      </c>
      <c r="P49" s="203">
        <f>IFERROR('APPENDIX 21'!P49/NEPI!P49*100,"0.0")</f>
        <v>164.18765518449098</v>
      </c>
      <c r="Q49" s="204">
        <f>IFERROR('APPENDIX 21'!Q49/NEPI!Q49*100,"0.00")</f>
        <v>54.379403343669949</v>
      </c>
    </row>
    <row r="50" spans="2:17" ht="20" customHeight="1" x14ac:dyDescent="0.35">
      <c r="B50" s="71" t="s">
        <v>24</v>
      </c>
      <c r="C50" s="205">
        <f>IFERROR('APPENDIX 21'!C50/NEPI!C50*100,"0.0")</f>
        <v>33.754614007262418</v>
      </c>
      <c r="D50" s="205">
        <f>IFERROR('APPENDIX 21'!D50/NEPI!D50*100,"0.0")</f>
        <v>119.73507875010694</v>
      </c>
      <c r="E50" s="205">
        <f>IFERROR('APPENDIX 21'!E50/NEPI!E50*100,"0.0")</f>
        <v>79.061615968217993</v>
      </c>
      <c r="F50" s="205">
        <f>IFERROR('APPENDIX 21'!F50/NEPI!F50*100,"0.0")</f>
        <v>46.825770647841594</v>
      </c>
      <c r="G50" s="205">
        <f>IFERROR('APPENDIX 21'!G50/NEPI!G50*100,"0.0")</f>
        <v>-104.44112489788273</v>
      </c>
      <c r="H50" s="205">
        <f>IFERROR('APPENDIX 21'!H50/NEPI!H50*100,"0.0")</f>
        <v>54.074348324110524</v>
      </c>
      <c r="I50" s="205">
        <f>IFERROR('APPENDIX 21'!I50/NEPI!I50*100,"0.0")</f>
        <v>42.964738119291027</v>
      </c>
      <c r="J50" s="205">
        <f>IFERROR('APPENDIX 21'!J50/NEPI!J50*100,"0.0")</f>
        <v>87.211697530625798</v>
      </c>
      <c r="K50" s="205" t="str">
        <f>IFERROR('APPENDIX 21'!K50/NEPI!K50*100,"0.0")</f>
        <v>0.0</v>
      </c>
      <c r="L50" s="205">
        <f>IFERROR('APPENDIX 21'!L50/NEPI!L50*100,"0.0")</f>
        <v>57.929384484834316</v>
      </c>
      <c r="M50" s="205">
        <f>IFERROR('APPENDIX 21'!M50/NEPI!M50*100,"0.0")</f>
        <v>29.733310819585444</v>
      </c>
      <c r="N50" s="205">
        <f>IFERROR('APPENDIX 21'!N50/NEPI!N50*100,"0.0")</f>
        <v>397.87495492202243</v>
      </c>
      <c r="O50" s="205">
        <f>IFERROR('APPENDIX 21'!O50/NEPI!O50*100,"0.0")</f>
        <v>84.775618990015758</v>
      </c>
      <c r="P50" s="205">
        <f>IFERROR('APPENDIX 21'!P50/NEPI!P50*100,"0.0")</f>
        <v>44.287365736952459</v>
      </c>
      <c r="Q50" s="205">
        <f>IFERROR('APPENDIX 21'!Q50/NEPI!Q50*100,"0.0")</f>
        <v>58.006099107828476</v>
      </c>
    </row>
    <row r="51" spans="2:17" ht="20" customHeight="1" x14ac:dyDescent="0.35">
      <c r="B51" s="275" t="s">
        <v>232</v>
      </c>
      <c r="C51" s="272"/>
      <c r="D51" s="272"/>
      <c r="E51" s="272"/>
      <c r="F51" s="272"/>
      <c r="G51" s="272"/>
      <c r="H51" s="272"/>
      <c r="I51" s="272"/>
      <c r="J51" s="272"/>
      <c r="K51" s="272"/>
      <c r="L51" s="272"/>
      <c r="M51" s="272"/>
      <c r="N51" s="272"/>
      <c r="O51" s="272"/>
      <c r="P51" s="272"/>
      <c r="Q51" s="272"/>
    </row>
  </sheetData>
  <sheetProtection algorithmName="SHA-512" hashValue="Ums9obhn9NFNH6XecIe502ETfSzQrZ773o9fadPNqtlzNS4+yO+ChId6efywiKZvUVmY8ZA33d5986dLAxcl3w==" saltValue="0UXWrHSWWEixYES4VYWOEQ==" spinCount="100000" sheet="1" objects="1" scenarios="1"/>
  <mergeCells count="4">
    <mergeCell ref="B51:Q51"/>
    <mergeCell ref="B5:Q5"/>
    <mergeCell ref="B3:Q3"/>
    <mergeCell ref="B44:Q44"/>
  </mergeCells>
  <pageMargins left="0.7" right="0.7" top="0.75" bottom="0.75" header="0.3" footer="0.3"/>
  <pageSetup paperSize="9" scale="36"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rgb="FFA2D668"/>
    <pageSetUpPr fitToPage="1"/>
  </sheetPr>
  <dimension ref="B3:Q51"/>
  <sheetViews>
    <sheetView workbookViewId="0"/>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07" width="9.453125" style="2" customWidth="1"/>
    <col min="108" max="16384" width="9.453125" style="2"/>
  </cols>
  <sheetData>
    <row r="3" spans="2:17" ht="14.5" customHeight="1" x14ac:dyDescent="0.35">
      <c r="B3" s="336" t="str">
        <f>_xlfn.CONCAT("NPI: SUMMARY OF NET PREMIUM INCOME UNDER GENERAL INSURANCE BUSINESS FOR THE PERIOD ENDED"," ",Details!F18)</f>
        <v>NPI: SUMMARY OF NET PREMIUM INCOME UNDER GENERAL INSURANCE BUSINESS FOR THE PERIOD ENDED 31.12.2025</v>
      </c>
      <c r="C3" s="269"/>
      <c r="D3" s="269"/>
      <c r="E3" s="269"/>
      <c r="F3" s="269"/>
      <c r="G3" s="269"/>
      <c r="H3" s="269"/>
      <c r="I3" s="269"/>
      <c r="J3" s="269"/>
      <c r="K3" s="269"/>
      <c r="L3" s="269"/>
      <c r="M3" s="269"/>
      <c r="N3" s="269"/>
      <c r="O3" s="269"/>
      <c r="P3" s="269"/>
      <c r="Q3" s="270"/>
    </row>
    <row r="4" spans="2:17" ht="31" customHeight="1"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7" ht="14.5" customHeight="1" x14ac:dyDescent="0.35">
      <c r="B5" s="335" t="s">
        <v>17</v>
      </c>
      <c r="C5" s="269"/>
      <c r="D5" s="269"/>
      <c r="E5" s="269"/>
      <c r="F5" s="269"/>
      <c r="G5" s="269"/>
      <c r="H5" s="269"/>
      <c r="I5" s="269"/>
      <c r="J5" s="269"/>
      <c r="K5" s="269"/>
      <c r="L5" s="269"/>
      <c r="M5" s="269"/>
      <c r="N5" s="269"/>
      <c r="O5" s="269"/>
      <c r="P5" s="269"/>
      <c r="Q5" s="270"/>
    </row>
    <row r="6" spans="2:17" ht="15.5" customHeight="1" x14ac:dyDescent="0.35">
      <c r="B6" s="67" t="s">
        <v>66</v>
      </c>
      <c r="C6" s="70">
        <v>0</v>
      </c>
      <c r="D6" s="70">
        <v>946.34461425794245</v>
      </c>
      <c r="E6" s="70">
        <v>762.68616420467549</v>
      </c>
      <c r="F6" s="70">
        <v>4227.0641489428344</v>
      </c>
      <c r="G6" s="70">
        <v>27158.581349999989</v>
      </c>
      <c r="H6" s="70">
        <v>386.10863942158551</v>
      </c>
      <c r="I6" s="70">
        <v>3995.734640000001</v>
      </c>
      <c r="J6" s="70">
        <v>0</v>
      </c>
      <c r="K6" s="70">
        <v>0</v>
      </c>
      <c r="L6" s="70">
        <v>15593.364399999809</v>
      </c>
      <c r="M6" s="70">
        <v>11112.06773068493</v>
      </c>
      <c r="N6" s="70">
        <v>103471.84493000009</v>
      </c>
      <c r="O6" s="70">
        <v>9033397.5778200515</v>
      </c>
      <c r="P6" s="70">
        <v>14829.60196329455</v>
      </c>
      <c r="Q6" s="73">
        <v>9215880.9764008578</v>
      </c>
    </row>
    <row r="7" spans="2:17" ht="15.5" customHeight="1" x14ac:dyDescent="0.35">
      <c r="B7" s="67" t="s">
        <v>67</v>
      </c>
      <c r="C7" s="70">
        <v>0</v>
      </c>
      <c r="D7" s="70">
        <v>59591.082669999989</v>
      </c>
      <c r="E7" s="70">
        <v>901.89735000000007</v>
      </c>
      <c r="F7" s="70">
        <v>23470.826369999992</v>
      </c>
      <c r="G7" s="70">
        <v>22822.804319999999</v>
      </c>
      <c r="H7" s="70">
        <v>2575.0730299999991</v>
      </c>
      <c r="I7" s="70">
        <v>461927.53178000002</v>
      </c>
      <c r="J7" s="70">
        <v>383414.5486739999</v>
      </c>
      <c r="K7" s="70">
        <v>2556769.7494859998</v>
      </c>
      <c r="L7" s="70">
        <v>17999.280149999999</v>
      </c>
      <c r="M7" s="70">
        <v>5364.6438200000002</v>
      </c>
      <c r="N7" s="70">
        <v>76486.71832</v>
      </c>
      <c r="O7" s="70">
        <v>0</v>
      </c>
      <c r="P7" s="70">
        <v>23232.065300000009</v>
      </c>
      <c r="Q7" s="73">
        <v>3634556.2212700001</v>
      </c>
    </row>
    <row r="8" spans="2:17" ht="15.5" customHeight="1" x14ac:dyDescent="0.35">
      <c r="B8" s="67" t="s">
        <v>68</v>
      </c>
      <c r="C8" s="70">
        <v>723.76900000000001</v>
      </c>
      <c r="D8" s="70">
        <v>114309.969966189</v>
      </c>
      <c r="E8" s="70">
        <v>102166.70123200001</v>
      </c>
      <c r="F8" s="70">
        <v>647663.07799577003</v>
      </c>
      <c r="G8" s="70">
        <v>120479.84392729279</v>
      </c>
      <c r="H8" s="70">
        <v>191742.0174845485</v>
      </c>
      <c r="I8" s="70">
        <v>3040098.725705524</v>
      </c>
      <c r="J8" s="70">
        <v>2378076.1125163119</v>
      </c>
      <c r="K8" s="70">
        <v>0</v>
      </c>
      <c r="L8" s="70">
        <v>187666.06052258</v>
      </c>
      <c r="M8" s="70">
        <v>266738.14018329763</v>
      </c>
      <c r="N8" s="70">
        <v>710753.07528954011</v>
      </c>
      <c r="O8" s="70">
        <v>4547251.9655094417</v>
      </c>
      <c r="P8" s="70">
        <v>299659.87065750442</v>
      </c>
      <c r="Q8" s="73">
        <v>12607329.32999</v>
      </c>
    </row>
    <row r="9" spans="2:17" ht="15.5" customHeight="1" x14ac:dyDescent="0.35">
      <c r="B9" s="67" t="s">
        <v>69</v>
      </c>
      <c r="C9" s="70">
        <v>29.45182999998331</v>
      </c>
      <c r="D9" s="70">
        <v>58120.991889999983</v>
      </c>
      <c r="E9" s="70">
        <v>117951.80015</v>
      </c>
      <c r="F9" s="70">
        <v>349121.77455000021</v>
      </c>
      <c r="G9" s="70">
        <v>194715.01624999981</v>
      </c>
      <c r="H9" s="70">
        <v>84150.316730000617</v>
      </c>
      <c r="I9" s="70">
        <v>1572834.142490007</v>
      </c>
      <c r="J9" s="70">
        <v>689706.55484495242</v>
      </c>
      <c r="K9" s="70">
        <v>0</v>
      </c>
      <c r="L9" s="70">
        <v>236688.65877705469</v>
      </c>
      <c r="M9" s="70">
        <v>117581.3493900001</v>
      </c>
      <c r="N9" s="70">
        <v>669471.9286024071</v>
      </c>
      <c r="O9" s="70">
        <v>7087693.3178011971</v>
      </c>
      <c r="P9" s="70">
        <v>5609.9684100000113</v>
      </c>
      <c r="Q9" s="73">
        <v>11183675.271715621</v>
      </c>
    </row>
    <row r="10" spans="2:17" ht="15.5" customHeight="1" x14ac:dyDescent="0.35">
      <c r="B10" s="67" t="s">
        <v>70</v>
      </c>
      <c r="C10" s="70">
        <v>0</v>
      </c>
      <c r="D10" s="70">
        <v>0</v>
      </c>
      <c r="E10" s="70">
        <v>0</v>
      </c>
      <c r="F10" s="70">
        <v>0</v>
      </c>
      <c r="G10" s="70">
        <v>0</v>
      </c>
      <c r="H10" s="70">
        <v>0</v>
      </c>
      <c r="I10" s="70">
        <v>0</v>
      </c>
      <c r="J10" s="70">
        <v>0</v>
      </c>
      <c r="K10" s="70">
        <v>0</v>
      </c>
      <c r="L10" s="70">
        <v>0</v>
      </c>
      <c r="M10" s="70">
        <v>0</v>
      </c>
      <c r="N10" s="70">
        <v>0</v>
      </c>
      <c r="O10" s="70">
        <v>469869.288</v>
      </c>
      <c r="P10" s="70">
        <v>0</v>
      </c>
      <c r="Q10" s="73">
        <v>469869.288</v>
      </c>
    </row>
    <row r="11" spans="2:17" ht="15.5" customHeight="1" x14ac:dyDescent="0.35">
      <c r="B11" s="67" t="s">
        <v>71</v>
      </c>
      <c r="C11" s="70">
        <v>0</v>
      </c>
      <c r="D11" s="70">
        <v>10957.607</v>
      </c>
      <c r="E11" s="70">
        <v>11678.789000000001</v>
      </c>
      <c r="F11" s="70">
        <v>20981.823388898079</v>
      </c>
      <c r="G11" s="70">
        <v>18738.575000000001</v>
      </c>
      <c r="H11" s="70">
        <v>19323.696</v>
      </c>
      <c r="I11" s="70">
        <v>1328362.0472500001</v>
      </c>
      <c r="J11" s="70">
        <v>417504.59297000011</v>
      </c>
      <c r="K11" s="70">
        <v>0</v>
      </c>
      <c r="L11" s="70">
        <v>-36782.025999999998</v>
      </c>
      <c r="M11" s="70">
        <v>18720.843000000001</v>
      </c>
      <c r="N11" s="70">
        <v>89252.320999999996</v>
      </c>
      <c r="O11" s="70">
        <v>0</v>
      </c>
      <c r="P11" s="70">
        <v>-51110.491000000002</v>
      </c>
      <c r="Q11" s="73">
        <v>1847627.777608898</v>
      </c>
    </row>
    <row r="12" spans="2:17" ht="15.5" customHeight="1" x14ac:dyDescent="0.35">
      <c r="B12" s="67" t="s">
        <v>72</v>
      </c>
      <c r="C12" s="70">
        <v>0</v>
      </c>
      <c r="D12" s="70">
        <v>79100.564190000005</v>
      </c>
      <c r="E12" s="70">
        <v>93785.113050000014</v>
      </c>
      <c r="F12" s="70">
        <v>230040.01309999931</v>
      </c>
      <c r="G12" s="70">
        <v>93403.074349999981</v>
      </c>
      <c r="H12" s="70">
        <v>58168.872829999993</v>
      </c>
      <c r="I12" s="70">
        <v>3645276.4397099991</v>
      </c>
      <c r="J12" s="70">
        <v>2879686.659690001</v>
      </c>
      <c r="K12" s="70">
        <v>0</v>
      </c>
      <c r="L12" s="70">
        <v>115423.95802999991</v>
      </c>
      <c r="M12" s="70">
        <v>490298.22797000041</v>
      </c>
      <c r="N12" s="70">
        <v>502568.6686700001</v>
      </c>
      <c r="O12" s="70">
        <v>10085275.52660281</v>
      </c>
      <c r="P12" s="70">
        <v>56100.746240000008</v>
      </c>
      <c r="Q12" s="73">
        <v>18329127.864432812</v>
      </c>
    </row>
    <row r="13" spans="2:17" ht="15.5"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74</v>
      </c>
      <c r="C14" s="70">
        <v>0</v>
      </c>
      <c r="D14" s="70">
        <v>-3339.3780000000002</v>
      </c>
      <c r="E14" s="70">
        <v>123.208</v>
      </c>
      <c r="F14" s="70">
        <v>360.31700000000001</v>
      </c>
      <c r="G14" s="70">
        <v>1342.623</v>
      </c>
      <c r="H14" s="70">
        <v>268.90899999999999</v>
      </c>
      <c r="I14" s="70">
        <v>239468.94747000001</v>
      </c>
      <c r="J14" s="70">
        <v>185890.6671514</v>
      </c>
      <c r="K14" s="70">
        <v>573702.48276249983</v>
      </c>
      <c r="L14" s="70">
        <v>415.15899999999999</v>
      </c>
      <c r="M14" s="70">
        <v>3452.558</v>
      </c>
      <c r="N14" s="70">
        <v>904.63900000000001</v>
      </c>
      <c r="O14" s="70">
        <v>0</v>
      </c>
      <c r="P14" s="70">
        <v>23599.356</v>
      </c>
      <c r="Q14" s="73">
        <v>1026189.4883839</v>
      </c>
    </row>
    <row r="15" spans="2:17" ht="15.5" customHeight="1" x14ac:dyDescent="0.35">
      <c r="B15" s="67" t="s">
        <v>75</v>
      </c>
      <c r="C15" s="70">
        <v>0</v>
      </c>
      <c r="D15" s="70">
        <v>0</v>
      </c>
      <c r="E15" s="70">
        <v>0</v>
      </c>
      <c r="F15" s="70">
        <v>0</v>
      </c>
      <c r="G15" s="70">
        <v>0</v>
      </c>
      <c r="H15" s="70">
        <v>0</v>
      </c>
      <c r="I15" s="70">
        <v>318486.41463000019</v>
      </c>
      <c r="J15" s="70">
        <v>97887.566780000008</v>
      </c>
      <c r="K15" s="70">
        <v>2255760.015099999</v>
      </c>
      <c r="L15" s="70">
        <v>0</v>
      </c>
      <c r="M15" s="70">
        <v>0</v>
      </c>
      <c r="N15" s="70">
        <v>0</v>
      </c>
      <c r="O15" s="70">
        <v>0</v>
      </c>
      <c r="P15" s="70">
        <v>0</v>
      </c>
      <c r="Q15" s="73">
        <v>2672133.99651</v>
      </c>
    </row>
    <row r="16" spans="2:17" ht="15.5" customHeight="1" x14ac:dyDescent="0.35">
      <c r="B16" s="67" t="s">
        <v>76</v>
      </c>
      <c r="C16" s="70">
        <v>0</v>
      </c>
      <c r="D16" s="70">
        <v>-17.23721300695091</v>
      </c>
      <c r="E16" s="70">
        <v>801.29761904761904</v>
      </c>
      <c r="F16" s="70">
        <v>1889.997983467877</v>
      </c>
      <c r="G16" s="70">
        <v>5170.1402363260313</v>
      </c>
      <c r="H16" s="70">
        <v>20</v>
      </c>
      <c r="I16" s="70">
        <v>0</v>
      </c>
      <c r="J16" s="70">
        <v>0</v>
      </c>
      <c r="K16" s="70">
        <v>0</v>
      </c>
      <c r="L16" s="70">
        <v>1038.635017271004</v>
      </c>
      <c r="M16" s="70">
        <v>203263.22970236381</v>
      </c>
      <c r="N16" s="70">
        <v>3021.1089211053709</v>
      </c>
      <c r="O16" s="70">
        <v>1077216.457532644</v>
      </c>
      <c r="P16" s="70">
        <v>100</v>
      </c>
      <c r="Q16" s="73">
        <v>1292503.6297992191</v>
      </c>
    </row>
    <row r="17" spans="2:17" ht="15.5" customHeight="1" x14ac:dyDescent="0.35">
      <c r="B17" s="67" t="s">
        <v>77</v>
      </c>
      <c r="C17" s="70">
        <v>0</v>
      </c>
      <c r="D17" s="70">
        <v>0</v>
      </c>
      <c r="E17" s="70">
        <v>0</v>
      </c>
      <c r="F17" s="70">
        <v>0</v>
      </c>
      <c r="G17" s="70">
        <v>0</v>
      </c>
      <c r="H17" s="70">
        <v>0</v>
      </c>
      <c r="I17" s="70">
        <v>0</v>
      </c>
      <c r="J17" s="70">
        <v>0</v>
      </c>
      <c r="K17" s="70">
        <v>0</v>
      </c>
      <c r="L17" s="70">
        <v>0</v>
      </c>
      <c r="M17" s="70">
        <v>0</v>
      </c>
      <c r="N17" s="70">
        <v>0</v>
      </c>
      <c r="O17" s="70">
        <v>17249.274600000001</v>
      </c>
      <c r="P17" s="70">
        <v>0</v>
      </c>
      <c r="Q17" s="73">
        <v>17249.274600000001</v>
      </c>
    </row>
    <row r="18" spans="2:17" ht="15.5" customHeight="1" x14ac:dyDescent="0.35">
      <c r="B18" s="67" t="s">
        <v>78</v>
      </c>
      <c r="C18" s="70">
        <v>13.135999999999999</v>
      </c>
      <c r="D18" s="70">
        <v>20962.285</v>
      </c>
      <c r="E18" s="70">
        <v>19005.903999999999</v>
      </c>
      <c r="F18" s="70">
        <v>25807.527999999998</v>
      </c>
      <c r="G18" s="70">
        <v>54214.493000000002</v>
      </c>
      <c r="H18" s="70">
        <v>31219.028999999999</v>
      </c>
      <c r="I18" s="70">
        <v>1413396.291</v>
      </c>
      <c r="J18" s="70">
        <v>1105020.405</v>
      </c>
      <c r="K18" s="70">
        <v>39984.466</v>
      </c>
      <c r="L18" s="70">
        <v>7301.7659999999996</v>
      </c>
      <c r="M18" s="70">
        <v>38868.420009999987</v>
      </c>
      <c r="N18" s="70">
        <v>293362.4816700003</v>
      </c>
      <c r="O18" s="70">
        <v>156972.28534</v>
      </c>
      <c r="P18" s="70">
        <v>37038.434000000001</v>
      </c>
      <c r="Q18" s="73">
        <v>3243166.9240199998</v>
      </c>
    </row>
    <row r="19" spans="2:17" ht="15.5" customHeight="1" x14ac:dyDescent="0.35">
      <c r="B19" s="67" t="s">
        <v>79</v>
      </c>
      <c r="C19" s="70">
        <v>0</v>
      </c>
      <c r="D19" s="70">
        <v>29568.161866999981</v>
      </c>
      <c r="E19" s="70">
        <v>47252.937870000002</v>
      </c>
      <c r="F19" s="70">
        <v>114921.86654</v>
      </c>
      <c r="G19" s="70">
        <v>37870.822630000017</v>
      </c>
      <c r="H19" s="70">
        <v>47798.281970000033</v>
      </c>
      <c r="I19" s="70">
        <v>706469.02450000006</v>
      </c>
      <c r="J19" s="70">
        <v>625644.21375</v>
      </c>
      <c r="K19" s="70">
        <v>0</v>
      </c>
      <c r="L19" s="70">
        <v>143199.71223</v>
      </c>
      <c r="M19" s="70">
        <v>80590.217329999985</v>
      </c>
      <c r="N19" s="70">
        <v>143631.88087600001</v>
      </c>
      <c r="O19" s="70">
        <v>1891553.4735000001</v>
      </c>
      <c r="P19" s="70">
        <v>16882.349047999978</v>
      </c>
      <c r="Q19" s="73">
        <v>3885382.942110999</v>
      </c>
    </row>
    <row r="20" spans="2:17" ht="15.5" customHeight="1" x14ac:dyDescent="0.35">
      <c r="B20" s="67" t="s">
        <v>80</v>
      </c>
      <c r="C20" s="70">
        <v>7553.7790000000005</v>
      </c>
      <c r="D20" s="70">
        <v>133565.71299999999</v>
      </c>
      <c r="E20" s="70">
        <v>133157.079</v>
      </c>
      <c r="F20" s="70">
        <v>330324.57</v>
      </c>
      <c r="G20" s="70">
        <v>126851.114</v>
      </c>
      <c r="H20" s="70">
        <v>286295.65000000002</v>
      </c>
      <c r="I20" s="70">
        <v>1744904.4040000001</v>
      </c>
      <c r="J20" s="70">
        <v>1383308.1980000001</v>
      </c>
      <c r="K20" s="70">
        <v>118092.433</v>
      </c>
      <c r="L20" s="70">
        <v>91449.472999999998</v>
      </c>
      <c r="M20" s="70">
        <v>452903.42673234158</v>
      </c>
      <c r="N20" s="70">
        <v>936050.603</v>
      </c>
      <c r="O20" s="70">
        <v>1913309.1129999999</v>
      </c>
      <c r="P20" s="70">
        <v>118032.508</v>
      </c>
      <c r="Q20" s="73">
        <v>7775798.0637323419</v>
      </c>
    </row>
    <row r="21" spans="2:17" ht="15.5" customHeight="1" x14ac:dyDescent="0.35">
      <c r="B21" s="67" t="s">
        <v>81</v>
      </c>
      <c r="C21" s="70">
        <v>7336.1180000000004</v>
      </c>
      <c r="D21" s="70">
        <v>59031.38</v>
      </c>
      <c r="E21" s="70">
        <v>66155.456000000006</v>
      </c>
      <c r="F21" s="70">
        <v>206504.76500000001</v>
      </c>
      <c r="G21" s="70">
        <v>112199.613</v>
      </c>
      <c r="H21" s="70">
        <v>130941.61199999999</v>
      </c>
      <c r="I21" s="70">
        <v>1095670.524</v>
      </c>
      <c r="J21" s="70">
        <v>953659.48899999994</v>
      </c>
      <c r="K21" s="70">
        <v>0</v>
      </c>
      <c r="L21" s="70">
        <v>68038.743000000002</v>
      </c>
      <c r="M21" s="70">
        <v>127185.117</v>
      </c>
      <c r="N21" s="70">
        <v>433793.859</v>
      </c>
      <c r="O21" s="70">
        <v>0</v>
      </c>
      <c r="P21" s="70">
        <v>39875.771000000001</v>
      </c>
      <c r="Q21" s="73">
        <v>3300392.4470000002</v>
      </c>
    </row>
    <row r="22" spans="2:17" ht="15.5" customHeight="1" x14ac:dyDescent="0.35">
      <c r="B22" s="67" t="s">
        <v>82</v>
      </c>
      <c r="C22" s="70">
        <v>7326.2160000000003</v>
      </c>
      <c r="D22" s="70">
        <v>69219.77</v>
      </c>
      <c r="E22" s="70">
        <v>106662.303</v>
      </c>
      <c r="F22" s="70">
        <v>225128.258</v>
      </c>
      <c r="G22" s="70">
        <v>49944.692999999999</v>
      </c>
      <c r="H22" s="70">
        <v>131736.0688961992</v>
      </c>
      <c r="I22" s="70">
        <v>2395277.8560000001</v>
      </c>
      <c r="J22" s="70">
        <v>605367.277</v>
      </c>
      <c r="K22" s="70">
        <v>0</v>
      </c>
      <c r="L22" s="70">
        <v>140540.72700000001</v>
      </c>
      <c r="M22" s="70">
        <v>156280.28700000001</v>
      </c>
      <c r="N22" s="70">
        <v>775970.28700000001</v>
      </c>
      <c r="O22" s="70">
        <v>198426.40299999999</v>
      </c>
      <c r="P22" s="70">
        <v>26813.365219706411</v>
      </c>
      <c r="Q22" s="73">
        <v>4888693.5111159058</v>
      </c>
    </row>
    <row r="23" spans="2:17" ht="15.5" customHeight="1" x14ac:dyDescent="0.35">
      <c r="B23" s="67" t="s">
        <v>83</v>
      </c>
      <c r="C23" s="70">
        <v>0</v>
      </c>
      <c r="D23" s="70">
        <v>182682.592</v>
      </c>
      <c r="E23" s="70">
        <v>54045.743999999999</v>
      </c>
      <c r="F23" s="70">
        <v>149004.56400000001</v>
      </c>
      <c r="G23" s="70">
        <v>35456.845999999998</v>
      </c>
      <c r="H23" s="70">
        <v>171915.351</v>
      </c>
      <c r="I23" s="70">
        <v>807524.05200000003</v>
      </c>
      <c r="J23" s="70">
        <v>386645.783</v>
      </c>
      <c r="K23" s="70">
        <v>47231.862999999998</v>
      </c>
      <c r="L23" s="70">
        <v>14317.86</v>
      </c>
      <c r="M23" s="70">
        <v>84232.087</v>
      </c>
      <c r="N23" s="70">
        <v>329412.60100000002</v>
      </c>
      <c r="O23" s="70">
        <v>0</v>
      </c>
      <c r="P23" s="70">
        <v>193438.79399999999</v>
      </c>
      <c r="Q23" s="73">
        <v>2455908.1370000001</v>
      </c>
    </row>
    <row r="24" spans="2:17" ht="15.5" customHeight="1" x14ac:dyDescent="0.35">
      <c r="B24" s="67" t="s">
        <v>84</v>
      </c>
      <c r="C24" s="70">
        <v>0</v>
      </c>
      <c r="D24" s="70">
        <v>0</v>
      </c>
      <c r="E24" s="70">
        <v>0</v>
      </c>
      <c r="F24" s="70">
        <v>0</v>
      </c>
      <c r="G24" s="70">
        <v>0</v>
      </c>
      <c r="H24" s="70">
        <v>0</v>
      </c>
      <c r="I24" s="70">
        <v>0</v>
      </c>
      <c r="J24" s="70">
        <v>0</v>
      </c>
      <c r="K24" s="70">
        <v>0</v>
      </c>
      <c r="L24" s="70">
        <v>0</v>
      </c>
      <c r="M24" s="70">
        <v>0</v>
      </c>
      <c r="N24" s="70">
        <v>0</v>
      </c>
      <c r="O24" s="70">
        <v>16906683.3700285</v>
      </c>
      <c r="P24" s="70">
        <v>0</v>
      </c>
      <c r="Q24" s="73">
        <v>16906683.3700285</v>
      </c>
    </row>
    <row r="25" spans="2:17" ht="15.5" customHeight="1" x14ac:dyDescent="0.35">
      <c r="B25" s="67" t="s">
        <v>85</v>
      </c>
      <c r="C25" s="70">
        <v>0</v>
      </c>
      <c r="D25" s="70">
        <v>29583.773000000001</v>
      </c>
      <c r="E25" s="70">
        <v>21623.019</v>
      </c>
      <c r="F25" s="70">
        <v>87678.214999999997</v>
      </c>
      <c r="G25" s="70">
        <v>28803.169000000002</v>
      </c>
      <c r="H25" s="70">
        <v>140033.568</v>
      </c>
      <c r="I25" s="70">
        <v>591110.64899999998</v>
      </c>
      <c r="J25" s="70">
        <v>389569.83100000001</v>
      </c>
      <c r="K25" s="70">
        <v>0</v>
      </c>
      <c r="L25" s="70">
        <v>4292.6469999999999</v>
      </c>
      <c r="M25" s="70">
        <v>39858.976000000002</v>
      </c>
      <c r="N25" s="70">
        <v>216749.41</v>
      </c>
      <c r="O25" s="70">
        <v>48646.165000000001</v>
      </c>
      <c r="P25" s="70">
        <v>8616.1990000000005</v>
      </c>
      <c r="Q25" s="73">
        <v>1606565.621</v>
      </c>
    </row>
    <row r="26" spans="2:17" ht="15.5" customHeight="1" x14ac:dyDescent="0.35">
      <c r="B26" s="67" t="s">
        <v>86</v>
      </c>
      <c r="C26" s="70">
        <v>0</v>
      </c>
      <c r="D26" s="70">
        <v>19014.545260000232</v>
      </c>
      <c r="E26" s="70">
        <v>25925.42</v>
      </c>
      <c r="F26" s="70">
        <v>78648.570999999996</v>
      </c>
      <c r="G26" s="70">
        <v>18068.336724699999</v>
      </c>
      <c r="H26" s="70">
        <v>796.68</v>
      </c>
      <c r="I26" s="70">
        <v>354662.87189000001</v>
      </c>
      <c r="J26" s="70">
        <v>185789.65599999999</v>
      </c>
      <c r="K26" s="70">
        <v>31468.348999999998</v>
      </c>
      <c r="L26" s="70">
        <v>5139.0039999999999</v>
      </c>
      <c r="M26" s="70">
        <v>39792.307999999997</v>
      </c>
      <c r="N26" s="70">
        <v>69757.3</v>
      </c>
      <c r="O26" s="70">
        <v>0</v>
      </c>
      <c r="P26" s="70">
        <v>97244.740400492039</v>
      </c>
      <c r="Q26" s="73">
        <v>926307.78227519221</v>
      </c>
    </row>
    <row r="27" spans="2:17" ht="15.5" customHeight="1" x14ac:dyDescent="0.35">
      <c r="B27" s="67" t="s">
        <v>87</v>
      </c>
      <c r="C27" s="70">
        <v>0</v>
      </c>
      <c r="D27" s="70">
        <v>59846.543188307172</v>
      </c>
      <c r="E27" s="70">
        <v>26238.356081814381</v>
      </c>
      <c r="F27" s="70">
        <v>134843.91422987831</v>
      </c>
      <c r="G27" s="70">
        <v>240715.7481910178</v>
      </c>
      <c r="H27" s="70">
        <v>13181.52610659781</v>
      </c>
      <c r="I27" s="70">
        <v>539263.93925063079</v>
      </c>
      <c r="J27" s="70">
        <v>3569261.3190000001</v>
      </c>
      <c r="K27" s="70">
        <v>-24873.405983267148</v>
      </c>
      <c r="L27" s="70">
        <v>28051.650473992799</v>
      </c>
      <c r="M27" s="70">
        <v>36105.830241595431</v>
      </c>
      <c r="N27" s="70">
        <v>191321.9411353101</v>
      </c>
      <c r="O27" s="70">
        <v>1939276.979364001</v>
      </c>
      <c r="P27" s="70">
        <v>183620.43462856291</v>
      </c>
      <c r="Q27" s="73">
        <v>6936854.7759084413</v>
      </c>
    </row>
    <row r="28" spans="2:17" ht="15.5" customHeight="1" x14ac:dyDescent="0.35">
      <c r="B28" s="67" t="s">
        <v>88</v>
      </c>
      <c r="C28" s="70">
        <v>1919.107</v>
      </c>
      <c r="D28" s="70">
        <v>312373.91800000001</v>
      </c>
      <c r="E28" s="70">
        <v>108725.826</v>
      </c>
      <c r="F28" s="70">
        <v>281245.40100000001</v>
      </c>
      <c r="G28" s="70">
        <v>141430.122</v>
      </c>
      <c r="H28" s="70">
        <v>362014.47</v>
      </c>
      <c r="I28" s="70">
        <v>777640.875</v>
      </c>
      <c r="J28" s="70">
        <v>584180.00199999998</v>
      </c>
      <c r="K28" s="70">
        <v>28493.353999999999</v>
      </c>
      <c r="L28" s="70">
        <v>30446.475999999999</v>
      </c>
      <c r="M28" s="70">
        <v>73470.317999999999</v>
      </c>
      <c r="N28" s="70">
        <v>898069.42500000005</v>
      </c>
      <c r="O28" s="70">
        <v>0</v>
      </c>
      <c r="P28" s="70">
        <v>457455.16499999998</v>
      </c>
      <c r="Q28" s="73">
        <v>4057464.4589999998</v>
      </c>
    </row>
    <row r="29" spans="2:17" ht="15.5" customHeight="1" x14ac:dyDescent="0.35">
      <c r="B29" s="67" t="s">
        <v>89</v>
      </c>
      <c r="C29" s="70">
        <v>4663.6490000000003</v>
      </c>
      <c r="D29" s="70">
        <v>13109.605</v>
      </c>
      <c r="E29" s="70">
        <v>9296.1329999999998</v>
      </c>
      <c r="F29" s="70">
        <v>31461.8</v>
      </c>
      <c r="G29" s="70">
        <v>11189.823</v>
      </c>
      <c r="H29" s="70">
        <v>11719.787</v>
      </c>
      <c r="I29" s="70">
        <v>275904.87099999998</v>
      </c>
      <c r="J29" s="70">
        <v>94379.614000000001</v>
      </c>
      <c r="K29" s="70">
        <v>0</v>
      </c>
      <c r="L29" s="70">
        <v>9104.0859999999993</v>
      </c>
      <c r="M29" s="70">
        <v>32421.701000000001</v>
      </c>
      <c r="N29" s="70">
        <v>63436.222999999998</v>
      </c>
      <c r="O29" s="70">
        <v>638914.17700000003</v>
      </c>
      <c r="P29" s="70">
        <v>10493.032999999999</v>
      </c>
      <c r="Q29" s="73">
        <v>1206094.5020000001</v>
      </c>
    </row>
    <row r="30" spans="2:17" ht="15.5" customHeight="1" x14ac:dyDescent="0.35">
      <c r="B30" s="67" t="s">
        <v>90</v>
      </c>
      <c r="C30" s="70">
        <v>32.303909999999917</v>
      </c>
      <c r="D30" s="70">
        <v>4413.0476299999946</v>
      </c>
      <c r="E30" s="70">
        <v>106497.4925299996</v>
      </c>
      <c r="F30" s="70">
        <v>221006.58653720011</v>
      </c>
      <c r="G30" s="70">
        <v>111104.7315800002</v>
      </c>
      <c r="H30" s="70">
        <v>3796.8939900000059</v>
      </c>
      <c r="I30" s="70">
        <v>1011068.630392799</v>
      </c>
      <c r="J30" s="70">
        <v>147708.89481999999</v>
      </c>
      <c r="K30" s="70">
        <v>0</v>
      </c>
      <c r="L30" s="70">
        <v>142079.43010998011</v>
      </c>
      <c r="M30" s="70">
        <v>6566.8420300000907</v>
      </c>
      <c r="N30" s="70">
        <v>97158.544049999953</v>
      </c>
      <c r="O30" s="70">
        <v>0</v>
      </c>
      <c r="P30" s="70">
        <v>114.05297</v>
      </c>
      <c r="Q30" s="73">
        <v>1851547.450549979</v>
      </c>
    </row>
    <row r="31" spans="2:17" ht="15.5" customHeight="1" x14ac:dyDescent="0.35">
      <c r="B31" s="67" t="s">
        <v>91</v>
      </c>
      <c r="C31" s="70">
        <v>1544.7940000000001</v>
      </c>
      <c r="D31" s="70">
        <v>51017.097400000013</v>
      </c>
      <c r="E31" s="70">
        <v>-35119.07069</v>
      </c>
      <c r="F31" s="70">
        <v>132749.68736000001</v>
      </c>
      <c r="G31" s="70">
        <v>5951.2843300000004</v>
      </c>
      <c r="H31" s="70">
        <v>55335.815670000004</v>
      </c>
      <c r="I31" s="70">
        <v>192448.5529100002</v>
      </c>
      <c r="J31" s="70">
        <v>195394.58038</v>
      </c>
      <c r="K31" s="70">
        <v>0</v>
      </c>
      <c r="L31" s="70">
        <v>13060.95514</v>
      </c>
      <c r="M31" s="70">
        <v>37200.929120000008</v>
      </c>
      <c r="N31" s="70">
        <v>91114.33398000001</v>
      </c>
      <c r="O31" s="70">
        <v>0</v>
      </c>
      <c r="P31" s="70">
        <v>23741.671579999998</v>
      </c>
      <c r="Q31" s="73">
        <v>764440.63118000026</v>
      </c>
    </row>
    <row r="32" spans="2:17" ht="15.5" customHeight="1" x14ac:dyDescent="0.35">
      <c r="B32" s="67" t="s">
        <v>92</v>
      </c>
      <c r="C32" s="70">
        <v>560.79575000001489</v>
      </c>
      <c r="D32" s="70">
        <v>91686.729220000081</v>
      </c>
      <c r="E32" s="70">
        <v>190598.9807999999</v>
      </c>
      <c r="F32" s="70">
        <v>423397.45263999992</v>
      </c>
      <c r="G32" s="70">
        <v>96967.151150000151</v>
      </c>
      <c r="H32" s="70">
        <v>93219.478650000237</v>
      </c>
      <c r="I32" s="70">
        <v>1793989.4272400001</v>
      </c>
      <c r="J32" s="70">
        <v>1579660.4362094321</v>
      </c>
      <c r="K32" s="70">
        <v>0</v>
      </c>
      <c r="L32" s="70">
        <v>65137.202409999089</v>
      </c>
      <c r="M32" s="70">
        <v>165224.1602307776</v>
      </c>
      <c r="N32" s="70">
        <v>417312.98968000012</v>
      </c>
      <c r="O32" s="70">
        <v>10935989.09817015</v>
      </c>
      <c r="P32" s="70">
        <v>25612.337530000019</v>
      </c>
      <c r="Q32" s="73">
        <v>15879356.239680359</v>
      </c>
    </row>
    <row r="33" spans="2:17" ht="15.5" customHeight="1" x14ac:dyDescent="0.35">
      <c r="B33" s="67" t="s">
        <v>93</v>
      </c>
      <c r="C33" s="70">
        <v>0</v>
      </c>
      <c r="D33" s="70">
        <v>24725.285</v>
      </c>
      <c r="E33" s="70">
        <v>15138.964</v>
      </c>
      <c r="F33" s="70">
        <v>76578.149000000005</v>
      </c>
      <c r="G33" s="70">
        <v>160069.12700000001</v>
      </c>
      <c r="H33" s="70">
        <v>5185.2669999999998</v>
      </c>
      <c r="I33" s="70">
        <v>551212.44099999999</v>
      </c>
      <c r="J33" s="70">
        <v>778850.33900000004</v>
      </c>
      <c r="K33" s="70">
        <v>0</v>
      </c>
      <c r="L33" s="70">
        <v>40188.711000000003</v>
      </c>
      <c r="M33" s="70">
        <v>31945.496999999999</v>
      </c>
      <c r="N33" s="70">
        <v>130576.228</v>
      </c>
      <c r="O33" s="70">
        <v>1091059.469</v>
      </c>
      <c r="P33" s="70">
        <v>3384.7779999999998</v>
      </c>
      <c r="Q33" s="73">
        <v>2908914.2549999999</v>
      </c>
    </row>
    <row r="34" spans="2:17" ht="15.5" customHeight="1" x14ac:dyDescent="0.35">
      <c r="B34" s="67" t="s">
        <v>94</v>
      </c>
      <c r="C34" s="70">
        <v>115.87125999999979</v>
      </c>
      <c r="D34" s="70">
        <v>25192.41255982867</v>
      </c>
      <c r="E34" s="70">
        <v>13872.3572790421</v>
      </c>
      <c r="F34" s="70">
        <v>68682.329389749764</v>
      </c>
      <c r="G34" s="70">
        <v>105226.6302377844</v>
      </c>
      <c r="H34" s="70">
        <v>16455.602048163459</v>
      </c>
      <c r="I34" s="70">
        <v>1173310.822901655</v>
      </c>
      <c r="J34" s="70">
        <v>789195.76414899994</v>
      </c>
      <c r="K34" s="70">
        <v>-16975.814834121629</v>
      </c>
      <c r="L34" s="70">
        <v>24065.099546230231</v>
      </c>
      <c r="M34" s="70">
        <v>89378.800696672333</v>
      </c>
      <c r="N34" s="70">
        <v>86701.295507669594</v>
      </c>
      <c r="O34" s="70">
        <v>0</v>
      </c>
      <c r="P34" s="70">
        <v>26871.591679045829</v>
      </c>
      <c r="Q34" s="73">
        <v>2402092.76242072</v>
      </c>
    </row>
    <row r="35" spans="2:17" ht="15.5" customHeight="1" x14ac:dyDescent="0.35">
      <c r="B35" s="67" t="s">
        <v>95</v>
      </c>
      <c r="C35" s="70">
        <v>0</v>
      </c>
      <c r="D35" s="70">
        <v>50081.328999999998</v>
      </c>
      <c r="E35" s="70">
        <v>136760.91800000001</v>
      </c>
      <c r="F35" s="70">
        <v>623697.09900000005</v>
      </c>
      <c r="G35" s="70">
        <v>144318.15100000001</v>
      </c>
      <c r="H35" s="70">
        <v>54304.718999999997</v>
      </c>
      <c r="I35" s="70">
        <v>2107934.7110000001</v>
      </c>
      <c r="J35" s="70">
        <v>1327073.452</v>
      </c>
      <c r="K35" s="70">
        <v>0</v>
      </c>
      <c r="L35" s="70">
        <v>22261.42</v>
      </c>
      <c r="M35" s="70">
        <v>22593.89</v>
      </c>
      <c r="N35" s="70">
        <v>258236.454</v>
      </c>
      <c r="O35" s="70">
        <v>0</v>
      </c>
      <c r="P35" s="70">
        <v>46954.294999999998</v>
      </c>
      <c r="Q35" s="73">
        <v>4794216.4380000001</v>
      </c>
    </row>
    <row r="36" spans="2:17" ht="15.5" customHeight="1" x14ac:dyDescent="0.35">
      <c r="B36" s="67" t="s">
        <v>96</v>
      </c>
      <c r="C36" s="70">
        <v>-412.68220000000298</v>
      </c>
      <c r="D36" s="70">
        <v>2241.353970000001</v>
      </c>
      <c r="E36" s="70">
        <v>123.22291</v>
      </c>
      <c r="F36" s="70">
        <v>2269.9610699999998</v>
      </c>
      <c r="G36" s="70">
        <v>4672.4918800000023</v>
      </c>
      <c r="H36" s="70">
        <v>4265.7635200000004</v>
      </c>
      <c r="I36" s="70">
        <v>102291.79511000001</v>
      </c>
      <c r="J36" s="70">
        <v>61623.506630000003</v>
      </c>
      <c r="K36" s="70">
        <v>0</v>
      </c>
      <c r="L36" s="70">
        <v>4200.8609900000001</v>
      </c>
      <c r="M36" s="70">
        <v>1221.8312799999969</v>
      </c>
      <c r="N36" s="70">
        <v>98313.441000000006</v>
      </c>
      <c r="O36" s="70">
        <v>1553718.8559999999</v>
      </c>
      <c r="P36" s="70">
        <v>2292.9248499999339</v>
      </c>
      <c r="Q36" s="73">
        <v>1836823.3270099999</v>
      </c>
    </row>
    <row r="37" spans="2:17" ht="15.5" customHeight="1" x14ac:dyDescent="0.35">
      <c r="B37" s="67" t="s">
        <v>97</v>
      </c>
      <c r="C37" s="70">
        <v>0</v>
      </c>
      <c r="D37" s="70">
        <v>14570.845004601129</v>
      </c>
      <c r="E37" s="70">
        <v>4554.3354972791976</v>
      </c>
      <c r="F37" s="70">
        <v>15351.74121268079</v>
      </c>
      <c r="G37" s="70">
        <v>42444.010292307692</v>
      </c>
      <c r="H37" s="70">
        <v>15968.427326665989</v>
      </c>
      <c r="I37" s="70">
        <v>238018.1084674962</v>
      </c>
      <c r="J37" s="70">
        <v>429264.59765250387</v>
      </c>
      <c r="K37" s="70">
        <v>0</v>
      </c>
      <c r="L37" s="70">
        <v>2007.8217612994561</v>
      </c>
      <c r="M37" s="70">
        <v>20427.521882351</v>
      </c>
      <c r="N37" s="70">
        <v>52278.752460000003</v>
      </c>
      <c r="O37" s="70">
        <v>7833.0029999999997</v>
      </c>
      <c r="P37" s="70">
        <v>12635.510415959559</v>
      </c>
      <c r="Q37" s="73">
        <v>855354.67497314501</v>
      </c>
    </row>
    <row r="38" spans="2:17" ht="15.5" customHeight="1" x14ac:dyDescent="0.35">
      <c r="B38" s="67" t="s">
        <v>98</v>
      </c>
      <c r="C38" s="70">
        <v>0</v>
      </c>
      <c r="D38" s="70">
        <v>43520.488458759814</v>
      </c>
      <c r="E38" s="70">
        <v>65461.919238958682</v>
      </c>
      <c r="F38" s="70">
        <v>146655.2008266839</v>
      </c>
      <c r="G38" s="70">
        <v>30474.731918363421</v>
      </c>
      <c r="H38" s="70">
        <v>146606.37841874201</v>
      </c>
      <c r="I38" s="70">
        <v>270826.1255069616</v>
      </c>
      <c r="J38" s="70">
        <v>192052.86554067349</v>
      </c>
      <c r="K38" s="70">
        <v>0</v>
      </c>
      <c r="L38" s="70">
        <v>9097.4625047499994</v>
      </c>
      <c r="M38" s="70">
        <v>118357.526134</v>
      </c>
      <c r="N38" s="70">
        <v>280798.85332210438</v>
      </c>
      <c r="O38" s="70">
        <v>4392.1779999999999</v>
      </c>
      <c r="P38" s="70">
        <v>14176.75744400001</v>
      </c>
      <c r="Q38" s="73">
        <v>1322420.487313997</v>
      </c>
    </row>
    <row r="39" spans="2:17" ht="15.5" customHeight="1" x14ac:dyDescent="0.35">
      <c r="B39" s="67" t="s">
        <v>99</v>
      </c>
      <c r="C39" s="70">
        <v>2437.2890000000002</v>
      </c>
      <c r="D39" s="70">
        <v>66655.866999999998</v>
      </c>
      <c r="E39" s="70">
        <v>95544.202999999994</v>
      </c>
      <c r="F39" s="70">
        <v>224089.93299999999</v>
      </c>
      <c r="G39" s="70">
        <v>181428.522</v>
      </c>
      <c r="H39" s="70">
        <v>81921.81</v>
      </c>
      <c r="I39" s="70">
        <v>1300301.2549999999</v>
      </c>
      <c r="J39" s="70">
        <v>648230.08299999998</v>
      </c>
      <c r="K39" s="70">
        <v>0</v>
      </c>
      <c r="L39" s="70">
        <v>140786.95300000001</v>
      </c>
      <c r="M39" s="70">
        <v>113532.897</v>
      </c>
      <c r="N39" s="70">
        <v>367201.74800000002</v>
      </c>
      <c r="O39" s="70">
        <v>3469871.0269999998</v>
      </c>
      <c r="P39" s="70">
        <v>157707.954</v>
      </c>
      <c r="Q39" s="73">
        <v>6849709.5410000002</v>
      </c>
    </row>
    <row r="40" spans="2:17" ht="15.5" customHeight="1" x14ac:dyDescent="0.35">
      <c r="B40" s="67" t="s">
        <v>100</v>
      </c>
      <c r="C40" s="70">
        <v>0</v>
      </c>
      <c r="D40" s="70">
        <v>4953.3029999999999</v>
      </c>
      <c r="E40" s="70">
        <v>3392.6736000000001</v>
      </c>
      <c r="F40" s="70">
        <v>12078.22654</v>
      </c>
      <c r="G40" s="70">
        <v>11111.51353</v>
      </c>
      <c r="H40" s="70">
        <v>2082.8050400000002</v>
      </c>
      <c r="I40" s="70">
        <v>644224.89627999603</v>
      </c>
      <c r="J40" s="70">
        <v>190816.62612</v>
      </c>
      <c r="K40" s="70">
        <v>0</v>
      </c>
      <c r="L40" s="70">
        <v>8872.1135399999985</v>
      </c>
      <c r="M40" s="70">
        <v>8322.5917699999991</v>
      </c>
      <c r="N40" s="70">
        <v>245987.55228</v>
      </c>
      <c r="O40" s="70">
        <v>458565.78901000001</v>
      </c>
      <c r="P40" s="70">
        <v>20165.59202</v>
      </c>
      <c r="Q40" s="73">
        <v>1610573.682729996</v>
      </c>
    </row>
    <row r="41" spans="2:17" ht="15.5"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73">
        <v>0</v>
      </c>
    </row>
    <row r="42" spans="2:17" ht="15.5"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73">
        <v>0</v>
      </c>
    </row>
    <row r="43" spans="2:17" ht="15.5" customHeight="1" x14ac:dyDescent="0.35">
      <c r="B43" s="71" t="s">
        <v>24</v>
      </c>
      <c r="C43" s="72">
        <f t="shared" ref="C43:Q43" si="0">SUM(C6:C42)</f>
        <v>33843.597549999999</v>
      </c>
      <c r="D43" s="72">
        <f t="shared" si="0"/>
        <v>1627685.9896759375</v>
      </c>
      <c r="E43" s="72">
        <f t="shared" si="0"/>
        <v>1543085.666682346</v>
      </c>
      <c r="F43" s="72">
        <f t="shared" si="0"/>
        <v>4889880.7138832714</v>
      </c>
      <c r="G43" s="72">
        <f t="shared" si="0"/>
        <v>2234343.7838977925</v>
      </c>
      <c r="H43" s="72">
        <f t="shared" si="0"/>
        <v>2163429.978350339</v>
      </c>
      <c r="I43" s="72">
        <f t="shared" si="0"/>
        <v>30697902.107125059</v>
      </c>
      <c r="J43" s="72">
        <f t="shared" si="0"/>
        <v>23254863.635878276</v>
      </c>
      <c r="K43" s="72">
        <f t="shared" si="0"/>
        <v>5609653.4915311104</v>
      </c>
      <c r="L43" s="72">
        <f t="shared" si="0"/>
        <v>1551683.2646031561</v>
      </c>
      <c r="M43" s="72">
        <f t="shared" si="0"/>
        <v>2893012.2352540847</v>
      </c>
      <c r="N43" s="72">
        <f t="shared" si="0"/>
        <v>8633166.5086941365</v>
      </c>
      <c r="O43" s="72">
        <f t="shared" si="0"/>
        <v>73533164.7942788</v>
      </c>
      <c r="P43" s="72">
        <f t="shared" si="0"/>
        <v>1895189.3763565661</v>
      </c>
      <c r="Q43" s="72">
        <f t="shared" si="0"/>
        <v>160560905.14376083</v>
      </c>
    </row>
    <row r="44" spans="2:17" ht="14.5" customHeight="1" x14ac:dyDescent="0.35">
      <c r="B44" s="338" t="s">
        <v>103</v>
      </c>
      <c r="C44" s="269"/>
      <c r="D44" s="269"/>
      <c r="E44" s="269"/>
      <c r="F44" s="269"/>
      <c r="G44" s="269"/>
      <c r="H44" s="269"/>
      <c r="I44" s="269"/>
      <c r="J44" s="269"/>
      <c r="K44" s="269"/>
      <c r="L44" s="269"/>
      <c r="M44" s="269"/>
      <c r="N44" s="269"/>
      <c r="O44" s="269"/>
      <c r="P44" s="269"/>
      <c r="Q44" s="270"/>
    </row>
    <row r="45" spans="2:17" ht="15.5" customHeight="1" x14ac:dyDescent="0.35">
      <c r="B45" s="67" t="s">
        <v>104</v>
      </c>
      <c r="C45" s="70">
        <v>26799.556</v>
      </c>
      <c r="D45" s="70">
        <v>334164.386</v>
      </c>
      <c r="E45" s="70">
        <v>292159.69199999998</v>
      </c>
      <c r="F45" s="70">
        <v>831531.429</v>
      </c>
      <c r="G45" s="70">
        <v>184927.81599999999</v>
      </c>
      <c r="H45" s="70">
        <v>308194.89</v>
      </c>
      <c r="I45" s="70">
        <v>48433.476000000002</v>
      </c>
      <c r="J45" s="70">
        <v>206943.03200000001</v>
      </c>
      <c r="K45" s="70">
        <v>0</v>
      </c>
      <c r="L45" s="70">
        <v>149656.41699999999</v>
      </c>
      <c r="M45" s="70">
        <v>7876.6540000000005</v>
      </c>
      <c r="N45" s="70">
        <v>15753.308000000001</v>
      </c>
      <c r="O45" s="70">
        <v>688035.84600000002</v>
      </c>
      <c r="P45" s="70">
        <v>614378.973</v>
      </c>
      <c r="Q45" s="73">
        <v>3708855.4750000001</v>
      </c>
    </row>
    <row r="46" spans="2:17" ht="15.5" customHeight="1" x14ac:dyDescent="0.35">
      <c r="B46" s="67" t="s">
        <v>105</v>
      </c>
      <c r="C46" s="70">
        <v>6168.478551705316</v>
      </c>
      <c r="D46" s="70">
        <v>50773.554781383267</v>
      </c>
      <c r="E46" s="70">
        <v>0</v>
      </c>
      <c r="F46" s="70">
        <v>1524397.919829444</v>
      </c>
      <c r="G46" s="70">
        <v>44230.077086617581</v>
      </c>
      <c r="H46" s="70">
        <v>154892.99077238931</v>
      </c>
      <c r="I46" s="70">
        <v>0</v>
      </c>
      <c r="J46" s="70">
        <v>250920.84520290009</v>
      </c>
      <c r="K46" s="70">
        <v>0</v>
      </c>
      <c r="L46" s="70">
        <v>61710.809364572437</v>
      </c>
      <c r="M46" s="70">
        <v>0</v>
      </c>
      <c r="N46" s="70">
        <v>0</v>
      </c>
      <c r="O46" s="70">
        <v>1112248.9978614489</v>
      </c>
      <c r="P46" s="70">
        <v>534559.49815894186</v>
      </c>
      <c r="Q46" s="73">
        <v>3739903.1716094031</v>
      </c>
    </row>
    <row r="47" spans="2:17" ht="15.5" customHeight="1" x14ac:dyDescent="0.35">
      <c r="B47" s="67" t="s">
        <v>106</v>
      </c>
      <c r="C47" s="70">
        <v>5792.2640000000001</v>
      </c>
      <c r="D47" s="70">
        <v>263115.28899999999</v>
      </c>
      <c r="E47" s="70">
        <v>229716.44399999999</v>
      </c>
      <c r="F47" s="70">
        <v>1672208.2439999999</v>
      </c>
      <c r="G47" s="70">
        <v>89533.519</v>
      </c>
      <c r="H47" s="70">
        <v>171272.462</v>
      </c>
      <c r="I47" s="70">
        <v>160510.31899999999</v>
      </c>
      <c r="J47" s="70">
        <v>173886.17800000001</v>
      </c>
      <c r="K47" s="70">
        <v>0</v>
      </c>
      <c r="L47" s="70">
        <v>2759.6619999999998</v>
      </c>
      <c r="M47" s="70">
        <v>79261.581000000006</v>
      </c>
      <c r="N47" s="70">
        <v>-5046.95</v>
      </c>
      <c r="O47" s="70">
        <v>580526.31099999999</v>
      </c>
      <c r="P47" s="70">
        <v>192986.158</v>
      </c>
      <c r="Q47" s="73">
        <v>3616521.4810000001</v>
      </c>
    </row>
    <row r="48" spans="2:17" ht="15.5" customHeight="1" x14ac:dyDescent="0.35">
      <c r="B48" s="64" t="s">
        <v>107</v>
      </c>
      <c r="C48" s="70">
        <v>96127.576879999993</v>
      </c>
      <c r="D48" s="70">
        <v>363124.73547000083</v>
      </c>
      <c r="E48" s="70">
        <v>116337.94530000001</v>
      </c>
      <c r="F48" s="70">
        <v>4546509.5547399987</v>
      </c>
      <c r="G48" s="70">
        <v>139986.45667000001</v>
      </c>
      <c r="H48" s="70">
        <v>643501.29934999952</v>
      </c>
      <c r="I48" s="70">
        <v>13368.51477</v>
      </c>
      <c r="J48" s="70">
        <v>437423.77944999997</v>
      </c>
      <c r="K48" s="70">
        <v>0</v>
      </c>
      <c r="L48" s="70">
        <v>264056.65872000001</v>
      </c>
      <c r="M48" s="70">
        <v>31763.131069999999</v>
      </c>
      <c r="N48" s="70">
        <v>20319.93016</v>
      </c>
      <c r="O48" s="70">
        <v>2955437.0362</v>
      </c>
      <c r="P48" s="70">
        <v>1574414.615970002</v>
      </c>
      <c r="Q48" s="73">
        <v>11202371.234750001</v>
      </c>
    </row>
    <row r="49" spans="2:17" ht="15.5" customHeight="1" x14ac:dyDescent="0.35">
      <c r="B49" s="67" t="s">
        <v>108</v>
      </c>
      <c r="C49" s="70">
        <v>23991.698137133011</v>
      </c>
      <c r="D49" s="70">
        <v>622205.06567066431</v>
      </c>
      <c r="E49" s="70">
        <v>0</v>
      </c>
      <c r="F49" s="70">
        <v>2439800.614119757</v>
      </c>
      <c r="G49" s="70">
        <v>172194.3787525217</v>
      </c>
      <c r="H49" s="70">
        <v>197209.57401052859</v>
      </c>
      <c r="I49" s="70">
        <v>89875.23431845961</v>
      </c>
      <c r="J49" s="70">
        <v>110713.0722347949</v>
      </c>
      <c r="K49" s="70">
        <v>0</v>
      </c>
      <c r="L49" s="70">
        <v>1189505.738905516</v>
      </c>
      <c r="M49" s="70">
        <v>53779.723474483057</v>
      </c>
      <c r="N49" s="70">
        <v>0</v>
      </c>
      <c r="O49" s="70">
        <v>31652.089623927859</v>
      </c>
      <c r="P49" s="70">
        <v>74073.766067326826</v>
      </c>
      <c r="Q49" s="73">
        <v>5005000.955315114</v>
      </c>
    </row>
    <row r="50" spans="2:17" ht="15.5" customHeight="1" x14ac:dyDescent="0.35">
      <c r="B50" s="71" t="s">
        <v>24</v>
      </c>
      <c r="C50" s="72">
        <f t="shared" ref="C50:Q50" si="1">SUM(C45:C49)</f>
        <v>158879.57356883833</v>
      </c>
      <c r="D50" s="72">
        <f t="shared" si="1"/>
        <v>1633383.0309220483</v>
      </c>
      <c r="E50" s="72">
        <f t="shared" si="1"/>
        <v>638214.08129999996</v>
      </c>
      <c r="F50" s="72">
        <f t="shared" si="1"/>
        <v>11014447.761689199</v>
      </c>
      <c r="G50" s="72">
        <f t="shared" si="1"/>
        <v>630872.24750913924</v>
      </c>
      <c r="H50" s="72">
        <f t="shared" si="1"/>
        <v>1475071.2161329174</v>
      </c>
      <c r="I50" s="72">
        <f t="shared" si="1"/>
        <v>312187.54408845957</v>
      </c>
      <c r="J50" s="72">
        <f t="shared" si="1"/>
        <v>1179886.9068876952</v>
      </c>
      <c r="K50" s="72">
        <f t="shared" si="1"/>
        <v>0</v>
      </c>
      <c r="L50" s="72">
        <f t="shared" si="1"/>
        <v>1667689.2859900885</v>
      </c>
      <c r="M50" s="72">
        <f t="shared" si="1"/>
        <v>172681.08954448305</v>
      </c>
      <c r="N50" s="72">
        <f t="shared" si="1"/>
        <v>31026.28816</v>
      </c>
      <c r="O50" s="72">
        <f t="shared" si="1"/>
        <v>5367900.2806853773</v>
      </c>
      <c r="P50" s="72">
        <f t="shared" si="1"/>
        <v>2990413.0111962706</v>
      </c>
      <c r="Q50" s="72">
        <f t="shared" si="1"/>
        <v>27272652.317674518</v>
      </c>
    </row>
    <row r="51" spans="2:17" ht="14.5" customHeight="1" x14ac:dyDescent="0.35">
      <c r="B51" s="298" t="s">
        <v>25</v>
      </c>
      <c r="C51" s="281"/>
      <c r="D51" s="281"/>
      <c r="E51" s="281"/>
      <c r="F51" s="281"/>
      <c r="G51" s="281"/>
      <c r="H51" s="281"/>
      <c r="I51" s="281"/>
      <c r="J51" s="281"/>
      <c r="K51" s="281"/>
      <c r="L51" s="281"/>
      <c r="M51" s="281"/>
      <c r="N51" s="281"/>
      <c r="O51" s="281"/>
      <c r="P51" s="281"/>
      <c r="Q51" s="281"/>
    </row>
  </sheetData>
  <sheetProtection algorithmName="SHA-512" hashValue="bnwyt47GxTGhbgSgEa5wewlG44DLabCH6DFhEmWGg0kc3jywjm85upcul/KVE9rlBL06pPcdpJ5tCKO7DLozAA==" saltValue="ebEMrrG/aPIDs5lAjM5MHA==" spinCount="100000" sheet="1" objects="1" scenarios="1"/>
  <mergeCells count="4">
    <mergeCell ref="B51:Q51"/>
    <mergeCell ref="B5:Q5"/>
    <mergeCell ref="B3:Q3"/>
    <mergeCell ref="B44:Q44"/>
  </mergeCells>
  <pageMargins left="0.7" right="0.7" top="0.75" bottom="0.75" header="0.3" footer="0.3"/>
  <pageSetup paperSize="9" scale="33"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8">
    <tabColor rgb="FFA2D668"/>
    <pageSetUpPr fitToPage="1"/>
  </sheetPr>
  <dimension ref="B3:Q51"/>
  <sheetViews>
    <sheetView workbookViewId="0"/>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07" width="9.453125" style="2" customWidth="1"/>
    <col min="108" max="16384" width="9.453125" style="2"/>
  </cols>
  <sheetData>
    <row r="3" spans="2:17" ht="14.5" customHeight="1" x14ac:dyDescent="0.35">
      <c r="B3" s="336" t="str">
        <f>_xlfn.CONCAT("NEPI: SUMMARY OF NET EARNED PREMIUM UNDER GENERAL INSURANCE BUSINESS FOR THE PERIOD ENDED"," ",Details!F18)</f>
        <v>NEPI: SUMMARY OF NET EARNED PREMIUM UNDER GENERAL INSURANCE BUSINESS FOR THE PERIOD ENDED 31.12.2025</v>
      </c>
      <c r="C3" s="269"/>
      <c r="D3" s="269"/>
      <c r="E3" s="269"/>
      <c r="F3" s="269"/>
      <c r="G3" s="269"/>
      <c r="H3" s="269"/>
      <c r="I3" s="269"/>
      <c r="J3" s="269"/>
      <c r="K3" s="269"/>
      <c r="L3" s="269"/>
      <c r="M3" s="269"/>
      <c r="N3" s="269"/>
      <c r="O3" s="269"/>
      <c r="P3" s="269"/>
      <c r="Q3" s="270"/>
    </row>
    <row r="4" spans="2:17" ht="31" customHeight="1"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7" ht="14.5" customHeight="1" x14ac:dyDescent="0.35">
      <c r="B5" s="335" t="s">
        <v>17</v>
      </c>
      <c r="C5" s="269"/>
      <c r="D5" s="269"/>
      <c r="E5" s="269"/>
      <c r="F5" s="269"/>
      <c r="G5" s="269"/>
      <c r="H5" s="269"/>
      <c r="I5" s="269"/>
      <c r="J5" s="269"/>
      <c r="K5" s="269"/>
      <c r="L5" s="269"/>
      <c r="M5" s="269"/>
      <c r="N5" s="269"/>
      <c r="O5" s="269"/>
      <c r="P5" s="269"/>
      <c r="Q5" s="270"/>
    </row>
    <row r="6" spans="2:17" ht="15.5" customHeight="1" x14ac:dyDescent="0.35">
      <c r="B6" s="67" t="s">
        <v>66</v>
      </c>
      <c r="C6" s="70">
        <v>0</v>
      </c>
      <c r="D6" s="70">
        <v>-239.9223857420576</v>
      </c>
      <c r="E6" s="70">
        <v>625.10916420467549</v>
      </c>
      <c r="F6" s="70">
        <v>4586.1881489428333</v>
      </c>
      <c r="G6" s="70">
        <v>23793.379349999999</v>
      </c>
      <c r="H6" s="70">
        <v>-1343.031360578414</v>
      </c>
      <c r="I6" s="70">
        <v>1885.656640000002</v>
      </c>
      <c r="J6" s="70">
        <v>0</v>
      </c>
      <c r="K6" s="70">
        <v>0</v>
      </c>
      <c r="L6" s="70">
        <v>8834.0763999998053</v>
      </c>
      <c r="M6" s="70">
        <v>11504.22773068493</v>
      </c>
      <c r="N6" s="70">
        <v>93320.556930000123</v>
      </c>
      <c r="O6" s="70">
        <v>8601325.5031300504</v>
      </c>
      <c r="P6" s="70">
        <v>9187.2389632945506</v>
      </c>
      <c r="Q6" s="73">
        <v>8753478.9827108569</v>
      </c>
    </row>
    <row r="7" spans="2:17" ht="15.5" customHeight="1" x14ac:dyDescent="0.35">
      <c r="B7" s="67" t="s">
        <v>67</v>
      </c>
      <c r="C7" s="70">
        <v>0</v>
      </c>
      <c r="D7" s="70">
        <v>47452.762132881813</v>
      </c>
      <c r="E7" s="70">
        <v>689.95913127687788</v>
      </c>
      <c r="F7" s="70">
        <v>21283.47591162274</v>
      </c>
      <c r="G7" s="70">
        <v>20966.805567365751</v>
      </c>
      <c r="H7" s="70">
        <v>2179.2904563483089</v>
      </c>
      <c r="I7" s="70">
        <v>593616.31159227947</v>
      </c>
      <c r="J7" s="70">
        <v>209002.5242253482</v>
      </c>
      <c r="K7" s="70">
        <v>2560003.9602233311</v>
      </c>
      <c r="L7" s="70">
        <v>19900.760360772249</v>
      </c>
      <c r="M7" s="70">
        <v>5015.7937686956056</v>
      </c>
      <c r="N7" s="70">
        <v>84359.047949906017</v>
      </c>
      <c r="O7" s="70">
        <v>0</v>
      </c>
      <c r="P7" s="70">
        <v>26122.112564938008</v>
      </c>
      <c r="Q7" s="73">
        <v>3590592.8038847661</v>
      </c>
    </row>
    <row r="8" spans="2:17" ht="15.5" customHeight="1" x14ac:dyDescent="0.35">
      <c r="B8" s="67" t="s">
        <v>68</v>
      </c>
      <c r="C8" s="70">
        <v>716.10014323719292</v>
      </c>
      <c r="D8" s="70">
        <v>106849.68925640279</v>
      </c>
      <c r="E8" s="70">
        <v>96305.301885148612</v>
      </c>
      <c r="F8" s="70">
        <v>616457.22780622588</v>
      </c>
      <c r="G8" s="70">
        <v>113063.1764028507</v>
      </c>
      <c r="H8" s="70">
        <v>181182.15466315631</v>
      </c>
      <c r="I8" s="70">
        <v>3047587.4532431508</v>
      </c>
      <c r="J8" s="70">
        <v>2248945.5414932608</v>
      </c>
      <c r="K8" s="70">
        <v>0</v>
      </c>
      <c r="L8" s="70">
        <v>186433.4573638759</v>
      </c>
      <c r="M8" s="70">
        <v>259421.76144624469</v>
      </c>
      <c r="N8" s="70">
        <v>695080.70788390283</v>
      </c>
      <c r="O8" s="70">
        <v>4480031.1649861028</v>
      </c>
      <c r="P8" s="70">
        <v>295547.20818000718</v>
      </c>
      <c r="Q8" s="73">
        <v>12327620.94475357</v>
      </c>
    </row>
    <row r="9" spans="2:17" ht="15.5" customHeight="1" x14ac:dyDescent="0.35">
      <c r="B9" s="67" t="s">
        <v>69</v>
      </c>
      <c r="C9" s="70">
        <v>-4046.3122900000249</v>
      </c>
      <c r="D9" s="70">
        <v>55580.950360000017</v>
      </c>
      <c r="E9" s="70">
        <v>112315.3178</v>
      </c>
      <c r="F9" s="70">
        <v>319461.62845000019</v>
      </c>
      <c r="G9" s="70">
        <v>165435.42815999981</v>
      </c>
      <c r="H9" s="70">
        <v>84625.190570000617</v>
      </c>
      <c r="I9" s="70">
        <v>1402804.198240007</v>
      </c>
      <c r="J9" s="70">
        <v>683137.02424495248</v>
      </c>
      <c r="K9" s="70">
        <v>0</v>
      </c>
      <c r="L9" s="70">
        <v>280943.05726705468</v>
      </c>
      <c r="M9" s="70">
        <v>149661.15816000011</v>
      </c>
      <c r="N9" s="70">
        <v>624603.46347240696</v>
      </c>
      <c r="O9" s="70">
        <v>6267009.7793811969</v>
      </c>
      <c r="P9" s="70">
        <v>524776.27109000005</v>
      </c>
      <c r="Q9" s="73">
        <v>10666307.154905619</v>
      </c>
    </row>
    <row r="10" spans="2:17" ht="15.5" customHeight="1" x14ac:dyDescent="0.35">
      <c r="B10" s="67" t="s">
        <v>70</v>
      </c>
      <c r="C10" s="70">
        <v>0</v>
      </c>
      <c r="D10" s="70">
        <v>0</v>
      </c>
      <c r="E10" s="70">
        <v>0</v>
      </c>
      <c r="F10" s="70">
        <v>0</v>
      </c>
      <c r="G10" s="70">
        <v>0</v>
      </c>
      <c r="H10" s="70">
        <v>0</v>
      </c>
      <c r="I10" s="70">
        <v>0</v>
      </c>
      <c r="J10" s="70">
        <v>0</v>
      </c>
      <c r="K10" s="70">
        <v>0</v>
      </c>
      <c r="L10" s="70">
        <v>0</v>
      </c>
      <c r="M10" s="70">
        <v>0</v>
      </c>
      <c r="N10" s="70">
        <v>0</v>
      </c>
      <c r="O10" s="70">
        <v>151645</v>
      </c>
      <c r="P10" s="70">
        <v>0</v>
      </c>
      <c r="Q10" s="73">
        <v>151645</v>
      </c>
    </row>
    <row r="11" spans="2:17" ht="15.5" customHeight="1" x14ac:dyDescent="0.35">
      <c r="B11" s="67" t="s">
        <v>71</v>
      </c>
      <c r="C11" s="70">
        <v>0</v>
      </c>
      <c r="D11" s="70">
        <v>9617.6240911790064</v>
      </c>
      <c r="E11" s="70">
        <v>12571.751920957049</v>
      </c>
      <c r="F11" s="70">
        <v>33995.144304937647</v>
      </c>
      <c r="G11" s="70">
        <v>13654.532897837849</v>
      </c>
      <c r="H11" s="70">
        <v>19535.95444016844</v>
      </c>
      <c r="I11" s="70">
        <v>1285324.618720843</v>
      </c>
      <c r="J11" s="70">
        <v>379929.22297</v>
      </c>
      <c r="K11" s="70">
        <v>0</v>
      </c>
      <c r="L11" s="70">
        <v>-35296.869689908483</v>
      </c>
      <c r="M11" s="70">
        <v>18839.489626695129</v>
      </c>
      <c r="N11" s="70">
        <v>108217.6516626137</v>
      </c>
      <c r="O11" s="70">
        <v>0</v>
      </c>
      <c r="P11" s="70">
        <v>-50989.903545652283</v>
      </c>
      <c r="Q11" s="73">
        <v>1795399.217399671</v>
      </c>
    </row>
    <row r="12" spans="2:17" ht="15.5" customHeight="1" x14ac:dyDescent="0.35">
      <c r="B12" s="67" t="s">
        <v>72</v>
      </c>
      <c r="C12" s="70">
        <v>0</v>
      </c>
      <c r="D12" s="70">
        <v>73649.549189999991</v>
      </c>
      <c r="E12" s="70">
        <v>88961.953050000011</v>
      </c>
      <c r="F12" s="70">
        <v>227365.74309999929</v>
      </c>
      <c r="G12" s="70">
        <v>87171.602349999972</v>
      </c>
      <c r="H12" s="70">
        <v>51963.304829999986</v>
      </c>
      <c r="I12" s="70">
        <v>3362438.5037099989</v>
      </c>
      <c r="J12" s="70">
        <v>2541438.284690001</v>
      </c>
      <c r="K12" s="70">
        <v>0</v>
      </c>
      <c r="L12" s="70">
        <v>118585.3890299999</v>
      </c>
      <c r="M12" s="70">
        <v>487068.10897000041</v>
      </c>
      <c r="N12" s="70">
        <v>485080.29167000012</v>
      </c>
      <c r="O12" s="70">
        <v>9207576.9464728087</v>
      </c>
      <c r="P12" s="70">
        <v>52376.194239999997</v>
      </c>
      <c r="Q12" s="73">
        <v>16783675.87130281</v>
      </c>
    </row>
    <row r="13" spans="2:17" ht="15.5"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74</v>
      </c>
      <c r="C14" s="70">
        <v>0</v>
      </c>
      <c r="D14" s="70">
        <v>-3886.828</v>
      </c>
      <c r="E14" s="70">
        <v>-159.89500000000001</v>
      </c>
      <c r="F14" s="70">
        <v>-569.29700000000003</v>
      </c>
      <c r="G14" s="70">
        <v>991.86199999999997</v>
      </c>
      <c r="H14" s="70">
        <v>64.730999999999995</v>
      </c>
      <c r="I14" s="70">
        <v>125318.74047</v>
      </c>
      <c r="J14" s="70">
        <v>91099.497151400006</v>
      </c>
      <c r="K14" s="70">
        <v>410521.24276249978</v>
      </c>
      <c r="L14" s="70">
        <v>222.38900000000001</v>
      </c>
      <c r="M14" s="70">
        <v>2062.1260000000002</v>
      </c>
      <c r="N14" s="70">
        <v>271.56400000000002</v>
      </c>
      <c r="O14" s="70">
        <v>0</v>
      </c>
      <c r="P14" s="70">
        <v>-37030.991000000002</v>
      </c>
      <c r="Q14" s="73">
        <v>588905.14138389984</v>
      </c>
    </row>
    <row r="15" spans="2:17" ht="15.5" customHeight="1" x14ac:dyDescent="0.35">
      <c r="B15" s="67" t="s">
        <v>75</v>
      </c>
      <c r="C15" s="70">
        <v>0</v>
      </c>
      <c r="D15" s="70">
        <v>0</v>
      </c>
      <c r="E15" s="70">
        <v>66.130970000000005</v>
      </c>
      <c r="F15" s="70">
        <v>10626.338110000001</v>
      </c>
      <c r="G15" s="70">
        <v>592.59119999999996</v>
      </c>
      <c r="H15" s="70">
        <v>52.784109999999998</v>
      </c>
      <c r="I15" s="70">
        <v>374675.3884794403</v>
      </c>
      <c r="J15" s="70">
        <v>123206.8841691305</v>
      </c>
      <c r="K15" s="70">
        <v>2024549.2926910419</v>
      </c>
      <c r="L15" s="70">
        <v>367.92543000000001</v>
      </c>
      <c r="M15" s="70">
        <v>420.35207000000003</v>
      </c>
      <c r="N15" s="70">
        <v>7346.4302200000002</v>
      </c>
      <c r="O15" s="70">
        <v>0</v>
      </c>
      <c r="P15" s="70">
        <v>10812.623235578611</v>
      </c>
      <c r="Q15" s="73">
        <v>2552716.740685191</v>
      </c>
    </row>
    <row r="16" spans="2:17" ht="15.5" customHeight="1" x14ac:dyDescent="0.35">
      <c r="B16" s="67" t="s">
        <v>76</v>
      </c>
      <c r="C16" s="70">
        <v>0</v>
      </c>
      <c r="D16" s="70">
        <v>-2191.2402087235678</v>
      </c>
      <c r="E16" s="70">
        <v>296.96516777343379</v>
      </c>
      <c r="F16" s="70">
        <v>-4812.0230738313649</v>
      </c>
      <c r="G16" s="70">
        <v>3950.8518331657019</v>
      </c>
      <c r="H16" s="70">
        <v>9.6774193548386975</v>
      </c>
      <c r="I16" s="70">
        <v>0</v>
      </c>
      <c r="J16" s="70">
        <v>0</v>
      </c>
      <c r="K16" s="70">
        <v>0</v>
      </c>
      <c r="L16" s="70">
        <v>128.43601777874699</v>
      </c>
      <c r="M16" s="70">
        <v>64595.196795289987</v>
      </c>
      <c r="N16" s="70">
        <v>1139.797586904793</v>
      </c>
      <c r="O16" s="70">
        <v>1071885.0565983071</v>
      </c>
      <c r="P16" s="70">
        <v>44.383561643835613</v>
      </c>
      <c r="Q16" s="73">
        <v>1135047.1016976631</v>
      </c>
    </row>
    <row r="17" spans="2:17" ht="15.5" customHeight="1" x14ac:dyDescent="0.35">
      <c r="B17" s="67" t="s">
        <v>77</v>
      </c>
      <c r="C17" s="70">
        <v>0</v>
      </c>
      <c r="D17" s="70">
        <v>0</v>
      </c>
      <c r="E17" s="70">
        <v>0</v>
      </c>
      <c r="F17" s="70">
        <v>0</v>
      </c>
      <c r="G17" s="70">
        <v>0</v>
      </c>
      <c r="H17" s="70">
        <v>0</v>
      </c>
      <c r="I17" s="70">
        <v>0</v>
      </c>
      <c r="J17" s="70">
        <v>0</v>
      </c>
      <c r="K17" s="70">
        <v>0</v>
      </c>
      <c r="L17" s="70">
        <v>0</v>
      </c>
      <c r="M17" s="70">
        <v>0</v>
      </c>
      <c r="N17" s="70">
        <v>0</v>
      </c>
      <c r="O17" s="70">
        <v>1818.1429137910211</v>
      </c>
      <c r="P17" s="70">
        <v>0</v>
      </c>
      <c r="Q17" s="73">
        <v>1818.1429137910211</v>
      </c>
    </row>
    <row r="18" spans="2:17" ht="15.5" customHeight="1" x14ac:dyDescent="0.35">
      <c r="B18" s="67" t="s">
        <v>78</v>
      </c>
      <c r="C18" s="70">
        <v>-106.053</v>
      </c>
      <c r="D18" s="70">
        <v>19567.455999999998</v>
      </c>
      <c r="E18" s="70">
        <v>17249.325000000001</v>
      </c>
      <c r="F18" s="70">
        <v>42355.957000000002</v>
      </c>
      <c r="G18" s="70">
        <v>39962.148000000001</v>
      </c>
      <c r="H18" s="70">
        <v>41198.832999999999</v>
      </c>
      <c r="I18" s="70">
        <v>1314927.013</v>
      </c>
      <c r="J18" s="70">
        <v>944351.37100000004</v>
      </c>
      <c r="K18" s="70">
        <v>37303.788999999997</v>
      </c>
      <c r="L18" s="70">
        <v>7158.5259999999998</v>
      </c>
      <c r="M18" s="70">
        <v>29696.100009999998</v>
      </c>
      <c r="N18" s="70">
        <v>279854.23467000033</v>
      </c>
      <c r="O18" s="70">
        <v>123184.19334</v>
      </c>
      <c r="P18" s="70">
        <v>35078.016000000003</v>
      </c>
      <c r="Q18" s="73">
        <v>2931780.9090200011</v>
      </c>
    </row>
    <row r="19" spans="2:17" ht="15.5" customHeight="1" x14ac:dyDescent="0.35">
      <c r="B19" s="67" t="s">
        <v>79</v>
      </c>
      <c r="C19" s="70">
        <v>0</v>
      </c>
      <c r="D19" s="70">
        <v>29544.736641999971</v>
      </c>
      <c r="E19" s="70">
        <v>43824.442639000001</v>
      </c>
      <c r="F19" s="70">
        <v>111412.572828</v>
      </c>
      <c r="G19" s="70">
        <v>36580.313584000032</v>
      </c>
      <c r="H19" s="70">
        <v>49237.21348800003</v>
      </c>
      <c r="I19" s="70">
        <v>683619.09916899994</v>
      </c>
      <c r="J19" s="70">
        <v>629880.69739500002</v>
      </c>
      <c r="K19" s="70">
        <v>0</v>
      </c>
      <c r="L19" s="70">
        <v>142833.22609800001</v>
      </c>
      <c r="M19" s="70">
        <v>80250.139327999976</v>
      </c>
      <c r="N19" s="70">
        <v>134693.536364</v>
      </c>
      <c r="O19" s="70">
        <v>1954774.8422000001</v>
      </c>
      <c r="P19" s="70">
        <v>13596.68465899996</v>
      </c>
      <c r="Q19" s="73">
        <v>3910247.5043939999</v>
      </c>
    </row>
    <row r="20" spans="2:17" ht="15.5" customHeight="1" x14ac:dyDescent="0.35">
      <c r="B20" s="67" t="s">
        <v>80</v>
      </c>
      <c r="C20" s="70">
        <v>-11690.967000000001</v>
      </c>
      <c r="D20" s="70">
        <v>111915.568</v>
      </c>
      <c r="E20" s="70">
        <v>134547.79699999999</v>
      </c>
      <c r="F20" s="70">
        <v>296338.15500000003</v>
      </c>
      <c r="G20" s="70">
        <v>119725.715</v>
      </c>
      <c r="H20" s="70">
        <v>366562.94199999998</v>
      </c>
      <c r="I20" s="70">
        <v>1780229.0719999999</v>
      </c>
      <c r="J20" s="70">
        <v>1307551.9110000001</v>
      </c>
      <c r="K20" s="70">
        <v>118092.433</v>
      </c>
      <c r="L20" s="70">
        <v>102591.53599999999</v>
      </c>
      <c r="M20" s="70">
        <v>433627.36473234149</v>
      </c>
      <c r="N20" s="70">
        <v>870386.65899999999</v>
      </c>
      <c r="O20" s="70">
        <v>1863223.166</v>
      </c>
      <c r="P20" s="70">
        <v>116941.53599999999</v>
      </c>
      <c r="Q20" s="73">
        <v>7610042.8877323419</v>
      </c>
    </row>
    <row r="21" spans="2:17" ht="15.5" customHeight="1" x14ac:dyDescent="0.35">
      <c r="B21" s="67" t="s">
        <v>81</v>
      </c>
      <c r="C21" s="70">
        <v>7698.5150000000003</v>
      </c>
      <c r="D21" s="70">
        <v>53209.258000000002</v>
      </c>
      <c r="E21" s="70">
        <v>60278.523000000001</v>
      </c>
      <c r="F21" s="70">
        <v>193011.12899999999</v>
      </c>
      <c r="G21" s="70">
        <v>102916.152</v>
      </c>
      <c r="H21" s="70">
        <v>135287.02499999999</v>
      </c>
      <c r="I21" s="70">
        <v>1260470.0730000001</v>
      </c>
      <c r="J21" s="70">
        <v>1049774.1259999999</v>
      </c>
      <c r="K21" s="70">
        <v>0</v>
      </c>
      <c r="L21" s="70">
        <v>54091.245999999999</v>
      </c>
      <c r="M21" s="70">
        <v>118519.306</v>
      </c>
      <c r="N21" s="70">
        <v>421262.38799999998</v>
      </c>
      <c r="O21" s="70">
        <v>0</v>
      </c>
      <c r="P21" s="70">
        <v>27043.395</v>
      </c>
      <c r="Q21" s="73">
        <v>3483561.1359999999</v>
      </c>
    </row>
    <row r="22" spans="2:17" ht="15.5" customHeight="1" x14ac:dyDescent="0.35">
      <c r="B22" s="67" t="s">
        <v>82</v>
      </c>
      <c r="C22" s="70">
        <v>8715.4850000000006</v>
      </c>
      <c r="D22" s="70">
        <v>68551.641000000003</v>
      </c>
      <c r="E22" s="70">
        <v>108397.451</v>
      </c>
      <c r="F22" s="70">
        <v>218435.15299999999</v>
      </c>
      <c r="G22" s="70">
        <v>49152.423000000003</v>
      </c>
      <c r="H22" s="70">
        <v>132817.62089619919</v>
      </c>
      <c r="I22" s="70">
        <v>2269048.4219999998</v>
      </c>
      <c r="J22" s="70">
        <v>600607.52899999998</v>
      </c>
      <c r="K22" s="70">
        <v>0</v>
      </c>
      <c r="L22" s="70">
        <v>135919.61600000001</v>
      </c>
      <c r="M22" s="70">
        <v>158334.72399999999</v>
      </c>
      <c r="N22" s="70">
        <v>782967.52800000005</v>
      </c>
      <c r="O22" s="70">
        <v>171392.64199999999</v>
      </c>
      <c r="P22" s="70">
        <v>25060.709219706419</v>
      </c>
      <c r="Q22" s="73">
        <v>4729400.944115906</v>
      </c>
    </row>
    <row r="23" spans="2:17" ht="15.5" customHeight="1" x14ac:dyDescent="0.35">
      <c r="B23" s="67" t="s">
        <v>83</v>
      </c>
      <c r="C23" s="70">
        <v>0</v>
      </c>
      <c r="D23" s="70">
        <v>117899.106</v>
      </c>
      <c r="E23" s="70">
        <v>47791.695</v>
      </c>
      <c r="F23" s="70">
        <v>136711.22700000001</v>
      </c>
      <c r="G23" s="70">
        <v>31804.212</v>
      </c>
      <c r="H23" s="70">
        <v>172103.34299999999</v>
      </c>
      <c r="I23" s="70">
        <v>802098.554</v>
      </c>
      <c r="J23" s="70">
        <v>361861.723</v>
      </c>
      <c r="K23" s="70">
        <v>47231.862999999998</v>
      </c>
      <c r="L23" s="70">
        <v>13392.713</v>
      </c>
      <c r="M23" s="70">
        <v>76618.281000000003</v>
      </c>
      <c r="N23" s="70">
        <v>284866.23200000002</v>
      </c>
      <c r="O23" s="70">
        <v>0</v>
      </c>
      <c r="P23" s="70">
        <v>121866.242</v>
      </c>
      <c r="Q23" s="73">
        <v>2214245.1910000001</v>
      </c>
    </row>
    <row r="24" spans="2:17" ht="15.5" customHeight="1" x14ac:dyDescent="0.35">
      <c r="B24" s="67" t="s">
        <v>84</v>
      </c>
      <c r="C24" s="70">
        <v>0</v>
      </c>
      <c r="D24" s="70">
        <v>0</v>
      </c>
      <c r="E24" s="70">
        <v>0</v>
      </c>
      <c r="F24" s="70">
        <v>0</v>
      </c>
      <c r="G24" s="70">
        <v>0</v>
      </c>
      <c r="H24" s="70">
        <v>0</v>
      </c>
      <c r="I24" s="70">
        <v>0</v>
      </c>
      <c r="J24" s="70">
        <v>0</v>
      </c>
      <c r="K24" s="70">
        <v>0</v>
      </c>
      <c r="L24" s="70">
        <v>0</v>
      </c>
      <c r="M24" s="70">
        <v>0</v>
      </c>
      <c r="N24" s="70">
        <v>0</v>
      </c>
      <c r="O24" s="70">
        <v>16627667.861118499</v>
      </c>
      <c r="P24" s="70">
        <v>0</v>
      </c>
      <c r="Q24" s="73">
        <v>16627667.861118499</v>
      </c>
    </row>
    <row r="25" spans="2:17" ht="15.5" customHeight="1" x14ac:dyDescent="0.35">
      <c r="B25" s="67" t="s">
        <v>85</v>
      </c>
      <c r="C25" s="70">
        <v>0</v>
      </c>
      <c r="D25" s="70">
        <v>15530.547</v>
      </c>
      <c r="E25" s="70">
        <v>22192.07</v>
      </c>
      <c r="F25" s="70">
        <v>76700.687000000005</v>
      </c>
      <c r="G25" s="70">
        <v>29721.706999999999</v>
      </c>
      <c r="H25" s="70">
        <v>133180.68900000001</v>
      </c>
      <c r="I25" s="70">
        <v>574322.31999999995</v>
      </c>
      <c r="J25" s="70">
        <v>396237.527</v>
      </c>
      <c r="K25" s="70">
        <v>0</v>
      </c>
      <c r="L25" s="70">
        <v>4867.1279999999997</v>
      </c>
      <c r="M25" s="70">
        <v>40515.398999999998</v>
      </c>
      <c r="N25" s="70">
        <v>238259.079</v>
      </c>
      <c r="O25" s="70">
        <v>51368.703999999998</v>
      </c>
      <c r="P25" s="70">
        <v>5963.5749999999998</v>
      </c>
      <c r="Q25" s="73">
        <v>1588859.432</v>
      </c>
    </row>
    <row r="26" spans="2:17" ht="15.5" customHeight="1" x14ac:dyDescent="0.35">
      <c r="B26" s="67" t="s">
        <v>86</v>
      </c>
      <c r="C26" s="70">
        <v>0</v>
      </c>
      <c r="D26" s="70">
        <v>39470.193892208503</v>
      </c>
      <c r="E26" s="70">
        <v>25814.94288224195</v>
      </c>
      <c r="F26" s="70">
        <v>80916.179595780821</v>
      </c>
      <c r="G26" s="70">
        <v>19867.555400884601</v>
      </c>
      <c r="H26" s="70">
        <v>1013.159590496651</v>
      </c>
      <c r="I26" s="70">
        <v>430059.98835225799</v>
      </c>
      <c r="J26" s="70">
        <v>237015.32113893959</v>
      </c>
      <c r="K26" s="70">
        <v>31468.348999999998</v>
      </c>
      <c r="L26" s="70">
        <v>5927.612067101385</v>
      </c>
      <c r="M26" s="70">
        <v>39040.077418925823</v>
      </c>
      <c r="N26" s="70">
        <v>80059.646257902205</v>
      </c>
      <c r="O26" s="70">
        <v>0</v>
      </c>
      <c r="P26" s="70">
        <v>164912.73826505369</v>
      </c>
      <c r="Q26" s="73">
        <v>1155565.7638617931</v>
      </c>
    </row>
    <row r="27" spans="2:17" ht="15.5" customHeight="1" x14ac:dyDescent="0.35">
      <c r="B27" s="67" t="s">
        <v>87</v>
      </c>
      <c r="C27" s="70">
        <v>0</v>
      </c>
      <c r="D27" s="70">
        <v>59684.862382316787</v>
      </c>
      <c r="E27" s="70">
        <v>25901.79415398436</v>
      </c>
      <c r="F27" s="70">
        <v>153662.3991330378</v>
      </c>
      <c r="G27" s="70">
        <v>231398.4900855165</v>
      </c>
      <c r="H27" s="70">
        <v>13817.04995729343</v>
      </c>
      <c r="I27" s="70">
        <v>544318.9640272361</v>
      </c>
      <c r="J27" s="70">
        <v>5151173.2262005303</v>
      </c>
      <c r="K27" s="70">
        <v>-1610324.1646978571</v>
      </c>
      <c r="L27" s="70">
        <v>26013.774732963771</v>
      </c>
      <c r="M27" s="70">
        <v>31878.48884702559</v>
      </c>
      <c r="N27" s="70">
        <v>177487.96736659409</v>
      </c>
      <c r="O27" s="70">
        <v>2048724.323982154</v>
      </c>
      <c r="P27" s="70">
        <v>174452.23651622451</v>
      </c>
      <c r="Q27" s="73">
        <v>7028189.4126870204</v>
      </c>
    </row>
    <row r="28" spans="2:17" ht="15.5" customHeight="1" x14ac:dyDescent="0.35">
      <c r="B28" s="67" t="s">
        <v>88</v>
      </c>
      <c r="C28" s="70">
        <v>3073.295165753007</v>
      </c>
      <c r="D28" s="70">
        <v>251265.2425859159</v>
      </c>
      <c r="E28" s="70">
        <v>104783.3269886178</v>
      </c>
      <c r="F28" s="70">
        <v>272125.95002868102</v>
      </c>
      <c r="G28" s="70">
        <v>136440.31971861099</v>
      </c>
      <c r="H28" s="70">
        <v>353346.53498697543</v>
      </c>
      <c r="I28" s="70">
        <v>761749.86878928519</v>
      </c>
      <c r="J28" s="70">
        <v>579956.65961893299</v>
      </c>
      <c r="K28" s="70">
        <v>28493.353999999999</v>
      </c>
      <c r="L28" s="70">
        <v>31552.492490847799</v>
      </c>
      <c r="M28" s="70">
        <v>67051.137067713702</v>
      </c>
      <c r="N28" s="70">
        <v>860422.20141979097</v>
      </c>
      <c r="O28" s="70">
        <v>0</v>
      </c>
      <c r="P28" s="70">
        <v>315446.56915092497</v>
      </c>
      <c r="Q28" s="73">
        <v>3765706.95201205</v>
      </c>
    </row>
    <row r="29" spans="2:17" ht="15.5" customHeight="1" x14ac:dyDescent="0.35">
      <c r="B29" s="67" t="s">
        <v>89</v>
      </c>
      <c r="C29" s="70">
        <v>6235.104243783122</v>
      </c>
      <c r="D29" s="70">
        <v>11461.120962804011</v>
      </c>
      <c r="E29" s="70">
        <v>9637.4376394939736</v>
      </c>
      <c r="F29" s="70">
        <v>30687.529717551439</v>
      </c>
      <c r="G29" s="70">
        <v>9659.8209052263574</v>
      </c>
      <c r="H29" s="70">
        <v>10427.18154349046</v>
      </c>
      <c r="I29" s="70">
        <v>257933.5852794424</v>
      </c>
      <c r="J29" s="70">
        <v>97030.737948855109</v>
      </c>
      <c r="K29" s="70">
        <v>0</v>
      </c>
      <c r="L29" s="70">
        <v>9993.0614725694777</v>
      </c>
      <c r="M29" s="70">
        <v>35591.608511105696</v>
      </c>
      <c r="N29" s="70">
        <v>71098.34843246502</v>
      </c>
      <c r="O29" s="70">
        <v>623539.58200000005</v>
      </c>
      <c r="P29" s="70">
        <v>9848.8657087076299</v>
      </c>
      <c r="Q29" s="73">
        <v>1183143.984365494</v>
      </c>
    </row>
    <row r="30" spans="2:17" ht="15.5" customHeight="1" x14ac:dyDescent="0.35">
      <c r="B30" s="67" t="s">
        <v>90</v>
      </c>
      <c r="C30" s="70">
        <v>32.303909999999917</v>
      </c>
      <c r="D30" s="70">
        <v>2138.0238099999879</v>
      </c>
      <c r="E30" s="70">
        <v>94693.013989999468</v>
      </c>
      <c r="F30" s="70">
        <v>204515.10423720049</v>
      </c>
      <c r="G30" s="70">
        <v>107127.63467</v>
      </c>
      <c r="H30" s="70">
        <v>3425.1256700000049</v>
      </c>
      <c r="I30" s="70">
        <v>889699.17080279975</v>
      </c>
      <c r="J30" s="70">
        <v>117961.39320999999</v>
      </c>
      <c r="K30" s="70">
        <v>0</v>
      </c>
      <c r="L30" s="70">
        <v>139742.25452997989</v>
      </c>
      <c r="M30" s="70">
        <v>27407.197040000101</v>
      </c>
      <c r="N30" s="70">
        <v>106038.73479</v>
      </c>
      <c r="O30" s="70">
        <v>0</v>
      </c>
      <c r="P30" s="70">
        <v>22.577179999999981</v>
      </c>
      <c r="Q30" s="73">
        <v>1692802.5338399799</v>
      </c>
    </row>
    <row r="31" spans="2:17" ht="15.5" customHeight="1" x14ac:dyDescent="0.35">
      <c r="B31" s="67" t="s">
        <v>91</v>
      </c>
      <c r="C31" s="70">
        <v>1675.8398840427269</v>
      </c>
      <c r="D31" s="70">
        <v>48475.659393940106</v>
      </c>
      <c r="E31" s="70">
        <v>-36614.434179601907</v>
      </c>
      <c r="F31" s="70">
        <v>113852.5383272702</v>
      </c>
      <c r="G31" s="70">
        <v>6334.6285898869373</v>
      </c>
      <c r="H31" s="70">
        <v>57637.037056291032</v>
      </c>
      <c r="I31" s="70">
        <v>239872.11891941659</v>
      </c>
      <c r="J31" s="70">
        <v>223814.50659942941</v>
      </c>
      <c r="K31" s="70">
        <v>0</v>
      </c>
      <c r="L31" s="70">
        <v>14680.630678902249</v>
      </c>
      <c r="M31" s="70">
        <v>45179.477088530803</v>
      </c>
      <c r="N31" s="70">
        <v>79561.297529647214</v>
      </c>
      <c r="O31" s="70">
        <v>0</v>
      </c>
      <c r="P31" s="70">
        <v>22630.646199039311</v>
      </c>
      <c r="Q31" s="73">
        <v>817099.94608679472</v>
      </c>
    </row>
    <row r="32" spans="2:17" ht="15.5" customHeight="1" x14ac:dyDescent="0.35">
      <c r="B32" s="67" t="s">
        <v>92</v>
      </c>
      <c r="C32" s="70">
        <v>559.76457541020216</v>
      </c>
      <c r="D32" s="70">
        <v>85135.184391877992</v>
      </c>
      <c r="E32" s="70">
        <v>187113.65096858051</v>
      </c>
      <c r="F32" s="70">
        <v>409068.2083757174</v>
      </c>
      <c r="G32" s="70">
        <v>91546.102341489852</v>
      </c>
      <c r="H32" s="70">
        <v>90570.465033317145</v>
      </c>
      <c r="I32" s="70">
        <v>1653872.526904142</v>
      </c>
      <c r="J32" s="70">
        <v>1420388.095992516</v>
      </c>
      <c r="K32" s="70">
        <v>0</v>
      </c>
      <c r="L32" s="70">
        <v>63586.704743535687</v>
      </c>
      <c r="M32" s="70">
        <v>164504.632055553</v>
      </c>
      <c r="N32" s="70">
        <v>407279.64017388842</v>
      </c>
      <c r="O32" s="70">
        <v>10978453.866827041</v>
      </c>
      <c r="P32" s="70">
        <v>16533.43715006785</v>
      </c>
      <c r="Q32" s="73">
        <v>15568612.27953314</v>
      </c>
    </row>
    <row r="33" spans="2:17" ht="15.5" customHeight="1" x14ac:dyDescent="0.35">
      <c r="B33" s="67" t="s">
        <v>93</v>
      </c>
      <c r="C33" s="70">
        <v>0</v>
      </c>
      <c r="D33" s="70">
        <v>19667.478999999999</v>
      </c>
      <c r="E33" s="70">
        <v>15394.171</v>
      </c>
      <c r="F33" s="70">
        <v>82327.902000000002</v>
      </c>
      <c r="G33" s="70">
        <v>166368.622</v>
      </c>
      <c r="H33" s="70">
        <v>4835.7160000000003</v>
      </c>
      <c r="I33" s="70">
        <v>547716.94799999997</v>
      </c>
      <c r="J33" s="70">
        <v>678007.00199999998</v>
      </c>
      <c r="K33" s="70">
        <v>0</v>
      </c>
      <c r="L33" s="70">
        <v>40384.620999999999</v>
      </c>
      <c r="M33" s="70">
        <v>34256.447999999997</v>
      </c>
      <c r="N33" s="70">
        <v>129841.189</v>
      </c>
      <c r="O33" s="70">
        <v>1056065.605</v>
      </c>
      <c r="P33" s="70">
        <v>9718.4699999999993</v>
      </c>
      <c r="Q33" s="73">
        <v>2784584.173</v>
      </c>
    </row>
    <row r="34" spans="2:17" ht="15.5" customHeight="1" x14ac:dyDescent="0.35">
      <c r="B34" s="67" t="s">
        <v>94</v>
      </c>
      <c r="C34" s="70">
        <v>76.408259999999771</v>
      </c>
      <c r="D34" s="70">
        <v>23607.444290500061</v>
      </c>
      <c r="E34" s="70">
        <v>12284.694796260659</v>
      </c>
      <c r="F34" s="70">
        <v>77877.573668817291</v>
      </c>
      <c r="G34" s="70">
        <v>95869.41209965921</v>
      </c>
      <c r="H34" s="70">
        <v>14811.86423716794</v>
      </c>
      <c r="I34" s="70">
        <v>1099311.4057842931</v>
      </c>
      <c r="J34" s="70">
        <v>696221.86309762008</v>
      </c>
      <c r="K34" s="70">
        <v>-16975.814834121629</v>
      </c>
      <c r="L34" s="70">
        <v>24440.925205015559</v>
      </c>
      <c r="M34" s="70">
        <v>87996.604097705887</v>
      </c>
      <c r="N34" s="70">
        <v>87150.168976251502</v>
      </c>
      <c r="O34" s="70">
        <v>0</v>
      </c>
      <c r="P34" s="70">
        <v>29893.690893000279</v>
      </c>
      <c r="Q34" s="73">
        <v>2232566.2405721699</v>
      </c>
    </row>
    <row r="35" spans="2:17" ht="15.5" customHeight="1" x14ac:dyDescent="0.35">
      <c r="B35" s="67" t="s">
        <v>95</v>
      </c>
      <c r="C35" s="70">
        <v>0</v>
      </c>
      <c r="D35" s="70">
        <v>53225.156999999999</v>
      </c>
      <c r="E35" s="70">
        <v>180759.359</v>
      </c>
      <c r="F35" s="70">
        <v>555269.87899999996</v>
      </c>
      <c r="G35" s="70">
        <v>180826</v>
      </c>
      <c r="H35" s="70">
        <v>72309.595000000001</v>
      </c>
      <c r="I35" s="70">
        <v>2021941.6740000001</v>
      </c>
      <c r="J35" s="70">
        <v>1290327.138</v>
      </c>
      <c r="K35" s="70">
        <v>0</v>
      </c>
      <c r="L35" s="70">
        <v>22304.429</v>
      </c>
      <c r="M35" s="70">
        <v>25839.081999999999</v>
      </c>
      <c r="N35" s="70">
        <v>300982.94799999997</v>
      </c>
      <c r="O35" s="70">
        <v>0</v>
      </c>
      <c r="P35" s="70">
        <v>41497.821000000004</v>
      </c>
      <c r="Q35" s="73">
        <v>4745283.0820000004</v>
      </c>
    </row>
    <row r="36" spans="2:17" ht="15.5" customHeight="1" x14ac:dyDescent="0.35">
      <c r="B36" s="67" t="s">
        <v>96</v>
      </c>
      <c r="C36" s="70">
        <v>14404.26582326781</v>
      </c>
      <c r="D36" s="70">
        <v>-2804.3824891246022</v>
      </c>
      <c r="E36" s="70">
        <v>314.21612805830972</v>
      </c>
      <c r="F36" s="70">
        <v>209.50639469697319</v>
      </c>
      <c r="G36" s="70">
        <v>-23921.818413892928</v>
      </c>
      <c r="H36" s="70">
        <v>3904.06140438383</v>
      </c>
      <c r="I36" s="70">
        <v>29012.152074853871</v>
      </c>
      <c r="J36" s="70">
        <v>29857.93341051435</v>
      </c>
      <c r="K36" s="70">
        <v>0</v>
      </c>
      <c r="L36" s="70">
        <v>2243.0380225162821</v>
      </c>
      <c r="M36" s="70">
        <v>150538.63887945859</v>
      </c>
      <c r="N36" s="70">
        <v>69791.401328047505</v>
      </c>
      <c r="O36" s="70">
        <v>1821844.73751147</v>
      </c>
      <c r="P36" s="70">
        <v>-22746.81442529766</v>
      </c>
      <c r="Q36" s="73">
        <v>2072646.9356489519</v>
      </c>
    </row>
    <row r="37" spans="2:17" ht="15.5" customHeight="1" x14ac:dyDescent="0.35">
      <c r="B37" s="67" t="s">
        <v>97</v>
      </c>
      <c r="C37" s="70">
        <v>0</v>
      </c>
      <c r="D37" s="70">
        <v>9286.5604075763331</v>
      </c>
      <c r="E37" s="70">
        <v>4075.5899695841222</v>
      </c>
      <c r="F37" s="70">
        <v>14678.464167315389</v>
      </c>
      <c r="G37" s="70">
        <v>33017.741608285469</v>
      </c>
      <c r="H37" s="70">
        <v>9923.2196423263595</v>
      </c>
      <c r="I37" s="70">
        <v>244878.81426802021</v>
      </c>
      <c r="J37" s="70">
        <v>448578.53693141491</v>
      </c>
      <c r="K37" s="70">
        <v>0</v>
      </c>
      <c r="L37" s="70">
        <v>2479.4220804923489</v>
      </c>
      <c r="M37" s="70">
        <v>25381.394567194879</v>
      </c>
      <c r="N37" s="70">
        <v>43436.270127448443</v>
      </c>
      <c r="O37" s="70">
        <v>7955.0550633168623</v>
      </c>
      <c r="P37" s="70">
        <v>5428.519612773458</v>
      </c>
      <c r="Q37" s="73">
        <v>849119.58844574867</v>
      </c>
    </row>
    <row r="38" spans="2:17" ht="15.5" customHeight="1" x14ac:dyDescent="0.35">
      <c r="B38" s="67" t="s">
        <v>98</v>
      </c>
      <c r="C38" s="70">
        <v>0</v>
      </c>
      <c r="D38" s="70">
        <v>58376.488458759814</v>
      </c>
      <c r="E38" s="70">
        <v>59109.041238958693</v>
      </c>
      <c r="F38" s="70">
        <v>227853.8228266839</v>
      </c>
      <c r="G38" s="70">
        <v>32314.40691836342</v>
      </c>
      <c r="H38" s="70">
        <v>143862.20441874201</v>
      </c>
      <c r="I38" s="70">
        <v>217446.71650696159</v>
      </c>
      <c r="J38" s="70">
        <v>176785.3805406735</v>
      </c>
      <c r="K38" s="70">
        <v>0</v>
      </c>
      <c r="L38" s="70">
        <v>8611.7575047499995</v>
      </c>
      <c r="M38" s="70">
        <v>110690.58913399999</v>
      </c>
      <c r="N38" s="70">
        <v>272559.8133221044</v>
      </c>
      <c r="O38" s="70">
        <v>4959.134</v>
      </c>
      <c r="P38" s="70">
        <v>7884.7244440000086</v>
      </c>
      <c r="Q38" s="73">
        <v>1320454.0793139969</v>
      </c>
    </row>
    <row r="39" spans="2:17" ht="15.5" customHeight="1" x14ac:dyDescent="0.35">
      <c r="B39" s="67" t="s">
        <v>99</v>
      </c>
      <c r="C39" s="70">
        <v>2434.52</v>
      </c>
      <c r="D39" s="70">
        <v>60762.02</v>
      </c>
      <c r="E39" s="70">
        <v>105181.621</v>
      </c>
      <c r="F39" s="70">
        <v>212740.98800000001</v>
      </c>
      <c r="G39" s="70">
        <v>178096.35800000001</v>
      </c>
      <c r="H39" s="70">
        <v>75446.83</v>
      </c>
      <c r="I39" s="70">
        <v>1315892.5449999999</v>
      </c>
      <c r="J39" s="70">
        <v>621461.00800000003</v>
      </c>
      <c r="K39" s="70">
        <v>-9218.08</v>
      </c>
      <c r="L39" s="70">
        <v>136532.883</v>
      </c>
      <c r="M39" s="70">
        <v>114080.261</v>
      </c>
      <c r="N39" s="70">
        <v>353278.36900000001</v>
      </c>
      <c r="O39" s="70">
        <v>3070130.2960000001</v>
      </c>
      <c r="P39" s="70">
        <v>158843.52799999999</v>
      </c>
      <c r="Q39" s="73">
        <v>6395663.1469999999</v>
      </c>
    </row>
    <row r="40" spans="2:17" ht="15.5" customHeight="1" x14ac:dyDescent="0.35">
      <c r="B40" s="67" t="s">
        <v>100</v>
      </c>
      <c r="C40" s="70">
        <v>0</v>
      </c>
      <c r="D40" s="70">
        <v>7111.4541690788801</v>
      </c>
      <c r="E40" s="70">
        <v>3276.1934746266002</v>
      </c>
      <c r="F40" s="70">
        <v>70029.341211051695</v>
      </c>
      <c r="G40" s="70">
        <v>15217.13685042645</v>
      </c>
      <c r="H40" s="70">
        <v>2751.1222721924401</v>
      </c>
      <c r="I40" s="70">
        <v>609820.63072588225</v>
      </c>
      <c r="J40" s="70">
        <v>212746.22447618141</v>
      </c>
      <c r="K40" s="70">
        <v>0</v>
      </c>
      <c r="L40" s="70">
        <v>9707.7097006806689</v>
      </c>
      <c r="M40" s="70">
        <v>10359.2506009318</v>
      </c>
      <c r="N40" s="70">
        <v>267176.54723174818</v>
      </c>
      <c r="O40" s="70">
        <v>504216.90593845042</v>
      </c>
      <c r="P40" s="70">
        <v>22161.347153109498</v>
      </c>
      <c r="Q40" s="73">
        <v>1734573.8638043599</v>
      </c>
    </row>
    <row r="41" spans="2:17" ht="15.5"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73">
        <v>0</v>
      </c>
    </row>
    <row r="42" spans="2:17" ht="15.5"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73">
        <v>0</v>
      </c>
    </row>
    <row r="43" spans="2:17" ht="15.5" customHeight="1" x14ac:dyDescent="0.35">
      <c r="B43" s="71" t="s">
        <v>24</v>
      </c>
      <c r="C43" s="72">
        <f t="shared" ref="C43:Q43" si="0">SUM(C6:C41)</f>
        <v>29778.269715494036</v>
      </c>
      <c r="D43" s="72">
        <f t="shared" si="0"/>
        <v>1429913.4053338519</v>
      </c>
      <c r="E43" s="72">
        <f t="shared" si="0"/>
        <v>1537678.516779165</v>
      </c>
      <c r="F43" s="72">
        <f t="shared" si="0"/>
        <v>4809174.6932697017</v>
      </c>
      <c r="G43" s="72">
        <f t="shared" si="0"/>
        <v>2119645.311119677</v>
      </c>
      <c r="H43" s="72">
        <f t="shared" si="0"/>
        <v>2226738.8893253258</v>
      </c>
      <c r="I43" s="72">
        <f t="shared" si="0"/>
        <v>29741892.533699311</v>
      </c>
      <c r="J43" s="72">
        <f t="shared" si="0"/>
        <v>23548348.890504699</v>
      </c>
      <c r="K43" s="72">
        <f t="shared" si="0"/>
        <v>3621146.2241448946</v>
      </c>
      <c r="L43" s="72">
        <f t="shared" si="0"/>
        <v>1579173.928506928</v>
      </c>
      <c r="M43" s="72">
        <f t="shared" si="0"/>
        <v>2905944.4149460979</v>
      </c>
      <c r="N43" s="72">
        <f t="shared" si="0"/>
        <v>8417873.7113656234</v>
      </c>
      <c r="O43" s="72">
        <f t="shared" si="0"/>
        <v>70688792.508463189</v>
      </c>
      <c r="P43" s="72">
        <f t="shared" si="0"/>
        <v>2132923.65201612</v>
      </c>
      <c r="Q43" s="72">
        <f t="shared" si="0"/>
        <v>154789024.94919011</v>
      </c>
    </row>
    <row r="44" spans="2:17" ht="14.5" customHeight="1" x14ac:dyDescent="0.35">
      <c r="B44" s="338" t="s">
        <v>103</v>
      </c>
      <c r="C44" s="269"/>
      <c r="D44" s="269"/>
      <c r="E44" s="269"/>
      <c r="F44" s="269"/>
      <c r="G44" s="269"/>
      <c r="H44" s="269"/>
      <c r="I44" s="269"/>
      <c r="J44" s="269"/>
      <c r="K44" s="269"/>
      <c r="L44" s="269"/>
      <c r="M44" s="269"/>
      <c r="N44" s="269"/>
      <c r="O44" s="269"/>
      <c r="P44" s="269"/>
      <c r="Q44" s="270"/>
    </row>
    <row r="45" spans="2:17" ht="15.5" customHeight="1" x14ac:dyDescent="0.35">
      <c r="B45" s="67" t="s">
        <v>104</v>
      </c>
      <c r="C45" s="70">
        <v>26000.30237673155</v>
      </c>
      <c r="D45" s="70">
        <v>341300.37552137632</v>
      </c>
      <c r="E45" s="70">
        <v>318922.85807869112</v>
      </c>
      <c r="F45" s="70">
        <v>907703.51707012078</v>
      </c>
      <c r="G45" s="70">
        <v>179106.26683873101</v>
      </c>
      <c r="H45" s="70">
        <v>299003.47333241277</v>
      </c>
      <c r="I45" s="70">
        <v>46908.784553000987</v>
      </c>
      <c r="J45" s="70">
        <v>200428.4412719133</v>
      </c>
      <c r="K45" s="70">
        <v>0</v>
      </c>
      <c r="L45" s="70">
        <v>188132.11468888319</v>
      </c>
      <c r="M45" s="70">
        <v>9901.6907204675354</v>
      </c>
      <c r="N45" s="70">
        <v>19803.381440935071</v>
      </c>
      <c r="O45" s="70">
        <v>756532.98523729702</v>
      </c>
      <c r="P45" s="70">
        <v>772331.83719646791</v>
      </c>
      <c r="Q45" s="73">
        <v>4066076.0283270292</v>
      </c>
    </row>
    <row r="46" spans="2:17" ht="15.5" customHeight="1" x14ac:dyDescent="0.35">
      <c r="B46" s="67" t="s">
        <v>105</v>
      </c>
      <c r="C46" s="70">
        <v>3544.3364597429472</v>
      </c>
      <c r="D46" s="70">
        <v>33360.343552509927</v>
      </c>
      <c r="E46" s="70">
        <v>0</v>
      </c>
      <c r="F46" s="70">
        <v>1570796.445950377</v>
      </c>
      <c r="G46" s="70">
        <v>43123.596838379322</v>
      </c>
      <c r="H46" s="70">
        <v>160922.5233289224</v>
      </c>
      <c r="I46" s="70">
        <v>0</v>
      </c>
      <c r="J46" s="70">
        <v>242292.2830612665</v>
      </c>
      <c r="K46" s="70">
        <v>0</v>
      </c>
      <c r="L46" s="70">
        <v>88897.379819773807</v>
      </c>
      <c r="M46" s="70">
        <v>0</v>
      </c>
      <c r="N46" s="70">
        <v>0</v>
      </c>
      <c r="O46" s="70">
        <v>972525.17369979306</v>
      </c>
      <c r="P46" s="70">
        <v>515043.56036246673</v>
      </c>
      <c r="Q46" s="73">
        <v>3630505.6430732319</v>
      </c>
    </row>
    <row r="47" spans="2:17" ht="15.5" customHeight="1" x14ac:dyDescent="0.35">
      <c r="B47" s="67" t="s">
        <v>106</v>
      </c>
      <c r="C47" s="70">
        <v>10273.980119470791</v>
      </c>
      <c r="D47" s="70">
        <v>211145.39741354479</v>
      </c>
      <c r="E47" s="70">
        <v>133217.67295004259</v>
      </c>
      <c r="F47" s="70">
        <v>1575709.472950042</v>
      </c>
      <c r="G47" s="70">
        <v>74861.003212897791</v>
      </c>
      <c r="H47" s="70">
        <v>156910.33152545319</v>
      </c>
      <c r="I47" s="70">
        <v>159016.5755342583</v>
      </c>
      <c r="J47" s="70">
        <v>172392.4345342583</v>
      </c>
      <c r="K47" s="70">
        <v>0</v>
      </c>
      <c r="L47" s="70">
        <v>2268.7933675882841</v>
      </c>
      <c r="M47" s="70">
        <v>91398.444124176327</v>
      </c>
      <c r="N47" s="70">
        <v>-5537.8186324117169</v>
      </c>
      <c r="O47" s="70">
        <v>674834.26034407748</v>
      </c>
      <c r="P47" s="70">
        <v>158642.61741736761</v>
      </c>
      <c r="Q47" s="73">
        <v>3415133.1648607668</v>
      </c>
    </row>
    <row r="48" spans="2:17" ht="15.5" customHeight="1" x14ac:dyDescent="0.35">
      <c r="B48" s="64" t="s">
        <v>107</v>
      </c>
      <c r="C48" s="70">
        <v>94307.523348611547</v>
      </c>
      <c r="D48" s="70">
        <v>114726.6922004026</v>
      </c>
      <c r="E48" s="70">
        <v>116507.13219869359</v>
      </c>
      <c r="F48" s="70">
        <v>4544854.9716555644</v>
      </c>
      <c r="G48" s="70">
        <v>135967.9380917364</v>
      </c>
      <c r="H48" s="70">
        <v>663338.19419977302</v>
      </c>
      <c r="I48" s="70">
        <v>24828.80907841897</v>
      </c>
      <c r="J48" s="70">
        <v>469098.92912769818</v>
      </c>
      <c r="K48" s="70">
        <v>0</v>
      </c>
      <c r="L48" s="70">
        <v>440624.84845068213</v>
      </c>
      <c r="M48" s="70">
        <v>125927.2254141594</v>
      </c>
      <c r="N48" s="70">
        <v>27727.713622092</v>
      </c>
      <c r="O48" s="70">
        <v>2890571.7963162502</v>
      </c>
      <c r="P48" s="70">
        <v>1537962.463639166</v>
      </c>
      <c r="Q48" s="73">
        <v>11186444.23734325</v>
      </c>
    </row>
    <row r="49" spans="2:17" ht="15.5" customHeight="1" x14ac:dyDescent="0.35">
      <c r="B49" s="67" t="s">
        <v>108</v>
      </c>
      <c r="C49" s="70">
        <v>23991.698137133011</v>
      </c>
      <c r="D49" s="70">
        <v>620008.51742157247</v>
      </c>
      <c r="E49" s="70">
        <v>-155.71632282719699</v>
      </c>
      <c r="F49" s="70">
        <v>2402712.5104066371</v>
      </c>
      <c r="G49" s="70">
        <v>157639.4479532305</v>
      </c>
      <c r="H49" s="70">
        <v>197209.57401052859</v>
      </c>
      <c r="I49" s="70">
        <v>89875.23431845961</v>
      </c>
      <c r="J49" s="70">
        <v>110713.0722347949</v>
      </c>
      <c r="K49" s="70">
        <v>0</v>
      </c>
      <c r="L49" s="70">
        <v>1184100.196206141</v>
      </c>
      <c r="M49" s="70">
        <v>53779.723474483057</v>
      </c>
      <c r="N49" s="70">
        <v>-4644.6781044904683</v>
      </c>
      <c r="O49" s="70">
        <v>22192.543013463921</v>
      </c>
      <c r="P49" s="70">
        <v>69096.324207180267</v>
      </c>
      <c r="Q49" s="73">
        <v>4926518.4469563076</v>
      </c>
    </row>
    <row r="50" spans="2:17" ht="15.5" customHeight="1" x14ac:dyDescent="0.35">
      <c r="B50" s="71" t="s">
        <v>24</v>
      </c>
      <c r="C50" s="72">
        <f t="shared" ref="C50:Q50" si="1">SUM(C45:C49)</f>
        <v>158117.84044168986</v>
      </c>
      <c r="D50" s="72">
        <f t="shared" si="1"/>
        <v>1320541.3261094061</v>
      </c>
      <c r="E50" s="72">
        <f t="shared" si="1"/>
        <v>568491.94690460013</v>
      </c>
      <c r="F50" s="72">
        <f t="shared" si="1"/>
        <v>11001776.918032741</v>
      </c>
      <c r="G50" s="72">
        <f t="shared" si="1"/>
        <v>590698.25293497508</v>
      </c>
      <c r="H50" s="72">
        <f t="shared" si="1"/>
        <v>1477384.09639709</v>
      </c>
      <c r="I50" s="72">
        <f t="shared" si="1"/>
        <v>320629.40348413785</v>
      </c>
      <c r="J50" s="72">
        <f t="shared" si="1"/>
        <v>1194925.1602299311</v>
      </c>
      <c r="K50" s="72">
        <f t="shared" si="1"/>
        <v>0</v>
      </c>
      <c r="L50" s="72">
        <f t="shared" si="1"/>
        <v>1904023.3325330685</v>
      </c>
      <c r="M50" s="72">
        <f t="shared" si="1"/>
        <v>281007.0837332863</v>
      </c>
      <c r="N50" s="72">
        <f t="shared" si="1"/>
        <v>37348.598326124884</v>
      </c>
      <c r="O50" s="72">
        <f t="shared" si="1"/>
        <v>5316656.7586108809</v>
      </c>
      <c r="P50" s="72">
        <f t="shared" si="1"/>
        <v>3053076.8028226485</v>
      </c>
      <c r="Q50" s="72">
        <f t="shared" si="1"/>
        <v>27224677.520560585</v>
      </c>
    </row>
    <row r="51" spans="2:17" ht="14.5" customHeight="1" x14ac:dyDescent="0.35">
      <c r="B51" s="298" t="s">
        <v>25</v>
      </c>
      <c r="C51" s="281"/>
      <c r="D51" s="281"/>
      <c r="E51" s="281"/>
      <c r="F51" s="281"/>
      <c r="G51" s="281"/>
      <c r="H51" s="281"/>
      <c r="I51" s="281"/>
      <c r="J51" s="281"/>
      <c r="K51" s="281"/>
      <c r="L51" s="281"/>
      <c r="M51" s="281"/>
      <c r="N51" s="281"/>
      <c r="O51" s="281"/>
      <c r="P51" s="281"/>
      <c r="Q51" s="281"/>
    </row>
  </sheetData>
  <sheetProtection algorithmName="SHA-512" hashValue="5LgZqMD/38Zp2Z4QE7kj2CouR4V90UOynVpO6cyUL2E2GEwfjItUrxNDpcfV9G0giH0upPU8zWKNpFlq4Q3tOw==" saltValue="vYMpxomUi82t+gUgNLmSDg==" spinCount="100000" sheet="1" objects="1" scenarios="1"/>
  <mergeCells count="4">
    <mergeCell ref="B51:Q51"/>
    <mergeCell ref="B5:Q5"/>
    <mergeCell ref="B3:Q3"/>
    <mergeCell ref="B44:Q44"/>
  </mergeCells>
  <pageMargins left="0.7" right="0.7" top="0.75" bottom="0.75" header="0.3" footer="0.3"/>
  <pageSetup paperSize="9" scale="33"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9">
    <tabColor rgb="FFA2D668"/>
    <pageSetUpPr fitToPage="1"/>
  </sheetPr>
  <dimension ref="B3:S51"/>
  <sheetViews>
    <sheetView workbookViewId="0"/>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07" width="9.453125" style="2" customWidth="1"/>
    <col min="108" max="16384" width="9.453125" style="2"/>
  </cols>
  <sheetData>
    <row r="3" spans="2:19" ht="14.5" customHeight="1" x14ac:dyDescent="0.35">
      <c r="B3" s="336" t="str">
        <f>_xlfn.CONCAT("COM: SUMMARY OF NET COMMISSIONS UNDER GENERAL INSURANCE BUSINESS FOR THE PERIOD ENDED"," ",Details!F18)</f>
        <v>COM: SUMMARY OF NET COMMISSIONS UNDER GENERAL INSURANCE BUSINESS FOR THE PERIOD ENDED 31.12.2025</v>
      </c>
      <c r="C3" s="269"/>
      <c r="D3" s="269"/>
      <c r="E3" s="269"/>
      <c r="F3" s="269"/>
      <c r="G3" s="269"/>
      <c r="H3" s="269"/>
      <c r="I3" s="269"/>
      <c r="J3" s="269"/>
      <c r="K3" s="269"/>
      <c r="L3" s="269"/>
      <c r="M3" s="269"/>
      <c r="N3" s="269"/>
      <c r="O3" s="269"/>
      <c r="P3" s="269"/>
      <c r="Q3" s="270"/>
    </row>
    <row r="4" spans="2:19" ht="31" customHeight="1"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9" ht="14.5" customHeight="1" x14ac:dyDescent="0.35">
      <c r="B5" s="335" t="s">
        <v>17</v>
      </c>
      <c r="C5" s="269"/>
      <c r="D5" s="269"/>
      <c r="E5" s="269"/>
      <c r="F5" s="269"/>
      <c r="G5" s="269"/>
      <c r="H5" s="269"/>
      <c r="I5" s="269"/>
      <c r="J5" s="269"/>
      <c r="K5" s="269"/>
      <c r="L5" s="269"/>
      <c r="M5" s="269"/>
      <c r="N5" s="269"/>
      <c r="O5" s="269"/>
      <c r="P5" s="269"/>
      <c r="Q5" s="270"/>
    </row>
    <row r="6" spans="2:19" ht="15.5" customHeight="1" x14ac:dyDescent="0.35">
      <c r="B6" s="67" t="s">
        <v>66</v>
      </c>
      <c r="C6" s="70">
        <v>0</v>
      </c>
      <c r="D6" s="70">
        <v>-351.65676749235149</v>
      </c>
      <c r="E6" s="70">
        <v>-162.4773331104733</v>
      </c>
      <c r="F6" s="70">
        <v>310.47377161127241</v>
      </c>
      <c r="G6" s="70">
        <v>4832.185495467048</v>
      </c>
      <c r="H6" s="70">
        <v>-655.85861158159673</v>
      </c>
      <c r="I6" s="70">
        <v>0</v>
      </c>
      <c r="J6" s="70">
        <v>0</v>
      </c>
      <c r="K6" s="70">
        <v>0</v>
      </c>
      <c r="L6" s="70">
        <v>1151.4341539350639</v>
      </c>
      <c r="M6" s="70">
        <v>2033.7686204478639</v>
      </c>
      <c r="N6" s="70">
        <v>17391.465583875641</v>
      </c>
      <c r="O6" s="70">
        <v>834291.70958544093</v>
      </c>
      <c r="P6" s="70">
        <v>631.80210315892964</v>
      </c>
      <c r="Q6" s="73">
        <v>859472.84660175233</v>
      </c>
      <c r="R6">
        <v>0</v>
      </c>
      <c r="S6">
        <v>0</v>
      </c>
    </row>
    <row r="7" spans="2:19" ht="15.5" customHeight="1" x14ac:dyDescent="0.35">
      <c r="B7" s="67" t="s">
        <v>67</v>
      </c>
      <c r="C7" s="70">
        <v>0</v>
      </c>
      <c r="D7" s="70">
        <v>-14350.05036722452</v>
      </c>
      <c r="E7" s="70">
        <v>178.7101976293425</v>
      </c>
      <c r="F7" s="70">
        <v>24717.222815291891</v>
      </c>
      <c r="G7" s="70">
        <v>3775.4358115152008</v>
      </c>
      <c r="H7" s="70">
        <v>371.8174419455604</v>
      </c>
      <c r="I7" s="70">
        <v>40222.734101566253</v>
      </c>
      <c r="J7" s="70">
        <v>0</v>
      </c>
      <c r="K7" s="70">
        <v>300070.39315779251</v>
      </c>
      <c r="L7" s="70">
        <v>3821.651553742573</v>
      </c>
      <c r="M7" s="70">
        <v>1181.1940173219889</v>
      </c>
      <c r="N7" s="70">
        <v>16914.677662306331</v>
      </c>
      <c r="O7" s="70">
        <v>0</v>
      </c>
      <c r="P7" s="70">
        <v>1184.7675481128349</v>
      </c>
      <c r="Q7" s="73">
        <v>378088.5539399999</v>
      </c>
      <c r="R7">
        <v>0</v>
      </c>
      <c r="S7">
        <v>0</v>
      </c>
    </row>
    <row r="8" spans="2:19" ht="15.5" customHeight="1" x14ac:dyDescent="0.35">
      <c r="B8" s="67" t="s">
        <v>68</v>
      </c>
      <c r="C8" s="70">
        <v>-18433.566999999999</v>
      </c>
      <c r="D8" s="70">
        <v>11298.510410000001</v>
      </c>
      <c r="E8" s="70">
        <v>19068.53</v>
      </c>
      <c r="F8" s="70">
        <v>-90921.449639999992</v>
      </c>
      <c r="G8" s="70">
        <v>14604.475171443501</v>
      </c>
      <c r="H8" s="70">
        <v>13808.59326</v>
      </c>
      <c r="I8" s="70">
        <v>288922.93900000001</v>
      </c>
      <c r="J8" s="70">
        <v>223636.20800000001</v>
      </c>
      <c r="K8" s="70">
        <v>0</v>
      </c>
      <c r="L8" s="70">
        <v>7492.5969999999998</v>
      </c>
      <c r="M8" s="70">
        <v>28097.478999999999</v>
      </c>
      <c r="N8" s="70">
        <v>109136.3146951883</v>
      </c>
      <c r="O8" s="70">
        <v>254830.37299999999</v>
      </c>
      <c r="P8" s="70">
        <v>12590.60080112277</v>
      </c>
      <c r="Q8" s="73">
        <v>874131.60369775468</v>
      </c>
      <c r="R8">
        <v>0</v>
      </c>
      <c r="S8">
        <v>0</v>
      </c>
    </row>
    <row r="9" spans="2:19" ht="15.5" customHeight="1" x14ac:dyDescent="0.35">
      <c r="B9" s="67" t="s">
        <v>69</v>
      </c>
      <c r="C9" s="70">
        <v>-13693.8426</v>
      </c>
      <c r="D9" s="70">
        <v>-35289.251630000013</v>
      </c>
      <c r="E9" s="70">
        <v>20560.835200000001</v>
      </c>
      <c r="F9" s="70">
        <v>-46936.112469999971</v>
      </c>
      <c r="G9" s="70">
        <v>1073.2162999999971</v>
      </c>
      <c r="H9" s="70">
        <v>-21137.441280000021</v>
      </c>
      <c r="I9" s="70">
        <v>153606.72964000001</v>
      </c>
      <c r="J9" s="70">
        <v>70111.862259999994</v>
      </c>
      <c r="K9" s="70">
        <v>0</v>
      </c>
      <c r="L9" s="70">
        <v>2741.812130000003</v>
      </c>
      <c r="M9" s="70">
        <v>-45189.677220000012</v>
      </c>
      <c r="N9" s="70">
        <v>16252.97405000001</v>
      </c>
      <c r="O9" s="70">
        <v>703622.03994000005</v>
      </c>
      <c r="P9" s="70">
        <v>-9967.6708699999999</v>
      </c>
      <c r="Q9" s="73">
        <v>795755.47345000005</v>
      </c>
      <c r="R9">
        <v>0</v>
      </c>
      <c r="S9">
        <v>0</v>
      </c>
    </row>
    <row r="10" spans="2:19" ht="15.5" customHeight="1" x14ac:dyDescent="0.35">
      <c r="B10" s="67" t="s">
        <v>70</v>
      </c>
      <c r="C10" s="70">
        <v>0</v>
      </c>
      <c r="D10" s="70">
        <v>0</v>
      </c>
      <c r="E10" s="70">
        <v>0</v>
      </c>
      <c r="F10" s="70">
        <v>0</v>
      </c>
      <c r="G10" s="70">
        <v>0</v>
      </c>
      <c r="H10" s="70">
        <v>0</v>
      </c>
      <c r="I10" s="70">
        <v>0</v>
      </c>
      <c r="J10" s="70">
        <v>0</v>
      </c>
      <c r="K10" s="70">
        <v>0</v>
      </c>
      <c r="L10" s="70">
        <v>0</v>
      </c>
      <c r="M10" s="70">
        <v>0</v>
      </c>
      <c r="N10" s="70">
        <v>0</v>
      </c>
      <c r="O10" s="70">
        <v>98631.271999999997</v>
      </c>
      <c r="P10" s="70">
        <v>0</v>
      </c>
      <c r="Q10" s="73">
        <v>98631.271999999997</v>
      </c>
      <c r="R10">
        <v>0</v>
      </c>
      <c r="S10">
        <v>0</v>
      </c>
    </row>
    <row r="11" spans="2:19" ht="15.5" customHeight="1" x14ac:dyDescent="0.35">
      <c r="B11" s="67" t="s">
        <v>71</v>
      </c>
      <c r="C11" s="70">
        <v>0</v>
      </c>
      <c r="D11" s="70">
        <v>-4150.491</v>
      </c>
      <c r="E11" s="70">
        <v>2485.3589999999999</v>
      </c>
      <c r="F11" s="70">
        <v>5107.88</v>
      </c>
      <c r="G11" s="70">
        <v>1361.307</v>
      </c>
      <c r="H11" s="70">
        <v>-1320.134</v>
      </c>
      <c r="I11" s="70">
        <v>122871.159</v>
      </c>
      <c r="J11" s="70">
        <v>34840.495999999999</v>
      </c>
      <c r="K11" s="70">
        <v>0</v>
      </c>
      <c r="L11" s="70">
        <v>1471.297</v>
      </c>
      <c r="M11" s="70">
        <v>543.02499999999998</v>
      </c>
      <c r="N11" s="70">
        <v>11735.782999999999</v>
      </c>
      <c r="O11" s="70">
        <v>0</v>
      </c>
      <c r="P11" s="70">
        <v>-15873.495999999999</v>
      </c>
      <c r="Q11" s="73">
        <v>159072.185</v>
      </c>
      <c r="R11">
        <v>0</v>
      </c>
      <c r="S11">
        <v>0</v>
      </c>
    </row>
    <row r="12" spans="2:19" ht="15.5" customHeight="1" x14ac:dyDescent="0.35">
      <c r="B12" s="67" t="s">
        <v>72</v>
      </c>
      <c r="C12" s="70">
        <v>0</v>
      </c>
      <c r="D12" s="70">
        <v>-18864.84</v>
      </c>
      <c r="E12" s="70">
        <v>17068.696</v>
      </c>
      <c r="F12" s="70">
        <v>27620.038</v>
      </c>
      <c r="G12" s="70">
        <v>11124.861999999999</v>
      </c>
      <c r="H12" s="70">
        <v>10249.226000000001</v>
      </c>
      <c r="I12" s="70">
        <v>321426.97399999999</v>
      </c>
      <c r="J12" s="70">
        <v>250934.22500000001</v>
      </c>
      <c r="K12" s="70">
        <v>0</v>
      </c>
      <c r="L12" s="70">
        <v>11199.835999999999</v>
      </c>
      <c r="M12" s="70">
        <v>71055.964999999997</v>
      </c>
      <c r="N12" s="70">
        <v>-133318.788</v>
      </c>
      <c r="O12" s="70">
        <v>924278.82</v>
      </c>
      <c r="P12" s="70">
        <v>189082.11199999999</v>
      </c>
      <c r="Q12" s="73">
        <v>1681857.1259999999</v>
      </c>
      <c r="R12">
        <v>0</v>
      </c>
      <c r="S12">
        <v>0</v>
      </c>
    </row>
    <row r="13" spans="2:19" ht="15.5"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73">
        <v>0</v>
      </c>
      <c r="R13">
        <v>0</v>
      </c>
      <c r="S13">
        <v>0</v>
      </c>
    </row>
    <row r="14" spans="2:19" ht="15.5" customHeight="1" x14ac:dyDescent="0.35">
      <c r="B14" s="67" t="s">
        <v>74</v>
      </c>
      <c r="C14" s="70">
        <v>0</v>
      </c>
      <c r="D14" s="70">
        <v>-325.07760000000002</v>
      </c>
      <c r="E14" s="70">
        <v>34.673000000000002</v>
      </c>
      <c r="F14" s="70">
        <v>102.60250000000001</v>
      </c>
      <c r="G14" s="70">
        <v>0</v>
      </c>
      <c r="H14" s="70">
        <v>19.617000000000001</v>
      </c>
      <c r="I14" s="70">
        <v>13599.34052</v>
      </c>
      <c r="J14" s="70">
        <v>8552.9674900000009</v>
      </c>
      <c r="K14" s="70">
        <v>35784.153673391993</v>
      </c>
      <c r="L14" s="70">
        <v>29.843</v>
      </c>
      <c r="M14" s="70">
        <v>217.55600000000001</v>
      </c>
      <c r="N14" s="70">
        <v>94.826300000000003</v>
      </c>
      <c r="O14" s="70">
        <v>0</v>
      </c>
      <c r="P14" s="70">
        <v>-6078.5749999999998</v>
      </c>
      <c r="Q14" s="73">
        <v>52031.926883391978</v>
      </c>
      <c r="R14">
        <v>0</v>
      </c>
      <c r="S14">
        <v>0</v>
      </c>
    </row>
    <row r="15" spans="2:19" ht="15.5" customHeight="1" x14ac:dyDescent="0.35">
      <c r="B15" s="67" t="s">
        <v>75</v>
      </c>
      <c r="C15" s="70">
        <v>0</v>
      </c>
      <c r="D15" s="70">
        <v>0</v>
      </c>
      <c r="E15" s="70">
        <v>0</v>
      </c>
      <c r="F15" s="70">
        <v>3054.7063600000001</v>
      </c>
      <c r="G15" s="70">
        <v>0</v>
      </c>
      <c r="H15" s="70">
        <v>0</v>
      </c>
      <c r="I15" s="70">
        <v>22850.83734380619</v>
      </c>
      <c r="J15" s="70">
        <v>8942.8094522023821</v>
      </c>
      <c r="K15" s="70">
        <v>250918.90592559151</v>
      </c>
      <c r="L15" s="70">
        <v>0</v>
      </c>
      <c r="M15" s="70">
        <v>0</v>
      </c>
      <c r="N15" s="70">
        <v>0</v>
      </c>
      <c r="O15" s="70">
        <v>0</v>
      </c>
      <c r="P15" s="70">
        <v>0</v>
      </c>
      <c r="Q15" s="73">
        <v>285767.25908160012</v>
      </c>
      <c r="R15">
        <v>0</v>
      </c>
      <c r="S15">
        <v>0</v>
      </c>
    </row>
    <row r="16" spans="2:19" ht="15.5" customHeight="1" x14ac:dyDescent="0.35">
      <c r="B16" s="67" t="s">
        <v>76</v>
      </c>
      <c r="C16" s="70">
        <v>0</v>
      </c>
      <c r="D16" s="70">
        <v>-4567.6232011491275</v>
      </c>
      <c r="E16" s="70">
        <v>107.7861084</v>
      </c>
      <c r="F16" s="70">
        <v>-4261.0722433480769</v>
      </c>
      <c r="G16" s="70">
        <v>-3921.044523011481</v>
      </c>
      <c r="H16" s="70">
        <v>-51.459496887500023</v>
      </c>
      <c r="I16" s="70">
        <v>0</v>
      </c>
      <c r="J16" s="70">
        <v>0</v>
      </c>
      <c r="K16" s="70">
        <v>0</v>
      </c>
      <c r="L16" s="70">
        <v>205.12112325000021</v>
      </c>
      <c r="M16" s="70">
        <v>-133573.88885678849</v>
      </c>
      <c r="N16" s="70">
        <v>502.88137738193512</v>
      </c>
      <c r="O16" s="70">
        <v>-28246.90799385203</v>
      </c>
      <c r="P16" s="70">
        <v>10.048999999999999</v>
      </c>
      <c r="Q16" s="73">
        <v>-173796.15870600479</v>
      </c>
      <c r="R16">
        <v>0</v>
      </c>
      <c r="S16">
        <v>0</v>
      </c>
    </row>
    <row r="17" spans="2:19" ht="15.5" customHeight="1" x14ac:dyDescent="0.35">
      <c r="B17" s="67" t="s">
        <v>77</v>
      </c>
      <c r="C17" s="70">
        <v>0</v>
      </c>
      <c r="D17" s="70">
        <v>0</v>
      </c>
      <c r="E17" s="70">
        <v>0</v>
      </c>
      <c r="F17" s="70">
        <v>0</v>
      </c>
      <c r="G17" s="70">
        <v>0</v>
      </c>
      <c r="H17" s="70">
        <v>0</v>
      </c>
      <c r="I17" s="70">
        <v>0</v>
      </c>
      <c r="J17" s="70">
        <v>0</v>
      </c>
      <c r="K17" s="70">
        <v>0</v>
      </c>
      <c r="L17" s="70">
        <v>0</v>
      </c>
      <c r="M17" s="70">
        <v>0</v>
      </c>
      <c r="N17" s="70">
        <v>0</v>
      </c>
      <c r="O17" s="70">
        <v>1581.1839600000001</v>
      </c>
      <c r="P17" s="70">
        <v>0</v>
      </c>
      <c r="Q17" s="73">
        <v>1581.1839600000001</v>
      </c>
      <c r="R17">
        <v>0</v>
      </c>
      <c r="S17">
        <v>0</v>
      </c>
    </row>
    <row r="18" spans="2:19" ht="15.5" customHeight="1" x14ac:dyDescent="0.35">
      <c r="B18" s="67" t="s">
        <v>78</v>
      </c>
      <c r="C18" s="70">
        <v>-18625.606599999999</v>
      </c>
      <c r="D18" s="70">
        <v>-5197.1270000000004</v>
      </c>
      <c r="E18" s="70">
        <v>2447.2179999999998</v>
      </c>
      <c r="F18" s="70">
        <v>-15841.485000000001</v>
      </c>
      <c r="G18" s="70">
        <v>9260.9619999999995</v>
      </c>
      <c r="H18" s="70">
        <v>4.9779999999999998</v>
      </c>
      <c r="I18" s="70">
        <v>127707.15300000001</v>
      </c>
      <c r="J18" s="70">
        <v>94716.856</v>
      </c>
      <c r="K18" s="70">
        <v>2809.0459999999998</v>
      </c>
      <c r="L18" s="70">
        <v>1346.1969999999999</v>
      </c>
      <c r="M18" s="70">
        <v>-886.39200000000005</v>
      </c>
      <c r="N18" s="70">
        <v>56610.206639999997</v>
      </c>
      <c r="O18" s="70">
        <v>231.40600000000001</v>
      </c>
      <c r="P18" s="70">
        <v>-19874.013999999999</v>
      </c>
      <c r="Q18" s="73">
        <v>234709.39804</v>
      </c>
      <c r="R18">
        <v>0</v>
      </c>
      <c r="S18">
        <v>0</v>
      </c>
    </row>
    <row r="19" spans="2:19" ht="15.5" customHeight="1" x14ac:dyDescent="0.35">
      <c r="B19" s="67" t="s">
        <v>79</v>
      </c>
      <c r="C19" s="70">
        <v>0</v>
      </c>
      <c r="D19" s="70">
        <v>-930.31488300000126</v>
      </c>
      <c r="E19" s="70">
        <v>11068.30275600003</v>
      </c>
      <c r="F19" s="70">
        <v>20805.687115000012</v>
      </c>
      <c r="G19" s="70">
        <v>-609.625512000002</v>
      </c>
      <c r="H19" s="70">
        <v>6.5356880000010129</v>
      </c>
      <c r="I19" s="70">
        <v>69229.527830999999</v>
      </c>
      <c r="J19" s="70">
        <v>61564.821641000002</v>
      </c>
      <c r="K19" s="70">
        <v>0</v>
      </c>
      <c r="L19" s="70">
        <v>24740.178072999999</v>
      </c>
      <c r="M19" s="70">
        <v>-5819.7457210000011</v>
      </c>
      <c r="N19" s="70">
        <v>30581.69572</v>
      </c>
      <c r="O19" s="70">
        <v>873.24300000000005</v>
      </c>
      <c r="P19" s="70">
        <v>-10948.853354000001</v>
      </c>
      <c r="Q19" s="73">
        <v>200561.45235400001</v>
      </c>
      <c r="R19">
        <v>0</v>
      </c>
      <c r="S19">
        <v>0</v>
      </c>
    </row>
    <row r="20" spans="2:19" ht="15.5" customHeight="1" x14ac:dyDescent="0.35">
      <c r="B20" s="67" t="s">
        <v>80</v>
      </c>
      <c r="C20" s="70">
        <v>-16433.544999999998</v>
      </c>
      <c r="D20" s="70">
        <v>-80920.831999999995</v>
      </c>
      <c r="E20" s="70">
        <v>19708.763999999999</v>
      </c>
      <c r="F20" s="70">
        <v>-231377.87419999999</v>
      </c>
      <c r="G20" s="70">
        <v>16517.13</v>
      </c>
      <c r="H20" s="70">
        <v>548.83500000000004</v>
      </c>
      <c r="I20" s="70">
        <v>148696.16899999999</v>
      </c>
      <c r="J20" s="70">
        <v>123771.255</v>
      </c>
      <c r="K20" s="70">
        <v>14796.625</v>
      </c>
      <c r="L20" s="70">
        <v>23737.337</v>
      </c>
      <c r="M20" s="70">
        <v>65665.460999999996</v>
      </c>
      <c r="N20" s="70">
        <v>139749.008</v>
      </c>
      <c r="O20" s="70">
        <v>-90670.476999999999</v>
      </c>
      <c r="P20" s="70">
        <v>-44984.000999999997</v>
      </c>
      <c r="Q20" s="73">
        <v>88803.854799999957</v>
      </c>
      <c r="R20">
        <v>0</v>
      </c>
      <c r="S20">
        <v>0</v>
      </c>
    </row>
    <row r="21" spans="2:19" ht="15.5" customHeight="1" x14ac:dyDescent="0.35">
      <c r="B21" s="67" t="s">
        <v>81</v>
      </c>
      <c r="C21" s="70">
        <v>-7526.9930000000004</v>
      </c>
      <c r="D21" s="70">
        <v>5202.5010000000002</v>
      </c>
      <c r="E21" s="70">
        <v>10960.323</v>
      </c>
      <c r="F21" s="70">
        <v>-64405.372000000003</v>
      </c>
      <c r="G21" s="70">
        <v>18992.117999999999</v>
      </c>
      <c r="H21" s="70">
        <v>1098.82</v>
      </c>
      <c r="I21" s="70">
        <v>103065.659</v>
      </c>
      <c r="J21" s="70">
        <v>97109.854999999996</v>
      </c>
      <c r="K21" s="70">
        <v>0</v>
      </c>
      <c r="L21" s="70">
        <v>-8400.0249999999996</v>
      </c>
      <c r="M21" s="70">
        <v>6231.1930000000002</v>
      </c>
      <c r="N21" s="70">
        <v>82376.604000000007</v>
      </c>
      <c r="O21" s="70">
        <v>0</v>
      </c>
      <c r="P21" s="70">
        <v>-8944.8430000000008</v>
      </c>
      <c r="Q21" s="73">
        <v>235759.84</v>
      </c>
      <c r="R21">
        <v>0</v>
      </c>
      <c r="S21">
        <v>0</v>
      </c>
    </row>
    <row r="22" spans="2:19" ht="15.5" customHeight="1" x14ac:dyDescent="0.35">
      <c r="B22" s="67" t="s">
        <v>82</v>
      </c>
      <c r="C22" s="70">
        <v>-33853.922300916412</v>
      </c>
      <c r="D22" s="70">
        <v>9062.4721060386037</v>
      </c>
      <c r="E22" s="70">
        <v>22554.667542763382</v>
      </c>
      <c r="F22" s="70">
        <v>-83094.44675742781</v>
      </c>
      <c r="G22" s="70">
        <v>-18031.059245829169</v>
      </c>
      <c r="H22" s="70">
        <v>3328.1921254391482</v>
      </c>
      <c r="I22" s="70">
        <v>196594.01086449999</v>
      </c>
      <c r="J22" s="70">
        <v>55067.565000000002</v>
      </c>
      <c r="K22" s="70">
        <v>0</v>
      </c>
      <c r="L22" s="70">
        <v>10265.437</v>
      </c>
      <c r="M22" s="70">
        <v>13389.37515425317</v>
      </c>
      <c r="N22" s="70">
        <v>161637.34</v>
      </c>
      <c r="O22" s="70">
        <v>4428.1467391190081</v>
      </c>
      <c r="P22" s="70">
        <v>-17927.843784020552</v>
      </c>
      <c r="Q22" s="73">
        <v>323419.93444391928</v>
      </c>
      <c r="R22">
        <v>0</v>
      </c>
      <c r="S22">
        <v>0</v>
      </c>
    </row>
    <row r="23" spans="2:19" ht="15.5" customHeight="1" x14ac:dyDescent="0.35">
      <c r="B23" s="67" t="s">
        <v>83</v>
      </c>
      <c r="C23" s="70">
        <v>0</v>
      </c>
      <c r="D23" s="70">
        <v>13364.91</v>
      </c>
      <c r="E23" s="70">
        <v>5496.2510000000002</v>
      </c>
      <c r="F23" s="70">
        <v>-18742.087</v>
      </c>
      <c r="G23" s="70">
        <v>4159.8559999999998</v>
      </c>
      <c r="H23" s="70">
        <v>21879.325000000001</v>
      </c>
      <c r="I23" s="70">
        <v>71582.929999999993</v>
      </c>
      <c r="J23" s="70">
        <v>35163.22</v>
      </c>
      <c r="K23" s="70">
        <v>3649.0659999999998</v>
      </c>
      <c r="L23" s="70">
        <v>1261.08</v>
      </c>
      <c r="M23" s="70">
        <v>11400.038</v>
      </c>
      <c r="N23" s="70">
        <v>52011.188999999998</v>
      </c>
      <c r="O23" s="70">
        <v>0</v>
      </c>
      <c r="P23" s="70">
        <v>8908.223</v>
      </c>
      <c r="Q23" s="73">
        <v>210134.00099999999</v>
      </c>
      <c r="R23">
        <v>0</v>
      </c>
      <c r="S23">
        <v>0</v>
      </c>
    </row>
    <row r="24" spans="2:19" ht="15.5" customHeight="1" x14ac:dyDescent="0.35">
      <c r="B24" s="67" t="s">
        <v>84</v>
      </c>
      <c r="C24" s="70">
        <v>0</v>
      </c>
      <c r="D24" s="70">
        <v>0</v>
      </c>
      <c r="E24" s="70">
        <v>0</v>
      </c>
      <c r="F24" s="70">
        <v>0</v>
      </c>
      <c r="G24" s="70">
        <v>0</v>
      </c>
      <c r="H24" s="70">
        <v>0</v>
      </c>
      <c r="I24" s="70">
        <v>0</v>
      </c>
      <c r="J24" s="70">
        <v>0</v>
      </c>
      <c r="K24" s="70">
        <v>0</v>
      </c>
      <c r="L24" s="70">
        <v>0</v>
      </c>
      <c r="M24" s="70">
        <v>0</v>
      </c>
      <c r="N24" s="70">
        <v>0</v>
      </c>
      <c r="O24" s="70">
        <v>1486366.526116679</v>
      </c>
      <c r="P24" s="70">
        <v>0</v>
      </c>
      <c r="Q24" s="73">
        <v>1486366.526116679</v>
      </c>
      <c r="R24">
        <v>0</v>
      </c>
      <c r="S24">
        <v>0</v>
      </c>
    </row>
    <row r="25" spans="2:19" ht="15.5" customHeight="1" x14ac:dyDescent="0.35">
      <c r="B25" s="67" t="s">
        <v>85</v>
      </c>
      <c r="C25" s="70">
        <v>0</v>
      </c>
      <c r="D25" s="70">
        <v>-7501.3680000000004</v>
      </c>
      <c r="E25" s="70">
        <v>4939.5079999999998</v>
      </c>
      <c r="F25" s="70">
        <v>-35610.991999999998</v>
      </c>
      <c r="G25" s="70">
        <v>2347.9769999999999</v>
      </c>
      <c r="H25" s="70">
        <v>24211.300999999999</v>
      </c>
      <c r="I25" s="70">
        <v>55335.118000000002</v>
      </c>
      <c r="J25" s="70">
        <v>39620.459000000003</v>
      </c>
      <c r="K25" s="70">
        <v>0</v>
      </c>
      <c r="L25" s="70">
        <v>555.90800000000002</v>
      </c>
      <c r="M25" s="70">
        <v>-12280.983</v>
      </c>
      <c r="N25" s="70">
        <v>45555.103999999999</v>
      </c>
      <c r="O25" s="70">
        <v>-6153.7709999999997</v>
      </c>
      <c r="P25" s="70">
        <v>-1016.784</v>
      </c>
      <c r="Q25" s="73">
        <v>110001.477</v>
      </c>
      <c r="R25">
        <v>0</v>
      </c>
      <c r="S25">
        <v>0</v>
      </c>
    </row>
    <row r="26" spans="2:19" ht="15.5" customHeight="1" x14ac:dyDescent="0.35">
      <c r="B26" s="67" t="s">
        <v>86</v>
      </c>
      <c r="C26" s="70">
        <v>0</v>
      </c>
      <c r="D26" s="70">
        <v>1916.547062000046</v>
      </c>
      <c r="E26" s="70">
        <v>5207.7272699999994</v>
      </c>
      <c r="F26" s="70">
        <v>11110.40091</v>
      </c>
      <c r="G26" s="70">
        <v>3761.89248</v>
      </c>
      <c r="H26" s="70">
        <v>392.15762000000001</v>
      </c>
      <c r="I26" s="70">
        <v>33457.303249999997</v>
      </c>
      <c r="J26" s="70">
        <v>18179.954000000002</v>
      </c>
      <c r="K26" s="70">
        <v>3192.357</v>
      </c>
      <c r="L26" s="70">
        <v>952.87305000000003</v>
      </c>
      <c r="M26" s="70">
        <v>6469.8800600000004</v>
      </c>
      <c r="N26" s="70">
        <v>12657.067789999999</v>
      </c>
      <c r="O26" s="70">
        <v>0</v>
      </c>
      <c r="P26" s="70">
        <v>-6412.6412199999986</v>
      </c>
      <c r="Q26" s="73">
        <v>90885.519272000049</v>
      </c>
      <c r="R26">
        <v>0</v>
      </c>
      <c r="S26">
        <v>0</v>
      </c>
    </row>
    <row r="27" spans="2:19" ht="15.5" customHeight="1" x14ac:dyDescent="0.35">
      <c r="B27" s="67" t="s">
        <v>87</v>
      </c>
      <c r="C27" s="70">
        <v>0</v>
      </c>
      <c r="D27" s="70">
        <v>4094.9488216909922</v>
      </c>
      <c r="E27" s="70">
        <v>4589.8369224533681</v>
      </c>
      <c r="F27" s="70">
        <v>-19413.30035972828</v>
      </c>
      <c r="G27" s="70">
        <v>42741.297121803553</v>
      </c>
      <c r="H27" s="70">
        <v>-351.06071157190758</v>
      </c>
      <c r="I27" s="70">
        <v>51196.108310550873</v>
      </c>
      <c r="J27" s="70">
        <v>356867.93709109782</v>
      </c>
      <c r="K27" s="70">
        <v>0</v>
      </c>
      <c r="L27" s="70">
        <v>3112.259244363107</v>
      </c>
      <c r="M27" s="70">
        <v>-13828.21348638555</v>
      </c>
      <c r="N27" s="70">
        <v>12719.649147829859</v>
      </c>
      <c r="O27" s="70">
        <v>-35875.99611739278</v>
      </c>
      <c r="P27" s="70">
        <v>13554.30880011563</v>
      </c>
      <c r="Q27" s="73">
        <v>419407.77478482679</v>
      </c>
      <c r="R27">
        <v>0</v>
      </c>
      <c r="S27">
        <v>0</v>
      </c>
    </row>
    <row r="28" spans="2:19" ht="15.5" customHeight="1" x14ac:dyDescent="0.35">
      <c r="B28" s="67" t="s">
        <v>88</v>
      </c>
      <c r="C28" s="70">
        <v>-42041.754999999997</v>
      </c>
      <c r="D28" s="70">
        <v>10620.083000000001</v>
      </c>
      <c r="E28" s="70">
        <v>15856.87</v>
      </c>
      <c r="F28" s="70">
        <v>-57962.055999999997</v>
      </c>
      <c r="G28" s="70">
        <v>15742.844999999999</v>
      </c>
      <c r="H28" s="70">
        <v>8597.3179999999993</v>
      </c>
      <c r="I28" s="70">
        <v>74280.288</v>
      </c>
      <c r="J28" s="70">
        <v>55264.087</v>
      </c>
      <c r="K28" s="70">
        <v>-1782.9010000000001</v>
      </c>
      <c r="L28" s="70">
        <v>3477.3150000000001</v>
      </c>
      <c r="M28" s="70">
        <v>-3492.567</v>
      </c>
      <c r="N28" s="70">
        <v>164287.065</v>
      </c>
      <c r="O28" s="70">
        <v>0</v>
      </c>
      <c r="P28" s="70">
        <v>-44239.627999999997</v>
      </c>
      <c r="Q28" s="73">
        <v>198606.96400000001</v>
      </c>
      <c r="R28">
        <v>0</v>
      </c>
      <c r="S28">
        <v>0</v>
      </c>
    </row>
    <row r="29" spans="2:19" ht="15.5" customHeight="1" x14ac:dyDescent="0.35">
      <c r="B29" s="67" t="s">
        <v>89</v>
      </c>
      <c r="C29" s="70">
        <v>-5039.0150000000003</v>
      </c>
      <c r="D29" s="70">
        <v>-6009.1679999999997</v>
      </c>
      <c r="E29" s="70">
        <v>1746.0740000000001</v>
      </c>
      <c r="F29" s="70">
        <v>-35172.849000000002</v>
      </c>
      <c r="G29" s="70">
        <v>-4569.1890000000003</v>
      </c>
      <c r="H29" s="70">
        <v>-4889.3819999999996</v>
      </c>
      <c r="I29" s="70">
        <v>27196.941999999999</v>
      </c>
      <c r="J29" s="70">
        <v>10960.978999999999</v>
      </c>
      <c r="K29" s="70">
        <v>0</v>
      </c>
      <c r="L29" s="70">
        <v>1348.5229999999999</v>
      </c>
      <c r="M29" s="70">
        <v>7939.768</v>
      </c>
      <c r="N29" s="70">
        <v>14207.959000000001</v>
      </c>
      <c r="O29" s="70">
        <v>86059.323000000004</v>
      </c>
      <c r="P29" s="70">
        <v>-895.50599999999997</v>
      </c>
      <c r="Q29" s="73">
        <v>92884.459000000003</v>
      </c>
      <c r="R29">
        <v>0</v>
      </c>
      <c r="S29">
        <v>0</v>
      </c>
    </row>
    <row r="30" spans="2:19" ht="15.5" customHeight="1" x14ac:dyDescent="0.35">
      <c r="B30" s="67" t="s">
        <v>90</v>
      </c>
      <c r="C30" s="70">
        <v>0</v>
      </c>
      <c r="D30" s="70">
        <v>-7221.4719382141602</v>
      </c>
      <c r="E30" s="70">
        <v>11557.690278428519</v>
      </c>
      <c r="F30" s="70">
        <v>-26953.068209598241</v>
      </c>
      <c r="G30" s="70">
        <v>-30923.234657709629</v>
      </c>
      <c r="H30" s="70">
        <v>-2641.204649870067</v>
      </c>
      <c r="I30" s="70">
        <v>53813.018425477312</v>
      </c>
      <c r="J30" s="70">
        <v>6431.1751812959546</v>
      </c>
      <c r="K30" s="70">
        <v>0</v>
      </c>
      <c r="L30" s="70">
        <v>14468.365545646489</v>
      </c>
      <c r="M30" s="70">
        <v>-23149.120330000002</v>
      </c>
      <c r="N30" s="70">
        <v>-6049.9787600000282</v>
      </c>
      <c r="O30" s="70">
        <v>0</v>
      </c>
      <c r="P30" s="70">
        <v>-149.5829937330422</v>
      </c>
      <c r="Q30" s="73">
        <v>-10817.4121082769</v>
      </c>
      <c r="R30">
        <v>0</v>
      </c>
      <c r="S30">
        <v>0</v>
      </c>
    </row>
    <row r="31" spans="2:19" ht="15.5" customHeight="1" x14ac:dyDescent="0.35">
      <c r="B31" s="67" t="s">
        <v>91</v>
      </c>
      <c r="C31" s="70">
        <v>-5141.7878000000001</v>
      </c>
      <c r="D31" s="70">
        <v>6744.3230000000003</v>
      </c>
      <c r="E31" s="70">
        <v>5237.1019999999999</v>
      </c>
      <c r="F31" s="70">
        <v>140.75079999999701</v>
      </c>
      <c r="G31" s="70">
        <v>2543.134</v>
      </c>
      <c r="H31" s="70">
        <v>9360.4169999999995</v>
      </c>
      <c r="I31" s="70">
        <v>39945.219720000001</v>
      </c>
      <c r="J31" s="70">
        <v>33769.1</v>
      </c>
      <c r="K31" s="70">
        <v>0</v>
      </c>
      <c r="L31" s="70">
        <v>1001.692</v>
      </c>
      <c r="M31" s="70">
        <v>4162.8090000000002</v>
      </c>
      <c r="N31" s="70">
        <v>30401.219000000001</v>
      </c>
      <c r="O31" s="70">
        <v>0</v>
      </c>
      <c r="P31" s="70">
        <v>-54.353059999999587</v>
      </c>
      <c r="Q31" s="73">
        <v>128109.62566000001</v>
      </c>
      <c r="R31">
        <v>0</v>
      </c>
      <c r="S31">
        <v>0</v>
      </c>
    </row>
    <row r="32" spans="2:19" ht="15.5" customHeight="1" x14ac:dyDescent="0.35">
      <c r="B32" s="67" t="s">
        <v>92</v>
      </c>
      <c r="C32" s="70">
        <v>-3811.4961133836059</v>
      </c>
      <c r="D32" s="70">
        <v>-4115.3131013022439</v>
      </c>
      <c r="E32" s="70">
        <v>35513.468807971381</v>
      </c>
      <c r="F32" s="70">
        <v>-2939.2894608283941</v>
      </c>
      <c r="G32" s="70">
        <v>5203.4098471906482</v>
      </c>
      <c r="H32" s="70">
        <v>2658.926766001854</v>
      </c>
      <c r="I32" s="70">
        <v>155104.6582538533</v>
      </c>
      <c r="J32" s="70">
        <v>138136.77801907971</v>
      </c>
      <c r="K32" s="70">
        <v>0</v>
      </c>
      <c r="L32" s="70">
        <v>20522.109745698901</v>
      </c>
      <c r="M32" s="70">
        <v>4200.3874437201994</v>
      </c>
      <c r="N32" s="70">
        <v>-31689.772226497738</v>
      </c>
      <c r="O32" s="70">
        <v>1102037.7174529061</v>
      </c>
      <c r="P32" s="70">
        <v>-4377.8906407722088</v>
      </c>
      <c r="Q32" s="73">
        <v>1416443.6947936381</v>
      </c>
      <c r="R32">
        <v>0</v>
      </c>
      <c r="S32">
        <v>0</v>
      </c>
    </row>
    <row r="33" spans="2:19" ht="15.5" customHeight="1" x14ac:dyDescent="0.35">
      <c r="B33" s="67" t="s">
        <v>93</v>
      </c>
      <c r="C33" s="70">
        <v>0</v>
      </c>
      <c r="D33" s="70">
        <v>3816.2109999999998</v>
      </c>
      <c r="E33" s="70">
        <v>2784.605</v>
      </c>
      <c r="F33" s="70">
        <v>12440.808000000001</v>
      </c>
      <c r="G33" s="70">
        <v>52590.326000000001</v>
      </c>
      <c r="H33" s="70">
        <v>452.16399999999999</v>
      </c>
      <c r="I33" s="70">
        <v>53549.64</v>
      </c>
      <c r="J33" s="70">
        <v>67496.616999999998</v>
      </c>
      <c r="K33" s="70">
        <v>0</v>
      </c>
      <c r="L33" s="70">
        <v>8007.6379999999999</v>
      </c>
      <c r="M33" s="70">
        <v>3263.4920000000002</v>
      </c>
      <c r="N33" s="70">
        <v>25518.100999999999</v>
      </c>
      <c r="O33" s="70">
        <v>75687.326000000001</v>
      </c>
      <c r="P33" s="70">
        <v>636.69299999999998</v>
      </c>
      <c r="Q33" s="73">
        <v>306243.62099999998</v>
      </c>
      <c r="R33">
        <v>0</v>
      </c>
      <c r="S33">
        <v>1.0500000000000001E-2</v>
      </c>
    </row>
    <row r="34" spans="2:19" ht="15.5" customHeight="1" x14ac:dyDescent="0.35">
      <c r="B34" s="67" t="s">
        <v>94</v>
      </c>
      <c r="C34" s="70">
        <v>-527.53</v>
      </c>
      <c r="D34" s="70">
        <v>18624.507000000001</v>
      </c>
      <c r="E34" s="70">
        <v>2147.9679999999998</v>
      </c>
      <c r="F34" s="70">
        <v>8384.4339999999993</v>
      </c>
      <c r="G34" s="70">
        <v>9477.4339999999993</v>
      </c>
      <c r="H34" s="70">
        <v>-1369.0429999999999</v>
      </c>
      <c r="I34" s="70">
        <v>115057.60000000001</v>
      </c>
      <c r="J34" s="70">
        <v>75396.873000000007</v>
      </c>
      <c r="K34" s="70">
        <v>0</v>
      </c>
      <c r="L34" s="70">
        <v>918.58199999999999</v>
      </c>
      <c r="M34" s="70">
        <v>3895.1120000000001</v>
      </c>
      <c r="N34" s="70">
        <v>7510.1980000000003</v>
      </c>
      <c r="O34" s="70">
        <v>-6222.1610000000001</v>
      </c>
      <c r="P34" s="70">
        <v>4973.366</v>
      </c>
      <c r="Q34" s="73">
        <v>238267.34</v>
      </c>
      <c r="R34">
        <v>0</v>
      </c>
      <c r="S34">
        <v>0</v>
      </c>
    </row>
    <row r="35" spans="2:19" ht="15.5" customHeight="1" x14ac:dyDescent="0.35">
      <c r="B35" s="67" t="s">
        <v>95</v>
      </c>
      <c r="C35" s="70">
        <v>-848.73500000000001</v>
      </c>
      <c r="D35" s="70">
        <v>-4032.1570000000002</v>
      </c>
      <c r="E35" s="70">
        <v>31087.061000000002</v>
      </c>
      <c r="F35" s="70">
        <v>89977.088000000003</v>
      </c>
      <c r="G35" s="70">
        <v>-27614.115000000002</v>
      </c>
      <c r="H35" s="70">
        <v>-10648.218000000001</v>
      </c>
      <c r="I35" s="70">
        <v>196594.823</v>
      </c>
      <c r="J35" s="70">
        <v>130008.876</v>
      </c>
      <c r="K35" s="70">
        <v>0</v>
      </c>
      <c r="L35" s="70">
        <v>2905.6689999999999</v>
      </c>
      <c r="M35" s="70">
        <v>-4144.9170000000004</v>
      </c>
      <c r="N35" s="70">
        <v>21117.394</v>
      </c>
      <c r="O35" s="70">
        <v>0</v>
      </c>
      <c r="P35" s="70">
        <v>-10957.984</v>
      </c>
      <c r="Q35" s="73">
        <v>413444.78499999997</v>
      </c>
      <c r="R35">
        <v>0</v>
      </c>
      <c r="S35">
        <v>0</v>
      </c>
    </row>
    <row r="36" spans="2:19" ht="15.5" customHeight="1" x14ac:dyDescent="0.35">
      <c r="B36" s="67" t="s">
        <v>96</v>
      </c>
      <c r="C36" s="70">
        <v>-829.77724250318488</v>
      </c>
      <c r="D36" s="70">
        <v>-187.63918066124111</v>
      </c>
      <c r="E36" s="70">
        <v>87.473801011415532</v>
      </c>
      <c r="F36" s="70">
        <v>-403.32470725285259</v>
      </c>
      <c r="G36" s="70">
        <v>12465.572788541849</v>
      </c>
      <c r="H36" s="70">
        <v>-15577.22306112045</v>
      </c>
      <c r="I36" s="70">
        <v>19288.518632444029</v>
      </c>
      <c r="J36" s="70">
        <v>10828.30263737188</v>
      </c>
      <c r="K36" s="70">
        <v>0</v>
      </c>
      <c r="L36" s="70">
        <v>3177.832352013339</v>
      </c>
      <c r="M36" s="70">
        <v>1035.3770707701619</v>
      </c>
      <c r="N36" s="70">
        <v>30809.431554715469</v>
      </c>
      <c r="O36" s="70">
        <v>128394.8319947532</v>
      </c>
      <c r="P36" s="70">
        <v>-5828.8364938446239</v>
      </c>
      <c r="Q36" s="73">
        <v>183260.54014623899</v>
      </c>
      <c r="R36">
        <v>0</v>
      </c>
      <c r="S36">
        <v>0</v>
      </c>
    </row>
    <row r="37" spans="2:19" ht="15.5" customHeight="1" x14ac:dyDescent="0.35">
      <c r="B37" s="67" t="s">
        <v>97</v>
      </c>
      <c r="C37" s="70">
        <v>0</v>
      </c>
      <c r="D37" s="70">
        <v>-2928.1552506454509</v>
      </c>
      <c r="E37" s="70">
        <v>882.05496909642909</v>
      </c>
      <c r="F37" s="70">
        <v>-2193.5050668065878</v>
      </c>
      <c r="G37" s="70">
        <v>5782.518985319387</v>
      </c>
      <c r="H37" s="70">
        <v>-110.4543421521871</v>
      </c>
      <c r="I37" s="70">
        <v>19689.491975058179</v>
      </c>
      <c r="J37" s="70">
        <v>29713.602388377269</v>
      </c>
      <c r="K37" s="70">
        <v>0</v>
      </c>
      <c r="L37" s="70">
        <v>377.01911360411191</v>
      </c>
      <c r="M37" s="70">
        <v>7408.2546802991164</v>
      </c>
      <c r="N37" s="70">
        <v>-30.423103785892341</v>
      </c>
      <c r="O37" s="70">
        <v>0</v>
      </c>
      <c r="P37" s="70">
        <v>-9885.8498689155876</v>
      </c>
      <c r="Q37" s="73">
        <v>48704.554479448787</v>
      </c>
      <c r="R37">
        <v>0</v>
      </c>
      <c r="S37">
        <v>0</v>
      </c>
    </row>
    <row r="38" spans="2:19" ht="15.5" customHeight="1" x14ac:dyDescent="0.35">
      <c r="B38" s="67" t="s">
        <v>98</v>
      </c>
      <c r="C38" s="70">
        <v>0</v>
      </c>
      <c r="D38" s="70">
        <v>-11239.378000000001</v>
      </c>
      <c r="E38" s="70">
        <v>11194.825999999999</v>
      </c>
      <c r="F38" s="70">
        <v>-11213.156000000001</v>
      </c>
      <c r="G38" s="70">
        <v>5676.3379999999997</v>
      </c>
      <c r="H38" s="70">
        <v>17298.010999999999</v>
      </c>
      <c r="I38" s="70">
        <v>27654.506000000001</v>
      </c>
      <c r="J38" s="70">
        <v>19434.312999999998</v>
      </c>
      <c r="K38" s="70">
        <v>-841.42499999999995</v>
      </c>
      <c r="L38" s="70">
        <v>1021.701</v>
      </c>
      <c r="M38" s="70">
        <v>25868.065999999999</v>
      </c>
      <c r="N38" s="70">
        <v>57937.887999999999</v>
      </c>
      <c r="O38" s="70">
        <v>806.79399999999998</v>
      </c>
      <c r="P38" s="70">
        <v>-5631.9260000000004</v>
      </c>
      <c r="Q38" s="73">
        <v>137966.55799999999</v>
      </c>
      <c r="R38">
        <v>0</v>
      </c>
      <c r="S38">
        <v>0</v>
      </c>
    </row>
    <row r="39" spans="2:19" ht="15.5" customHeight="1" x14ac:dyDescent="0.35">
      <c r="B39" s="67" t="s">
        <v>99</v>
      </c>
      <c r="C39" s="70">
        <v>-7352.3130000000001</v>
      </c>
      <c r="D39" s="70">
        <v>-4743.0820000000003</v>
      </c>
      <c r="E39" s="70">
        <v>20435.09</v>
      </c>
      <c r="F39" s="70">
        <v>-27392.68</v>
      </c>
      <c r="G39" s="70">
        <v>18986.138999999999</v>
      </c>
      <c r="H39" s="70">
        <v>11181.597</v>
      </c>
      <c r="I39" s="70">
        <v>126185.314</v>
      </c>
      <c r="J39" s="70">
        <v>51257.38</v>
      </c>
      <c r="K39" s="70">
        <v>-731.63599999999997</v>
      </c>
      <c r="L39" s="70">
        <v>-6360.99</v>
      </c>
      <c r="M39" s="70">
        <v>17219.832999999999</v>
      </c>
      <c r="N39" s="70">
        <v>57217.807000000001</v>
      </c>
      <c r="O39" s="70">
        <v>239078.682</v>
      </c>
      <c r="P39" s="70">
        <v>12012.228999999999</v>
      </c>
      <c r="Q39" s="73">
        <v>506993.37</v>
      </c>
      <c r="R39">
        <v>0</v>
      </c>
      <c r="S39">
        <v>0</v>
      </c>
    </row>
    <row r="40" spans="2:19" ht="15.5" customHeight="1" x14ac:dyDescent="0.35">
      <c r="B40" s="67" t="s">
        <v>100</v>
      </c>
      <c r="C40" s="70">
        <v>0</v>
      </c>
      <c r="D40" s="70">
        <v>355.40499999999997</v>
      </c>
      <c r="E40" s="70">
        <v>520.58399999999995</v>
      </c>
      <c r="F40" s="70">
        <v>-2503.2510000000002</v>
      </c>
      <c r="G40" s="70">
        <v>1437.7460000000001</v>
      </c>
      <c r="H40" s="70">
        <v>167.57499999999999</v>
      </c>
      <c r="I40" s="70">
        <v>61171.163</v>
      </c>
      <c r="J40" s="70">
        <v>17558.77</v>
      </c>
      <c r="K40" s="70">
        <v>0</v>
      </c>
      <c r="L40" s="70">
        <v>-254.40899999999999</v>
      </c>
      <c r="M40" s="70">
        <v>658.73800000000006</v>
      </c>
      <c r="N40" s="70">
        <v>6445.4830000000002</v>
      </c>
      <c r="O40" s="70">
        <v>13978.821</v>
      </c>
      <c r="P40" s="70">
        <v>-2323.462</v>
      </c>
      <c r="Q40" s="73">
        <v>97213.163</v>
      </c>
    </row>
    <row r="41" spans="2:19" ht="15.5" customHeight="1" x14ac:dyDescent="0.35">
      <c r="B41" s="93" t="s">
        <v>101</v>
      </c>
      <c r="C41" s="70">
        <v>0</v>
      </c>
      <c r="D41" s="70">
        <v>0</v>
      </c>
      <c r="E41" s="70">
        <v>0</v>
      </c>
      <c r="F41" s="70">
        <v>0</v>
      </c>
      <c r="G41" s="70">
        <v>0</v>
      </c>
      <c r="H41" s="70">
        <v>0</v>
      </c>
      <c r="I41" s="70">
        <v>0</v>
      </c>
      <c r="J41" s="70">
        <v>0</v>
      </c>
      <c r="K41" s="70">
        <v>0</v>
      </c>
      <c r="L41" s="70">
        <v>0</v>
      </c>
      <c r="M41" s="70">
        <v>0</v>
      </c>
      <c r="N41" s="70">
        <v>0</v>
      </c>
      <c r="O41" s="70">
        <v>0</v>
      </c>
      <c r="P41" s="70">
        <v>0</v>
      </c>
      <c r="Q41" s="73">
        <v>0</v>
      </c>
      <c r="R41">
        <v>0</v>
      </c>
      <c r="S41">
        <v>0</v>
      </c>
    </row>
    <row r="42" spans="2:19" ht="15.5" customHeight="1" x14ac:dyDescent="0.35">
      <c r="B42" s="93" t="s">
        <v>102</v>
      </c>
      <c r="C42" s="70">
        <v>0</v>
      </c>
      <c r="D42" s="70">
        <v>0</v>
      </c>
      <c r="E42" s="70">
        <v>0</v>
      </c>
      <c r="F42" s="70">
        <v>0</v>
      </c>
      <c r="G42" s="70">
        <v>0</v>
      </c>
      <c r="H42" s="70">
        <v>0</v>
      </c>
      <c r="I42" s="70">
        <v>0</v>
      </c>
      <c r="J42" s="70">
        <v>0</v>
      </c>
      <c r="K42" s="70">
        <v>0</v>
      </c>
      <c r="L42" s="70">
        <v>0</v>
      </c>
      <c r="M42" s="70">
        <v>0</v>
      </c>
      <c r="N42" s="70">
        <v>0</v>
      </c>
      <c r="O42" s="70">
        <v>0</v>
      </c>
      <c r="P42" s="70">
        <v>0</v>
      </c>
      <c r="Q42" s="73">
        <v>0</v>
      </c>
      <c r="R42">
        <v>0</v>
      </c>
      <c r="S42">
        <v>0</v>
      </c>
    </row>
    <row r="43" spans="2:19" ht="15.5" customHeight="1" x14ac:dyDescent="0.35">
      <c r="B43" s="71" t="s">
        <v>24</v>
      </c>
      <c r="C43" s="72">
        <f t="shared" ref="C43:Q43" si="0">SUM(C6:C42)</f>
        <v>-174159.88565680321</v>
      </c>
      <c r="D43" s="72">
        <f t="shared" si="0"/>
        <v>-127824.57851995948</v>
      </c>
      <c r="E43" s="72">
        <f t="shared" si="0"/>
        <v>285365.57852064341</v>
      </c>
      <c r="F43" s="72">
        <f t="shared" si="0"/>
        <v>-573565.27884308714</v>
      </c>
      <c r="G43" s="72">
        <f t="shared" si="0"/>
        <v>178789.91006273092</v>
      </c>
      <c r="H43" s="72">
        <f t="shared" si="0"/>
        <v>66883.927748202826</v>
      </c>
      <c r="I43" s="72">
        <f t="shared" si="0"/>
        <v>2789895.8758682562</v>
      </c>
      <c r="J43" s="72">
        <f t="shared" si="0"/>
        <v>2125337.3441604255</v>
      </c>
      <c r="K43" s="72">
        <f t="shared" si="0"/>
        <v>607864.58475677588</v>
      </c>
      <c r="L43" s="72">
        <f t="shared" si="0"/>
        <v>136295.88408525358</v>
      </c>
      <c r="M43" s="72">
        <f t="shared" si="0"/>
        <v>39571.267432638422</v>
      </c>
      <c r="N43" s="72">
        <f t="shared" si="0"/>
        <v>1010290.370431014</v>
      </c>
      <c r="O43" s="72">
        <f t="shared" si="0"/>
        <v>5788008.9026776534</v>
      </c>
      <c r="P43" s="72">
        <f t="shared" si="0"/>
        <v>17210.409967224161</v>
      </c>
      <c r="Q43" s="72">
        <f t="shared" si="0"/>
        <v>12169964.31269097</v>
      </c>
    </row>
    <row r="44" spans="2:19" ht="14.5" customHeight="1" x14ac:dyDescent="0.35">
      <c r="B44" s="338" t="s">
        <v>103</v>
      </c>
      <c r="C44" s="269"/>
      <c r="D44" s="269"/>
      <c r="E44" s="269"/>
      <c r="F44" s="269"/>
      <c r="G44" s="269"/>
      <c r="H44" s="269"/>
      <c r="I44" s="269"/>
      <c r="J44" s="269"/>
      <c r="K44" s="269"/>
      <c r="L44" s="269"/>
      <c r="M44" s="269"/>
      <c r="N44" s="269"/>
      <c r="O44" s="269"/>
      <c r="P44" s="269"/>
      <c r="Q44" s="270"/>
    </row>
    <row r="45" spans="2:19" ht="15.5" customHeight="1" x14ac:dyDescent="0.35">
      <c r="B45" s="67" t="s">
        <v>104</v>
      </c>
      <c r="C45" s="70">
        <v>9619.251932582205</v>
      </c>
      <c r="D45" s="70">
        <v>207241.1451559946</v>
      </c>
      <c r="E45" s="70">
        <v>167915.65179361289</v>
      </c>
      <c r="F45" s="70">
        <v>477913.7781818214</v>
      </c>
      <c r="G45" s="70">
        <v>32058.644489811741</v>
      </c>
      <c r="H45" s="70">
        <v>110621.39722469541</v>
      </c>
      <c r="I45" s="70">
        <v>8396.3116520935546</v>
      </c>
      <c r="J45" s="70">
        <v>35875.149786217888</v>
      </c>
      <c r="K45" s="70">
        <v>0</v>
      </c>
      <c r="L45" s="70">
        <v>69362.642131506756</v>
      </c>
      <c r="M45" s="70">
        <v>3650.6653753424612</v>
      </c>
      <c r="N45" s="70">
        <v>7301.3307506849214</v>
      </c>
      <c r="O45" s="70">
        <v>201207.5169785443</v>
      </c>
      <c r="P45" s="70">
        <v>284751.89927671192</v>
      </c>
      <c r="Q45" s="73">
        <v>1615915.3847296201</v>
      </c>
      <c r="R45">
        <v>0</v>
      </c>
      <c r="S45">
        <v>0</v>
      </c>
    </row>
    <row r="46" spans="2:19" ht="15.5" customHeight="1" x14ac:dyDescent="0.35">
      <c r="B46" s="67" t="s">
        <v>105</v>
      </c>
      <c r="C46" s="70">
        <v>1265.019602162582</v>
      </c>
      <c r="D46" s="70">
        <v>29986.552385757641</v>
      </c>
      <c r="E46" s="70">
        <v>0</v>
      </c>
      <c r="F46" s="70">
        <v>529119.19754336076</v>
      </c>
      <c r="G46" s="70">
        <v>11569.602528724959</v>
      </c>
      <c r="H46" s="70">
        <v>42020.350088484753</v>
      </c>
      <c r="I46" s="70">
        <v>0</v>
      </c>
      <c r="J46" s="70">
        <v>39745.759159919719</v>
      </c>
      <c r="K46" s="70">
        <v>0</v>
      </c>
      <c r="L46" s="70">
        <v>19214.765216550219</v>
      </c>
      <c r="M46" s="70">
        <v>0</v>
      </c>
      <c r="N46" s="70">
        <v>0</v>
      </c>
      <c r="O46" s="70">
        <v>196199.25609162039</v>
      </c>
      <c r="P46" s="70">
        <v>107275.5153396541</v>
      </c>
      <c r="Q46" s="73">
        <v>976396.01795623498</v>
      </c>
      <c r="R46">
        <v>0</v>
      </c>
      <c r="S46">
        <v>0</v>
      </c>
    </row>
    <row r="47" spans="2:19" ht="15.5" customHeight="1" x14ac:dyDescent="0.35">
      <c r="B47" s="67" t="s">
        <v>106</v>
      </c>
      <c r="C47" s="70">
        <v>2104.6190000000001</v>
      </c>
      <c r="D47" s="70">
        <v>65345.35</v>
      </c>
      <c r="E47" s="70">
        <v>62569.366999999998</v>
      </c>
      <c r="F47" s="70">
        <v>660907.79299999995</v>
      </c>
      <c r="G47" s="70">
        <v>21054.491999999998</v>
      </c>
      <c r="H47" s="70">
        <v>43036.58</v>
      </c>
      <c r="I47" s="70">
        <v>10631.041999999999</v>
      </c>
      <c r="J47" s="70">
        <v>11085.946</v>
      </c>
      <c r="K47" s="70">
        <v>0</v>
      </c>
      <c r="L47" s="70">
        <v>537.89099999999996</v>
      </c>
      <c r="M47" s="70">
        <v>33865.447999999997</v>
      </c>
      <c r="N47" s="70">
        <v>-1216.1659999999999</v>
      </c>
      <c r="O47" s="70">
        <v>134277.22399999999</v>
      </c>
      <c r="P47" s="70">
        <v>52289.69</v>
      </c>
      <c r="Q47" s="73">
        <v>1096489.2760000001</v>
      </c>
      <c r="R47">
        <v>0</v>
      </c>
      <c r="S47">
        <v>0</v>
      </c>
    </row>
    <row r="48" spans="2:19" ht="15.5" customHeight="1" x14ac:dyDescent="0.35">
      <c r="B48" s="64" t="s">
        <v>107</v>
      </c>
      <c r="C48" s="70">
        <v>22898.369579999999</v>
      </c>
      <c r="D48" s="70">
        <v>412109.74511999969</v>
      </c>
      <c r="E48" s="70">
        <v>46948.107179999992</v>
      </c>
      <c r="F48" s="70">
        <v>1510538.168660003</v>
      </c>
      <c r="G48" s="70">
        <v>43304.754899999993</v>
      </c>
      <c r="H48" s="70">
        <v>248076.3788399997</v>
      </c>
      <c r="I48" s="70">
        <v>2232.931689999999</v>
      </c>
      <c r="J48" s="70">
        <v>-54268.700569999703</v>
      </c>
      <c r="K48" s="70">
        <v>0</v>
      </c>
      <c r="L48" s="70">
        <v>163619.96015999981</v>
      </c>
      <c r="M48" s="70">
        <v>9279.7110800000028</v>
      </c>
      <c r="N48" s="70">
        <v>4.2318899999999999</v>
      </c>
      <c r="O48" s="70">
        <v>599962.98454999982</v>
      </c>
      <c r="P48" s="70">
        <v>534536.09544000006</v>
      </c>
      <c r="Q48" s="73">
        <v>3539242.738520002</v>
      </c>
      <c r="R48">
        <v>0</v>
      </c>
      <c r="S48">
        <v>0</v>
      </c>
    </row>
    <row r="49" spans="2:18" ht="15.5" customHeight="1" x14ac:dyDescent="0.35">
      <c r="B49" s="67" t="s">
        <v>108</v>
      </c>
      <c r="C49" s="70">
        <v>8263.6048806098952</v>
      </c>
      <c r="D49" s="70">
        <v>258203.52091490469</v>
      </c>
      <c r="E49" s="70">
        <v>2865.9437690428881</v>
      </c>
      <c r="F49" s="70">
        <v>683657.11137856508</v>
      </c>
      <c r="G49" s="70">
        <v>197699.0373645045</v>
      </c>
      <c r="H49" s="70">
        <v>58417.65337820282</v>
      </c>
      <c r="I49" s="70">
        <v>8244.0549882111791</v>
      </c>
      <c r="J49" s="70">
        <v>46242.152356418243</v>
      </c>
      <c r="K49" s="70">
        <v>0</v>
      </c>
      <c r="L49" s="70">
        <v>104372.0371493041</v>
      </c>
      <c r="M49" s="70">
        <v>12288.19203183088</v>
      </c>
      <c r="N49" s="70">
        <v>-656.22187793080184</v>
      </c>
      <c r="O49" s="70">
        <v>106139.44867222841</v>
      </c>
      <c r="P49" s="70">
        <v>1656.9858382258039</v>
      </c>
      <c r="Q49" s="73">
        <v>1487393.520844118</v>
      </c>
      <c r="R49">
        <v>0</v>
      </c>
    </row>
    <row r="50" spans="2:18" ht="15.5" customHeight="1" x14ac:dyDescent="0.35">
      <c r="B50" s="71" t="s">
        <v>24</v>
      </c>
      <c r="C50" s="72">
        <f t="shared" ref="C50:Q50" si="1">SUM(C45:C49)</f>
        <v>44150.864995354685</v>
      </c>
      <c r="D50" s="72">
        <f t="shared" si="1"/>
        <v>972886.31357665651</v>
      </c>
      <c r="E50" s="72">
        <f t="shared" si="1"/>
        <v>280299.06974265579</v>
      </c>
      <c r="F50" s="72">
        <f t="shared" si="1"/>
        <v>3862136.0487637497</v>
      </c>
      <c r="G50" s="72">
        <f t="shared" si="1"/>
        <v>305686.53128304123</v>
      </c>
      <c r="H50" s="72">
        <f t="shared" si="1"/>
        <v>502172.35953138268</v>
      </c>
      <c r="I50" s="72">
        <f t="shared" si="1"/>
        <v>29504.340330304731</v>
      </c>
      <c r="J50" s="72">
        <f t="shared" si="1"/>
        <v>78680.306732556142</v>
      </c>
      <c r="K50" s="72">
        <f t="shared" si="1"/>
        <v>0</v>
      </c>
      <c r="L50" s="72">
        <f t="shared" si="1"/>
        <v>357107.29565736093</v>
      </c>
      <c r="M50" s="72">
        <f t="shared" si="1"/>
        <v>59084.016487173343</v>
      </c>
      <c r="N50" s="72">
        <f t="shared" si="1"/>
        <v>5433.174762754119</v>
      </c>
      <c r="O50" s="72">
        <f t="shared" si="1"/>
        <v>1237786.4302923931</v>
      </c>
      <c r="P50" s="72">
        <f t="shared" si="1"/>
        <v>980510.18589459197</v>
      </c>
      <c r="Q50" s="72">
        <f t="shared" si="1"/>
        <v>8715436.9380499758</v>
      </c>
    </row>
    <row r="51" spans="2:18" ht="14.5" customHeight="1" x14ac:dyDescent="0.35">
      <c r="B51" s="298" t="s">
        <v>25</v>
      </c>
      <c r="C51" s="281"/>
      <c r="D51" s="281"/>
      <c r="E51" s="281"/>
      <c r="F51" s="281"/>
      <c r="G51" s="281"/>
      <c r="H51" s="281"/>
      <c r="I51" s="281"/>
      <c r="J51" s="281"/>
      <c r="K51" s="281"/>
      <c r="L51" s="281"/>
      <c r="M51" s="281"/>
      <c r="N51" s="281"/>
      <c r="O51" s="281"/>
      <c r="P51" s="281"/>
      <c r="Q51" s="281"/>
    </row>
  </sheetData>
  <sheetProtection algorithmName="SHA-512" hashValue="PWqWDOuzT5+KRX7kYvsadlssXLgvsBbXZ/ysw3zKAwTgu2IgshQbdzxUIi+wDf6zHfMIyawmT2WKtFDvy9yn1g==" saltValue="RRY+2POFtilQ5+bclB8FkA==" spinCount="100000" sheet="1" objects="1" scenarios="1"/>
  <mergeCells count="4">
    <mergeCell ref="B51:Q51"/>
    <mergeCell ref="B5:Q5"/>
    <mergeCell ref="B3:Q3"/>
    <mergeCell ref="B44:Q44"/>
  </mergeCells>
  <pageMargins left="0.7" right="0.7" top="0.75" bottom="0.75" header="0.3" footer="0.3"/>
  <pageSetup paperSize="9" scale="33"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0">
    <tabColor rgb="FFA2D668"/>
    <pageSetUpPr fitToPage="1"/>
  </sheetPr>
  <dimension ref="B3:Q51"/>
  <sheetViews>
    <sheetView workbookViewId="0"/>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07" width="9.453125" style="2" customWidth="1"/>
    <col min="108" max="16384" width="9.453125" style="2"/>
  </cols>
  <sheetData>
    <row r="3" spans="2:17" ht="14.5" customHeight="1" x14ac:dyDescent="0.35">
      <c r="B3" s="336" t="str">
        <f>_xlfn.CONCAT("MGT: SUMMARY OF MANAGEMENT EXPENSES UNDER GENERAL INSURANCE BUSINESS FOR THE PERIOD ENDED"," ",Details!F18)</f>
        <v>MGT: SUMMARY OF MANAGEMENT EXPENSES UNDER GENERAL INSURANCE BUSINESS FOR THE PERIOD ENDED 31.12.2025</v>
      </c>
      <c r="C3" s="269"/>
      <c r="D3" s="269"/>
      <c r="E3" s="269"/>
      <c r="F3" s="269"/>
      <c r="G3" s="269"/>
      <c r="H3" s="269"/>
      <c r="I3" s="269"/>
      <c r="J3" s="269"/>
      <c r="K3" s="269"/>
      <c r="L3" s="269"/>
      <c r="M3" s="269"/>
      <c r="N3" s="269"/>
      <c r="O3" s="269"/>
      <c r="P3" s="269"/>
      <c r="Q3" s="270"/>
    </row>
    <row r="4" spans="2:17" ht="31" customHeight="1" x14ac:dyDescent="0.35">
      <c r="B4" s="65" t="s">
        <v>0</v>
      </c>
      <c r="C4" s="66" t="s">
        <v>215</v>
      </c>
      <c r="D4" s="66" t="s">
        <v>216</v>
      </c>
      <c r="E4" s="66" t="s">
        <v>217</v>
      </c>
      <c r="F4" s="66" t="s">
        <v>218</v>
      </c>
      <c r="G4" s="66" t="s">
        <v>219</v>
      </c>
      <c r="H4" s="66" t="s">
        <v>220</v>
      </c>
      <c r="I4" s="66" t="s">
        <v>221</v>
      </c>
      <c r="J4" s="66" t="s">
        <v>222</v>
      </c>
      <c r="K4" s="66" t="s">
        <v>223</v>
      </c>
      <c r="L4" s="66" t="s">
        <v>224</v>
      </c>
      <c r="M4" s="66" t="s">
        <v>225</v>
      </c>
      <c r="N4" s="66" t="s">
        <v>226</v>
      </c>
      <c r="O4" s="66" t="s">
        <v>227</v>
      </c>
      <c r="P4" s="66" t="s">
        <v>228</v>
      </c>
      <c r="Q4" s="66" t="s">
        <v>229</v>
      </c>
    </row>
    <row r="5" spans="2:17" ht="14.5" customHeight="1" x14ac:dyDescent="0.35">
      <c r="B5" s="335" t="s">
        <v>17</v>
      </c>
      <c r="C5" s="269"/>
      <c r="D5" s="269"/>
      <c r="E5" s="269"/>
      <c r="F5" s="269"/>
      <c r="G5" s="269"/>
      <c r="H5" s="269"/>
      <c r="I5" s="269"/>
      <c r="J5" s="269"/>
      <c r="K5" s="269"/>
      <c r="L5" s="269"/>
      <c r="M5" s="269"/>
      <c r="N5" s="269"/>
      <c r="O5" s="269"/>
      <c r="P5" s="269"/>
      <c r="Q5" s="270"/>
    </row>
    <row r="6" spans="2:17" ht="15.5" customHeight="1" x14ac:dyDescent="0.35">
      <c r="B6" s="67" t="s">
        <v>66</v>
      </c>
      <c r="C6" s="70">
        <v>0</v>
      </c>
      <c r="D6" s="70">
        <v>298.82600778185258</v>
      </c>
      <c r="E6" s="70">
        <v>227.99040034302419</v>
      </c>
      <c r="F6" s="70">
        <v>1965.1714698787171</v>
      </c>
      <c r="G6" s="70">
        <v>3589.732832261961</v>
      </c>
      <c r="H6" s="70">
        <v>208.36257191796111</v>
      </c>
      <c r="I6" s="70">
        <v>221.27630304458339</v>
      </c>
      <c r="J6" s="70">
        <v>0</v>
      </c>
      <c r="K6" s="70">
        <v>0</v>
      </c>
      <c r="L6" s="70">
        <v>2158.739467963615</v>
      </c>
      <c r="M6" s="70">
        <v>1417.05258998519</v>
      </c>
      <c r="N6" s="70">
        <v>11814.365770108891</v>
      </c>
      <c r="O6" s="70">
        <v>1420602.2056457261</v>
      </c>
      <c r="P6" s="70">
        <v>2003.1515709894329</v>
      </c>
      <c r="Q6" s="73">
        <v>1444506.8746300009</v>
      </c>
    </row>
    <row r="7" spans="2:17" ht="15.5" customHeight="1" x14ac:dyDescent="0.35">
      <c r="B7" s="67" t="s">
        <v>67</v>
      </c>
      <c r="C7" s="70">
        <v>0</v>
      </c>
      <c r="D7" s="70">
        <v>13920.12953734787</v>
      </c>
      <c r="E7" s="70">
        <v>725.93778960302802</v>
      </c>
      <c r="F7" s="70">
        <v>29852.69281740746</v>
      </c>
      <c r="G7" s="70">
        <v>4124.0480723013634</v>
      </c>
      <c r="H7" s="70">
        <v>1213.288720001879</v>
      </c>
      <c r="I7" s="70">
        <v>64948.095722554353</v>
      </c>
      <c r="J7" s="70">
        <v>124941.5685825118</v>
      </c>
      <c r="K7" s="70">
        <v>805624.56443920359</v>
      </c>
      <c r="L7" s="70">
        <v>4697.3072765656279</v>
      </c>
      <c r="M7" s="70">
        <v>1655.403438262925</v>
      </c>
      <c r="N7" s="70">
        <v>26757.165141805712</v>
      </c>
      <c r="O7" s="70">
        <v>0</v>
      </c>
      <c r="P7" s="70">
        <v>6498.5124624344799</v>
      </c>
      <c r="Q7" s="73">
        <v>1084958.7139999999</v>
      </c>
    </row>
    <row r="8" spans="2:17" ht="15.5" customHeight="1" x14ac:dyDescent="0.35">
      <c r="B8" s="67" t="s">
        <v>68</v>
      </c>
      <c r="C8" s="70">
        <v>30057.994386323131</v>
      </c>
      <c r="D8" s="70">
        <v>55278.081701374533</v>
      </c>
      <c r="E8" s="70">
        <v>22097.712855959671</v>
      </c>
      <c r="F8" s="70">
        <v>380769.8207049031</v>
      </c>
      <c r="G8" s="70">
        <v>52846.734610630898</v>
      </c>
      <c r="H8" s="70">
        <v>52254.834834594447</v>
      </c>
      <c r="I8" s="70">
        <v>513573.32400050078</v>
      </c>
      <c r="J8" s="70">
        <v>402539.3524530704</v>
      </c>
      <c r="K8" s="70">
        <v>0</v>
      </c>
      <c r="L8" s="70">
        <v>46162.573563653998</v>
      </c>
      <c r="M8" s="70">
        <v>46294.002834430437</v>
      </c>
      <c r="N8" s="70">
        <v>151223.2901808121</v>
      </c>
      <c r="O8" s="70">
        <v>1010040.458397173</v>
      </c>
      <c r="P8" s="70">
        <v>85797.983579364809</v>
      </c>
      <c r="Q8" s="73">
        <v>2848936.1641027918</v>
      </c>
    </row>
    <row r="9" spans="2:17" ht="15.5" customHeight="1" x14ac:dyDescent="0.35">
      <c r="B9" s="67" t="s">
        <v>69</v>
      </c>
      <c r="C9" s="70">
        <v>1754.989368565617</v>
      </c>
      <c r="D9" s="70">
        <v>26608.564877434281</v>
      </c>
      <c r="E9" s="70">
        <v>46048.55985689746</v>
      </c>
      <c r="F9" s="70">
        <v>142298.2135912042</v>
      </c>
      <c r="G9" s="70">
        <v>71565.870295088025</v>
      </c>
      <c r="H9" s="70">
        <v>38741.22182405967</v>
      </c>
      <c r="I9" s="70">
        <v>601362.72612327943</v>
      </c>
      <c r="J9" s="70">
        <v>307857.63291249162</v>
      </c>
      <c r="K9" s="70">
        <v>0</v>
      </c>
      <c r="L9" s="70">
        <v>121988.7595777403</v>
      </c>
      <c r="M9" s="70">
        <v>50492.325359591683</v>
      </c>
      <c r="N9" s="70">
        <v>249827.51821795691</v>
      </c>
      <c r="O9" s="70">
        <v>900863.03697850124</v>
      </c>
      <c r="P9" s="70">
        <v>67227.113097188776</v>
      </c>
      <c r="Q9" s="73">
        <v>2626636.5320799998</v>
      </c>
    </row>
    <row r="10" spans="2:17" ht="15.5" customHeight="1" x14ac:dyDescent="0.35">
      <c r="B10" s="67" t="s">
        <v>70</v>
      </c>
      <c r="C10" s="70">
        <v>0</v>
      </c>
      <c r="D10" s="70">
        <v>0</v>
      </c>
      <c r="E10" s="70">
        <v>0</v>
      </c>
      <c r="F10" s="70">
        <v>0</v>
      </c>
      <c r="G10" s="70">
        <v>0</v>
      </c>
      <c r="H10" s="70">
        <v>0</v>
      </c>
      <c r="I10" s="70">
        <v>0</v>
      </c>
      <c r="J10" s="70">
        <v>0</v>
      </c>
      <c r="K10" s="70">
        <v>0</v>
      </c>
      <c r="L10" s="70">
        <v>0</v>
      </c>
      <c r="M10" s="70">
        <v>0</v>
      </c>
      <c r="N10" s="70">
        <v>0</v>
      </c>
      <c r="O10" s="70">
        <v>322906.158</v>
      </c>
      <c r="P10" s="70">
        <v>0</v>
      </c>
      <c r="Q10" s="73">
        <v>322906.158</v>
      </c>
    </row>
    <row r="11" spans="2:17" ht="15.5" customHeight="1" x14ac:dyDescent="0.35">
      <c r="B11" s="67" t="s">
        <v>71</v>
      </c>
      <c r="C11" s="70">
        <v>0</v>
      </c>
      <c r="D11" s="70">
        <v>26261.731879996099</v>
      </c>
      <c r="E11" s="70">
        <v>3732.2617888484551</v>
      </c>
      <c r="F11" s="70">
        <v>36319.050740453888</v>
      </c>
      <c r="G11" s="70">
        <v>7258.4782784072131</v>
      </c>
      <c r="H11" s="70">
        <v>13967.63759017437</v>
      </c>
      <c r="I11" s="70">
        <v>335641.72372293769</v>
      </c>
      <c r="J11" s="70">
        <v>107984.5789183305</v>
      </c>
      <c r="K11" s="70">
        <v>0</v>
      </c>
      <c r="L11" s="70">
        <v>4432.6693991033499</v>
      </c>
      <c r="M11" s="70">
        <v>4194.4044691035106</v>
      </c>
      <c r="N11" s="70">
        <v>22901.343220829011</v>
      </c>
      <c r="O11" s="70">
        <v>0</v>
      </c>
      <c r="P11" s="70">
        <v>10584.839221389</v>
      </c>
      <c r="Q11" s="73">
        <v>573278.71922957315</v>
      </c>
    </row>
    <row r="12" spans="2:17" ht="15.5" customHeight="1" x14ac:dyDescent="0.35">
      <c r="B12" s="67" t="s">
        <v>72</v>
      </c>
      <c r="C12" s="70">
        <v>0</v>
      </c>
      <c r="D12" s="70">
        <v>72478.143223336665</v>
      </c>
      <c r="E12" s="70">
        <v>34999.664813331052</v>
      </c>
      <c r="F12" s="70">
        <v>214438.21241370699</v>
      </c>
      <c r="G12" s="70">
        <v>25715.397000676181</v>
      </c>
      <c r="H12" s="70">
        <v>27139.733254989442</v>
      </c>
      <c r="I12" s="70">
        <v>670533.66448230483</v>
      </c>
      <c r="J12" s="70">
        <v>622355.5651041785</v>
      </c>
      <c r="K12" s="70">
        <v>0</v>
      </c>
      <c r="L12" s="70">
        <v>72495.419696196885</v>
      </c>
      <c r="M12" s="70">
        <v>200824.17666672001</v>
      </c>
      <c r="N12" s="70">
        <v>113754.9236338684</v>
      </c>
      <c r="O12" s="70">
        <v>1288849.365552373</v>
      </c>
      <c r="P12" s="70">
        <v>61473.13800831906</v>
      </c>
      <c r="Q12" s="73">
        <v>3405057.403849999</v>
      </c>
    </row>
    <row r="13" spans="2:17" ht="15.5"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74</v>
      </c>
      <c r="C14" s="70">
        <v>0</v>
      </c>
      <c r="D14" s="70">
        <v>804.7477621847969</v>
      </c>
      <c r="E14" s="70">
        <v>210.77528724197691</v>
      </c>
      <c r="F14" s="70">
        <v>1549.3774670155269</v>
      </c>
      <c r="G14" s="70">
        <v>1061.6316308804239</v>
      </c>
      <c r="H14" s="70">
        <v>372.553891652262</v>
      </c>
      <c r="I14" s="70">
        <v>110566.44399614869</v>
      </c>
      <c r="J14" s="70">
        <v>65283.971626243518</v>
      </c>
      <c r="K14" s="70">
        <v>293850.83029915189</v>
      </c>
      <c r="L14" s="70">
        <v>267.07580865643303</v>
      </c>
      <c r="M14" s="70">
        <v>2728.8957263226062</v>
      </c>
      <c r="N14" s="70">
        <v>352.32515510446751</v>
      </c>
      <c r="O14" s="70">
        <v>0</v>
      </c>
      <c r="P14" s="70">
        <v>63693.051998529227</v>
      </c>
      <c r="Q14" s="73">
        <v>540741.68064913177</v>
      </c>
    </row>
    <row r="15" spans="2:17" ht="15.5" customHeight="1" x14ac:dyDescent="0.35">
      <c r="B15" s="67" t="s">
        <v>75</v>
      </c>
      <c r="C15" s="70">
        <v>0</v>
      </c>
      <c r="D15" s="70">
        <v>0</v>
      </c>
      <c r="E15" s="70">
        <v>0</v>
      </c>
      <c r="F15" s="70">
        <v>0</v>
      </c>
      <c r="G15" s="70">
        <v>0</v>
      </c>
      <c r="H15" s="70">
        <v>0</v>
      </c>
      <c r="I15" s="70">
        <v>0</v>
      </c>
      <c r="J15" s="70">
        <v>0</v>
      </c>
      <c r="K15" s="70">
        <v>1153739.590754868</v>
      </c>
      <c r="L15" s="70">
        <v>0</v>
      </c>
      <c r="M15" s="70">
        <v>0</v>
      </c>
      <c r="N15" s="70">
        <v>0</v>
      </c>
      <c r="O15" s="70">
        <v>0</v>
      </c>
      <c r="P15" s="70">
        <v>0</v>
      </c>
      <c r="Q15" s="73">
        <v>1153739.590754868</v>
      </c>
    </row>
    <row r="16" spans="2:17" ht="15.5" customHeight="1" x14ac:dyDescent="0.35">
      <c r="B16" s="67" t="s">
        <v>76</v>
      </c>
      <c r="C16" s="70">
        <v>0</v>
      </c>
      <c r="D16" s="70">
        <v>6544.6570180700783</v>
      </c>
      <c r="E16" s="70">
        <v>196.54643299061129</v>
      </c>
      <c r="F16" s="70">
        <v>12984.13258893061</v>
      </c>
      <c r="G16" s="70">
        <v>10587.80457206921</v>
      </c>
      <c r="H16" s="70">
        <v>54.7331589279772</v>
      </c>
      <c r="I16" s="70">
        <v>0</v>
      </c>
      <c r="J16" s="70">
        <v>0</v>
      </c>
      <c r="K16" s="70">
        <v>0</v>
      </c>
      <c r="L16" s="70">
        <v>231.94491726937929</v>
      </c>
      <c r="M16" s="70">
        <v>100231.3612500459</v>
      </c>
      <c r="N16" s="70">
        <v>1271.32670609712</v>
      </c>
      <c r="O16" s="70">
        <v>267066.08973384998</v>
      </c>
      <c r="P16" s="70">
        <v>22.313016028723219</v>
      </c>
      <c r="Q16" s="73">
        <v>399190.90939427959</v>
      </c>
    </row>
    <row r="17" spans="2:17" ht="15.5" customHeight="1" x14ac:dyDescent="0.35">
      <c r="B17" s="67" t="s">
        <v>77</v>
      </c>
      <c r="C17" s="70">
        <v>0</v>
      </c>
      <c r="D17" s="70">
        <v>0</v>
      </c>
      <c r="E17" s="70">
        <v>0</v>
      </c>
      <c r="F17" s="70">
        <v>0</v>
      </c>
      <c r="G17" s="70">
        <v>0</v>
      </c>
      <c r="H17" s="70">
        <v>0</v>
      </c>
      <c r="I17" s="70">
        <v>0</v>
      </c>
      <c r="J17" s="70">
        <v>0</v>
      </c>
      <c r="K17" s="70">
        <v>0</v>
      </c>
      <c r="L17" s="70">
        <v>0</v>
      </c>
      <c r="M17" s="70">
        <v>0</v>
      </c>
      <c r="N17" s="70">
        <v>0</v>
      </c>
      <c r="O17" s="70">
        <v>10449.516347170789</v>
      </c>
      <c r="P17" s="70">
        <v>0</v>
      </c>
      <c r="Q17" s="73">
        <v>10449.516347170789</v>
      </c>
    </row>
    <row r="18" spans="2:17" ht="15.5" customHeight="1" x14ac:dyDescent="0.35">
      <c r="B18" s="67" t="s">
        <v>78</v>
      </c>
      <c r="C18" s="70">
        <v>9787.09</v>
      </c>
      <c r="D18" s="70">
        <v>6288.5739999999996</v>
      </c>
      <c r="E18" s="70">
        <v>9541.2790000000005</v>
      </c>
      <c r="F18" s="70">
        <v>15752.992</v>
      </c>
      <c r="G18" s="70">
        <v>10452.02</v>
      </c>
      <c r="H18" s="70">
        <v>14613.481</v>
      </c>
      <c r="I18" s="70">
        <v>291391.33600000001</v>
      </c>
      <c r="J18" s="70">
        <v>79475.766000000003</v>
      </c>
      <c r="K18" s="70">
        <v>3382.7849999999999</v>
      </c>
      <c r="L18" s="70">
        <v>6626.3419999999996</v>
      </c>
      <c r="M18" s="70">
        <v>12614.48</v>
      </c>
      <c r="N18" s="70">
        <v>18650.149000000001</v>
      </c>
      <c r="O18" s="70">
        <v>37162.536999999997</v>
      </c>
      <c r="P18" s="70">
        <v>30183.766</v>
      </c>
      <c r="Q18" s="73">
        <v>545922.59699999995</v>
      </c>
    </row>
    <row r="19" spans="2:17" ht="15.5" customHeight="1" x14ac:dyDescent="0.35">
      <c r="B19" s="67" t="s">
        <v>79</v>
      </c>
      <c r="C19" s="70">
        <v>0</v>
      </c>
      <c r="D19" s="70">
        <v>12452.83610540804</v>
      </c>
      <c r="E19" s="70">
        <v>19907.993168231689</v>
      </c>
      <c r="F19" s="70">
        <v>47930.301444246223</v>
      </c>
      <c r="G19" s="70">
        <v>14765.531024495191</v>
      </c>
      <c r="H19" s="70">
        <v>20130.576509882809</v>
      </c>
      <c r="I19" s="70">
        <v>271395.01873287943</v>
      </c>
      <c r="J19" s="70">
        <v>231233.5507781592</v>
      </c>
      <c r="K19" s="70">
        <v>0</v>
      </c>
      <c r="L19" s="70">
        <v>63912.064519839492</v>
      </c>
      <c r="M19" s="70">
        <v>89189.30768270063</v>
      </c>
      <c r="N19" s="70">
        <v>61675.586577235998</v>
      </c>
      <c r="O19" s="70">
        <v>260122.1367494</v>
      </c>
      <c r="P19" s="70">
        <v>5835.2752685612877</v>
      </c>
      <c r="Q19" s="73">
        <v>1098550.17856104</v>
      </c>
    </row>
    <row r="20" spans="2:17" ht="15.5" customHeight="1" x14ac:dyDescent="0.35">
      <c r="B20" s="67" t="s">
        <v>80</v>
      </c>
      <c r="C20" s="70">
        <v>111226.355</v>
      </c>
      <c r="D20" s="70">
        <v>92261.3</v>
      </c>
      <c r="E20" s="70">
        <v>19038.595000000001</v>
      </c>
      <c r="F20" s="70">
        <v>329736.8</v>
      </c>
      <c r="G20" s="70">
        <v>29218.506000000001</v>
      </c>
      <c r="H20" s="70">
        <v>83426.017000000007</v>
      </c>
      <c r="I20" s="70">
        <v>181822.158</v>
      </c>
      <c r="J20" s="70">
        <v>153260.921</v>
      </c>
      <c r="K20" s="70">
        <v>0</v>
      </c>
      <c r="L20" s="70">
        <v>15263.754000000001</v>
      </c>
      <c r="M20" s="70">
        <v>56689.023999999998</v>
      </c>
      <c r="N20" s="70">
        <v>104554.121</v>
      </c>
      <c r="O20" s="70">
        <v>471180.28899999999</v>
      </c>
      <c r="P20" s="70">
        <v>57302.453999999998</v>
      </c>
      <c r="Q20" s="73">
        <v>1704980.294</v>
      </c>
    </row>
    <row r="21" spans="2:17" ht="15.5" customHeight="1" x14ac:dyDescent="0.35">
      <c r="B21" s="67" t="s">
        <v>81</v>
      </c>
      <c r="C21" s="70">
        <v>38769.178890755989</v>
      </c>
      <c r="D21" s="70">
        <v>22725.848560344471</v>
      </c>
      <c r="E21" s="70">
        <v>16840.75964625374</v>
      </c>
      <c r="F21" s="70">
        <v>199158.67199612581</v>
      </c>
      <c r="G21" s="70">
        <v>27494.38749194473</v>
      </c>
      <c r="H21" s="70">
        <v>73823.23571470879</v>
      </c>
      <c r="I21" s="70">
        <v>232182.85594384471</v>
      </c>
      <c r="J21" s="70">
        <v>204373.299197391</v>
      </c>
      <c r="K21" s="70">
        <v>0</v>
      </c>
      <c r="L21" s="70">
        <v>29108.675170573839</v>
      </c>
      <c r="M21" s="70">
        <v>40155.426594529781</v>
      </c>
      <c r="N21" s="70">
        <v>89071.217560244142</v>
      </c>
      <c r="O21" s="70">
        <v>0</v>
      </c>
      <c r="P21" s="70">
        <v>34200.041023283127</v>
      </c>
      <c r="Q21" s="73">
        <v>1007903.59779</v>
      </c>
    </row>
    <row r="22" spans="2:17" ht="15.5" customHeight="1" x14ac:dyDescent="0.35">
      <c r="B22" s="67" t="s">
        <v>82</v>
      </c>
      <c r="C22" s="70">
        <v>17905.701313417831</v>
      </c>
      <c r="D22" s="70">
        <v>49759.287746055212</v>
      </c>
      <c r="E22" s="70">
        <v>40638.312924188962</v>
      </c>
      <c r="F22" s="70">
        <v>198875.1346213457</v>
      </c>
      <c r="G22" s="70">
        <v>49466.040504484998</v>
      </c>
      <c r="H22" s="70">
        <v>86015.797648945038</v>
      </c>
      <c r="I22" s="70">
        <v>834523.67207252583</v>
      </c>
      <c r="J22" s="70">
        <v>280142.05852784938</v>
      </c>
      <c r="K22" s="70">
        <v>0</v>
      </c>
      <c r="L22" s="70">
        <v>61541.893872489163</v>
      </c>
      <c r="M22" s="70">
        <v>103225.6632331648</v>
      </c>
      <c r="N22" s="70">
        <v>206960.98983666321</v>
      </c>
      <c r="O22" s="70">
        <v>67149.200237986122</v>
      </c>
      <c r="P22" s="70">
        <v>4071.7173721456652</v>
      </c>
      <c r="Q22" s="73">
        <v>2000275.4699112619</v>
      </c>
    </row>
    <row r="23" spans="2:17" ht="15.5" customHeight="1" x14ac:dyDescent="0.35">
      <c r="B23" s="67" t="s">
        <v>83</v>
      </c>
      <c r="C23" s="70">
        <v>0</v>
      </c>
      <c r="D23" s="70">
        <v>42456.02</v>
      </c>
      <c r="E23" s="70">
        <v>12560.404</v>
      </c>
      <c r="F23" s="70">
        <v>34629.137999999999</v>
      </c>
      <c r="G23" s="70">
        <v>8240.2819999999992</v>
      </c>
      <c r="H23" s="70">
        <v>39953.677000000003</v>
      </c>
      <c r="I23" s="70">
        <v>187671.17199999999</v>
      </c>
      <c r="J23" s="70">
        <v>100834.552</v>
      </c>
      <c r="K23" s="70">
        <v>0</v>
      </c>
      <c r="L23" s="70">
        <v>3327.5210000000002</v>
      </c>
      <c r="M23" s="70">
        <v>19575.806</v>
      </c>
      <c r="N23" s="70">
        <v>76556.540999999997</v>
      </c>
      <c r="O23" s="70">
        <v>0</v>
      </c>
      <c r="P23" s="70">
        <v>44955.790999999997</v>
      </c>
      <c r="Q23" s="73">
        <v>570760.90399999998</v>
      </c>
    </row>
    <row r="24" spans="2:17" ht="15.5" customHeight="1" x14ac:dyDescent="0.35">
      <c r="B24" s="67" t="s">
        <v>84</v>
      </c>
      <c r="C24" s="70">
        <v>0</v>
      </c>
      <c r="D24" s="70">
        <v>0</v>
      </c>
      <c r="E24" s="70">
        <v>0</v>
      </c>
      <c r="F24" s="70">
        <v>0</v>
      </c>
      <c r="G24" s="70">
        <v>0</v>
      </c>
      <c r="H24" s="70">
        <v>0</v>
      </c>
      <c r="I24" s="70">
        <v>0</v>
      </c>
      <c r="J24" s="70">
        <v>0</v>
      </c>
      <c r="K24" s="70">
        <v>0</v>
      </c>
      <c r="L24" s="70">
        <v>0</v>
      </c>
      <c r="M24" s="70">
        <v>0</v>
      </c>
      <c r="N24" s="70">
        <v>2252426.4407100002</v>
      </c>
      <c r="O24" s="70">
        <v>0</v>
      </c>
      <c r="P24" s="70">
        <v>0</v>
      </c>
      <c r="Q24" s="73">
        <v>2252426.4407100002</v>
      </c>
    </row>
    <row r="25" spans="2:17" ht="15.5" customHeight="1" x14ac:dyDescent="0.35">
      <c r="B25" s="67" t="s">
        <v>85</v>
      </c>
      <c r="C25" s="70">
        <v>0</v>
      </c>
      <c r="D25" s="70">
        <v>53551.216999999997</v>
      </c>
      <c r="E25" s="70">
        <v>9378.3610000000008</v>
      </c>
      <c r="F25" s="70">
        <v>198683.614</v>
      </c>
      <c r="G25" s="70">
        <v>19343.705999999998</v>
      </c>
      <c r="H25" s="70">
        <v>44226.389000000003</v>
      </c>
      <c r="I25" s="70">
        <v>173310.481</v>
      </c>
      <c r="J25" s="70">
        <v>116096.637</v>
      </c>
      <c r="K25" s="70">
        <v>0</v>
      </c>
      <c r="L25" s="70">
        <v>2544.38</v>
      </c>
      <c r="M25" s="70">
        <v>37536.277999999998</v>
      </c>
      <c r="N25" s="70">
        <v>64367.559000000001</v>
      </c>
      <c r="O25" s="70">
        <v>47437.485999999997</v>
      </c>
      <c r="P25" s="70">
        <v>15630.973</v>
      </c>
      <c r="Q25" s="73">
        <v>782107.08100000001</v>
      </c>
    </row>
    <row r="26" spans="2:17" ht="15.5" customHeight="1" x14ac:dyDescent="0.35">
      <c r="B26" s="67" t="s">
        <v>86</v>
      </c>
      <c r="C26" s="70">
        <v>0</v>
      </c>
      <c r="D26" s="70">
        <v>24346.761070169199</v>
      </c>
      <c r="E26" s="70">
        <v>10896.917259977319</v>
      </c>
      <c r="F26" s="70">
        <v>37696.034766388293</v>
      </c>
      <c r="G26" s="70">
        <v>10945.02444005876</v>
      </c>
      <c r="H26" s="70">
        <v>2616.3878181608111</v>
      </c>
      <c r="I26" s="70">
        <v>154132.60523118111</v>
      </c>
      <c r="J26" s="70">
        <v>98209.49361886378</v>
      </c>
      <c r="K26" s="70">
        <v>0</v>
      </c>
      <c r="L26" s="70">
        <v>3989.306881824416</v>
      </c>
      <c r="M26" s="70">
        <v>22362.37275134501</v>
      </c>
      <c r="N26" s="70">
        <v>26790.287141551551</v>
      </c>
      <c r="O26" s="70">
        <v>0</v>
      </c>
      <c r="P26" s="70">
        <v>75076.520530479815</v>
      </c>
      <c r="Q26" s="73">
        <v>467061.71151000011</v>
      </c>
    </row>
    <row r="27" spans="2:17" ht="15.5" customHeight="1" x14ac:dyDescent="0.35">
      <c r="B27" s="67" t="s">
        <v>87</v>
      </c>
      <c r="C27" s="70">
        <v>0</v>
      </c>
      <c r="D27" s="70">
        <v>12913.092917535771</v>
      </c>
      <c r="E27" s="70">
        <v>5840.929675661273</v>
      </c>
      <c r="F27" s="70">
        <v>25851.356930545779</v>
      </c>
      <c r="G27" s="70">
        <v>63180.617451612437</v>
      </c>
      <c r="H27" s="70">
        <v>3824.094844706191</v>
      </c>
      <c r="I27" s="70">
        <v>135123.07972605861</v>
      </c>
      <c r="J27" s="70">
        <v>583457.09141461097</v>
      </c>
      <c r="K27" s="70">
        <v>0</v>
      </c>
      <c r="L27" s="70">
        <v>7509.0379496782334</v>
      </c>
      <c r="M27" s="70">
        <v>8203.4938363710789</v>
      </c>
      <c r="N27" s="70">
        <v>52548.915542627132</v>
      </c>
      <c r="O27" s="70">
        <v>462169.63457041618</v>
      </c>
      <c r="P27" s="70">
        <v>30645.941032692779</v>
      </c>
      <c r="Q27" s="73">
        <v>1391267.2858925159</v>
      </c>
    </row>
    <row r="28" spans="2:17" ht="15.5" customHeight="1" x14ac:dyDescent="0.35">
      <c r="B28" s="67" t="s">
        <v>88</v>
      </c>
      <c r="C28" s="70">
        <v>22721.44134123488</v>
      </c>
      <c r="D28" s="70">
        <v>62736.66031257213</v>
      </c>
      <c r="E28" s="70">
        <v>38697.819198276527</v>
      </c>
      <c r="F28" s="70">
        <v>212117.88474142129</v>
      </c>
      <c r="G28" s="70">
        <v>21974.419548889538</v>
      </c>
      <c r="H28" s="70">
        <v>82216.558245274005</v>
      </c>
      <c r="I28" s="70">
        <v>269902.74186877679</v>
      </c>
      <c r="J28" s="70">
        <v>73816.494017223216</v>
      </c>
      <c r="K28" s="70">
        <v>0</v>
      </c>
      <c r="L28" s="70">
        <v>8361.4985632522548</v>
      </c>
      <c r="M28" s="70">
        <v>26979.697013278779</v>
      </c>
      <c r="N28" s="70">
        <v>133114.75779618029</v>
      </c>
      <c r="O28" s="70">
        <v>0</v>
      </c>
      <c r="P28" s="70">
        <v>110509.7197969846</v>
      </c>
      <c r="Q28" s="73">
        <v>1063149.6924433641</v>
      </c>
    </row>
    <row r="29" spans="2:17" ht="15.5" customHeight="1" x14ac:dyDescent="0.35">
      <c r="B29" s="67" t="s">
        <v>89</v>
      </c>
      <c r="C29" s="70">
        <v>4309.2449999999999</v>
      </c>
      <c r="D29" s="70">
        <v>7921.0789999999997</v>
      </c>
      <c r="E29" s="70">
        <v>6660.6859999999997</v>
      </c>
      <c r="F29" s="70">
        <v>21208.949000000001</v>
      </c>
      <c r="G29" s="70">
        <v>6676.152</v>
      </c>
      <c r="H29" s="70">
        <v>7206.4949999999999</v>
      </c>
      <c r="I29" s="70">
        <v>178264.633</v>
      </c>
      <c r="J29" s="70">
        <v>67060.472999999998</v>
      </c>
      <c r="K29" s="70">
        <v>0</v>
      </c>
      <c r="L29" s="70">
        <v>6906.4660000000003</v>
      </c>
      <c r="M29" s="70">
        <v>24598.286</v>
      </c>
      <c r="N29" s="70">
        <v>49137.923000000003</v>
      </c>
      <c r="O29" s="70">
        <v>430944.46100000001</v>
      </c>
      <c r="P29" s="70">
        <v>6806.7969999999996</v>
      </c>
      <c r="Q29" s="73">
        <v>817701.64500000002</v>
      </c>
    </row>
    <row r="30" spans="2:17" ht="15.5" customHeight="1" x14ac:dyDescent="0.35">
      <c r="B30" s="67" t="s">
        <v>90</v>
      </c>
      <c r="C30" s="70">
        <v>0</v>
      </c>
      <c r="D30" s="70">
        <v>7886.1518979169923</v>
      </c>
      <c r="E30" s="70">
        <v>49305.182246310847</v>
      </c>
      <c r="F30" s="70">
        <v>170381.09751167771</v>
      </c>
      <c r="G30" s="70">
        <v>117189.28120069941</v>
      </c>
      <c r="H30" s="70">
        <v>1964.2147893858009</v>
      </c>
      <c r="I30" s="70">
        <v>467974.20031794359</v>
      </c>
      <c r="J30" s="70">
        <v>48662.444346444179</v>
      </c>
      <c r="K30" s="70">
        <v>0</v>
      </c>
      <c r="L30" s="70">
        <v>122823.9728984278</v>
      </c>
      <c r="M30" s="70">
        <v>53466.142187552432</v>
      </c>
      <c r="N30" s="70">
        <v>52567.008451268703</v>
      </c>
      <c r="O30" s="70">
        <v>0</v>
      </c>
      <c r="P30" s="70">
        <v>0</v>
      </c>
      <c r="Q30" s="73">
        <v>1092219.695847627</v>
      </c>
    </row>
    <row r="31" spans="2:17" ht="15.5" customHeight="1" x14ac:dyDescent="0.35">
      <c r="B31" s="67" t="s">
        <v>91</v>
      </c>
      <c r="C31" s="70">
        <v>699.09</v>
      </c>
      <c r="D31" s="70">
        <v>21970.986000000001</v>
      </c>
      <c r="E31" s="70">
        <v>11519.343000000001</v>
      </c>
      <c r="F31" s="70">
        <v>34023.303</v>
      </c>
      <c r="G31" s="70">
        <v>3988.97</v>
      </c>
      <c r="H31" s="70">
        <v>27676.883999999998</v>
      </c>
      <c r="I31" s="70">
        <v>111886.527</v>
      </c>
      <c r="J31" s="70">
        <v>107129.44500000001</v>
      </c>
      <c r="K31" s="70">
        <v>0</v>
      </c>
      <c r="L31" s="70">
        <v>5302.0190000000002</v>
      </c>
      <c r="M31" s="70">
        <v>21529.170999999998</v>
      </c>
      <c r="N31" s="70">
        <v>46950.046999999999</v>
      </c>
      <c r="O31" s="70">
        <v>0</v>
      </c>
      <c r="P31" s="70">
        <v>13181.925999999999</v>
      </c>
      <c r="Q31" s="73">
        <v>405857.71100000001</v>
      </c>
    </row>
    <row r="32" spans="2:17" ht="15.5" customHeight="1" x14ac:dyDescent="0.35">
      <c r="B32" s="67" t="s">
        <v>92</v>
      </c>
      <c r="C32" s="70">
        <v>0</v>
      </c>
      <c r="D32" s="70">
        <v>61784.864999999998</v>
      </c>
      <c r="E32" s="70">
        <v>82459.752999999997</v>
      </c>
      <c r="F32" s="70">
        <v>304006.27</v>
      </c>
      <c r="G32" s="70">
        <v>75868.851999999999</v>
      </c>
      <c r="H32" s="70">
        <v>51041.752999999997</v>
      </c>
      <c r="I32" s="70">
        <v>617595.33400000003</v>
      </c>
      <c r="J32" s="70">
        <v>346065.93900000001</v>
      </c>
      <c r="K32" s="70">
        <v>0</v>
      </c>
      <c r="L32" s="70">
        <v>167342.87899999999</v>
      </c>
      <c r="M32" s="70">
        <v>185872.476</v>
      </c>
      <c r="N32" s="70">
        <v>82079.532000000007</v>
      </c>
      <c r="O32" s="70">
        <v>1665237.013</v>
      </c>
      <c r="P32" s="70">
        <v>29345.521000000001</v>
      </c>
      <c r="Q32" s="73">
        <v>3668700.1869999999</v>
      </c>
    </row>
    <row r="33" spans="2:17" ht="15.5" customHeight="1" x14ac:dyDescent="0.35">
      <c r="B33" s="67" t="s">
        <v>93</v>
      </c>
      <c r="C33" s="70">
        <v>0</v>
      </c>
      <c r="D33" s="70">
        <v>11766.85</v>
      </c>
      <c r="E33" s="70">
        <v>5452.8490000000002</v>
      </c>
      <c r="F33" s="70">
        <v>74059.237999999998</v>
      </c>
      <c r="G33" s="70">
        <v>20621.719000000001</v>
      </c>
      <c r="H33" s="70">
        <v>4.2329999999999997</v>
      </c>
      <c r="I33" s="70">
        <v>239087.845</v>
      </c>
      <c r="J33" s="70">
        <v>252687.97899999999</v>
      </c>
      <c r="K33" s="70">
        <v>0</v>
      </c>
      <c r="L33" s="70">
        <v>24776.173999999999</v>
      </c>
      <c r="M33" s="70">
        <v>12699.316999999999</v>
      </c>
      <c r="N33" s="70">
        <v>68669.203999999998</v>
      </c>
      <c r="O33" s="70">
        <v>203918.872</v>
      </c>
      <c r="P33" s="70">
        <v>11445.541999999999</v>
      </c>
      <c r="Q33" s="73">
        <v>925189.82200000004</v>
      </c>
    </row>
    <row r="34" spans="2:17" ht="15.5" customHeight="1" x14ac:dyDescent="0.35">
      <c r="B34" s="67" t="s">
        <v>94</v>
      </c>
      <c r="C34" s="70">
        <v>1777.1918292879041</v>
      </c>
      <c r="D34" s="70">
        <v>17905.06380785178</v>
      </c>
      <c r="E34" s="70">
        <v>2491.579414285256</v>
      </c>
      <c r="F34" s="70">
        <v>63667.164149376273</v>
      </c>
      <c r="G34" s="70">
        <v>25216.991361057189</v>
      </c>
      <c r="H34" s="70">
        <v>15610.675064090159</v>
      </c>
      <c r="I34" s="70">
        <v>132293.87943907201</v>
      </c>
      <c r="J34" s="70">
        <v>202174.37235711739</v>
      </c>
      <c r="K34" s="70">
        <v>0</v>
      </c>
      <c r="L34" s="70">
        <v>6684.7690879879219</v>
      </c>
      <c r="M34" s="70">
        <v>22021.821310287782</v>
      </c>
      <c r="N34" s="70">
        <v>26021.3619205861</v>
      </c>
      <c r="O34" s="70">
        <v>0</v>
      </c>
      <c r="P34" s="70">
        <v>8962.3982590002906</v>
      </c>
      <c r="Q34" s="73">
        <v>524827.26800000004</v>
      </c>
    </row>
    <row r="35" spans="2:17" ht="15.5" customHeight="1" x14ac:dyDescent="0.35">
      <c r="B35" s="67" t="s">
        <v>95</v>
      </c>
      <c r="C35" s="70">
        <v>11.827999999999999</v>
      </c>
      <c r="D35" s="70">
        <v>66675.232000000004</v>
      </c>
      <c r="E35" s="70">
        <v>52355.442000000003</v>
      </c>
      <c r="F35" s="70">
        <v>728044.81099999999</v>
      </c>
      <c r="G35" s="70">
        <v>226287.21400000001</v>
      </c>
      <c r="H35" s="70">
        <v>83292.910999999993</v>
      </c>
      <c r="I35" s="70">
        <v>705438.87800000003</v>
      </c>
      <c r="J35" s="70">
        <v>449716.20600000001</v>
      </c>
      <c r="K35" s="70">
        <v>0</v>
      </c>
      <c r="L35" s="70">
        <v>15529.97525</v>
      </c>
      <c r="M35" s="70">
        <v>12918.392</v>
      </c>
      <c r="N35" s="70">
        <v>167116.655</v>
      </c>
      <c r="O35" s="70">
        <v>0</v>
      </c>
      <c r="P35" s="70">
        <v>53715.96</v>
      </c>
      <c r="Q35" s="73">
        <v>2561103.5042500002</v>
      </c>
    </row>
    <row r="36" spans="2:17" ht="15.5" customHeight="1" x14ac:dyDescent="0.35">
      <c r="B36" s="67" t="s">
        <v>96</v>
      </c>
      <c r="C36" s="70">
        <v>10887.642255534411</v>
      </c>
      <c r="D36" s="70">
        <v>5898.0726183262614</v>
      </c>
      <c r="E36" s="70">
        <v>305.37770019476511</v>
      </c>
      <c r="F36" s="70">
        <v>13276.009830562851</v>
      </c>
      <c r="G36" s="70">
        <v>2702.4418536762191</v>
      </c>
      <c r="H36" s="70">
        <v>4533.0559564782843</v>
      </c>
      <c r="I36" s="70">
        <v>65392.214182131553</v>
      </c>
      <c r="J36" s="70">
        <v>26948.826398762161</v>
      </c>
      <c r="K36" s="70">
        <v>0</v>
      </c>
      <c r="L36" s="70">
        <v>364.81876646305523</v>
      </c>
      <c r="M36" s="70">
        <v>28750.393180172021</v>
      </c>
      <c r="N36" s="70">
        <v>27491.235871346991</v>
      </c>
      <c r="O36" s="70">
        <v>167277.98860600349</v>
      </c>
      <c r="P36" s="70">
        <v>29993.20828568549</v>
      </c>
      <c r="Q36" s="73">
        <v>383821.28550533752</v>
      </c>
    </row>
    <row r="37" spans="2:17" ht="15.5" customHeight="1" x14ac:dyDescent="0.35">
      <c r="B37" s="67" t="s">
        <v>97</v>
      </c>
      <c r="C37" s="70">
        <v>0</v>
      </c>
      <c r="D37" s="70">
        <v>7584.1490743748636</v>
      </c>
      <c r="E37" s="70">
        <v>2935.6798505447082</v>
      </c>
      <c r="F37" s="70">
        <v>24593.547662514109</v>
      </c>
      <c r="G37" s="70">
        <v>18774.461110588669</v>
      </c>
      <c r="H37" s="70">
        <v>4798.8135758770804</v>
      </c>
      <c r="I37" s="70">
        <v>101067.7580245031</v>
      </c>
      <c r="J37" s="70">
        <v>211390.45356105419</v>
      </c>
      <c r="K37" s="70">
        <v>0</v>
      </c>
      <c r="L37" s="70">
        <v>1314.9607664440771</v>
      </c>
      <c r="M37" s="70">
        <v>22403.32193127328</v>
      </c>
      <c r="N37" s="70">
        <v>20848.854479083038</v>
      </c>
      <c r="O37" s="70">
        <v>10458.62985219429</v>
      </c>
      <c r="P37" s="70">
        <v>4799.0767108237351</v>
      </c>
      <c r="Q37" s="73">
        <v>430969.70659927512</v>
      </c>
    </row>
    <row r="38" spans="2:17" ht="15.5" customHeight="1" x14ac:dyDescent="0.35">
      <c r="B38" s="67" t="s">
        <v>98</v>
      </c>
      <c r="C38" s="70">
        <v>0</v>
      </c>
      <c r="D38" s="70">
        <v>18827.355090350069</v>
      </c>
      <c r="E38" s="70">
        <v>27921.82214449934</v>
      </c>
      <c r="F38" s="70">
        <v>63230.801806582982</v>
      </c>
      <c r="G38" s="70">
        <v>13114.165934706711</v>
      </c>
      <c r="H38" s="70">
        <v>63608.474643495829</v>
      </c>
      <c r="I38" s="70">
        <v>118661.1219520545</v>
      </c>
      <c r="J38" s="70">
        <v>81749.858534994055</v>
      </c>
      <c r="K38" s="70">
        <v>0</v>
      </c>
      <c r="L38" s="70">
        <v>3860.3759124085391</v>
      </c>
      <c r="M38" s="70">
        <v>51619.397064187877</v>
      </c>
      <c r="N38" s="70">
        <v>121476.1077649026</v>
      </c>
      <c r="O38" s="70">
        <v>1900.095675072216</v>
      </c>
      <c r="P38" s="70">
        <v>6121.4124066054292</v>
      </c>
      <c r="Q38" s="73">
        <v>572090.98892986018</v>
      </c>
    </row>
    <row r="39" spans="2:17" ht="15.5" customHeight="1" x14ac:dyDescent="0.35">
      <c r="B39" s="67" t="s">
        <v>99</v>
      </c>
      <c r="C39" s="70">
        <v>23825.067999999999</v>
      </c>
      <c r="D39" s="70">
        <v>61059.453999999998</v>
      </c>
      <c r="E39" s="70">
        <v>89452.478000000003</v>
      </c>
      <c r="F39" s="70">
        <v>145609.08499999999</v>
      </c>
      <c r="G39" s="70">
        <v>100304.295</v>
      </c>
      <c r="H39" s="70">
        <v>49958.962</v>
      </c>
      <c r="I39" s="70">
        <v>422798.10700000002</v>
      </c>
      <c r="J39" s="70">
        <v>172251.59299999999</v>
      </c>
      <c r="K39" s="70">
        <v>0</v>
      </c>
      <c r="L39" s="70">
        <v>113663.367</v>
      </c>
      <c r="M39" s="70">
        <v>97317.092000000004</v>
      </c>
      <c r="N39" s="70">
        <v>114287.531</v>
      </c>
      <c r="O39" s="70">
        <v>589983.39</v>
      </c>
      <c r="P39" s="70">
        <v>104112.34</v>
      </c>
      <c r="Q39" s="73">
        <v>2084622.7620000001</v>
      </c>
    </row>
    <row r="40" spans="2:17" ht="15.5" customHeight="1" x14ac:dyDescent="0.35">
      <c r="B40" s="67" t="s">
        <v>100</v>
      </c>
      <c r="C40" s="70">
        <v>0</v>
      </c>
      <c r="D40" s="70">
        <v>6069.069354278492</v>
      </c>
      <c r="E40" s="70">
        <v>2363.508970689099</v>
      </c>
      <c r="F40" s="70">
        <v>19640.47549043881</v>
      </c>
      <c r="G40" s="70">
        <v>7708.7404964803254</v>
      </c>
      <c r="H40" s="70">
        <v>1505.8823313639241</v>
      </c>
      <c r="I40" s="70">
        <v>442642.2224473675</v>
      </c>
      <c r="J40" s="70">
        <v>130746.75654402821</v>
      </c>
      <c r="K40" s="70">
        <v>0</v>
      </c>
      <c r="L40" s="70">
        <v>10074.46024685313</v>
      </c>
      <c r="M40" s="70">
        <v>6231.1276310063222</v>
      </c>
      <c r="N40" s="70">
        <v>170045.62962143071</v>
      </c>
      <c r="O40" s="70">
        <v>78808.346343675003</v>
      </c>
      <c r="P40" s="70">
        <v>16816.994082098161</v>
      </c>
      <c r="Q40" s="73">
        <v>892653.21355970984</v>
      </c>
    </row>
    <row r="41" spans="2:17" ht="15.5"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73">
        <v>0</v>
      </c>
    </row>
    <row r="42" spans="2:17" ht="15.5"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73">
        <v>0</v>
      </c>
    </row>
    <row r="43" spans="2:17" ht="15.5" customHeight="1" x14ac:dyDescent="0.35">
      <c r="B43" s="71" t="s">
        <v>24</v>
      </c>
      <c r="C43" s="72">
        <f t="shared" ref="C43:Q43" si="0">SUM(C6:C42)</f>
        <v>273732.81538511976</v>
      </c>
      <c r="D43" s="72">
        <f t="shared" si="0"/>
        <v>877034.80756270944</v>
      </c>
      <c r="E43" s="72">
        <f t="shared" si="0"/>
        <v>624804.52142432891</v>
      </c>
      <c r="F43" s="72">
        <f t="shared" si="0"/>
        <v>3782349.352744726</v>
      </c>
      <c r="G43" s="72">
        <f t="shared" si="0"/>
        <v>1050283.5157110095</v>
      </c>
      <c r="H43" s="72">
        <f t="shared" si="0"/>
        <v>896000.93498868693</v>
      </c>
      <c r="I43" s="72">
        <f t="shared" si="0"/>
        <v>8631405.0952891093</v>
      </c>
      <c r="J43" s="72">
        <f t="shared" si="0"/>
        <v>5648446.8798933243</v>
      </c>
      <c r="K43" s="72">
        <f t="shared" si="0"/>
        <v>2256597.7704932233</v>
      </c>
      <c r="L43" s="72">
        <f t="shared" si="0"/>
        <v>933263.2015933916</v>
      </c>
      <c r="M43" s="72">
        <f t="shared" si="0"/>
        <v>1363796.1087503317</v>
      </c>
      <c r="N43" s="72">
        <f t="shared" si="0"/>
        <v>4611309.913299703</v>
      </c>
      <c r="O43" s="72">
        <f t="shared" si="0"/>
        <v>9714526.9106895402</v>
      </c>
      <c r="P43" s="72">
        <f t="shared" si="0"/>
        <v>991013.47772260371</v>
      </c>
      <c r="Q43" s="72">
        <f t="shared" si="0"/>
        <v>41654565.305547796</v>
      </c>
    </row>
    <row r="44" spans="2:17" ht="14.5" customHeight="1" x14ac:dyDescent="0.35">
      <c r="B44" s="338" t="s">
        <v>103</v>
      </c>
      <c r="C44" s="269"/>
      <c r="D44" s="269"/>
      <c r="E44" s="269"/>
      <c r="F44" s="269"/>
      <c r="G44" s="269"/>
      <c r="H44" s="269"/>
      <c r="I44" s="269"/>
      <c r="J44" s="269"/>
      <c r="K44" s="269"/>
      <c r="L44" s="269"/>
      <c r="M44" s="269"/>
      <c r="N44" s="269"/>
      <c r="O44" s="269"/>
      <c r="P44" s="269"/>
      <c r="Q44" s="270"/>
    </row>
    <row r="45" spans="2:17" ht="15.5" customHeight="1" x14ac:dyDescent="0.35">
      <c r="B45" s="67" t="s">
        <v>104</v>
      </c>
      <c r="C45" s="70">
        <v>6966.9704572153523</v>
      </c>
      <c r="D45" s="70">
        <v>70928.020561033161</v>
      </c>
      <c r="E45" s="70">
        <v>12790.03619549221</v>
      </c>
      <c r="F45" s="70">
        <v>184545.99552155199</v>
      </c>
      <c r="G45" s="70">
        <v>14955.34207926252</v>
      </c>
      <c r="H45" s="70">
        <v>23926.430193811611</v>
      </c>
      <c r="I45" s="70">
        <v>2080.1442630958441</v>
      </c>
      <c r="J45" s="70">
        <v>9561.124954215411</v>
      </c>
      <c r="K45" s="70">
        <v>0</v>
      </c>
      <c r="L45" s="70">
        <v>18758.081210594079</v>
      </c>
      <c r="M45" s="70">
        <v>6777.7289949929818</v>
      </c>
      <c r="N45" s="70">
        <v>5479.4585886291516</v>
      </c>
      <c r="O45" s="70">
        <v>164358.92692969591</v>
      </c>
      <c r="P45" s="70">
        <v>138547.41260691531</v>
      </c>
      <c r="Q45" s="73">
        <v>659675.67255650531</v>
      </c>
    </row>
    <row r="46" spans="2:17" ht="15.5" customHeight="1" x14ac:dyDescent="0.35">
      <c r="B46" s="67" t="s">
        <v>105</v>
      </c>
      <c r="C46" s="70">
        <v>656.66442743958373</v>
      </c>
      <c r="D46" s="70">
        <v>39971.72710016909</v>
      </c>
      <c r="E46" s="70">
        <v>0</v>
      </c>
      <c r="F46" s="70">
        <v>193840.47173701919</v>
      </c>
      <c r="G46" s="70">
        <v>4708.5059958039265</v>
      </c>
      <c r="H46" s="70">
        <v>17706.112662705251</v>
      </c>
      <c r="I46" s="70">
        <v>0</v>
      </c>
      <c r="J46" s="70">
        <v>26711.73965616963</v>
      </c>
      <c r="K46" s="70">
        <v>0</v>
      </c>
      <c r="L46" s="70">
        <v>6569.4146390469896</v>
      </c>
      <c r="M46" s="70">
        <v>0</v>
      </c>
      <c r="N46" s="70">
        <v>0</v>
      </c>
      <c r="O46" s="70">
        <v>118404.29454829219</v>
      </c>
      <c r="P46" s="70">
        <v>76666.98895268036</v>
      </c>
      <c r="Q46" s="73">
        <v>485235.91971932608</v>
      </c>
    </row>
    <row r="47" spans="2:17" ht="15.5" customHeight="1" x14ac:dyDescent="0.35">
      <c r="B47" s="67" t="s">
        <v>106</v>
      </c>
      <c r="C47" s="70">
        <v>572.64776511333014</v>
      </c>
      <c r="D47" s="70">
        <v>17144.57180504642</v>
      </c>
      <c r="E47" s="70">
        <v>82648.974124187065</v>
      </c>
      <c r="F47" s="70">
        <v>82648.974124187065</v>
      </c>
      <c r="G47" s="70">
        <v>6308.3181794551792</v>
      </c>
      <c r="H47" s="70">
        <v>12401.31618847756</v>
      </c>
      <c r="I47" s="70">
        <v>13104.85002663361</v>
      </c>
      <c r="J47" s="70">
        <v>13104.85002663361</v>
      </c>
      <c r="K47" s="70">
        <v>0</v>
      </c>
      <c r="L47" s="70">
        <v>-332.38043539680848</v>
      </c>
      <c r="M47" s="70">
        <v>7243.0323539024621</v>
      </c>
      <c r="N47" s="70">
        <v>-332.38043539680848</v>
      </c>
      <c r="O47" s="70">
        <v>53472.596078374343</v>
      </c>
      <c r="P47" s="70">
        <v>12548.680278782989</v>
      </c>
      <c r="Q47" s="73">
        <v>300534.05008000002</v>
      </c>
    </row>
    <row r="48" spans="2:17" ht="15.5" customHeight="1" x14ac:dyDescent="0.35">
      <c r="B48" s="64" t="s">
        <v>107</v>
      </c>
      <c r="C48" s="70">
        <v>232598.451836019</v>
      </c>
      <c r="D48" s="70">
        <v>18734.62644657099</v>
      </c>
      <c r="E48" s="70">
        <v>659262.72998607182</v>
      </c>
      <c r="F48" s="70">
        <v>24012.312092834291</v>
      </c>
      <c r="G48" s="70">
        <v>117826.5679118744</v>
      </c>
      <c r="H48" s="70">
        <v>1925.8990085972259</v>
      </c>
      <c r="I48" s="70">
        <v>4704.7138468540334</v>
      </c>
      <c r="J48" s="70">
        <v>61448.925205272419</v>
      </c>
      <c r="K48" s="70">
        <v>0</v>
      </c>
      <c r="L48" s="70">
        <v>340.77267600988898</v>
      </c>
      <c r="M48" s="70">
        <v>431226.16812440689</v>
      </c>
      <c r="N48" s="70">
        <v>241307.51425313641</v>
      </c>
      <c r="O48" s="70">
        <v>63865.08990048508</v>
      </c>
      <c r="P48" s="70">
        <v>17433.463711867331</v>
      </c>
      <c r="Q48" s="73">
        <v>1874687.2350000001</v>
      </c>
    </row>
    <row r="49" spans="2:17" ht="15.5" customHeight="1" x14ac:dyDescent="0.35">
      <c r="B49" s="67" t="s">
        <v>108</v>
      </c>
      <c r="C49" s="70">
        <v>3228.6059363633881</v>
      </c>
      <c r="D49" s="70">
        <v>52689.462718008319</v>
      </c>
      <c r="E49" s="70">
        <v>673.25862150324394</v>
      </c>
      <c r="F49" s="70">
        <v>161004.34332540171</v>
      </c>
      <c r="G49" s="70">
        <v>41896.581061169163</v>
      </c>
      <c r="H49" s="70">
        <v>13176.99833479384</v>
      </c>
      <c r="I49" s="70">
        <v>1726.356008811302</v>
      </c>
      <c r="J49" s="70">
        <v>9683.3921771538553</v>
      </c>
      <c r="K49" s="70">
        <v>0</v>
      </c>
      <c r="L49" s="70">
        <v>11929.254921706</v>
      </c>
      <c r="M49" s="70">
        <v>3051.4723201320562</v>
      </c>
      <c r="N49" s="70">
        <v>10250.136243331441</v>
      </c>
      <c r="O49" s="70">
        <v>22673.855357404471</v>
      </c>
      <c r="P49" s="70">
        <v>5877.7556442212208</v>
      </c>
      <c r="Q49" s="73">
        <v>337861.47266999999</v>
      </c>
    </row>
    <row r="50" spans="2:17" ht="15.5" customHeight="1" x14ac:dyDescent="0.35">
      <c r="B50" s="71" t="s">
        <v>24</v>
      </c>
      <c r="C50" s="72">
        <f t="shared" ref="C50:Q50" si="1">SUM(C45:C49)</f>
        <v>244023.34042215065</v>
      </c>
      <c r="D50" s="72">
        <f t="shared" si="1"/>
        <v>199468.40863082797</v>
      </c>
      <c r="E50" s="72">
        <f t="shared" si="1"/>
        <v>755374.99892725435</v>
      </c>
      <c r="F50" s="72">
        <f t="shared" si="1"/>
        <v>646052.09680099424</v>
      </c>
      <c r="G50" s="72">
        <f t="shared" si="1"/>
        <v>185695.31522756518</v>
      </c>
      <c r="H50" s="72">
        <f t="shared" si="1"/>
        <v>69136.756388385489</v>
      </c>
      <c r="I50" s="72">
        <f t="shared" si="1"/>
        <v>21616.06414539479</v>
      </c>
      <c r="J50" s="72">
        <f t="shared" si="1"/>
        <v>120510.03201944493</v>
      </c>
      <c r="K50" s="72">
        <f t="shared" si="1"/>
        <v>0</v>
      </c>
      <c r="L50" s="72">
        <f t="shared" si="1"/>
        <v>37265.14301196015</v>
      </c>
      <c r="M50" s="72">
        <f t="shared" si="1"/>
        <v>448298.4017934344</v>
      </c>
      <c r="N50" s="72">
        <f t="shared" si="1"/>
        <v>256704.72864970021</v>
      </c>
      <c r="O50" s="72">
        <f t="shared" si="1"/>
        <v>422774.762814252</v>
      </c>
      <c r="P50" s="72">
        <f t="shared" si="1"/>
        <v>251074.3011944672</v>
      </c>
      <c r="Q50" s="72">
        <f t="shared" si="1"/>
        <v>3657994.3500258317</v>
      </c>
    </row>
    <row r="51" spans="2:17" ht="14.5" customHeight="1" x14ac:dyDescent="0.35">
      <c r="B51" s="298" t="s">
        <v>25</v>
      </c>
      <c r="C51" s="281"/>
      <c r="D51" s="281"/>
      <c r="E51" s="281"/>
      <c r="F51" s="281"/>
      <c r="G51" s="281"/>
      <c r="H51" s="281"/>
      <c r="I51" s="281"/>
      <c r="J51" s="281"/>
      <c r="K51" s="281"/>
      <c r="L51" s="281"/>
      <c r="M51" s="281"/>
      <c r="N51" s="281"/>
      <c r="O51" s="281"/>
      <c r="P51" s="281"/>
      <c r="Q51" s="281"/>
    </row>
  </sheetData>
  <sheetProtection algorithmName="SHA-512" hashValue="Izu8dj0uB3II4KSBgVpDLe5np8zAxL+UEi1Igip+r1JCLk37Q1vt4HBwyT0akibRgbusWShNGm7VX8OBAZys5g==" saltValue="lYyM/4uHAP3nCNPDxQ7iKQ==" spinCount="100000" sheet="1" objects="1" scenarios="1"/>
  <mergeCells count="4">
    <mergeCell ref="B51:Q51"/>
    <mergeCell ref="B5:Q5"/>
    <mergeCell ref="B3:Q3"/>
    <mergeCell ref="B44:Q44"/>
  </mergeCells>
  <pageMargins left="0.7" right="0.7" top="0.75" bottom="0.75" header="0.3" footer="0.3"/>
  <pageSetup paperSize="9" scale="33"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4">
    <tabColor rgb="FFA2D668"/>
    <pageSetUpPr fitToPage="1"/>
  </sheetPr>
  <dimension ref="B3:Q51"/>
  <sheetViews>
    <sheetView workbookViewId="0"/>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07" width="9.453125" style="2" customWidth="1"/>
    <col min="108" max="16384" width="9.453125" style="2"/>
  </cols>
  <sheetData>
    <row r="3" spans="2:17" ht="14.5" customHeight="1" x14ac:dyDescent="0.35">
      <c r="B3" s="332" t="e">
        <f>_xlfn.CONCAT('Table of Contents'!#REF!,": ",'Table of Contents'!#REF!)</f>
        <v>#REF!</v>
      </c>
      <c r="C3" s="269"/>
      <c r="D3" s="269"/>
      <c r="E3" s="269"/>
      <c r="F3" s="269"/>
      <c r="G3" s="269"/>
      <c r="H3" s="269"/>
      <c r="I3" s="269"/>
      <c r="J3" s="269"/>
      <c r="K3" s="269"/>
      <c r="L3" s="269"/>
      <c r="M3" s="269"/>
      <c r="N3" s="269"/>
      <c r="O3" s="269"/>
      <c r="P3" s="269"/>
      <c r="Q3" s="270"/>
    </row>
    <row r="4" spans="2:17" ht="28" customHeight="1" x14ac:dyDescent="0.3">
      <c r="B4" s="26" t="s">
        <v>0</v>
      </c>
      <c r="C4" s="27" t="s">
        <v>215</v>
      </c>
      <c r="D4" s="27" t="s">
        <v>216</v>
      </c>
      <c r="E4" s="27" t="s">
        <v>217</v>
      </c>
      <c r="F4" s="27" t="s">
        <v>218</v>
      </c>
      <c r="G4" s="27" t="s">
        <v>219</v>
      </c>
      <c r="H4" s="27" t="s">
        <v>220</v>
      </c>
      <c r="I4" s="27" t="s">
        <v>221</v>
      </c>
      <c r="J4" s="27" t="s">
        <v>222</v>
      </c>
      <c r="K4" s="27" t="s">
        <v>223</v>
      </c>
      <c r="L4" s="27" t="s">
        <v>224</v>
      </c>
      <c r="M4" s="27" t="s">
        <v>225</v>
      </c>
      <c r="N4" s="27" t="s">
        <v>226</v>
      </c>
      <c r="O4" s="27" t="s">
        <v>227</v>
      </c>
      <c r="P4" s="27" t="s">
        <v>228</v>
      </c>
      <c r="Q4" s="27" t="s">
        <v>229</v>
      </c>
    </row>
    <row r="5" spans="2:17" ht="14.5" customHeight="1" x14ac:dyDescent="0.35">
      <c r="B5" s="331" t="s">
        <v>17</v>
      </c>
      <c r="C5" s="269"/>
      <c r="D5" s="269"/>
      <c r="E5" s="269"/>
      <c r="F5" s="269"/>
      <c r="G5" s="269"/>
      <c r="H5" s="269"/>
      <c r="I5" s="269"/>
      <c r="J5" s="269"/>
      <c r="K5" s="269"/>
      <c r="L5" s="269"/>
      <c r="M5" s="269"/>
      <c r="N5" s="269"/>
      <c r="O5" s="269"/>
      <c r="P5" s="269"/>
      <c r="Q5" s="270"/>
    </row>
    <row r="6" spans="2:17" x14ac:dyDescent="0.3">
      <c r="B6" s="37" t="s">
        <v>66</v>
      </c>
      <c r="C6" s="28">
        <v>0</v>
      </c>
      <c r="D6" s="28">
        <v>-3512.9991661251602</v>
      </c>
      <c r="E6" s="28">
        <v>141.73876293406289</v>
      </c>
      <c r="F6" s="28">
        <v>1599.1048248431341</v>
      </c>
      <c r="G6" s="28">
        <v>3190.1456700718768</v>
      </c>
      <c r="H6" s="28">
        <v>-108.5243209147788</v>
      </c>
      <c r="I6" s="28">
        <v>126.9106831202777</v>
      </c>
      <c r="J6" s="28">
        <v>0</v>
      </c>
      <c r="K6" s="28">
        <v>0</v>
      </c>
      <c r="L6" s="28">
        <v>6307.4841466013622</v>
      </c>
      <c r="M6" s="28">
        <v>-3777.5695840097401</v>
      </c>
      <c r="N6" s="28">
        <v>40893.509065168473</v>
      </c>
      <c r="O6" s="28">
        <v>-75975.111238515383</v>
      </c>
      <c r="P6" s="28">
        <v>-847.7275476967734</v>
      </c>
      <c r="Q6" s="40">
        <v>-31963.038704522642</v>
      </c>
    </row>
    <row r="7" spans="2:17" x14ac:dyDescent="0.3">
      <c r="B7" s="37" t="s">
        <v>67</v>
      </c>
      <c r="C7" s="28">
        <v>0</v>
      </c>
      <c r="D7" s="28">
        <v>-8276.2132957156118</v>
      </c>
      <c r="E7" s="28">
        <v>-4956.3426867356093</v>
      </c>
      <c r="F7" s="28">
        <v>-64329.767609968483</v>
      </c>
      <c r="G7" s="28">
        <v>2528.4224780502791</v>
      </c>
      <c r="H7" s="28">
        <v>-3249.03944559914</v>
      </c>
      <c r="I7" s="28">
        <v>-71249.03182218656</v>
      </c>
      <c r="J7" s="28">
        <v>671420.63587203342</v>
      </c>
      <c r="K7" s="28">
        <v>-924136.87793566112</v>
      </c>
      <c r="L7" s="28">
        <v>-20377.257989035719</v>
      </c>
      <c r="M7" s="28">
        <v>-25556.1028611326</v>
      </c>
      <c r="N7" s="28">
        <v>14772.169254756949</v>
      </c>
      <c r="O7" s="28">
        <v>0</v>
      </c>
      <c r="P7" s="28">
        <v>-65737.208469024248</v>
      </c>
      <c r="Q7" s="40">
        <v>-499146.61451021838</v>
      </c>
    </row>
    <row r="8" spans="2:17" x14ac:dyDescent="0.3">
      <c r="B8" s="37" t="s">
        <v>68</v>
      </c>
      <c r="C8" s="28">
        <v>-10904.250506011451</v>
      </c>
      <c r="D8" s="28">
        <v>-40369.697880540763</v>
      </c>
      <c r="E8" s="28">
        <v>-21823.936415470449</v>
      </c>
      <c r="F8" s="28">
        <v>221816.11946027589</v>
      </c>
      <c r="G8" s="28">
        <v>-113154.29133569849</v>
      </c>
      <c r="H8" s="28">
        <v>-18655.086613879939</v>
      </c>
      <c r="I8" s="28">
        <v>-192866.24041654789</v>
      </c>
      <c r="J8" s="28">
        <v>-635220.50454080082</v>
      </c>
      <c r="K8" s="28">
        <v>0</v>
      </c>
      <c r="L8" s="28">
        <v>88022.048671400495</v>
      </c>
      <c r="M8" s="28">
        <v>72593.516221772152</v>
      </c>
      <c r="N8" s="28">
        <v>201430.23817304679</v>
      </c>
      <c r="O8" s="28">
        <v>-38950.751372908591</v>
      </c>
      <c r="P8" s="28">
        <v>120403.6859957057</v>
      </c>
      <c r="Q8" s="40">
        <v>-367679.1505596572</v>
      </c>
    </row>
    <row r="9" spans="2:17" x14ac:dyDescent="0.3">
      <c r="B9" s="37" t="s">
        <v>69</v>
      </c>
      <c r="C9" s="28">
        <v>8159.8329414343571</v>
      </c>
      <c r="D9" s="28">
        <v>48775.170887587468</v>
      </c>
      <c r="E9" s="28">
        <v>23563.246765160471</v>
      </c>
      <c r="F9" s="28">
        <v>45125.513348570552</v>
      </c>
      <c r="G9" s="28">
        <v>39265.478564911769</v>
      </c>
      <c r="H9" s="28">
        <v>41614.458186181873</v>
      </c>
      <c r="I9" s="28">
        <v>-289724.42549327249</v>
      </c>
      <c r="J9" s="28">
        <v>-244510.12627753909</v>
      </c>
      <c r="K9" s="28">
        <v>0</v>
      </c>
      <c r="L9" s="28">
        <v>69917.010877038367</v>
      </c>
      <c r="M9" s="28">
        <v>111313.9989371416</v>
      </c>
      <c r="N9" s="28">
        <v>222972.18966251559</v>
      </c>
      <c r="O9" s="28">
        <v>73691.398532696359</v>
      </c>
      <c r="P9" s="28">
        <v>-104638.2776171888</v>
      </c>
      <c r="Q9" s="40">
        <v>45525.469315238057</v>
      </c>
    </row>
    <row r="10" spans="2:17" x14ac:dyDescent="0.3">
      <c r="B10" s="37" t="s">
        <v>70</v>
      </c>
      <c r="C10" s="28">
        <v>0</v>
      </c>
      <c r="D10" s="28">
        <v>0</v>
      </c>
      <c r="E10" s="28">
        <v>0</v>
      </c>
      <c r="F10" s="28">
        <v>0</v>
      </c>
      <c r="G10" s="28">
        <v>0</v>
      </c>
      <c r="H10" s="28">
        <v>0</v>
      </c>
      <c r="I10" s="28">
        <v>0</v>
      </c>
      <c r="J10" s="28">
        <v>0</v>
      </c>
      <c r="K10" s="28">
        <v>0</v>
      </c>
      <c r="L10" s="28">
        <v>0</v>
      </c>
      <c r="M10" s="28">
        <v>0</v>
      </c>
      <c r="N10" s="28">
        <v>0</v>
      </c>
      <c r="O10" s="28">
        <v>-378362.19300000003</v>
      </c>
      <c r="P10" s="28">
        <v>0</v>
      </c>
      <c r="Q10" s="40">
        <v>-378362.19300000003</v>
      </c>
    </row>
    <row r="11" spans="2:17" x14ac:dyDescent="0.3">
      <c r="B11" s="37" t="s">
        <v>71</v>
      </c>
      <c r="C11" s="28">
        <v>0</v>
      </c>
      <c r="D11" s="28">
        <v>-14190.79346529985</v>
      </c>
      <c r="E11" s="28">
        <v>-6786.4576058183702</v>
      </c>
      <c r="F11" s="28">
        <v>-15353.992149081079</v>
      </c>
      <c r="G11" s="28">
        <v>-13950.759822847111</v>
      </c>
      <c r="H11" s="28">
        <v>-1186.8252097914219</v>
      </c>
      <c r="I11" s="28">
        <v>-416468.14659042662</v>
      </c>
      <c r="J11" s="28">
        <v>-40675.846477039573</v>
      </c>
      <c r="K11" s="28">
        <v>0</v>
      </c>
      <c r="L11" s="28">
        <v>-42677.002169356863</v>
      </c>
      <c r="M11" s="28">
        <v>4850.3010525600193</v>
      </c>
      <c r="N11" s="28">
        <v>35268.131313025588</v>
      </c>
      <c r="O11" s="28">
        <v>0</v>
      </c>
      <c r="P11" s="28">
        <v>-46105.170956857248</v>
      </c>
      <c r="Q11" s="40">
        <v>-557276.56208093255</v>
      </c>
    </row>
    <row r="12" spans="2:17" x14ac:dyDescent="0.3">
      <c r="B12" s="37" t="s">
        <v>72</v>
      </c>
      <c r="C12" s="28">
        <v>0</v>
      </c>
      <c r="D12" s="28">
        <v>987.16235666334626</v>
      </c>
      <c r="E12" s="28">
        <v>2564.2762966689538</v>
      </c>
      <c r="F12" s="28">
        <v>-118302.3307837076</v>
      </c>
      <c r="G12" s="28">
        <v>-29325.2785806762</v>
      </c>
      <c r="H12" s="28">
        <v>40907.694145010551</v>
      </c>
      <c r="I12" s="28">
        <v>-225395.53026230549</v>
      </c>
      <c r="J12" s="28">
        <v>-444405.97145417752</v>
      </c>
      <c r="K12" s="28">
        <v>0</v>
      </c>
      <c r="L12" s="28">
        <v>-11705.43847619699</v>
      </c>
      <c r="M12" s="28">
        <v>197212.88518328051</v>
      </c>
      <c r="N12" s="28">
        <v>436646.16801613168</v>
      </c>
      <c r="O12" s="28">
        <v>-72809.832959563733</v>
      </c>
      <c r="P12" s="28">
        <v>-241579.02088831901</v>
      </c>
      <c r="Q12" s="40">
        <v>-465205.21740719152</v>
      </c>
    </row>
    <row r="13" spans="2:17" x14ac:dyDescent="0.3">
      <c r="B13" s="37" t="s">
        <v>73</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74</v>
      </c>
      <c r="C14" s="28">
        <v>0</v>
      </c>
      <c r="D14" s="28">
        <v>-4366.4981621847974</v>
      </c>
      <c r="E14" s="28">
        <v>-405.3432872419769</v>
      </c>
      <c r="F14" s="28">
        <v>-2221.2769670155271</v>
      </c>
      <c r="G14" s="28">
        <v>-69.769630880424288</v>
      </c>
      <c r="H14" s="28">
        <v>-327.43989165226202</v>
      </c>
      <c r="I14" s="28">
        <v>-54379.457046148702</v>
      </c>
      <c r="J14" s="28">
        <v>7362.8910351564882</v>
      </c>
      <c r="K14" s="28">
        <v>-84540.963210044079</v>
      </c>
      <c r="L14" s="28">
        <v>-74.529808656433019</v>
      </c>
      <c r="M14" s="28">
        <v>-884.32572632260622</v>
      </c>
      <c r="N14" s="28">
        <v>-175.58745510446749</v>
      </c>
      <c r="O14" s="28">
        <v>0</v>
      </c>
      <c r="P14" s="28">
        <v>-94733.467998529231</v>
      </c>
      <c r="Q14" s="40">
        <v>-234815.76814862399</v>
      </c>
    </row>
    <row r="15" spans="2:17" x14ac:dyDescent="0.3">
      <c r="B15" s="37" t="s">
        <v>75</v>
      </c>
      <c r="C15" s="28">
        <v>0</v>
      </c>
      <c r="D15" s="28">
        <v>0</v>
      </c>
      <c r="E15" s="28">
        <v>-3179.5603900000001</v>
      </c>
      <c r="F15" s="28">
        <v>7284.1237499999997</v>
      </c>
      <c r="G15" s="28">
        <v>9092.5911999999989</v>
      </c>
      <c r="H15" s="28">
        <v>52.784109999999998</v>
      </c>
      <c r="I15" s="28">
        <v>-119358.6634319118</v>
      </c>
      <c r="J15" s="28">
        <v>-12139.16156958443</v>
      </c>
      <c r="K15" s="28">
        <v>-1042400.9864926829</v>
      </c>
      <c r="L15" s="28">
        <v>367.92543000000001</v>
      </c>
      <c r="M15" s="28">
        <v>420.35207000000003</v>
      </c>
      <c r="N15" s="28">
        <v>7546.4302200000002</v>
      </c>
      <c r="O15" s="28">
        <v>0</v>
      </c>
      <c r="P15" s="28">
        <v>11291.11633557899</v>
      </c>
      <c r="Q15" s="40">
        <v>-1141023.0487686009</v>
      </c>
    </row>
    <row r="16" spans="2:17" x14ac:dyDescent="0.3">
      <c r="B16" s="37" t="s">
        <v>76</v>
      </c>
      <c r="C16" s="28">
        <v>0</v>
      </c>
      <c r="D16" s="28">
        <v>-4168.2740256445204</v>
      </c>
      <c r="E16" s="28">
        <v>-7.3673736171775088</v>
      </c>
      <c r="F16" s="28">
        <v>-13535.083419413901</v>
      </c>
      <c r="G16" s="28">
        <v>-2725.908215892021</v>
      </c>
      <c r="H16" s="28">
        <v>6.4037573143615152</v>
      </c>
      <c r="I16" s="28">
        <v>0</v>
      </c>
      <c r="J16" s="28">
        <v>0</v>
      </c>
      <c r="K16" s="28">
        <v>0</v>
      </c>
      <c r="L16" s="28">
        <v>-308.63002274063251</v>
      </c>
      <c r="M16" s="28">
        <v>75669.435402032585</v>
      </c>
      <c r="N16" s="28">
        <v>-884.41049657426231</v>
      </c>
      <c r="O16" s="28">
        <v>122473.36987620901</v>
      </c>
      <c r="P16" s="28">
        <v>12.021545615112389</v>
      </c>
      <c r="Q16" s="40">
        <v>176531.55702728851</v>
      </c>
    </row>
    <row r="17" spans="2:17" x14ac:dyDescent="0.3">
      <c r="B17" s="37" t="s">
        <v>77</v>
      </c>
      <c r="C17" s="28">
        <v>0</v>
      </c>
      <c r="D17" s="28">
        <v>0</v>
      </c>
      <c r="E17" s="28">
        <v>0</v>
      </c>
      <c r="F17" s="28">
        <v>0</v>
      </c>
      <c r="G17" s="28">
        <v>0</v>
      </c>
      <c r="H17" s="28">
        <v>0</v>
      </c>
      <c r="I17" s="28">
        <v>0</v>
      </c>
      <c r="J17" s="28">
        <v>0</v>
      </c>
      <c r="K17" s="28">
        <v>0</v>
      </c>
      <c r="L17" s="28">
        <v>0</v>
      </c>
      <c r="M17" s="28">
        <v>0</v>
      </c>
      <c r="N17" s="28">
        <v>0</v>
      </c>
      <c r="O17" s="28">
        <v>-13212.287393379769</v>
      </c>
      <c r="P17" s="28">
        <v>0</v>
      </c>
      <c r="Q17" s="40">
        <v>-13212.287393379769</v>
      </c>
    </row>
    <row r="18" spans="2:17" x14ac:dyDescent="0.3">
      <c r="B18" s="37" t="s">
        <v>78</v>
      </c>
      <c r="C18" s="28">
        <v>8732.463600000001</v>
      </c>
      <c r="D18" s="28">
        <v>22458.918000000001</v>
      </c>
      <c r="E18" s="28">
        <v>-988.56399999999996</v>
      </c>
      <c r="F18" s="28">
        <v>29829.036749999999</v>
      </c>
      <c r="G18" s="28">
        <v>-79259.978000000003</v>
      </c>
      <c r="H18" s="28">
        <v>-20411.260999999999</v>
      </c>
      <c r="I18" s="28">
        <v>-152637.04814999999</v>
      </c>
      <c r="J18" s="28">
        <v>11659.621999999999</v>
      </c>
      <c r="K18" s="28">
        <v>20603.282999999999</v>
      </c>
      <c r="L18" s="28">
        <v>-3494.5810000000001</v>
      </c>
      <c r="M18" s="28">
        <v>-5437.7419900000023</v>
      </c>
      <c r="N18" s="28">
        <v>23293.950030000309</v>
      </c>
      <c r="O18" s="28">
        <v>-18062.975660000029</v>
      </c>
      <c r="P18" s="28">
        <v>56540.006879999994</v>
      </c>
      <c r="Q18" s="40">
        <v>-107174.86953999969</v>
      </c>
    </row>
    <row r="19" spans="2:17" x14ac:dyDescent="0.3">
      <c r="B19" s="37" t="s">
        <v>79</v>
      </c>
      <c r="C19" s="28">
        <v>0</v>
      </c>
      <c r="D19" s="28">
        <v>14857.107719591941</v>
      </c>
      <c r="E19" s="28">
        <v>318.28112476827198</v>
      </c>
      <c r="F19" s="28">
        <v>44544.520648753649</v>
      </c>
      <c r="G19" s="28">
        <v>-1098.7612584951521</v>
      </c>
      <c r="H19" s="28">
        <v>-20434.723039882781</v>
      </c>
      <c r="I19" s="28">
        <v>-132162.91537487941</v>
      </c>
      <c r="J19" s="28">
        <v>-290616.25492415932</v>
      </c>
      <c r="K19" s="28">
        <v>0</v>
      </c>
      <c r="L19" s="28">
        <v>18361.62280516051</v>
      </c>
      <c r="M19" s="28">
        <v>-54778.926033700664</v>
      </c>
      <c r="N19" s="28">
        <v>15265.86306676399</v>
      </c>
      <c r="O19" s="28">
        <v>158398.14370060051</v>
      </c>
      <c r="P19" s="28">
        <v>18503.860624438679</v>
      </c>
      <c r="Q19" s="40">
        <v>-228842.1809410397</v>
      </c>
    </row>
    <row r="20" spans="2:17" x14ac:dyDescent="0.3">
      <c r="B20" s="37" t="s">
        <v>80</v>
      </c>
      <c r="C20" s="28">
        <v>-108529.19899999999</v>
      </c>
      <c r="D20" s="28">
        <v>44724.607219999998</v>
      </c>
      <c r="E20" s="28">
        <v>19331.83701449999</v>
      </c>
      <c r="F20" s="28">
        <v>81164.365796500089</v>
      </c>
      <c r="G20" s="28">
        <v>-12722.76869600001</v>
      </c>
      <c r="H20" s="28">
        <v>202925.69281800001</v>
      </c>
      <c r="I20" s="28">
        <v>95847.441999999995</v>
      </c>
      <c r="J20" s="28">
        <v>-7995.7659999999996</v>
      </c>
      <c r="K20" s="28">
        <v>-274379.41399999999</v>
      </c>
      <c r="L20" s="28">
        <v>43682.235000000001</v>
      </c>
      <c r="M20" s="28">
        <v>-3967.6922676584718</v>
      </c>
      <c r="N20" s="28">
        <v>158770.4</v>
      </c>
      <c r="O20" s="28">
        <v>-137687.122</v>
      </c>
      <c r="P20" s="28">
        <v>100909.087</v>
      </c>
      <c r="Q20" s="40">
        <v>202073.70488534149</v>
      </c>
    </row>
    <row r="21" spans="2:17" x14ac:dyDescent="0.3">
      <c r="B21" s="37" t="s">
        <v>81</v>
      </c>
      <c r="C21" s="28">
        <v>-23713.600890755992</v>
      </c>
      <c r="D21" s="28">
        <v>-26510.496560344469</v>
      </c>
      <c r="E21" s="28">
        <v>2280.7423537462578</v>
      </c>
      <c r="F21" s="28">
        <v>10349.736003874181</v>
      </c>
      <c r="G21" s="28">
        <v>1290.048508055266</v>
      </c>
      <c r="H21" s="28">
        <v>-21992.659714708789</v>
      </c>
      <c r="I21" s="28">
        <v>-86682.353943844704</v>
      </c>
      <c r="J21" s="28">
        <v>-491898.65819739102</v>
      </c>
      <c r="K21" s="28">
        <v>0</v>
      </c>
      <c r="L21" s="28">
        <v>8942.3408294261626</v>
      </c>
      <c r="M21" s="28">
        <v>47314.811405470216</v>
      </c>
      <c r="N21" s="28">
        <v>-173954.64156024411</v>
      </c>
      <c r="O21" s="28">
        <v>0</v>
      </c>
      <c r="P21" s="28">
        <v>-6860.3620232831236</v>
      </c>
      <c r="Q21" s="40">
        <v>-761435.09379000007</v>
      </c>
    </row>
    <row r="22" spans="2:17" x14ac:dyDescent="0.3">
      <c r="B22" s="37" t="s">
        <v>82</v>
      </c>
      <c r="C22" s="28">
        <v>13876.32798749858</v>
      </c>
      <c r="D22" s="28">
        <v>-15816.02885209381</v>
      </c>
      <c r="E22" s="28">
        <v>35621.449533047657</v>
      </c>
      <c r="F22" s="28">
        <v>49506.606136082111</v>
      </c>
      <c r="G22" s="28">
        <v>-11874.143258655829</v>
      </c>
      <c r="H22" s="28">
        <v>6167.4721218150407</v>
      </c>
      <c r="I22" s="28">
        <v>-207012.73693702591</v>
      </c>
      <c r="J22" s="28">
        <v>-49298.703527849379</v>
      </c>
      <c r="K22" s="28">
        <v>0</v>
      </c>
      <c r="L22" s="28">
        <v>-24032.207872489151</v>
      </c>
      <c r="M22" s="28">
        <v>-31168.218387417961</v>
      </c>
      <c r="N22" s="28">
        <v>303272.59516333678</v>
      </c>
      <c r="O22" s="28">
        <v>-60886.642977105133</v>
      </c>
      <c r="P22" s="28">
        <v>36040.273631581287</v>
      </c>
      <c r="Q22" s="40">
        <v>44396.042760724253</v>
      </c>
    </row>
    <row r="23" spans="2:17" x14ac:dyDescent="0.3">
      <c r="B23" s="37" t="s">
        <v>83</v>
      </c>
      <c r="C23" s="28">
        <v>0</v>
      </c>
      <c r="D23" s="28">
        <v>72010.316999999995</v>
      </c>
      <c r="E23" s="28">
        <v>36029.127999999997</v>
      </c>
      <c r="F23" s="28">
        <v>115225.443</v>
      </c>
      <c r="G23" s="28">
        <v>7723.4110000000001</v>
      </c>
      <c r="H23" s="28">
        <v>94644.644</v>
      </c>
      <c r="I23" s="28">
        <v>-120946.599</v>
      </c>
      <c r="J23" s="28">
        <v>-30910.858</v>
      </c>
      <c r="K23" s="28">
        <v>43582.796999999999</v>
      </c>
      <c r="L23" s="28">
        <v>9208.2219999999998</v>
      </c>
      <c r="M23" s="28">
        <v>-2928.8159999999998</v>
      </c>
      <c r="N23" s="28">
        <v>146257.486</v>
      </c>
      <c r="O23" s="28">
        <v>0</v>
      </c>
      <c r="P23" s="28">
        <v>72077.565000000002</v>
      </c>
      <c r="Q23" s="40">
        <v>441972.74</v>
      </c>
    </row>
    <row r="24" spans="2:17" x14ac:dyDescent="0.3">
      <c r="B24" s="37" t="s">
        <v>84</v>
      </c>
      <c r="C24" s="28">
        <v>0</v>
      </c>
      <c r="D24" s="28">
        <v>0</v>
      </c>
      <c r="E24" s="28">
        <v>0</v>
      </c>
      <c r="F24" s="28">
        <v>0</v>
      </c>
      <c r="G24" s="28">
        <v>0</v>
      </c>
      <c r="H24" s="28">
        <v>0</v>
      </c>
      <c r="I24" s="28">
        <v>0</v>
      </c>
      <c r="J24" s="28">
        <v>0</v>
      </c>
      <c r="K24" s="28">
        <v>0</v>
      </c>
      <c r="L24" s="28">
        <v>0</v>
      </c>
      <c r="M24" s="28">
        <v>0</v>
      </c>
      <c r="N24" s="28">
        <v>-2252426.4407100002</v>
      </c>
      <c r="O24" s="28">
        <v>1528294.7180018241</v>
      </c>
      <c r="P24" s="28">
        <v>0</v>
      </c>
      <c r="Q24" s="40">
        <v>-724131.72270817589</v>
      </c>
    </row>
    <row r="25" spans="2:17" x14ac:dyDescent="0.3">
      <c r="B25" s="37" t="s">
        <v>85</v>
      </c>
      <c r="C25" s="28">
        <v>0</v>
      </c>
      <c r="D25" s="28">
        <v>-49633.946000000004</v>
      </c>
      <c r="E25" s="28">
        <v>8751.866</v>
      </c>
      <c r="F25" s="28">
        <v>-162473.76699999999</v>
      </c>
      <c r="G25" s="28">
        <v>-13328.182000000001</v>
      </c>
      <c r="H25" s="28">
        <v>64908.625999999997</v>
      </c>
      <c r="I25" s="28">
        <v>-193769.326</v>
      </c>
      <c r="J25" s="28">
        <v>-33297.830999999998</v>
      </c>
      <c r="K25" s="28">
        <v>0</v>
      </c>
      <c r="L25" s="28">
        <v>3249.2719999999999</v>
      </c>
      <c r="M25" s="28">
        <v>-34982.220999999998</v>
      </c>
      <c r="N25" s="28">
        <v>42284.862000000001</v>
      </c>
      <c r="O25" s="28">
        <v>-18897.792000000001</v>
      </c>
      <c r="P25" s="28">
        <v>-9165.02</v>
      </c>
      <c r="Q25" s="40">
        <v>-396353.45899999997</v>
      </c>
    </row>
    <row r="26" spans="2:17" x14ac:dyDescent="0.3">
      <c r="B26" s="37" t="s">
        <v>86</v>
      </c>
      <c r="C26" s="28">
        <v>0</v>
      </c>
      <c r="D26" s="28">
        <v>37875.908572448563</v>
      </c>
      <c r="E26" s="28">
        <v>3483.732696514578</v>
      </c>
      <c r="F26" s="28">
        <v>24627.8624628057</v>
      </c>
      <c r="G26" s="28">
        <v>7692.7139500239027</v>
      </c>
      <c r="H26" s="28">
        <v>394.31129247793598</v>
      </c>
      <c r="I26" s="28">
        <v>98706.714287446259</v>
      </c>
      <c r="J26" s="28">
        <v>83776.471043530153</v>
      </c>
      <c r="K26" s="28">
        <v>-15551.102000000001</v>
      </c>
      <c r="L26" s="28">
        <v>-3306.1491796600189</v>
      </c>
      <c r="M26" s="28">
        <v>16704.146753814752</v>
      </c>
      <c r="N26" s="28">
        <v>35487.582629124241</v>
      </c>
      <c r="O26" s="28">
        <v>0</v>
      </c>
      <c r="P26" s="28">
        <v>-27646.690835394231</v>
      </c>
      <c r="Q26" s="40">
        <v>262245.50167313177</v>
      </c>
    </row>
    <row r="27" spans="2:17" x14ac:dyDescent="0.3">
      <c r="B27" s="37" t="s">
        <v>87</v>
      </c>
      <c r="C27" s="28">
        <v>0</v>
      </c>
      <c r="D27" s="28">
        <v>28250.86713384034</v>
      </c>
      <c r="E27" s="28">
        <v>8879.8201540035443</v>
      </c>
      <c r="F27" s="28">
        <v>110739.9236869047</v>
      </c>
      <c r="G27" s="28">
        <v>22048.90910810286</v>
      </c>
      <c r="H27" s="28">
        <v>1555.9810284231489</v>
      </c>
      <c r="I27" s="28">
        <v>-98908.216345695851</v>
      </c>
      <c r="J27" s="28">
        <v>1520935.25032412</v>
      </c>
      <c r="K27" s="28">
        <v>-1610324.1646978571</v>
      </c>
      <c r="L27" s="28">
        <v>7554.2719041765567</v>
      </c>
      <c r="M27" s="28">
        <v>27222.622676212581</v>
      </c>
      <c r="N27" s="28">
        <v>21330.965441648801</v>
      </c>
      <c r="O27" s="28">
        <v>-137400.86526151211</v>
      </c>
      <c r="P27" s="28">
        <v>98632.429130721444</v>
      </c>
      <c r="Q27" s="40">
        <v>517.79428308899696</v>
      </c>
    </row>
    <row r="28" spans="2:17" x14ac:dyDescent="0.3">
      <c r="B28" s="37" t="s">
        <v>88</v>
      </c>
      <c r="C28" s="28">
        <v>21224.120701483029</v>
      </c>
      <c r="D28" s="28">
        <v>47634.469222726577</v>
      </c>
      <c r="E28" s="28">
        <v>55697.715319854156</v>
      </c>
      <c r="F28" s="28">
        <v>-35624.895467023052</v>
      </c>
      <c r="G28" s="28">
        <v>54914.271529930877</v>
      </c>
      <c r="H28" s="28">
        <v>124260.3692692756</v>
      </c>
      <c r="I28" s="28">
        <v>37123.510425040236</v>
      </c>
      <c r="J28" s="28">
        <v>-16161.929120942439</v>
      </c>
      <c r="K28" s="28">
        <v>30276.255000000001</v>
      </c>
      <c r="L28" s="28">
        <v>13330.21986339549</v>
      </c>
      <c r="M28" s="28">
        <v>-6786.740156321257</v>
      </c>
      <c r="N28" s="28">
        <v>68149.005705691045</v>
      </c>
      <c r="O28" s="28">
        <v>0</v>
      </c>
      <c r="P28" s="28">
        <v>136368.94925564321</v>
      </c>
      <c r="Q28" s="40">
        <v>530405.32154875353</v>
      </c>
    </row>
    <row r="29" spans="2:17" x14ac:dyDescent="0.3">
      <c r="B29" s="37" t="s">
        <v>89</v>
      </c>
      <c r="C29" s="28">
        <v>4909.1278747999422</v>
      </c>
      <c r="D29" s="28">
        <v>6018.3985542538294</v>
      </c>
      <c r="E29" s="28">
        <v>-20705.31260305519</v>
      </c>
      <c r="F29" s="28">
        <v>42311.068155554989</v>
      </c>
      <c r="G29" s="28">
        <v>-2442.8965099713432</v>
      </c>
      <c r="H29" s="28">
        <v>6125.7958499647566</v>
      </c>
      <c r="I29" s="28">
        <v>-139023.2065724812</v>
      </c>
      <c r="J29" s="28">
        <v>-73630.615055141156</v>
      </c>
      <c r="K29" s="28">
        <v>0</v>
      </c>
      <c r="L29" s="28">
        <v>-5599.509689989829</v>
      </c>
      <c r="M29" s="28">
        <v>1757.0713955915121</v>
      </c>
      <c r="N29" s="28">
        <v>-23516.502670893009</v>
      </c>
      <c r="O29" s="28">
        <v>-386477.90299999999</v>
      </c>
      <c r="P29" s="28">
        <v>30497.540741791461</v>
      </c>
      <c r="Q29" s="40">
        <v>-559776.94352957525</v>
      </c>
    </row>
    <row r="30" spans="2:17" x14ac:dyDescent="0.3">
      <c r="B30" s="37" t="s">
        <v>90</v>
      </c>
      <c r="C30" s="28">
        <v>32.303909999999917</v>
      </c>
      <c r="D30" s="28">
        <v>1033.71440873498</v>
      </c>
      <c r="E30" s="28">
        <v>402.71915257990361</v>
      </c>
      <c r="F30" s="28">
        <v>1123.985797540367</v>
      </c>
      <c r="G30" s="28">
        <v>374.33325423291319</v>
      </c>
      <c r="H30" s="28">
        <v>178.93790782644251</v>
      </c>
      <c r="I30" s="28">
        <v>-48804.569149182797</v>
      </c>
      <c r="J30" s="28">
        <v>576.36122313467411</v>
      </c>
      <c r="K30" s="28">
        <v>0</v>
      </c>
      <c r="L30" s="28">
        <v>3549.5833765317502</v>
      </c>
      <c r="M30" s="28">
        <v>2317.0921527399119</v>
      </c>
      <c r="N30" s="28">
        <v>2774.3981911963151</v>
      </c>
      <c r="O30" s="28">
        <v>0</v>
      </c>
      <c r="P30" s="28">
        <v>172.1601737330422</v>
      </c>
      <c r="Q30" s="40">
        <v>-36268.9796009325</v>
      </c>
    </row>
    <row r="31" spans="2:17" x14ac:dyDescent="0.3">
      <c r="B31" s="37" t="s">
        <v>91</v>
      </c>
      <c r="C31" s="28">
        <v>6118.5376840427271</v>
      </c>
      <c r="D31" s="28">
        <v>-76627.269519334586</v>
      </c>
      <c r="E31" s="28">
        <v>-74461.75621277043</v>
      </c>
      <c r="F31" s="28">
        <v>124413.30586381409</v>
      </c>
      <c r="G31" s="28">
        <v>-5287.4466422512469</v>
      </c>
      <c r="H31" s="28">
        <v>8282.0769149832286</v>
      </c>
      <c r="I31" s="28">
        <v>5588.8502800202368</v>
      </c>
      <c r="J31" s="28">
        <v>67881.019273951533</v>
      </c>
      <c r="K31" s="28">
        <v>0</v>
      </c>
      <c r="L31" s="28">
        <v>-24249.970958744911</v>
      </c>
      <c r="M31" s="28">
        <v>10265.949035012511</v>
      </c>
      <c r="N31" s="28">
        <v>-96816.960880127139</v>
      </c>
      <c r="O31" s="28">
        <v>0</v>
      </c>
      <c r="P31" s="28">
        <v>-3925.462646762599</v>
      </c>
      <c r="Q31" s="40">
        <v>-58819.127808166573</v>
      </c>
    </row>
    <row r="32" spans="2:17" x14ac:dyDescent="0.3">
      <c r="B32" s="37" t="s">
        <v>92</v>
      </c>
      <c r="C32" s="28">
        <v>3772.3728269936441</v>
      </c>
      <c r="D32" s="28">
        <v>-4617.3345875441964</v>
      </c>
      <c r="E32" s="28">
        <v>56124.206532095312</v>
      </c>
      <c r="F32" s="28">
        <v>58130.637134806268</v>
      </c>
      <c r="G32" s="28">
        <v>18889.79051250757</v>
      </c>
      <c r="H32" s="28">
        <v>16658.32629148144</v>
      </c>
      <c r="I32" s="28">
        <v>-101160.8511110494</v>
      </c>
      <c r="J32" s="28">
        <v>34349.001918813941</v>
      </c>
      <c r="K32" s="28">
        <v>0</v>
      </c>
      <c r="L32" s="28">
        <v>-126880.4829800583</v>
      </c>
      <c r="M32" s="28">
        <v>-85433.814498540072</v>
      </c>
      <c r="N32" s="28">
        <v>239394.1644154267</v>
      </c>
      <c r="O32" s="28">
        <v>-118230.63967880201</v>
      </c>
      <c r="P32" s="28">
        <v>-14121.95982912708</v>
      </c>
      <c r="Q32" s="40">
        <v>-23126.583052996139</v>
      </c>
    </row>
    <row r="33" spans="2:17" x14ac:dyDescent="0.3">
      <c r="B33" s="37" t="s">
        <v>93</v>
      </c>
      <c r="C33" s="28">
        <v>0</v>
      </c>
      <c r="D33" s="28">
        <v>-17877.473000000002</v>
      </c>
      <c r="E33" s="28">
        <v>3243.2379999999998</v>
      </c>
      <c r="F33" s="28">
        <v>-21571.455999999998</v>
      </c>
      <c r="G33" s="28">
        <v>56536.146999999997</v>
      </c>
      <c r="H33" s="28">
        <v>3366.9290000000001</v>
      </c>
      <c r="I33" s="28">
        <v>-57806.046999999999</v>
      </c>
      <c r="J33" s="28">
        <v>-3393.94</v>
      </c>
      <c r="K33" s="28">
        <v>0</v>
      </c>
      <c r="L33" s="28">
        <v>1418.1559999999999</v>
      </c>
      <c r="M33" s="28">
        <v>19747.616999999998</v>
      </c>
      <c r="N33" s="28">
        <v>2206.652</v>
      </c>
      <c r="O33" s="28">
        <v>5576.1</v>
      </c>
      <c r="P33" s="28">
        <v>-2350.4229999999998</v>
      </c>
      <c r="Q33" s="40">
        <v>-10904.5</v>
      </c>
    </row>
    <row r="34" spans="2:17" x14ac:dyDescent="0.3">
      <c r="B34" s="37" t="s">
        <v>94</v>
      </c>
      <c r="C34" s="28">
        <v>-1173.2535692879039</v>
      </c>
      <c r="D34" s="28">
        <v>-12608.23951735172</v>
      </c>
      <c r="E34" s="28">
        <v>7805.8453819754022</v>
      </c>
      <c r="F34" s="28">
        <v>69387.979462984091</v>
      </c>
      <c r="G34" s="28">
        <v>42934.650151889808</v>
      </c>
      <c r="H34" s="28">
        <v>-2850.572826922225</v>
      </c>
      <c r="I34" s="28">
        <v>35068.843768797473</v>
      </c>
      <c r="J34" s="28">
        <v>-217941.67168307371</v>
      </c>
      <c r="K34" s="28">
        <v>-16975.814834121629</v>
      </c>
      <c r="L34" s="28">
        <v>8959.7246945387906</v>
      </c>
      <c r="M34" s="28">
        <v>51534.895787418107</v>
      </c>
      <c r="N34" s="28">
        <v>-43051.227878676596</v>
      </c>
      <c r="O34" s="28">
        <v>6222.1610000000001</v>
      </c>
      <c r="P34" s="28">
        <v>16159.33363399999</v>
      </c>
      <c r="Q34" s="40">
        <v>-56527.346427830082</v>
      </c>
    </row>
    <row r="35" spans="2:17" x14ac:dyDescent="0.3">
      <c r="B35" s="37" t="s">
        <v>95</v>
      </c>
      <c r="C35" s="28">
        <v>836.90700000000004</v>
      </c>
      <c r="D35" s="28">
        <v>-31314.613000000001</v>
      </c>
      <c r="E35" s="28">
        <v>-12381.817999999999</v>
      </c>
      <c r="F35" s="28">
        <v>-466299.65</v>
      </c>
      <c r="G35" s="28">
        <v>-111054.13</v>
      </c>
      <c r="H35" s="28">
        <v>-33223.775999999998</v>
      </c>
      <c r="I35" s="28">
        <v>-310751.43199999997</v>
      </c>
      <c r="J35" s="28">
        <v>-142244.633</v>
      </c>
      <c r="K35" s="28">
        <v>-92043.619000000006</v>
      </c>
      <c r="L35" s="28">
        <v>-24818.447250000001</v>
      </c>
      <c r="M35" s="28">
        <v>1362.2860000000001</v>
      </c>
      <c r="N35" s="28">
        <v>164734.91699999999</v>
      </c>
      <c r="O35" s="28">
        <v>-9861.7729999999992</v>
      </c>
      <c r="P35" s="28">
        <v>-47457.544000000002</v>
      </c>
      <c r="Q35" s="40">
        <v>-1114517.32525</v>
      </c>
    </row>
    <row r="36" spans="2:17" x14ac:dyDescent="0.3">
      <c r="B36" s="37" t="s">
        <v>96</v>
      </c>
      <c r="C36" s="28">
        <v>4346.4008102365906</v>
      </c>
      <c r="D36" s="28">
        <v>-5847.4952782903147</v>
      </c>
      <c r="E36" s="28">
        <v>-78.635373147870936</v>
      </c>
      <c r="F36" s="28">
        <v>-12365.59732861303</v>
      </c>
      <c r="G36" s="28">
        <v>-39089.833056111012</v>
      </c>
      <c r="H36" s="28">
        <v>14948.228509025999</v>
      </c>
      <c r="I36" s="28">
        <v>-113056.7991597217</v>
      </c>
      <c r="J36" s="28">
        <v>-13074.676225619691</v>
      </c>
      <c r="K36" s="28">
        <v>0</v>
      </c>
      <c r="L36" s="28">
        <v>-1204.145345960113</v>
      </c>
      <c r="M36" s="28">
        <v>-24779.991281483639</v>
      </c>
      <c r="N36" s="28">
        <v>11837.43804198504</v>
      </c>
      <c r="O36" s="28">
        <v>-15715.748049286991</v>
      </c>
      <c r="P36" s="28">
        <v>-46791.186217138529</v>
      </c>
      <c r="Q36" s="40">
        <v>-240872.03995412521</v>
      </c>
    </row>
    <row r="37" spans="2:17" x14ac:dyDescent="0.3">
      <c r="B37" s="37" t="s">
        <v>97</v>
      </c>
      <c r="C37" s="28">
        <v>0</v>
      </c>
      <c r="D37" s="28">
        <v>4357.7653813977631</v>
      </c>
      <c r="E37" s="28">
        <v>-369.06399628581198</v>
      </c>
      <c r="F37" s="28">
        <v>8412.5907945426061</v>
      </c>
      <c r="G37" s="28">
        <v>-448.90374463808172</v>
      </c>
      <c r="H37" s="28">
        <v>3411.9211813550842</v>
      </c>
      <c r="I37" s="28">
        <v>-163181.99529297359</v>
      </c>
      <c r="J37" s="28">
        <v>-64337.027249069994</v>
      </c>
      <c r="K37" s="28">
        <v>0</v>
      </c>
      <c r="L37" s="28">
        <v>-3889.1359268763672</v>
      </c>
      <c r="M37" s="28">
        <v>-12386.56926885233</v>
      </c>
      <c r="N37" s="28">
        <v>12076.399996862579</v>
      </c>
      <c r="O37" s="28">
        <v>-16011.166839452229</v>
      </c>
      <c r="P37" s="28">
        <v>12667.96965023031</v>
      </c>
      <c r="Q37" s="40">
        <v>-219697.21531376001</v>
      </c>
    </row>
    <row r="38" spans="2:17" x14ac:dyDescent="0.3">
      <c r="B38" s="37" t="s">
        <v>98</v>
      </c>
      <c r="C38" s="28">
        <v>0</v>
      </c>
      <c r="D38" s="28">
        <v>38119.582365871131</v>
      </c>
      <c r="E38" s="28">
        <v>12920.4850257991</v>
      </c>
      <c r="F38" s="28">
        <v>175859.1823860748</v>
      </c>
      <c r="G38" s="28">
        <v>2146.1325844700391</v>
      </c>
      <c r="H38" s="28">
        <v>20281.76520840103</v>
      </c>
      <c r="I38" s="28">
        <v>-50554.270808852641</v>
      </c>
      <c r="J38" s="28">
        <v>548.11985011617844</v>
      </c>
      <c r="K38" s="28">
        <v>841.42499999999995</v>
      </c>
      <c r="L38" s="28">
        <v>324.37496776525347</v>
      </c>
      <c r="M38" s="28">
        <v>6699.6453741973337</v>
      </c>
      <c r="N38" s="28">
        <v>13393.46712976167</v>
      </c>
      <c r="O38" s="28">
        <v>4301.6037415877863</v>
      </c>
      <c r="P38" s="28">
        <v>5436.3243204449836</v>
      </c>
      <c r="Q38" s="40">
        <v>230317.83714563659</v>
      </c>
    </row>
    <row r="39" spans="2:17" x14ac:dyDescent="0.3">
      <c r="B39" s="37" t="s">
        <v>99</v>
      </c>
      <c r="C39" s="28">
        <v>-15949.540999999999</v>
      </c>
      <c r="D39" s="28">
        <v>-9682.9339999999993</v>
      </c>
      <c r="E39" s="28">
        <v>-24501.887999999999</v>
      </c>
      <c r="F39" s="28">
        <v>7556.9809999999998</v>
      </c>
      <c r="G39" s="28">
        <v>-4422.8630000000003</v>
      </c>
      <c r="H39" s="28">
        <v>3548.098</v>
      </c>
      <c r="I39" s="28">
        <v>-86977.994999999995</v>
      </c>
      <c r="J39" s="28">
        <v>-72611.298999999999</v>
      </c>
      <c r="K39" s="28">
        <v>-22703.008999999998</v>
      </c>
      <c r="L39" s="28">
        <v>-4764.0839999999998</v>
      </c>
      <c r="M39" s="28">
        <v>-14194.454</v>
      </c>
      <c r="N39" s="28">
        <v>46640.445</v>
      </c>
      <c r="O39" s="28">
        <v>-60263.622000000003</v>
      </c>
      <c r="P39" s="28">
        <v>10604.548000000001</v>
      </c>
      <c r="Q39" s="40">
        <v>-247721.617</v>
      </c>
    </row>
    <row r="40" spans="2:17" x14ac:dyDescent="0.3">
      <c r="B40" s="37" t="s">
        <v>100</v>
      </c>
      <c r="C40" s="28">
        <v>0</v>
      </c>
      <c r="D40" s="28">
        <v>1136.3006475663631</v>
      </c>
      <c r="E40" s="28">
        <v>863.77110307074156</v>
      </c>
      <c r="F40" s="28">
        <v>65891.551698837429</v>
      </c>
      <c r="G40" s="28">
        <v>5373.9626936759714</v>
      </c>
      <c r="H40" s="28">
        <v>2185.4654254527859</v>
      </c>
      <c r="I40" s="28">
        <v>-401108.31012649467</v>
      </c>
      <c r="J40" s="28">
        <v>-154968.1909825122</v>
      </c>
      <c r="K40" s="28">
        <v>0</v>
      </c>
      <c r="L40" s="28">
        <v>-2932.33853700801</v>
      </c>
      <c r="M40" s="28">
        <v>11182.52487970505</v>
      </c>
      <c r="N40" s="28">
        <v>83344.59175090534</v>
      </c>
      <c r="O40" s="28">
        <v>-78772.470017436965</v>
      </c>
      <c r="P40" s="28">
        <v>2954.1252243176359</v>
      </c>
      <c r="Q40" s="40">
        <v>-464849.01623992057</v>
      </c>
    </row>
    <row r="41" spans="2:17" x14ac:dyDescent="0.3">
      <c r="B41" s="93" t="s">
        <v>101</v>
      </c>
      <c r="C41" s="28">
        <v>0</v>
      </c>
      <c r="D41" s="28">
        <v>0</v>
      </c>
      <c r="E41" s="28">
        <v>0</v>
      </c>
      <c r="F41" s="28">
        <v>0</v>
      </c>
      <c r="G41" s="28">
        <v>0</v>
      </c>
      <c r="H41" s="28">
        <v>0</v>
      </c>
      <c r="I41" s="28">
        <v>0</v>
      </c>
      <c r="J41" s="28">
        <v>0</v>
      </c>
      <c r="K41" s="28">
        <v>0</v>
      </c>
      <c r="L41" s="28">
        <v>0</v>
      </c>
      <c r="M41" s="28">
        <v>0</v>
      </c>
      <c r="N41" s="28">
        <v>0</v>
      </c>
      <c r="O41" s="28">
        <v>0</v>
      </c>
      <c r="P41" s="28">
        <v>0</v>
      </c>
      <c r="Q41" s="40">
        <v>0</v>
      </c>
    </row>
    <row r="42" spans="2:17" x14ac:dyDescent="0.3">
      <c r="B42" s="93" t="s">
        <v>102</v>
      </c>
      <c r="C42" s="28">
        <v>0</v>
      </c>
      <c r="D42" s="28">
        <v>0</v>
      </c>
      <c r="E42" s="28">
        <v>0</v>
      </c>
      <c r="F42" s="28">
        <v>0</v>
      </c>
      <c r="G42" s="28">
        <v>0</v>
      </c>
      <c r="H42" s="28">
        <v>0</v>
      </c>
      <c r="I42" s="28">
        <v>0</v>
      </c>
      <c r="J42" s="28">
        <v>0</v>
      </c>
      <c r="K42" s="28">
        <v>0</v>
      </c>
      <c r="L42" s="28">
        <v>0</v>
      </c>
      <c r="M42" s="28">
        <v>0</v>
      </c>
      <c r="N42" s="28">
        <v>0</v>
      </c>
      <c r="O42" s="28">
        <v>0</v>
      </c>
      <c r="P42" s="28">
        <v>0</v>
      </c>
      <c r="Q42" s="40">
        <v>0</v>
      </c>
    </row>
    <row r="43" spans="2:17" x14ac:dyDescent="0.3">
      <c r="B43" s="38" t="s">
        <v>24</v>
      </c>
      <c r="C43" s="39">
        <f t="shared" ref="C43:Q43" si="0">SUM(C6:C42)</f>
        <v>-88261.449629566458</v>
      </c>
      <c r="D43" s="39">
        <f t="shared" si="0"/>
        <v>42819.983160212476</v>
      </c>
      <c r="E43" s="39">
        <f t="shared" si="0"/>
        <v>107378.05327257553</v>
      </c>
      <c r="F43" s="39">
        <f t="shared" si="0"/>
        <v>382821.82143794198</v>
      </c>
      <c r="G43" s="39">
        <f t="shared" si="0"/>
        <v>-166254.9055461938</v>
      </c>
      <c r="H43" s="39">
        <f t="shared" si="0"/>
        <v>533986.07295363792</v>
      </c>
      <c r="I43" s="39">
        <f t="shared" si="0"/>
        <v>-3561523.8955905759</v>
      </c>
      <c r="J43" s="39">
        <f t="shared" si="0"/>
        <v>-640824.29174404382</v>
      </c>
      <c r="K43" s="39">
        <f t="shared" si="0"/>
        <v>-3987752.1911703674</v>
      </c>
      <c r="L43" s="39">
        <f t="shared" si="0"/>
        <v>-17119.418640738531</v>
      </c>
      <c r="M43" s="39">
        <f t="shared" si="0"/>
        <v>351105.96827150957</v>
      </c>
      <c r="N43" s="39">
        <f t="shared" si="0"/>
        <v>-240781.75238427205</v>
      </c>
      <c r="O43" s="39">
        <f t="shared" si="0"/>
        <v>261378.59840495483</v>
      </c>
      <c r="P43" s="39">
        <f t="shared" si="0"/>
        <v>17311.475114480931</v>
      </c>
      <c r="Q43" s="39">
        <f t="shared" si="0"/>
        <v>-7005715.9320904436</v>
      </c>
    </row>
    <row r="44" spans="2:17" ht="14.5" customHeight="1" x14ac:dyDescent="0.35">
      <c r="B44" s="333" t="s">
        <v>103</v>
      </c>
      <c r="C44" s="269"/>
      <c r="D44" s="269"/>
      <c r="E44" s="269"/>
      <c r="F44" s="269"/>
      <c r="G44" s="269"/>
      <c r="H44" s="269"/>
      <c r="I44" s="269"/>
      <c r="J44" s="269"/>
      <c r="K44" s="269"/>
      <c r="L44" s="269"/>
      <c r="M44" s="269"/>
      <c r="N44" s="269"/>
      <c r="O44" s="269"/>
      <c r="P44" s="269"/>
      <c r="Q44" s="270"/>
    </row>
    <row r="45" spans="2:17" x14ac:dyDescent="0.3">
      <c r="B45" s="37" t="s">
        <v>104</v>
      </c>
      <c r="C45" s="28">
        <v>-889.54845396816359</v>
      </c>
      <c r="D45" s="28">
        <v>-84723.69536994306</v>
      </c>
      <c r="E45" s="28">
        <v>-35124.866172692797</v>
      </c>
      <c r="F45" s="28">
        <v>-248114.3579181995</v>
      </c>
      <c r="G45" s="28">
        <v>42557.668043080099</v>
      </c>
      <c r="H45" s="28">
        <v>45963.914843530998</v>
      </c>
      <c r="I45" s="28">
        <v>12982.787602279601</v>
      </c>
      <c r="J45" s="28">
        <v>54798.672016025157</v>
      </c>
      <c r="K45" s="28">
        <v>0</v>
      </c>
      <c r="L45" s="28">
        <v>28794.730221338708</v>
      </c>
      <c r="M45" s="28">
        <v>-4274.9487091017827</v>
      </c>
      <c r="N45" s="28">
        <v>-473.89801684675462</v>
      </c>
      <c r="O45" s="28">
        <v>2870.0860518347922</v>
      </c>
      <c r="P45" s="28">
        <v>56669.392692598252</v>
      </c>
      <c r="Q45" s="40">
        <v>-128964.0631700644</v>
      </c>
    </row>
    <row r="46" spans="2:17" x14ac:dyDescent="0.3">
      <c r="B46" s="37" t="s">
        <v>105</v>
      </c>
      <c r="C46" s="28">
        <v>1233.668671861825</v>
      </c>
      <c r="D46" s="28">
        <v>-135087.6094083495</v>
      </c>
      <c r="E46" s="28">
        <v>0</v>
      </c>
      <c r="F46" s="28">
        <v>136246.25107552591</v>
      </c>
      <c r="G46" s="28">
        <v>22638.566805090701</v>
      </c>
      <c r="H46" s="28">
        <v>21445.332684680401</v>
      </c>
      <c r="I46" s="28">
        <v>0</v>
      </c>
      <c r="J46" s="28">
        <v>30219.919577374381</v>
      </c>
      <c r="K46" s="28">
        <v>0</v>
      </c>
      <c r="L46" s="28">
        <v>38829.607058829868</v>
      </c>
      <c r="M46" s="28">
        <v>0</v>
      </c>
      <c r="N46" s="28">
        <v>0</v>
      </c>
      <c r="O46" s="28">
        <v>-156347.04693321249</v>
      </c>
      <c r="P46" s="28">
        <v>144313.9181974181</v>
      </c>
      <c r="Q46" s="40">
        <v>103492.60772921921</v>
      </c>
    </row>
    <row r="47" spans="2:17" x14ac:dyDescent="0.3">
      <c r="B47" s="37" t="s">
        <v>106</v>
      </c>
      <c r="C47" s="28">
        <v>24981.572592845081</v>
      </c>
      <c r="D47" s="28">
        <v>12689.323689077601</v>
      </c>
      <c r="E47" s="28">
        <v>-177722.17565742059</v>
      </c>
      <c r="F47" s="28">
        <v>165597.7713425793</v>
      </c>
      <c r="G47" s="28">
        <v>51611.610167241437</v>
      </c>
      <c r="H47" s="28">
        <v>11174.426929995199</v>
      </c>
      <c r="I47" s="28">
        <v>45448.609282373727</v>
      </c>
      <c r="J47" s="28">
        <v>52242.707282373733</v>
      </c>
      <c r="K47" s="28">
        <v>0</v>
      </c>
      <c r="L47" s="28">
        <v>6463.5185430026586</v>
      </c>
      <c r="M47" s="28">
        <v>-2025.6070714241739</v>
      </c>
      <c r="N47" s="28">
        <v>-3625.2874569973392</v>
      </c>
      <c r="O47" s="28">
        <v>-29171.135215727631</v>
      </c>
      <c r="P47" s="28">
        <v>80553.052299862684</v>
      </c>
      <c r="Q47" s="40">
        <v>238218.38672778159</v>
      </c>
    </row>
    <row r="48" spans="2:17" x14ac:dyDescent="0.3">
      <c r="B48" s="82" t="s">
        <v>107</v>
      </c>
      <c r="C48" s="28">
        <v>-184588.71531740751</v>
      </c>
      <c r="D48" s="28">
        <v>-693223.97760616837</v>
      </c>
      <c r="E48" s="28">
        <v>-688009.8145773781</v>
      </c>
      <c r="F48" s="28">
        <v>543583.04929272959</v>
      </c>
      <c r="G48" s="28">
        <v>-37464.953470138033</v>
      </c>
      <c r="H48" s="28">
        <v>51090.74193117681</v>
      </c>
      <c r="I48" s="28">
        <v>13054.511411564939</v>
      </c>
      <c r="J48" s="28">
        <v>-32265.09920757476</v>
      </c>
      <c r="K48" s="28">
        <v>0</v>
      </c>
      <c r="L48" s="28">
        <v>-36961.645975327207</v>
      </c>
      <c r="M48" s="28">
        <v>-321042.71886024752</v>
      </c>
      <c r="N48" s="28">
        <v>-215194.13666104441</v>
      </c>
      <c r="O48" s="28">
        <v>-214418.19495423479</v>
      </c>
      <c r="P48" s="28">
        <v>239714.71445729851</v>
      </c>
      <c r="Q48" s="40">
        <v>-1575726.2395367511</v>
      </c>
    </row>
    <row r="49" spans="2:17" x14ac:dyDescent="0.3">
      <c r="B49" s="37" t="s">
        <v>108</v>
      </c>
      <c r="C49" s="28">
        <v>-24165.409186858269</v>
      </c>
      <c r="D49" s="28">
        <v>-532618.63414749911</v>
      </c>
      <c r="E49" s="28">
        <v>-15784.185229779139</v>
      </c>
      <c r="F49" s="28">
        <v>744609.2318501753</v>
      </c>
      <c r="G49" s="28">
        <v>636905.41499652294</v>
      </c>
      <c r="H49" s="28">
        <v>-22485.258282836519</v>
      </c>
      <c r="I49" s="28">
        <v>60265.507171815298</v>
      </c>
      <c r="J49" s="28">
        <v>-151375.8946473414</v>
      </c>
      <c r="K49" s="28">
        <v>0</v>
      </c>
      <c r="L49" s="28">
        <v>369535.68703186698</v>
      </c>
      <c r="M49" s="28">
        <v>17415.230461981278</v>
      </c>
      <c r="N49" s="28">
        <v>-154096.70170551751</v>
      </c>
      <c r="O49" s="28">
        <v>-454066.82013130537</v>
      </c>
      <c r="P49" s="28">
        <v>-51886.051809709897</v>
      </c>
      <c r="Q49" s="40">
        <v>422252.11637151462</v>
      </c>
    </row>
    <row r="50" spans="2:17" x14ac:dyDescent="0.3">
      <c r="B50" s="38" t="s">
        <v>24</v>
      </c>
      <c r="C50" s="39">
        <f t="shared" ref="C50:Q50" si="1">SUM(C45:C49)</f>
        <v>-183428.43169352703</v>
      </c>
      <c r="D50" s="39">
        <f t="shared" si="1"/>
        <v>-1432964.5928428825</v>
      </c>
      <c r="E50" s="39">
        <f t="shared" si="1"/>
        <v>-916641.04163727059</v>
      </c>
      <c r="F50" s="39">
        <f t="shared" si="1"/>
        <v>1341921.9456428108</v>
      </c>
      <c r="G50" s="39">
        <f t="shared" si="1"/>
        <v>716248.30654179712</v>
      </c>
      <c r="H50" s="39">
        <f t="shared" si="1"/>
        <v>107189.15810654688</v>
      </c>
      <c r="I50" s="39">
        <f t="shared" si="1"/>
        <v>131751.41546803355</v>
      </c>
      <c r="J50" s="39">
        <f t="shared" si="1"/>
        <v>-46379.694979142892</v>
      </c>
      <c r="K50" s="39">
        <f t="shared" si="1"/>
        <v>0</v>
      </c>
      <c r="L50" s="39">
        <f t="shared" si="1"/>
        <v>406661.89687971101</v>
      </c>
      <c r="M50" s="39">
        <f t="shared" si="1"/>
        <v>-309928.04417879222</v>
      </c>
      <c r="N50" s="39">
        <f t="shared" si="1"/>
        <v>-373390.02384040598</v>
      </c>
      <c r="O50" s="39">
        <f t="shared" si="1"/>
        <v>-851133.11118264543</v>
      </c>
      <c r="P50" s="39">
        <f t="shared" si="1"/>
        <v>469365.02583746763</v>
      </c>
      <c r="Q50" s="39">
        <f t="shared" si="1"/>
        <v>-940727.19187830004</v>
      </c>
    </row>
    <row r="51" spans="2:17" x14ac:dyDescent="0.3">
      <c r="B51" s="330" t="s">
        <v>25</v>
      </c>
      <c r="C51" s="281"/>
      <c r="D51" s="281"/>
      <c r="E51" s="281"/>
      <c r="F51" s="281"/>
      <c r="G51" s="281"/>
      <c r="H51" s="281"/>
      <c r="I51" s="281"/>
      <c r="J51" s="281"/>
      <c r="K51" s="281"/>
      <c r="L51" s="281"/>
      <c r="M51" s="281"/>
      <c r="N51" s="281"/>
      <c r="O51" s="281"/>
      <c r="P51" s="281"/>
      <c r="Q51" s="281"/>
    </row>
  </sheetData>
  <sheetProtection algorithmName="SHA-512" hashValue="7TmdRjyS6/qUAtwBhSgL/e79hMxHZzn4MbtbQyQi7Kr+KHNF7Sct/iXKO5RmxhmL8v9R5fftplKUR6NJMG5j8Q==" saltValue="qFVaRnJgchcAy3yuAq9+Jw==" spinCount="100000" sheet="1" objects="1" scenarios="1"/>
  <mergeCells count="4">
    <mergeCell ref="B51:Q51"/>
    <mergeCell ref="B5:Q5"/>
    <mergeCell ref="B3:Q3"/>
    <mergeCell ref="B44:Q44"/>
  </mergeCells>
  <pageMargins left="0.7" right="0.7" top="0.75" bottom="0.75" header="0.3" footer="0.3"/>
  <pageSetup paperSize="9" scale="33"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1">
    <tabColor rgb="FF92D050"/>
    <pageSetUpPr fitToPage="1"/>
  </sheetPr>
  <dimension ref="B3:Q52"/>
  <sheetViews>
    <sheetView topLeftCell="A20" workbookViewId="0">
      <selection activeCell="B3" sqref="B3:Q51"/>
    </sheetView>
  </sheetViews>
  <sheetFormatPr defaultColWidth="12" defaultRowHeight="15.5" x14ac:dyDescent="0.35"/>
  <cols>
    <col min="1" max="1" width="17" style="76" customWidth="1"/>
    <col min="2" max="2" width="53.90625" style="76" customWidth="1"/>
    <col min="3" max="3" width="20.36328125" style="76" customWidth="1"/>
    <col min="4" max="4" width="15.90625" style="76" bestFit="1" customWidth="1"/>
    <col min="5" max="5" width="16.1796875" style="76" bestFit="1" customWidth="1"/>
    <col min="6" max="6" width="16.7265625" style="76" bestFit="1" customWidth="1"/>
    <col min="7" max="7" width="16.1796875" style="76" bestFit="1" customWidth="1"/>
    <col min="8" max="8" width="19.81640625" style="76" bestFit="1" customWidth="1"/>
    <col min="9" max="9" width="15.90625" style="76" bestFit="1" customWidth="1"/>
    <col min="10" max="10" width="19.81640625" style="76" bestFit="1" customWidth="1"/>
    <col min="11" max="11" width="21.1796875" style="76" bestFit="1" customWidth="1"/>
    <col min="12" max="12" width="20" style="76" bestFit="1" customWidth="1"/>
    <col min="13" max="13" width="20.54296875" style="76" bestFit="1" customWidth="1"/>
    <col min="14" max="14" width="16.7265625" style="76" bestFit="1" customWidth="1"/>
    <col min="15" max="15" width="16.54296875" style="76" bestFit="1" customWidth="1"/>
    <col min="16" max="16" width="15.90625" style="76" bestFit="1" customWidth="1"/>
    <col min="17" max="17" width="22" style="76" bestFit="1" customWidth="1"/>
    <col min="18" max="18" width="16.54296875" style="76" customWidth="1"/>
    <col min="19" max="19" width="16.54296875" style="76" bestFit="1" customWidth="1"/>
    <col min="20" max="106" width="12" style="76" customWidth="1"/>
    <col min="107" max="16384" width="12" style="76"/>
  </cols>
  <sheetData>
    <row r="3" spans="2:17" ht="20" customHeight="1" x14ac:dyDescent="0.35">
      <c r="B3" s="336" t="str">
        <f>_xlfn.CONCAT('Table of Contents'!B35,": ",'Table of Contents'!C35)</f>
        <v>APPENDIX 23: SUMMARY OF GENERAL INSURANCE BUSINESS REVENUE ACCOUNTS FOR THE PERIOD ENDED 31.12.2025</v>
      </c>
      <c r="C3" s="269"/>
      <c r="D3" s="269"/>
      <c r="E3" s="269"/>
      <c r="F3" s="269"/>
      <c r="G3" s="269"/>
      <c r="H3" s="269"/>
      <c r="I3" s="269"/>
      <c r="J3" s="269"/>
      <c r="K3" s="269"/>
      <c r="L3" s="269"/>
      <c r="M3" s="269"/>
      <c r="N3" s="269"/>
      <c r="O3" s="269"/>
      <c r="P3" s="269"/>
      <c r="Q3" s="270"/>
    </row>
    <row r="4" spans="2:17" ht="31" x14ac:dyDescent="0.35">
      <c r="B4" s="65" t="s">
        <v>0</v>
      </c>
      <c r="C4" s="66" t="s">
        <v>233</v>
      </c>
      <c r="D4" s="66" t="s">
        <v>234</v>
      </c>
      <c r="E4" s="66" t="s">
        <v>235</v>
      </c>
      <c r="F4" s="66" t="s">
        <v>236</v>
      </c>
      <c r="G4" s="66" t="s">
        <v>237</v>
      </c>
      <c r="H4" s="66" t="s">
        <v>238</v>
      </c>
      <c r="I4" s="66" t="s">
        <v>239</v>
      </c>
      <c r="J4" s="66" t="s">
        <v>238</v>
      </c>
      <c r="K4" s="66" t="s">
        <v>240</v>
      </c>
      <c r="L4" s="66" t="s">
        <v>241</v>
      </c>
      <c r="M4" s="66" t="s">
        <v>209</v>
      </c>
      <c r="N4" s="66" t="s">
        <v>210</v>
      </c>
      <c r="O4" s="66" t="s">
        <v>242</v>
      </c>
      <c r="P4" s="66" t="s">
        <v>211</v>
      </c>
      <c r="Q4" s="66" t="s">
        <v>243</v>
      </c>
    </row>
    <row r="5" spans="2:17" ht="20" customHeight="1" x14ac:dyDescent="0.35">
      <c r="B5" s="338" t="s">
        <v>17</v>
      </c>
      <c r="C5" s="269"/>
      <c r="D5" s="269"/>
      <c r="E5" s="269"/>
      <c r="F5" s="269"/>
      <c r="G5" s="269"/>
      <c r="H5" s="269"/>
      <c r="I5" s="269"/>
      <c r="J5" s="269"/>
      <c r="K5" s="269"/>
      <c r="L5" s="269"/>
      <c r="M5" s="269"/>
      <c r="N5" s="269"/>
      <c r="O5" s="269"/>
      <c r="P5" s="269"/>
      <c r="Q5" s="270"/>
    </row>
    <row r="6" spans="2:17" ht="20" customHeight="1" x14ac:dyDescent="0.35">
      <c r="B6" s="67" t="s">
        <v>66</v>
      </c>
      <c r="C6" s="70">
        <v>12772094.786590859</v>
      </c>
      <c r="D6" s="70">
        <v>0</v>
      </c>
      <c r="E6" s="70">
        <v>3556213.8101900001</v>
      </c>
      <c r="F6" s="70">
        <v>9215880.9764008578</v>
      </c>
      <c r="G6" s="70">
        <v>2967969.9640000002</v>
      </c>
      <c r="H6" s="70">
        <v>0</v>
      </c>
      <c r="I6" s="70">
        <v>3430371.9576900001</v>
      </c>
      <c r="J6" s="70">
        <v>0</v>
      </c>
      <c r="K6" s="70">
        <v>8753478.9827108569</v>
      </c>
      <c r="L6" s="70">
        <v>6481462.3001836259</v>
      </c>
      <c r="M6" s="70">
        <v>859472.84660175233</v>
      </c>
      <c r="N6" s="70">
        <v>1444506.8746300009</v>
      </c>
      <c r="O6" s="70">
        <v>-31963.038704522642</v>
      </c>
      <c r="P6" s="70">
        <v>749979.12046999997</v>
      </c>
      <c r="Q6" s="73">
        <v>718016.0817654772</v>
      </c>
    </row>
    <row r="7" spans="2:17" ht="20" customHeight="1" x14ac:dyDescent="0.35">
      <c r="B7" s="67" t="s">
        <v>67</v>
      </c>
      <c r="C7" s="70">
        <v>3850884.6854899991</v>
      </c>
      <c r="D7" s="70">
        <v>0</v>
      </c>
      <c r="E7" s="70">
        <v>216328.46421999999</v>
      </c>
      <c r="F7" s="70">
        <v>3634556.2212700001</v>
      </c>
      <c r="G7" s="70">
        <v>589926.84525865212</v>
      </c>
      <c r="H7" s="70">
        <v>0</v>
      </c>
      <c r="I7" s="70">
        <v>633890.26264388533</v>
      </c>
      <c r="J7" s="70">
        <v>0</v>
      </c>
      <c r="K7" s="70">
        <v>3590592.8038847661</v>
      </c>
      <c r="L7" s="70">
        <v>2626692.150454985</v>
      </c>
      <c r="M7" s="70">
        <v>378088.5539399999</v>
      </c>
      <c r="N7" s="70">
        <v>1084958.7139999999</v>
      </c>
      <c r="O7" s="70">
        <v>-499146.61451021838</v>
      </c>
      <c r="P7" s="70">
        <v>195543.30421197569</v>
      </c>
      <c r="Q7" s="73">
        <v>-303603.31029824249</v>
      </c>
    </row>
    <row r="8" spans="2:17" ht="20" customHeight="1" x14ac:dyDescent="0.35">
      <c r="B8" s="67" t="s">
        <v>68</v>
      </c>
      <c r="C8" s="70">
        <v>18841474.662</v>
      </c>
      <c r="D8" s="70">
        <v>539759.26</v>
      </c>
      <c r="E8" s="70">
        <v>6773904.5920100007</v>
      </c>
      <c r="F8" s="70">
        <v>12607329.32999</v>
      </c>
      <c r="G8" s="70">
        <v>4044792.4492455348</v>
      </c>
      <c r="H8" s="70">
        <v>0</v>
      </c>
      <c r="I8" s="70">
        <v>4324500.8344819667</v>
      </c>
      <c r="J8" s="70">
        <v>0</v>
      </c>
      <c r="K8" s="70">
        <v>12327620.94475357</v>
      </c>
      <c r="L8" s="70">
        <v>8972232.3275126796</v>
      </c>
      <c r="M8" s="70">
        <v>874131.60369775468</v>
      </c>
      <c r="N8" s="70">
        <v>2848936.1641027918</v>
      </c>
      <c r="O8" s="70">
        <v>-367679.1505596572</v>
      </c>
      <c r="P8" s="70">
        <v>2056160.298864837</v>
      </c>
      <c r="Q8" s="73">
        <v>1688481.1483051791</v>
      </c>
    </row>
    <row r="9" spans="2:17" ht="20" customHeight="1" x14ac:dyDescent="0.35">
      <c r="B9" s="67" t="s">
        <v>69</v>
      </c>
      <c r="C9" s="70">
        <v>14290836.120850669</v>
      </c>
      <c r="D9" s="70">
        <v>653927.15945000004</v>
      </c>
      <c r="E9" s="70">
        <v>3761088.0085850479</v>
      </c>
      <c r="F9" s="70">
        <v>11183675.271715621</v>
      </c>
      <c r="G9" s="70">
        <v>3723853.0342600001</v>
      </c>
      <c r="H9" s="70">
        <v>0</v>
      </c>
      <c r="I9" s="70">
        <v>4241221.1510699997</v>
      </c>
      <c r="J9" s="70">
        <v>0</v>
      </c>
      <c r="K9" s="70">
        <v>10666307.154905619</v>
      </c>
      <c r="L9" s="70">
        <v>7198389.6800603811</v>
      </c>
      <c r="M9" s="70">
        <v>795755.47345000005</v>
      </c>
      <c r="N9" s="70">
        <v>2626636.5320799998</v>
      </c>
      <c r="O9" s="70">
        <v>45525.469315238057</v>
      </c>
      <c r="P9" s="70">
        <v>1995819.8007400001</v>
      </c>
      <c r="Q9" s="73">
        <v>2041345.2700552379</v>
      </c>
    </row>
    <row r="10" spans="2:17" ht="20" customHeight="1" x14ac:dyDescent="0.35">
      <c r="B10" s="67" t="s">
        <v>70</v>
      </c>
      <c r="C10" s="70">
        <v>5329053.4579999996</v>
      </c>
      <c r="D10" s="70">
        <v>0</v>
      </c>
      <c r="E10" s="70">
        <v>4859184.17</v>
      </c>
      <c r="F10" s="70">
        <v>469869.288</v>
      </c>
      <c r="G10" s="70">
        <v>0</v>
      </c>
      <c r="H10" s="70">
        <v>0</v>
      </c>
      <c r="I10" s="70">
        <v>318224.288</v>
      </c>
      <c r="J10" s="70">
        <v>0</v>
      </c>
      <c r="K10" s="70">
        <v>151645</v>
      </c>
      <c r="L10" s="70">
        <v>108469.76300000001</v>
      </c>
      <c r="M10" s="70">
        <v>98631.271999999997</v>
      </c>
      <c r="N10" s="70">
        <v>322906.158</v>
      </c>
      <c r="O10" s="70">
        <v>-378362.19300000003</v>
      </c>
      <c r="P10" s="70">
        <v>81144.823000000004</v>
      </c>
      <c r="Q10" s="73">
        <v>-297217.37</v>
      </c>
    </row>
    <row r="11" spans="2:17" ht="20" customHeight="1" x14ac:dyDescent="0.35">
      <c r="B11" s="67" t="s">
        <v>71</v>
      </c>
      <c r="C11" s="70">
        <v>2403637.5862199999</v>
      </c>
      <c r="D11" s="70">
        <v>13369.616</v>
      </c>
      <c r="E11" s="70">
        <v>569379.42461110186</v>
      </c>
      <c r="F11" s="70">
        <v>1847627.777608898</v>
      </c>
      <c r="G11" s="70">
        <v>830728.49263085006</v>
      </c>
      <c r="H11" s="70">
        <v>49376.789589923217</v>
      </c>
      <c r="I11" s="70">
        <v>860906.6430572205</v>
      </c>
      <c r="J11" s="70">
        <v>71427.199372779622</v>
      </c>
      <c r="K11" s="70">
        <v>1795399.217399671</v>
      </c>
      <c r="L11" s="70">
        <v>1620324.875251031</v>
      </c>
      <c r="M11" s="70">
        <v>159072.185</v>
      </c>
      <c r="N11" s="70">
        <v>573278.71922957315</v>
      </c>
      <c r="O11" s="70">
        <v>-557276.56208093255</v>
      </c>
      <c r="P11" s="70">
        <v>498788.08403687383</v>
      </c>
      <c r="Q11" s="73">
        <v>-58488.47804405872</v>
      </c>
    </row>
    <row r="12" spans="2:17" ht="20" customHeight="1" x14ac:dyDescent="0.35">
      <c r="B12" s="67" t="s">
        <v>72</v>
      </c>
      <c r="C12" s="70">
        <v>20089545.500082809</v>
      </c>
      <c r="D12" s="70">
        <v>551953.11946000007</v>
      </c>
      <c r="E12" s="70">
        <v>2312370.7551099998</v>
      </c>
      <c r="F12" s="70">
        <v>18329127.864432812</v>
      </c>
      <c r="G12" s="70">
        <v>5471326.9546400001</v>
      </c>
      <c r="H12" s="70">
        <v>0</v>
      </c>
      <c r="I12" s="70">
        <v>7016778.9477700004</v>
      </c>
      <c r="J12" s="70">
        <v>0</v>
      </c>
      <c r="K12" s="70">
        <v>16783675.87130281</v>
      </c>
      <c r="L12" s="70">
        <v>12161966.55886</v>
      </c>
      <c r="M12" s="70">
        <v>1681857.1259999999</v>
      </c>
      <c r="N12" s="70">
        <v>3405057.403849999</v>
      </c>
      <c r="O12" s="70">
        <v>-465205.21740719152</v>
      </c>
      <c r="P12" s="70">
        <v>1741898.3042122719</v>
      </c>
      <c r="Q12" s="73">
        <v>1276693.086805081</v>
      </c>
    </row>
    <row r="13" spans="2:17" ht="20" customHeight="1" x14ac:dyDescent="0.35">
      <c r="B13" s="67" t="s">
        <v>73</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20" customHeight="1" x14ac:dyDescent="0.35">
      <c r="B14" s="67" t="s">
        <v>74</v>
      </c>
      <c r="C14" s="70">
        <v>1148723.7723838999</v>
      </c>
      <c r="D14" s="70">
        <v>0</v>
      </c>
      <c r="E14" s="70">
        <v>122534.284</v>
      </c>
      <c r="F14" s="70">
        <v>1026189.4883839</v>
      </c>
      <c r="G14" s="70">
        <v>0</v>
      </c>
      <c r="H14" s="70">
        <v>0</v>
      </c>
      <c r="I14" s="70">
        <v>437284.34700000001</v>
      </c>
      <c r="J14" s="70">
        <v>0</v>
      </c>
      <c r="K14" s="70">
        <v>588905.14138389984</v>
      </c>
      <c r="L14" s="70">
        <v>230947.302</v>
      </c>
      <c r="M14" s="70">
        <v>52031.926883391978</v>
      </c>
      <c r="N14" s="70">
        <v>540741.68064913177</v>
      </c>
      <c r="O14" s="70">
        <v>-234815.76814862399</v>
      </c>
      <c r="P14" s="70">
        <v>34591.834949999997</v>
      </c>
      <c r="Q14" s="73">
        <v>-200223.93319862409</v>
      </c>
    </row>
    <row r="15" spans="2:17" ht="20" customHeight="1" x14ac:dyDescent="0.35">
      <c r="B15" s="67" t="s">
        <v>75</v>
      </c>
      <c r="C15" s="70">
        <v>2734058.5005099992</v>
      </c>
      <c r="D15" s="70">
        <v>0</v>
      </c>
      <c r="E15" s="70">
        <v>61924.504000000001</v>
      </c>
      <c r="F15" s="70">
        <v>2672133.99651</v>
      </c>
      <c r="G15" s="70">
        <v>665175.69063999993</v>
      </c>
      <c r="H15" s="70">
        <v>0</v>
      </c>
      <c r="I15" s="70">
        <v>784592.94646480808</v>
      </c>
      <c r="J15" s="70">
        <v>0</v>
      </c>
      <c r="K15" s="70">
        <v>2552716.740685191</v>
      </c>
      <c r="L15" s="70">
        <v>2254232.9396173232</v>
      </c>
      <c r="M15" s="70">
        <v>285767.25908160012</v>
      </c>
      <c r="N15" s="70">
        <v>1153739.590754868</v>
      </c>
      <c r="O15" s="70">
        <v>-1141023.0487686009</v>
      </c>
      <c r="P15" s="70">
        <v>239822.88436</v>
      </c>
      <c r="Q15" s="73">
        <v>-901200.16440860054</v>
      </c>
    </row>
    <row r="16" spans="2:17" ht="20" customHeight="1" x14ac:dyDescent="0.35">
      <c r="B16" s="67" t="s">
        <v>76</v>
      </c>
      <c r="C16" s="70">
        <v>1789049.534824182</v>
      </c>
      <c r="D16" s="70">
        <v>0</v>
      </c>
      <c r="E16" s="70">
        <v>496545.90502496331</v>
      </c>
      <c r="F16" s="70">
        <v>1292503.6297992191</v>
      </c>
      <c r="G16" s="70">
        <v>0</v>
      </c>
      <c r="H16" s="70">
        <v>0</v>
      </c>
      <c r="I16" s="70">
        <v>157456.5281015553</v>
      </c>
      <c r="J16" s="70">
        <v>0</v>
      </c>
      <c r="K16" s="70">
        <v>1135047.1016976631</v>
      </c>
      <c r="L16" s="70">
        <v>733120.79398209986</v>
      </c>
      <c r="M16" s="70">
        <v>-173796.15870600479</v>
      </c>
      <c r="N16" s="70">
        <v>399190.90939427959</v>
      </c>
      <c r="O16" s="70">
        <v>176531.55702728851</v>
      </c>
      <c r="P16" s="70">
        <v>140156.94690027469</v>
      </c>
      <c r="Q16" s="73">
        <v>316688.5039275632</v>
      </c>
    </row>
    <row r="17" spans="2:17" ht="20" customHeight="1" x14ac:dyDescent="0.35">
      <c r="B17" s="67" t="s">
        <v>77</v>
      </c>
      <c r="C17" s="70">
        <v>19165.8596</v>
      </c>
      <c r="D17" s="70">
        <v>0</v>
      </c>
      <c r="E17" s="70">
        <v>1916.585</v>
      </c>
      <c r="F17" s="70">
        <v>17249.274600000001</v>
      </c>
      <c r="G17" s="70">
        <v>0</v>
      </c>
      <c r="H17" s="70">
        <v>0</v>
      </c>
      <c r="I17" s="70">
        <v>15431.131686208981</v>
      </c>
      <c r="J17" s="70">
        <v>0</v>
      </c>
      <c r="K17" s="70">
        <v>1818.1429137910211</v>
      </c>
      <c r="L17" s="70">
        <v>2999.73</v>
      </c>
      <c r="M17" s="70">
        <v>1581.1839600000001</v>
      </c>
      <c r="N17" s="70">
        <v>10449.516347170789</v>
      </c>
      <c r="O17" s="70">
        <v>-13212.287393379769</v>
      </c>
      <c r="P17" s="70">
        <v>53098.030085792627</v>
      </c>
      <c r="Q17" s="73">
        <v>39885.742692412859</v>
      </c>
    </row>
    <row r="18" spans="2:17" ht="20" customHeight="1" x14ac:dyDescent="0.35">
      <c r="B18" s="67" t="s">
        <v>78</v>
      </c>
      <c r="C18" s="70">
        <v>5007053.2040200001</v>
      </c>
      <c r="D18" s="70">
        <v>6760.5910000000003</v>
      </c>
      <c r="E18" s="70">
        <v>1770646.871</v>
      </c>
      <c r="F18" s="70">
        <v>3243166.9240199998</v>
      </c>
      <c r="G18" s="70">
        <v>1083598.476</v>
      </c>
      <c r="H18" s="70">
        <v>0</v>
      </c>
      <c r="I18" s="70">
        <v>1394984.4909999999</v>
      </c>
      <c r="J18" s="70">
        <v>0</v>
      </c>
      <c r="K18" s="70">
        <v>2931780.9090200011</v>
      </c>
      <c r="L18" s="70">
        <v>2258323.7835200001</v>
      </c>
      <c r="M18" s="70">
        <v>234709.39804</v>
      </c>
      <c r="N18" s="70">
        <v>545922.59699999995</v>
      </c>
      <c r="O18" s="70">
        <v>-107174.86953999969</v>
      </c>
      <c r="P18" s="70">
        <v>454800.30200000003</v>
      </c>
      <c r="Q18" s="73">
        <v>347625.43246000027</v>
      </c>
    </row>
    <row r="19" spans="2:17" ht="20" customHeight="1" x14ac:dyDescent="0.35">
      <c r="B19" s="67" t="s">
        <v>79</v>
      </c>
      <c r="C19" s="70">
        <v>7144915.7230000002</v>
      </c>
      <c r="D19" s="70">
        <v>113250.902</v>
      </c>
      <c r="E19" s="70">
        <v>3372783.682889001</v>
      </c>
      <c r="F19" s="70">
        <v>3885382.942110999</v>
      </c>
      <c r="G19" s="70">
        <v>1251335.3972829999</v>
      </c>
      <c r="H19" s="70">
        <v>0</v>
      </c>
      <c r="I19" s="70">
        <v>1226470.835</v>
      </c>
      <c r="J19" s="70">
        <v>0</v>
      </c>
      <c r="K19" s="70">
        <v>3910247.5043939999</v>
      </c>
      <c r="L19" s="70">
        <v>2839978.0544199999</v>
      </c>
      <c r="M19" s="70">
        <v>200561.45235400001</v>
      </c>
      <c r="N19" s="70">
        <v>1098550.17856104</v>
      </c>
      <c r="O19" s="70">
        <v>-228842.1809410397</v>
      </c>
      <c r="P19" s="70">
        <v>345058</v>
      </c>
      <c r="Q19" s="73">
        <v>116215.8190589603</v>
      </c>
    </row>
    <row r="20" spans="2:17" ht="20" customHeight="1" x14ac:dyDescent="0.35">
      <c r="B20" s="67" t="s">
        <v>80</v>
      </c>
      <c r="C20" s="70">
        <v>17029903.840999998</v>
      </c>
      <c r="D20" s="70">
        <v>79708.702999999994</v>
      </c>
      <c r="E20" s="70">
        <v>9333814.4802676588</v>
      </c>
      <c r="F20" s="70">
        <v>7775798.0637323419</v>
      </c>
      <c r="G20" s="70">
        <v>2768185.753</v>
      </c>
      <c r="H20" s="70">
        <v>0</v>
      </c>
      <c r="I20" s="70">
        <v>2933940.929</v>
      </c>
      <c r="J20" s="70">
        <v>0</v>
      </c>
      <c r="K20" s="70">
        <v>7610042.8877323419</v>
      </c>
      <c r="L20" s="70">
        <v>5614185.0340470001</v>
      </c>
      <c r="M20" s="70">
        <v>88803.854799999957</v>
      </c>
      <c r="N20" s="70">
        <v>1704980.294</v>
      </c>
      <c r="O20" s="70">
        <v>202073.70488534149</v>
      </c>
      <c r="P20" s="70">
        <v>1661367.213</v>
      </c>
      <c r="Q20" s="73">
        <v>1863440.9178853419</v>
      </c>
    </row>
    <row r="21" spans="2:17" ht="20" customHeight="1" x14ac:dyDescent="0.35">
      <c r="B21" s="67" t="s">
        <v>81</v>
      </c>
      <c r="C21" s="70">
        <v>4939730.8420000002</v>
      </c>
      <c r="D21" s="70">
        <v>84212.134000000005</v>
      </c>
      <c r="E21" s="70">
        <v>1723550.5290000001</v>
      </c>
      <c r="F21" s="70">
        <v>3300392.4470000002</v>
      </c>
      <c r="G21" s="70">
        <v>1644927.7320000001</v>
      </c>
      <c r="H21" s="70">
        <v>0</v>
      </c>
      <c r="I21" s="70">
        <v>1461759.0430000001</v>
      </c>
      <c r="J21" s="70">
        <v>0</v>
      </c>
      <c r="K21" s="70">
        <v>3483561.1359999999</v>
      </c>
      <c r="L21" s="70">
        <v>3001332.7919999999</v>
      </c>
      <c r="M21" s="70">
        <v>235759.84</v>
      </c>
      <c r="N21" s="70">
        <v>1007903.59779</v>
      </c>
      <c r="O21" s="70">
        <v>-761435.09379000007</v>
      </c>
      <c r="P21" s="70">
        <v>328546.17739999999</v>
      </c>
      <c r="Q21" s="73">
        <v>-432888.91639000009</v>
      </c>
    </row>
    <row r="22" spans="2:17" ht="20" customHeight="1" x14ac:dyDescent="0.35">
      <c r="B22" s="67" t="s">
        <v>82</v>
      </c>
      <c r="C22" s="70">
        <v>8653960.9169999994</v>
      </c>
      <c r="D22" s="70">
        <v>389914.24300000002</v>
      </c>
      <c r="E22" s="70">
        <v>4155181.6488840939</v>
      </c>
      <c r="F22" s="70">
        <v>4888693.5111159058</v>
      </c>
      <c r="G22" s="70">
        <v>1825026.047</v>
      </c>
      <c r="H22" s="70">
        <v>8089.86</v>
      </c>
      <c r="I22" s="70">
        <v>1984318.6140000001</v>
      </c>
      <c r="J22" s="70">
        <v>8089.86</v>
      </c>
      <c r="K22" s="70">
        <v>4729400.944115906</v>
      </c>
      <c r="L22" s="70">
        <v>2361309.497</v>
      </c>
      <c r="M22" s="70">
        <v>323419.93444391928</v>
      </c>
      <c r="N22" s="70">
        <v>2000275.4699112619</v>
      </c>
      <c r="O22" s="70">
        <v>44396.042760724253</v>
      </c>
      <c r="P22" s="70">
        <v>1526620.3522399999</v>
      </c>
      <c r="Q22" s="73">
        <v>1571016.3950007239</v>
      </c>
    </row>
    <row r="23" spans="2:17" ht="20" customHeight="1" x14ac:dyDescent="0.35">
      <c r="B23" s="67" t="s">
        <v>83</v>
      </c>
      <c r="C23" s="70">
        <v>3459125.09</v>
      </c>
      <c r="D23" s="70">
        <v>29361.498</v>
      </c>
      <c r="E23" s="70">
        <v>1032578.451</v>
      </c>
      <c r="F23" s="70">
        <v>2455908.1370000001</v>
      </c>
      <c r="G23" s="70">
        <v>725740.03300000005</v>
      </c>
      <c r="H23" s="70">
        <v>0</v>
      </c>
      <c r="I23" s="70">
        <v>967402.97900000005</v>
      </c>
      <c r="J23" s="70">
        <v>0</v>
      </c>
      <c r="K23" s="70">
        <v>2214245.1910000001</v>
      </c>
      <c r="L23" s="70">
        <v>991377.54599999997</v>
      </c>
      <c r="M23" s="70">
        <v>210134.00099999999</v>
      </c>
      <c r="N23" s="70">
        <v>570760.90399999998</v>
      </c>
      <c r="O23" s="70">
        <v>441972.74</v>
      </c>
      <c r="P23" s="70">
        <v>158670.38200000001</v>
      </c>
      <c r="Q23" s="73">
        <v>600643.12199999997</v>
      </c>
    </row>
    <row r="24" spans="2:17" ht="20" customHeight="1" x14ac:dyDescent="0.35">
      <c r="B24" s="67" t="s">
        <v>84</v>
      </c>
      <c r="C24" s="70">
        <v>17047504.554162528</v>
      </c>
      <c r="D24" s="70">
        <v>0</v>
      </c>
      <c r="E24" s="70">
        <v>140821.18413403019</v>
      </c>
      <c r="F24" s="70">
        <v>16906683.3700285</v>
      </c>
      <c r="G24" s="70">
        <v>5351714.060349999</v>
      </c>
      <c r="H24" s="70">
        <v>0</v>
      </c>
      <c r="I24" s="70">
        <v>5630729.5692599993</v>
      </c>
      <c r="J24" s="70">
        <v>0</v>
      </c>
      <c r="K24" s="70">
        <v>16627667.861118499</v>
      </c>
      <c r="L24" s="70">
        <v>13613006.617000001</v>
      </c>
      <c r="M24" s="70">
        <v>1486366.526116679</v>
      </c>
      <c r="N24" s="70">
        <v>2252426.4407100002</v>
      </c>
      <c r="O24" s="70">
        <v>-724131.72270817589</v>
      </c>
      <c r="P24" s="70">
        <v>1229455</v>
      </c>
      <c r="Q24" s="73">
        <v>505323.27729182428</v>
      </c>
    </row>
    <row r="25" spans="2:17" ht="20" customHeight="1" x14ac:dyDescent="0.35">
      <c r="B25" s="67" t="s">
        <v>85</v>
      </c>
      <c r="C25" s="70">
        <v>2601542.4780000001</v>
      </c>
      <c r="D25" s="70">
        <v>71913.587</v>
      </c>
      <c r="E25" s="70">
        <v>1066890.4439999999</v>
      </c>
      <c r="F25" s="70">
        <v>1606565.621</v>
      </c>
      <c r="G25" s="70">
        <v>489976.89199999999</v>
      </c>
      <c r="H25" s="70">
        <v>62714.544999999998</v>
      </c>
      <c r="I25" s="70">
        <v>495623.07400000002</v>
      </c>
      <c r="J25" s="70">
        <v>74774.551999999996</v>
      </c>
      <c r="K25" s="70">
        <v>1588859.432</v>
      </c>
      <c r="L25" s="70">
        <v>1093104.3330000001</v>
      </c>
      <c r="M25" s="70">
        <v>110001.477</v>
      </c>
      <c r="N25" s="70">
        <v>782107.08100000001</v>
      </c>
      <c r="O25" s="70">
        <v>-396353.45899999997</v>
      </c>
      <c r="P25" s="70">
        <v>629189.995</v>
      </c>
      <c r="Q25" s="73">
        <v>232836.53599999999</v>
      </c>
    </row>
    <row r="26" spans="2:17" ht="20" customHeight="1" x14ac:dyDescent="0.35">
      <c r="B26" s="67" t="s">
        <v>86</v>
      </c>
      <c r="C26" s="70">
        <v>1113669.6431499999</v>
      </c>
      <c r="D26" s="70">
        <v>0</v>
      </c>
      <c r="E26" s="70">
        <v>187361.86087480799</v>
      </c>
      <c r="F26" s="70">
        <v>926307.78227519221</v>
      </c>
      <c r="G26" s="70">
        <v>692741.49567781261</v>
      </c>
      <c r="H26" s="70">
        <v>161947.43833734721</v>
      </c>
      <c r="I26" s="70">
        <v>508658.82022854377</v>
      </c>
      <c r="J26" s="70">
        <v>116772.1322000151</v>
      </c>
      <c r="K26" s="70">
        <v>1155565.7638617931</v>
      </c>
      <c r="L26" s="70">
        <v>335373.0314066612</v>
      </c>
      <c r="M26" s="70">
        <v>90885.519272000049</v>
      </c>
      <c r="N26" s="70">
        <v>467061.71151000011</v>
      </c>
      <c r="O26" s="70">
        <v>262245.50167313177</v>
      </c>
      <c r="P26" s="70">
        <v>56111.116189999993</v>
      </c>
      <c r="Q26" s="73">
        <v>318356.61786313192</v>
      </c>
    </row>
    <row r="27" spans="2:17" ht="20" customHeight="1" x14ac:dyDescent="0.35">
      <c r="B27" s="67" t="s">
        <v>87</v>
      </c>
      <c r="C27" s="70">
        <v>9437990.4179400001</v>
      </c>
      <c r="D27" s="70">
        <v>1474.298</v>
      </c>
      <c r="E27" s="70">
        <v>2502609.9400315601</v>
      </c>
      <c r="F27" s="70">
        <v>6936854.7759084413</v>
      </c>
      <c r="G27" s="70">
        <v>2638852.804</v>
      </c>
      <c r="H27" s="70">
        <v>120798.6077023337</v>
      </c>
      <c r="I27" s="70">
        <v>2662489.412726027</v>
      </c>
      <c r="J27" s="70">
        <v>5827.3621977284174</v>
      </c>
      <c r="K27" s="70">
        <v>7028189.4126870204</v>
      </c>
      <c r="L27" s="70">
        <v>5216996.5577265881</v>
      </c>
      <c r="M27" s="70">
        <v>419407.77478482679</v>
      </c>
      <c r="N27" s="70">
        <v>1391267.2858925159</v>
      </c>
      <c r="O27" s="70">
        <v>517.79428308899696</v>
      </c>
      <c r="P27" s="70">
        <v>346840.61195999989</v>
      </c>
      <c r="Q27" s="73">
        <v>347358.40624308889</v>
      </c>
    </row>
    <row r="28" spans="2:17" ht="20" customHeight="1" x14ac:dyDescent="0.35">
      <c r="B28" s="67" t="s">
        <v>88</v>
      </c>
      <c r="C28" s="70">
        <v>8712440.9829999991</v>
      </c>
      <c r="D28" s="70">
        <v>298977.609</v>
      </c>
      <c r="E28" s="70">
        <v>4953954.1330000004</v>
      </c>
      <c r="F28" s="70">
        <v>4057464.4589999998</v>
      </c>
      <c r="G28" s="70">
        <v>1220025.9029999999</v>
      </c>
      <c r="H28" s="70">
        <v>0</v>
      </c>
      <c r="I28" s="70">
        <v>1511783.40998795</v>
      </c>
      <c r="J28" s="70">
        <v>0</v>
      </c>
      <c r="K28" s="70">
        <v>3765706.95201205</v>
      </c>
      <c r="L28" s="70">
        <v>1973544.9740199321</v>
      </c>
      <c r="M28" s="70">
        <v>198606.96400000001</v>
      </c>
      <c r="N28" s="70">
        <v>1063149.6924433641</v>
      </c>
      <c r="O28" s="70">
        <v>530405.32154875353</v>
      </c>
      <c r="P28" s="70">
        <v>914619.94499999995</v>
      </c>
      <c r="Q28" s="73">
        <v>1445025.266548753</v>
      </c>
    </row>
    <row r="29" spans="2:17" ht="20" customHeight="1" x14ac:dyDescent="0.35">
      <c r="B29" s="67" t="s">
        <v>89</v>
      </c>
      <c r="C29" s="70">
        <v>2134697.4750000001</v>
      </c>
      <c r="D29" s="70">
        <v>22093.704000000002</v>
      </c>
      <c r="E29" s="70">
        <v>950696.67700000003</v>
      </c>
      <c r="F29" s="70">
        <v>1206094.5020000001</v>
      </c>
      <c r="G29" s="70">
        <v>328671.73336549453</v>
      </c>
      <c r="H29" s="70">
        <v>0</v>
      </c>
      <c r="I29" s="70">
        <v>351622.25099999999</v>
      </c>
      <c r="J29" s="70">
        <v>0</v>
      </c>
      <c r="K29" s="70">
        <v>1183143.984365494</v>
      </c>
      <c r="L29" s="70">
        <v>832334.82389507</v>
      </c>
      <c r="M29" s="70">
        <v>92884.459000000003</v>
      </c>
      <c r="N29" s="70">
        <v>817701.64500000002</v>
      </c>
      <c r="O29" s="70">
        <v>-559776.94352957525</v>
      </c>
      <c r="P29" s="70">
        <v>238713.46414000011</v>
      </c>
      <c r="Q29" s="73">
        <v>-321063.47938957519</v>
      </c>
    </row>
    <row r="30" spans="2:17" ht="20" customHeight="1" x14ac:dyDescent="0.35">
      <c r="B30" s="67" t="s">
        <v>90</v>
      </c>
      <c r="C30" s="70">
        <v>3411629.1552300001</v>
      </c>
      <c r="D30" s="70">
        <v>220910.43122</v>
      </c>
      <c r="E30" s="70">
        <v>1780992.1359000211</v>
      </c>
      <c r="F30" s="70">
        <v>1851547.450549979</v>
      </c>
      <c r="G30" s="70">
        <v>651091.86143000214</v>
      </c>
      <c r="H30" s="70">
        <v>0</v>
      </c>
      <c r="I30" s="70">
        <v>809836.77814000123</v>
      </c>
      <c r="J30" s="70">
        <v>0</v>
      </c>
      <c r="K30" s="70">
        <v>1692802.5338399799</v>
      </c>
      <c r="L30" s="70">
        <v>647669.2297015615</v>
      </c>
      <c r="M30" s="70">
        <v>-10817.4121082769</v>
      </c>
      <c r="N30" s="70">
        <v>1092219.695847627</v>
      </c>
      <c r="O30" s="70">
        <v>-36268.9796009325</v>
      </c>
      <c r="P30" s="70">
        <v>290036.95241999999</v>
      </c>
      <c r="Q30" s="73">
        <v>253767.97281906751</v>
      </c>
    </row>
    <row r="31" spans="2:17" ht="20" customHeight="1" x14ac:dyDescent="0.35">
      <c r="B31" s="67" t="s">
        <v>91</v>
      </c>
      <c r="C31" s="70">
        <v>1725282.1218699999</v>
      </c>
      <c r="D31" s="70">
        <v>12049.316999999999</v>
      </c>
      <c r="E31" s="70">
        <v>972890.8076899997</v>
      </c>
      <c r="F31" s="70">
        <v>764440.63118000026</v>
      </c>
      <c r="G31" s="70">
        <v>666702.17499547708</v>
      </c>
      <c r="H31" s="70">
        <v>0</v>
      </c>
      <c r="I31" s="70">
        <v>614042.86008868273</v>
      </c>
      <c r="J31" s="70">
        <v>0</v>
      </c>
      <c r="K31" s="70">
        <v>817099.94608679472</v>
      </c>
      <c r="L31" s="70">
        <v>341951.73723496118</v>
      </c>
      <c r="M31" s="70">
        <v>128109.62566000001</v>
      </c>
      <c r="N31" s="70">
        <v>405857.71100000001</v>
      </c>
      <c r="O31" s="70">
        <v>-58819.127808166573</v>
      </c>
      <c r="P31" s="70">
        <v>118260.713</v>
      </c>
      <c r="Q31" s="73">
        <v>59441.585191833452</v>
      </c>
    </row>
    <row r="32" spans="2:17" ht="20" customHeight="1" x14ac:dyDescent="0.35">
      <c r="B32" s="67" t="s">
        <v>92</v>
      </c>
      <c r="C32" s="70">
        <v>17779830.236609999</v>
      </c>
      <c r="D32" s="70">
        <v>583460.84968999994</v>
      </c>
      <c r="E32" s="70">
        <v>2483934.8466196391</v>
      </c>
      <c r="F32" s="70">
        <v>15879356.239680359</v>
      </c>
      <c r="G32" s="70">
        <v>5331830.7021956053</v>
      </c>
      <c r="H32" s="70">
        <v>109619.31600000001</v>
      </c>
      <c r="I32" s="70">
        <v>5642574.6623428296</v>
      </c>
      <c r="J32" s="70">
        <v>109619.31600000001</v>
      </c>
      <c r="K32" s="70">
        <v>15568612.27953314</v>
      </c>
      <c r="L32" s="70">
        <v>10506594.980792491</v>
      </c>
      <c r="M32" s="70">
        <v>1416443.6947936381</v>
      </c>
      <c r="N32" s="70">
        <v>3668700.1869999999</v>
      </c>
      <c r="O32" s="70">
        <v>-23126.583052996139</v>
      </c>
      <c r="P32" s="70">
        <v>1733730.5764200001</v>
      </c>
      <c r="Q32" s="73">
        <v>1710603.993367004</v>
      </c>
    </row>
    <row r="33" spans="2:17" ht="20" customHeight="1" x14ac:dyDescent="0.35">
      <c r="B33" s="67" t="s">
        <v>93</v>
      </c>
      <c r="C33" s="70">
        <v>3536786.335</v>
      </c>
      <c r="D33" s="70">
        <v>0</v>
      </c>
      <c r="E33" s="70">
        <v>627872.07999999996</v>
      </c>
      <c r="F33" s="70">
        <v>2908914.2549999999</v>
      </c>
      <c r="G33" s="70">
        <v>1115221.0549999999</v>
      </c>
      <c r="H33" s="70">
        <v>0</v>
      </c>
      <c r="I33" s="70">
        <v>1239551.1370000001</v>
      </c>
      <c r="J33" s="70">
        <v>0</v>
      </c>
      <c r="K33" s="70">
        <v>2784584.173</v>
      </c>
      <c r="L33" s="70">
        <v>1564055.23</v>
      </c>
      <c r="M33" s="70">
        <v>306243.62099999998</v>
      </c>
      <c r="N33" s="70">
        <v>925189.82200000004</v>
      </c>
      <c r="O33" s="70">
        <v>-10904.5</v>
      </c>
      <c r="P33" s="70">
        <v>167413.535</v>
      </c>
      <c r="Q33" s="73">
        <v>156509.035</v>
      </c>
    </row>
    <row r="34" spans="2:17" ht="20" customHeight="1" x14ac:dyDescent="0.35">
      <c r="B34" s="67" t="s">
        <v>94</v>
      </c>
      <c r="C34" s="70">
        <v>2960662.94142072</v>
      </c>
      <c r="D34" s="70">
        <v>54837.315999999999</v>
      </c>
      <c r="E34" s="70">
        <v>613407.49500000011</v>
      </c>
      <c r="F34" s="70">
        <v>2402092.76242072</v>
      </c>
      <c r="G34" s="70">
        <v>692176.64615145</v>
      </c>
      <c r="H34" s="70">
        <v>0</v>
      </c>
      <c r="I34" s="70">
        <v>861703.16799999995</v>
      </c>
      <c r="J34" s="70">
        <v>0</v>
      </c>
      <c r="K34" s="70">
        <v>2232566.2405721699</v>
      </c>
      <c r="L34" s="70">
        <v>1525998.9790000001</v>
      </c>
      <c r="M34" s="70">
        <v>238267.34</v>
      </c>
      <c r="N34" s="70">
        <v>524827.26800000004</v>
      </c>
      <c r="O34" s="70">
        <v>-56527.346427830082</v>
      </c>
      <c r="P34" s="70">
        <v>226370.31200000009</v>
      </c>
      <c r="Q34" s="73">
        <v>169842.96557217001</v>
      </c>
    </row>
    <row r="35" spans="2:17" ht="20" customHeight="1" x14ac:dyDescent="0.35">
      <c r="B35" s="67" t="s">
        <v>95</v>
      </c>
      <c r="C35" s="70">
        <v>7726888.8080000002</v>
      </c>
      <c r="D35" s="70">
        <v>0</v>
      </c>
      <c r="E35" s="70">
        <v>2932672.37</v>
      </c>
      <c r="F35" s="70">
        <v>4794216.4380000001</v>
      </c>
      <c r="G35" s="70">
        <v>2178257.2960000001</v>
      </c>
      <c r="H35" s="70">
        <v>0</v>
      </c>
      <c r="I35" s="70">
        <v>2227190.6519999998</v>
      </c>
      <c r="J35" s="70">
        <v>0</v>
      </c>
      <c r="K35" s="70">
        <v>4745283.0820000004</v>
      </c>
      <c r="L35" s="70">
        <v>2885252.1179999998</v>
      </c>
      <c r="M35" s="70">
        <v>413444.78499999997</v>
      </c>
      <c r="N35" s="70">
        <v>2561103.5042500002</v>
      </c>
      <c r="O35" s="70">
        <v>-1114517.32525</v>
      </c>
      <c r="P35" s="70">
        <v>983404.65500000003</v>
      </c>
      <c r="Q35" s="73">
        <v>-131112.67025</v>
      </c>
    </row>
    <row r="36" spans="2:17" ht="20" customHeight="1" x14ac:dyDescent="0.35">
      <c r="B36" s="67" t="s">
        <v>96</v>
      </c>
      <c r="C36" s="70">
        <v>2087052.645</v>
      </c>
      <c r="D36" s="70">
        <v>77194.476999999999</v>
      </c>
      <c r="E36" s="70">
        <v>327423.79499000002</v>
      </c>
      <c r="F36" s="70">
        <v>1836823.3270099999</v>
      </c>
      <c r="G36" s="70">
        <v>698675.33303901565</v>
      </c>
      <c r="H36" s="70">
        <v>285164.39925843087</v>
      </c>
      <c r="I36" s="70">
        <v>470112.45401260612</v>
      </c>
      <c r="J36" s="70">
        <v>277903.66964588821</v>
      </c>
      <c r="K36" s="70">
        <v>2072646.9356489519</v>
      </c>
      <c r="L36" s="70">
        <v>1746437.1499515011</v>
      </c>
      <c r="M36" s="70">
        <v>183260.54014623899</v>
      </c>
      <c r="N36" s="70">
        <v>383821.28550533752</v>
      </c>
      <c r="O36" s="70">
        <v>-240872.03995412521</v>
      </c>
      <c r="P36" s="70">
        <v>107996.82748333451</v>
      </c>
      <c r="Q36" s="73">
        <v>-132875.21247079081</v>
      </c>
    </row>
    <row r="37" spans="2:17" ht="20" customHeight="1" x14ac:dyDescent="0.35">
      <c r="B37" s="67" t="s">
        <v>97</v>
      </c>
      <c r="C37" s="70">
        <v>1031266.34412</v>
      </c>
      <c r="D37" s="70">
        <v>0</v>
      </c>
      <c r="E37" s="70">
        <v>175911.66914685519</v>
      </c>
      <c r="F37" s="70">
        <v>855354.67497314501</v>
      </c>
      <c r="G37" s="70">
        <v>423442.51903954841</v>
      </c>
      <c r="H37" s="70">
        <v>0</v>
      </c>
      <c r="I37" s="70">
        <v>429677.60556694452</v>
      </c>
      <c r="J37" s="70">
        <v>0</v>
      </c>
      <c r="K37" s="70">
        <v>849119.58844574867</v>
      </c>
      <c r="L37" s="70">
        <v>589142.54268078494</v>
      </c>
      <c r="M37" s="70">
        <v>48704.554479448787</v>
      </c>
      <c r="N37" s="70">
        <v>430969.70659927512</v>
      </c>
      <c r="O37" s="70">
        <v>-219697.21531376001</v>
      </c>
      <c r="P37" s="70">
        <v>0</v>
      </c>
      <c r="Q37" s="73">
        <v>-219697.21531376001</v>
      </c>
    </row>
    <row r="38" spans="2:17" ht="20" customHeight="1" x14ac:dyDescent="0.35">
      <c r="B38" s="67" t="s">
        <v>98</v>
      </c>
      <c r="C38" s="70">
        <v>2163495.6919999998</v>
      </c>
      <c r="D38" s="70">
        <v>28948.748</v>
      </c>
      <c r="E38" s="70">
        <v>870023.95268600271</v>
      </c>
      <c r="F38" s="70">
        <v>1322420.487313997</v>
      </c>
      <c r="G38" s="70">
        <v>287822.38799999998</v>
      </c>
      <c r="H38" s="70">
        <v>0</v>
      </c>
      <c r="I38" s="70">
        <v>289788.79599999997</v>
      </c>
      <c r="J38" s="70">
        <v>0</v>
      </c>
      <c r="K38" s="70">
        <v>1320454.0793139969</v>
      </c>
      <c r="L38" s="70">
        <v>380078.69523850048</v>
      </c>
      <c r="M38" s="70">
        <v>137966.55799999999</v>
      </c>
      <c r="N38" s="70">
        <v>572090.98892986018</v>
      </c>
      <c r="O38" s="70">
        <v>230317.83714563659</v>
      </c>
      <c r="P38" s="70">
        <v>347750.22080073977</v>
      </c>
      <c r="Q38" s="73">
        <v>578068.05794637662</v>
      </c>
    </row>
    <row r="39" spans="2:17" ht="20" customHeight="1" x14ac:dyDescent="0.35">
      <c r="B39" s="67" t="s">
        <v>99</v>
      </c>
      <c r="C39" s="70">
        <v>8594702.0739999991</v>
      </c>
      <c r="D39" s="70">
        <v>98554.262000000002</v>
      </c>
      <c r="E39" s="70">
        <v>1843546.7949999999</v>
      </c>
      <c r="F39" s="70">
        <v>6849709.5410000002</v>
      </c>
      <c r="G39" s="70">
        <v>2003990.946</v>
      </c>
      <c r="H39" s="70">
        <v>0</v>
      </c>
      <c r="I39" s="70">
        <v>2458037.34</v>
      </c>
      <c r="J39" s="70">
        <v>0</v>
      </c>
      <c r="K39" s="70">
        <v>6395663.1469999999</v>
      </c>
      <c r="L39" s="70">
        <v>4051768.6320000002</v>
      </c>
      <c r="M39" s="70">
        <v>506993.37</v>
      </c>
      <c r="N39" s="70">
        <v>2084622.7620000001</v>
      </c>
      <c r="O39" s="70">
        <v>-247721.617</v>
      </c>
      <c r="P39" s="70">
        <v>1602238.973</v>
      </c>
      <c r="Q39" s="73">
        <v>1354517.3559999999</v>
      </c>
    </row>
    <row r="40" spans="2:17" ht="20" customHeight="1" x14ac:dyDescent="0.35">
      <c r="B40" s="67" t="s">
        <v>100</v>
      </c>
      <c r="C40" s="70">
        <v>1666338.4557299961</v>
      </c>
      <c r="D40" s="70">
        <v>0</v>
      </c>
      <c r="E40" s="70">
        <v>55764.773000000001</v>
      </c>
      <c r="F40" s="70">
        <v>1610573.682729996</v>
      </c>
      <c r="G40" s="70">
        <v>804786.31</v>
      </c>
      <c r="H40" s="70">
        <v>14619.123</v>
      </c>
      <c r="I40" s="70">
        <v>624247.45453503844</v>
      </c>
      <c r="J40" s="70">
        <v>71157.797390597465</v>
      </c>
      <c r="K40" s="70">
        <v>1734573.8638043599</v>
      </c>
      <c r="L40" s="70">
        <v>1209556.5034845709</v>
      </c>
      <c r="M40" s="70">
        <v>97213.163</v>
      </c>
      <c r="N40" s="70">
        <v>892653.21355970984</v>
      </c>
      <c r="O40" s="70">
        <v>-464849.01623992057</v>
      </c>
      <c r="P40" s="70">
        <v>51710.242218181833</v>
      </c>
      <c r="Q40" s="73">
        <v>-413138.77402173879</v>
      </c>
    </row>
    <row r="41" spans="2:17" ht="20" customHeight="1" x14ac:dyDescent="0.35">
      <c r="B41" s="67" t="s">
        <v>101</v>
      </c>
      <c r="C41" s="70">
        <v>0</v>
      </c>
      <c r="D41" s="70">
        <v>0</v>
      </c>
      <c r="E41" s="70">
        <v>0</v>
      </c>
      <c r="F41" s="70">
        <v>0</v>
      </c>
      <c r="G41" s="70">
        <v>0</v>
      </c>
      <c r="H41" s="70">
        <v>0</v>
      </c>
      <c r="I41" s="70">
        <v>0</v>
      </c>
      <c r="J41" s="70">
        <v>0</v>
      </c>
      <c r="K41" s="70">
        <v>0</v>
      </c>
      <c r="L41" s="70">
        <v>0</v>
      </c>
      <c r="M41" s="70">
        <v>0</v>
      </c>
      <c r="N41" s="70">
        <v>0</v>
      </c>
      <c r="O41" s="70">
        <v>0</v>
      </c>
      <c r="P41" s="70">
        <v>0</v>
      </c>
      <c r="Q41" s="73">
        <v>0</v>
      </c>
    </row>
    <row r="42" spans="2:17" ht="20" customHeight="1" x14ac:dyDescent="0.35">
      <c r="B42" s="67" t="s">
        <v>102</v>
      </c>
      <c r="C42" s="70">
        <v>0</v>
      </c>
      <c r="D42" s="70">
        <v>0</v>
      </c>
      <c r="E42" s="70">
        <v>0</v>
      </c>
      <c r="F42" s="70">
        <v>0</v>
      </c>
      <c r="G42" s="70">
        <v>0</v>
      </c>
      <c r="H42" s="70">
        <v>0</v>
      </c>
      <c r="I42" s="70">
        <v>0</v>
      </c>
      <c r="J42" s="70">
        <v>0</v>
      </c>
      <c r="K42" s="70">
        <v>0</v>
      </c>
      <c r="L42" s="70">
        <v>0</v>
      </c>
      <c r="M42" s="70">
        <v>0</v>
      </c>
      <c r="N42" s="70">
        <v>0</v>
      </c>
      <c r="O42" s="70">
        <v>0</v>
      </c>
      <c r="P42" s="70">
        <v>0</v>
      </c>
      <c r="Q42" s="73">
        <v>0</v>
      </c>
    </row>
    <row r="43" spans="2:17" ht="20" customHeight="1" x14ac:dyDescent="0.35">
      <c r="B43" s="71" t="s">
        <v>24</v>
      </c>
      <c r="C43" s="72">
        <f t="shared" ref="C43:Q43" si="0">SUM(C6:C42)</f>
        <v>223234994.44380566</v>
      </c>
      <c r="D43" s="72">
        <f t="shared" si="0"/>
        <v>3932631.8248200002</v>
      </c>
      <c r="E43" s="72">
        <f t="shared" si="0"/>
        <v>66606721.124864787</v>
      </c>
      <c r="F43" s="72">
        <f t="shared" si="0"/>
        <v>160560905.14376083</v>
      </c>
      <c r="G43" s="72">
        <f t="shared" si="0"/>
        <v>53168566.98920244</v>
      </c>
      <c r="H43" s="72">
        <f t="shared" si="0"/>
        <v>812330.07888803503</v>
      </c>
      <c r="I43" s="72">
        <f t="shared" si="0"/>
        <v>59017205.373854265</v>
      </c>
      <c r="J43" s="72">
        <f t="shared" si="0"/>
        <v>735571.88880700874</v>
      </c>
      <c r="K43" s="72">
        <f t="shared" si="0"/>
        <v>154789024.94919011</v>
      </c>
      <c r="L43" s="72">
        <f t="shared" si="0"/>
        <v>107970211.26304176</v>
      </c>
      <c r="M43" s="72">
        <f t="shared" si="0"/>
        <v>12169964.31269097</v>
      </c>
      <c r="N43" s="72">
        <f t="shared" si="0"/>
        <v>41654565.305547796</v>
      </c>
      <c r="O43" s="72">
        <f t="shared" si="0"/>
        <v>-7005715.9320904436</v>
      </c>
      <c r="P43" s="72">
        <f t="shared" si="0"/>
        <v>21305908.998104278</v>
      </c>
      <c r="Q43" s="72">
        <f t="shared" si="0"/>
        <v>14300193.066013837</v>
      </c>
    </row>
    <row r="44" spans="2:17" ht="20" customHeight="1" x14ac:dyDescent="0.35">
      <c r="B44" s="338" t="s">
        <v>103</v>
      </c>
      <c r="C44" s="269"/>
      <c r="D44" s="269"/>
      <c r="E44" s="269"/>
      <c r="F44" s="269"/>
      <c r="G44" s="269"/>
      <c r="H44" s="269"/>
      <c r="I44" s="269"/>
      <c r="J44" s="269"/>
      <c r="K44" s="269"/>
      <c r="L44" s="269"/>
      <c r="M44" s="269"/>
      <c r="N44" s="269"/>
      <c r="O44" s="269"/>
      <c r="P44" s="269"/>
      <c r="Q44" s="270"/>
    </row>
    <row r="45" spans="2:17" ht="20" customHeight="1" x14ac:dyDescent="0.35">
      <c r="B45" s="67" t="s">
        <v>104</v>
      </c>
      <c r="C45" s="70">
        <v>0</v>
      </c>
      <c r="D45" s="70">
        <v>5085076.0839999998</v>
      </c>
      <c r="E45" s="70">
        <v>1376220.6089999999</v>
      </c>
      <c r="F45" s="70">
        <v>3708855.4750000001</v>
      </c>
      <c r="G45" s="70">
        <v>1380150.829336059</v>
      </c>
      <c r="H45" s="70">
        <v>0</v>
      </c>
      <c r="I45" s="70">
        <v>1022930.276009029</v>
      </c>
      <c r="J45" s="70">
        <v>0</v>
      </c>
      <c r="K45" s="70">
        <v>4066076.0283270292</v>
      </c>
      <c r="L45" s="70">
        <v>1919449.0342109681</v>
      </c>
      <c r="M45" s="70">
        <v>1615915.3847296201</v>
      </c>
      <c r="N45" s="70">
        <v>659675.67255650531</v>
      </c>
      <c r="O45" s="70">
        <v>-128964.0631700644</v>
      </c>
      <c r="P45" s="70">
        <v>240678.69689000011</v>
      </c>
      <c r="Q45" s="73">
        <v>111714.63371993561</v>
      </c>
    </row>
    <row r="46" spans="2:17" ht="20" customHeight="1" x14ac:dyDescent="0.35">
      <c r="B46" s="67" t="s">
        <v>105</v>
      </c>
      <c r="C46" s="70">
        <v>0</v>
      </c>
      <c r="D46" s="70">
        <v>4558138.4314914066</v>
      </c>
      <c r="E46" s="70">
        <v>818235.25988200342</v>
      </c>
      <c r="F46" s="70">
        <v>3739903.1716094031</v>
      </c>
      <c r="G46" s="70">
        <v>1435368.292549873</v>
      </c>
      <c r="H46" s="70">
        <v>1229.585935656743</v>
      </c>
      <c r="I46" s="70">
        <v>1544109.197107296</v>
      </c>
      <c r="J46" s="70">
        <v>1886.2099144058191</v>
      </c>
      <c r="K46" s="70">
        <v>3630505.6430732319</v>
      </c>
      <c r="L46" s="70">
        <v>2065381.097668451</v>
      </c>
      <c r="M46" s="70">
        <v>976396.01795623498</v>
      </c>
      <c r="N46" s="70">
        <v>485235.91971932608</v>
      </c>
      <c r="O46" s="70">
        <v>103492.60772921921</v>
      </c>
      <c r="P46" s="70">
        <v>591885.13595199992</v>
      </c>
      <c r="Q46" s="73">
        <v>695377.74368121906</v>
      </c>
    </row>
    <row r="47" spans="2:17" ht="20" customHeight="1" x14ac:dyDescent="0.35">
      <c r="B47" s="67" t="s">
        <v>106</v>
      </c>
      <c r="C47" s="70">
        <v>0</v>
      </c>
      <c r="D47" s="70">
        <v>4010943.895</v>
      </c>
      <c r="E47" s="70">
        <v>394422.41399999999</v>
      </c>
      <c r="F47" s="70">
        <v>3616521.4810000001</v>
      </c>
      <c r="G47" s="70">
        <v>1318672.9540487011</v>
      </c>
      <c r="H47" s="70">
        <v>5576.5574170708906</v>
      </c>
      <c r="I47" s="70">
        <v>1525584.9176978311</v>
      </c>
      <c r="J47" s="70">
        <v>52.909907175184287</v>
      </c>
      <c r="K47" s="70">
        <v>3415133.1648607668</v>
      </c>
      <c r="L47" s="70">
        <v>1779891.4520529839</v>
      </c>
      <c r="M47" s="70">
        <v>1096489.2760000001</v>
      </c>
      <c r="N47" s="70">
        <v>300534.05008000002</v>
      </c>
      <c r="O47" s="70">
        <v>238218.38672778159</v>
      </c>
      <c r="P47" s="70">
        <v>230000</v>
      </c>
      <c r="Q47" s="73">
        <v>468218.38672778168</v>
      </c>
    </row>
    <row r="48" spans="2:17" ht="20" customHeight="1" x14ac:dyDescent="0.35">
      <c r="B48" s="67" t="s">
        <v>107</v>
      </c>
      <c r="C48" s="70"/>
      <c r="D48" s="70">
        <v>12837330.948100001</v>
      </c>
      <c r="E48" s="70">
        <v>1634959.7133500001</v>
      </c>
      <c r="F48" s="70">
        <v>11202371.234750001</v>
      </c>
      <c r="G48" s="70">
        <v>3179349.2659999998</v>
      </c>
      <c r="H48" s="70">
        <v>148209.992</v>
      </c>
      <c r="I48" s="70">
        <v>3195276.263406754</v>
      </c>
      <c r="J48" s="70">
        <v>148209.992</v>
      </c>
      <c r="K48" s="70">
        <v>11186444.23734325</v>
      </c>
      <c r="L48" s="70">
        <v>7348240.5033599967</v>
      </c>
      <c r="M48" s="70">
        <v>3539242.738520002</v>
      </c>
      <c r="N48" s="70">
        <v>1874687.2350000001</v>
      </c>
      <c r="O48" s="70">
        <v>-1575726.2395367511</v>
      </c>
      <c r="P48" s="70">
        <v>4101738.925916811</v>
      </c>
      <c r="Q48" s="73">
        <v>2526012.6863800609</v>
      </c>
    </row>
    <row r="49" spans="2:17" ht="20" customHeight="1" x14ac:dyDescent="0.35">
      <c r="B49" s="67" t="s">
        <v>108</v>
      </c>
      <c r="C49" s="70">
        <v>0</v>
      </c>
      <c r="D49" s="70">
        <v>5952839.2490837947</v>
      </c>
      <c r="E49" s="70">
        <v>947838.29376868042</v>
      </c>
      <c r="F49" s="70">
        <v>5005000.955315114</v>
      </c>
      <c r="G49" s="70">
        <v>20891.524332478912</v>
      </c>
      <c r="H49" s="70">
        <v>0</v>
      </c>
      <c r="I49" s="70">
        <v>99374.032691285465</v>
      </c>
      <c r="J49" s="70">
        <v>0</v>
      </c>
      <c r="K49" s="70">
        <v>4926518.4469563076</v>
      </c>
      <c r="L49" s="70">
        <v>2679011.3370706751</v>
      </c>
      <c r="M49" s="70">
        <v>1487393.520844118</v>
      </c>
      <c r="N49" s="70">
        <v>337861.47266999999</v>
      </c>
      <c r="O49" s="70">
        <v>422252.11637151462</v>
      </c>
      <c r="P49" s="70">
        <v>340343.32455999992</v>
      </c>
      <c r="Q49" s="73">
        <v>762595.44093151449</v>
      </c>
    </row>
    <row r="50" spans="2:17" s="140" customFormat="1" ht="20" customHeight="1" x14ac:dyDescent="0.35">
      <c r="B50" s="71" t="s">
        <v>24</v>
      </c>
      <c r="C50" s="72">
        <f t="shared" ref="C50:Q50" si="1">SUM(C45:C49)</f>
        <v>0</v>
      </c>
      <c r="D50" s="72">
        <f t="shared" si="1"/>
        <v>32444328.607675202</v>
      </c>
      <c r="E50" s="72">
        <f t="shared" si="1"/>
        <v>5171676.2900006836</v>
      </c>
      <c r="F50" s="72">
        <f t="shared" si="1"/>
        <v>27272652.317674518</v>
      </c>
      <c r="G50" s="72">
        <f t="shared" si="1"/>
        <v>7334432.8662671112</v>
      </c>
      <c r="H50" s="72">
        <f t="shared" si="1"/>
        <v>155016.13535272764</v>
      </c>
      <c r="I50" s="72">
        <f t="shared" si="1"/>
        <v>7387274.6869121958</v>
      </c>
      <c r="J50" s="72">
        <f t="shared" si="1"/>
        <v>150149.111821581</v>
      </c>
      <c r="K50" s="72">
        <f t="shared" si="1"/>
        <v>27224677.520560585</v>
      </c>
      <c r="L50" s="72">
        <f t="shared" si="1"/>
        <v>15791973.424363075</v>
      </c>
      <c r="M50" s="72">
        <f t="shared" si="1"/>
        <v>8715436.9380499758</v>
      </c>
      <c r="N50" s="72">
        <f t="shared" si="1"/>
        <v>3657994.3500258317</v>
      </c>
      <c r="O50" s="72">
        <f t="shared" si="1"/>
        <v>-940727.19187830004</v>
      </c>
      <c r="P50" s="72">
        <f t="shared" si="1"/>
        <v>5504646.0833188109</v>
      </c>
      <c r="Q50" s="72">
        <f t="shared" si="1"/>
        <v>4563918.8914405117</v>
      </c>
    </row>
    <row r="51" spans="2:17" ht="20" customHeight="1" x14ac:dyDescent="0.35">
      <c r="B51" s="295" t="s">
        <v>25</v>
      </c>
      <c r="C51" s="272"/>
      <c r="D51" s="272"/>
      <c r="E51" s="272"/>
      <c r="F51" s="272"/>
      <c r="G51" s="272"/>
      <c r="H51" s="272"/>
      <c r="I51" s="272"/>
      <c r="J51" s="272"/>
      <c r="K51" s="272"/>
      <c r="L51" s="272"/>
      <c r="M51" s="272"/>
      <c r="N51" s="272"/>
      <c r="O51" s="272"/>
      <c r="P51" s="272"/>
      <c r="Q51" s="272"/>
    </row>
    <row r="52" spans="2:17" x14ac:dyDescent="0.35">
      <c r="B52" s="104"/>
      <c r="C52" s="206"/>
      <c r="D52" s="206"/>
      <c r="E52" s="206"/>
      <c r="F52" s="206"/>
      <c r="G52" s="206"/>
      <c r="H52" s="206"/>
      <c r="I52" s="206"/>
      <c r="J52" s="206"/>
      <c r="K52" s="206"/>
      <c r="L52" s="206"/>
      <c r="M52" s="206"/>
      <c r="N52" s="206"/>
      <c r="O52" s="206"/>
      <c r="P52" s="206"/>
      <c r="Q52" s="206"/>
    </row>
  </sheetData>
  <sheetProtection algorithmName="SHA-512" hashValue="iSXDBi8JqDx7qj09jsyD6+LJ0tcQUowujper/qwMjU6nq/vMf4FSUAfgSmhkmxlDKclJ4eJr1dUgUM18e2H7Mg==" saltValue="yGjfBBxzpej77To3YDToSg==" spinCount="100000" sheet="1" objects="1" scenarios="1"/>
  <mergeCells count="4">
    <mergeCell ref="B51:Q51"/>
    <mergeCell ref="B5:Q5"/>
    <mergeCell ref="B3:Q3"/>
    <mergeCell ref="B44:Q44"/>
  </mergeCells>
  <pageMargins left="0.7" right="0.7" top="0.75" bottom="0.75" header="0.3" footer="0.3"/>
  <pageSetup paperSize="9" scale="35"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3">
    <tabColor rgb="FF92D050"/>
    <pageSetUpPr fitToPage="1"/>
  </sheetPr>
  <dimension ref="B3:Q14"/>
  <sheetViews>
    <sheetView zoomScale="60" workbookViewId="0">
      <selection activeCell="B3" sqref="B3:Q13"/>
    </sheetView>
  </sheetViews>
  <sheetFormatPr defaultColWidth="12" defaultRowHeight="15.5" x14ac:dyDescent="0.35"/>
  <cols>
    <col min="1" max="1" width="17" style="76" customWidth="1"/>
    <col min="2" max="2" width="47.6328125" style="76" customWidth="1"/>
    <col min="3" max="17" width="22.54296875" style="76" customWidth="1"/>
    <col min="18" max="18" width="16.54296875" style="76" customWidth="1"/>
    <col min="19" max="19" width="16.54296875" style="76" bestFit="1" customWidth="1"/>
    <col min="20" max="106" width="12" style="76" customWidth="1"/>
    <col min="107" max="16384" width="12" style="76"/>
  </cols>
  <sheetData>
    <row r="3" spans="2:17" ht="32.5" customHeight="1" x14ac:dyDescent="0.35">
      <c r="B3" s="336" t="str">
        <f>_xlfn.CONCAT('Table of Contents'!B36,": ",'Table of Contents'!C36)</f>
        <v>APPENDIX 24: SUMMARY OF MICROINSURANCE BUSINESS REVENUE ACCOUNTS FOR THE PERIOD ENDED 31.12.2025</v>
      </c>
      <c r="C3" s="269"/>
      <c r="D3" s="269"/>
      <c r="E3" s="269"/>
      <c r="F3" s="269"/>
      <c r="G3" s="269"/>
      <c r="H3" s="269"/>
      <c r="I3" s="269"/>
      <c r="J3" s="269"/>
      <c r="K3" s="269"/>
      <c r="L3" s="269"/>
      <c r="M3" s="269"/>
      <c r="N3" s="269"/>
      <c r="O3" s="269"/>
      <c r="P3" s="269"/>
      <c r="Q3" s="270"/>
    </row>
    <row r="4" spans="2:17" ht="32.5" customHeight="1" x14ac:dyDescent="0.35">
      <c r="B4" s="65" t="s">
        <v>0</v>
      </c>
      <c r="C4" s="66" t="s">
        <v>233</v>
      </c>
      <c r="D4" s="66" t="s">
        <v>234</v>
      </c>
      <c r="E4" s="66" t="s">
        <v>235</v>
      </c>
      <c r="F4" s="66" t="s">
        <v>236</v>
      </c>
      <c r="G4" s="66" t="s">
        <v>237</v>
      </c>
      <c r="H4" s="66" t="s">
        <v>238</v>
      </c>
      <c r="I4" s="66" t="s">
        <v>239</v>
      </c>
      <c r="J4" s="66" t="s">
        <v>238</v>
      </c>
      <c r="K4" s="66" t="s">
        <v>240</v>
      </c>
      <c r="L4" s="66" t="s">
        <v>241</v>
      </c>
      <c r="M4" s="66" t="s">
        <v>209</v>
      </c>
      <c r="N4" s="66" t="s">
        <v>210</v>
      </c>
      <c r="O4" s="66" t="s">
        <v>242</v>
      </c>
      <c r="P4" s="66" t="s">
        <v>211</v>
      </c>
      <c r="Q4" s="66" t="s">
        <v>243</v>
      </c>
    </row>
    <row r="5" spans="2:17" ht="32.5" customHeight="1" x14ac:dyDescent="0.35">
      <c r="B5" s="338" t="s">
        <v>17</v>
      </c>
      <c r="C5" s="269"/>
      <c r="D5" s="269"/>
      <c r="E5" s="269"/>
      <c r="F5" s="269"/>
      <c r="G5" s="269"/>
      <c r="H5" s="269"/>
      <c r="I5" s="269"/>
      <c r="J5" s="269"/>
      <c r="K5" s="269"/>
      <c r="L5" s="269"/>
      <c r="M5" s="269"/>
      <c r="N5" s="269"/>
      <c r="O5" s="269"/>
      <c r="P5" s="269"/>
      <c r="Q5" s="270"/>
    </row>
    <row r="6" spans="2:17" ht="32.5" customHeight="1" x14ac:dyDescent="0.35">
      <c r="B6" s="67" t="s">
        <v>18</v>
      </c>
      <c r="C6" s="70">
        <v>0</v>
      </c>
      <c r="D6" s="70">
        <v>0</v>
      </c>
      <c r="E6" s="70">
        <v>0</v>
      </c>
      <c r="F6" s="70">
        <v>0</v>
      </c>
      <c r="G6" s="70">
        <v>0</v>
      </c>
      <c r="H6" s="70">
        <v>0</v>
      </c>
      <c r="I6" s="70">
        <v>0</v>
      </c>
      <c r="J6" s="70">
        <v>0</v>
      </c>
      <c r="K6" s="70">
        <v>0</v>
      </c>
      <c r="L6" s="70">
        <v>0</v>
      </c>
      <c r="M6" s="70">
        <v>0</v>
      </c>
      <c r="N6" s="70">
        <v>0</v>
      </c>
      <c r="O6" s="70">
        <v>0</v>
      </c>
      <c r="P6" s="70">
        <v>0</v>
      </c>
      <c r="Q6" s="73">
        <v>0</v>
      </c>
    </row>
    <row r="7" spans="2:17" ht="32.5" customHeight="1" x14ac:dyDescent="0.35">
      <c r="B7" s="67" t="s">
        <v>19</v>
      </c>
      <c r="C7" s="70">
        <v>16798.446123921589</v>
      </c>
      <c r="D7" s="70">
        <v>0</v>
      </c>
      <c r="E7" s="70">
        <v>8345.5130092885047</v>
      </c>
      <c r="F7" s="70">
        <v>8452.9331146330842</v>
      </c>
      <c r="G7" s="70">
        <v>0</v>
      </c>
      <c r="H7" s="70">
        <v>0</v>
      </c>
      <c r="I7" s="70">
        <v>5625.3592611176964</v>
      </c>
      <c r="J7" s="70">
        <v>0</v>
      </c>
      <c r="K7" s="70">
        <v>2827.573853515386</v>
      </c>
      <c r="L7" s="70">
        <v>1902.51651751124</v>
      </c>
      <c r="M7" s="70">
        <v>98.168249400699622</v>
      </c>
      <c r="N7" s="70">
        <v>35144.702933667708</v>
      </c>
      <c r="O7" s="70">
        <v>-34317.813847064259</v>
      </c>
      <c r="P7" s="70">
        <v>4890.3123369863006</v>
      </c>
      <c r="Q7" s="73">
        <v>-29427.501510077949</v>
      </c>
    </row>
    <row r="8" spans="2:17" ht="32.5" customHeight="1" x14ac:dyDescent="0.35">
      <c r="B8" s="67" t="s">
        <v>20</v>
      </c>
      <c r="C8" s="70">
        <v>1576485.42115354</v>
      </c>
      <c r="D8" s="70">
        <v>43417</v>
      </c>
      <c r="E8" s="70">
        <v>192295.39740983819</v>
      </c>
      <c r="F8" s="70">
        <v>1427607.0237437009</v>
      </c>
      <c r="G8" s="70">
        <v>0</v>
      </c>
      <c r="H8" s="70">
        <v>0</v>
      </c>
      <c r="I8" s="70">
        <v>483870.80560048798</v>
      </c>
      <c r="J8" s="70">
        <v>0</v>
      </c>
      <c r="K8" s="70">
        <v>943736.21814321354</v>
      </c>
      <c r="L8" s="70">
        <v>622094.83937000006</v>
      </c>
      <c r="M8" s="70">
        <v>76595.14516999996</v>
      </c>
      <c r="N8" s="70">
        <v>319795.30489000003</v>
      </c>
      <c r="O8" s="70">
        <v>-74749.071286786493</v>
      </c>
      <c r="P8" s="70">
        <v>54167.364829999999</v>
      </c>
      <c r="Q8" s="73">
        <v>-20581.706456786502</v>
      </c>
    </row>
    <row r="9" spans="2:17" ht="32.5" customHeight="1" x14ac:dyDescent="0.35">
      <c r="B9" s="67" t="s">
        <v>21</v>
      </c>
      <c r="C9" s="70">
        <v>9114.6939999999995</v>
      </c>
      <c r="D9" s="70">
        <v>0</v>
      </c>
      <c r="E9" s="70">
        <v>4278.313891378798</v>
      </c>
      <c r="F9" s="70">
        <v>4836.3801086212025</v>
      </c>
      <c r="G9" s="70">
        <v>0</v>
      </c>
      <c r="H9" s="70">
        <v>0</v>
      </c>
      <c r="I9" s="70">
        <v>3520.1990000000001</v>
      </c>
      <c r="J9" s="70">
        <v>5.1619999999999999</v>
      </c>
      <c r="K9" s="70">
        <v>1311.019108621203</v>
      </c>
      <c r="L9" s="70">
        <v>989.94</v>
      </c>
      <c r="M9" s="70">
        <v>-261.38854284470182</v>
      </c>
      <c r="N9" s="70">
        <v>20213.570540715031</v>
      </c>
      <c r="O9" s="70">
        <v>-19631.102889249119</v>
      </c>
      <c r="P9" s="70">
        <v>2383.7417500000001</v>
      </c>
      <c r="Q9" s="73">
        <v>-17247.361139249129</v>
      </c>
    </row>
    <row r="10" spans="2:17" ht="32.5" customHeight="1" x14ac:dyDescent="0.35">
      <c r="B10" s="67" t="s">
        <v>22</v>
      </c>
      <c r="C10" s="70">
        <v>0</v>
      </c>
      <c r="D10" s="70">
        <v>0</v>
      </c>
      <c r="E10" s="70">
        <v>0</v>
      </c>
      <c r="F10" s="70">
        <v>0</v>
      </c>
      <c r="G10" s="70">
        <v>0</v>
      </c>
      <c r="H10" s="70">
        <v>0</v>
      </c>
      <c r="I10" s="70">
        <v>0</v>
      </c>
      <c r="J10" s="70">
        <v>0</v>
      </c>
      <c r="K10" s="70">
        <v>0</v>
      </c>
      <c r="L10" s="70">
        <v>0</v>
      </c>
      <c r="M10" s="70">
        <v>0</v>
      </c>
      <c r="N10" s="70">
        <v>0</v>
      </c>
      <c r="O10" s="70">
        <v>0</v>
      </c>
      <c r="P10" s="70">
        <v>0</v>
      </c>
      <c r="Q10" s="73">
        <v>0</v>
      </c>
    </row>
    <row r="11" spans="2:17" ht="32.5" customHeight="1" x14ac:dyDescent="0.35">
      <c r="B11" s="67" t="s">
        <v>23</v>
      </c>
      <c r="C11" s="70">
        <v>519364.43844000011</v>
      </c>
      <c r="D11" s="70">
        <v>0</v>
      </c>
      <c r="E11" s="70">
        <v>102055.11215346</v>
      </c>
      <c r="F11" s="70">
        <v>417309.32628654002</v>
      </c>
      <c r="G11" s="70">
        <v>15936.000889499999</v>
      </c>
      <c r="H11" s="70">
        <v>0</v>
      </c>
      <c r="I11" s="70">
        <v>71341.808000000005</v>
      </c>
      <c r="J11" s="70">
        <v>0</v>
      </c>
      <c r="K11" s="70">
        <v>361903.51917604002</v>
      </c>
      <c r="L11" s="70">
        <v>130358.35527959091</v>
      </c>
      <c r="M11" s="70">
        <v>62596.398942981003</v>
      </c>
      <c r="N11" s="70">
        <v>137161.96460000001</v>
      </c>
      <c r="O11" s="70">
        <v>31786.800353468101</v>
      </c>
      <c r="P11" s="70">
        <v>11045.68534</v>
      </c>
      <c r="Q11" s="73">
        <v>42832.485693468087</v>
      </c>
    </row>
    <row r="12" spans="2:17" ht="32.5" customHeight="1" x14ac:dyDescent="0.35">
      <c r="B12" s="71" t="s">
        <v>24</v>
      </c>
      <c r="C12" s="72">
        <f t="shared" ref="C12:Q12" si="0">SUM(C6:C11)</f>
        <v>2121762.9997174614</v>
      </c>
      <c r="D12" s="72">
        <f t="shared" si="0"/>
        <v>43417</v>
      </c>
      <c r="E12" s="72">
        <f t="shared" si="0"/>
        <v>306974.33646396548</v>
      </c>
      <c r="F12" s="72">
        <f t="shared" si="0"/>
        <v>1858205.6632534955</v>
      </c>
      <c r="G12" s="72">
        <f t="shared" si="0"/>
        <v>15936.000889499999</v>
      </c>
      <c r="H12" s="72">
        <f t="shared" si="0"/>
        <v>0</v>
      </c>
      <c r="I12" s="72">
        <f t="shared" si="0"/>
        <v>564358.17186160572</v>
      </c>
      <c r="J12" s="72">
        <f t="shared" si="0"/>
        <v>5.1619999999999999</v>
      </c>
      <c r="K12" s="72">
        <f t="shared" si="0"/>
        <v>1309778.3302813901</v>
      </c>
      <c r="L12" s="72">
        <f t="shared" si="0"/>
        <v>755345.65116710216</v>
      </c>
      <c r="M12" s="72">
        <f t="shared" si="0"/>
        <v>139028.32381953695</v>
      </c>
      <c r="N12" s="72">
        <f t="shared" si="0"/>
        <v>512315.54296438274</v>
      </c>
      <c r="O12" s="72">
        <f t="shared" si="0"/>
        <v>-96911.187669631763</v>
      </c>
      <c r="P12" s="72">
        <f t="shared" si="0"/>
        <v>72487.104256986306</v>
      </c>
      <c r="Q12" s="72">
        <f t="shared" si="0"/>
        <v>-24424.083412645487</v>
      </c>
    </row>
    <row r="13" spans="2:17" ht="32.5" customHeight="1" x14ac:dyDescent="0.35">
      <c r="B13" s="295" t="s">
        <v>25</v>
      </c>
      <c r="C13" s="272"/>
      <c r="D13" s="272"/>
      <c r="E13" s="272"/>
      <c r="F13" s="272"/>
      <c r="G13" s="272"/>
      <c r="H13" s="272"/>
      <c r="I13" s="272"/>
      <c r="J13" s="272"/>
      <c r="K13" s="272"/>
      <c r="L13" s="272"/>
      <c r="M13" s="272"/>
      <c r="N13" s="272"/>
      <c r="O13" s="272"/>
      <c r="P13" s="272"/>
      <c r="Q13" s="272"/>
    </row>
    <row r="14" spans="2:17" ht="32.5" customHeight="1" x14ac:dyDescent="0.35">
      <c r="B14" s="104"/>
      <c r="C14" s="206"/>
      <c r="D14" s="206"/>
      <c r="E14" s="206"/>
      <c r="F14" s="206"/>
      <c r="G14" s="206"/>
      <c r="H14" s="206"/>
      <c r="I14" s="206"/>
      <c r="J14" s="206"/>
      <c r="K14" s="206"/>
      <c r="L14" s="206"/>
      <c r="M14" s="206"/>
      <c r="N14" s="206"/>
      <c r="O14" s="206"/>
      <c r="P14" s="206"/>
      <c r="Q14" s="206"/>
    </row>
  </sheetData>
  <sheetProtection algorithmName="SHA-512" hashValue="BIbLetuZk4FM7HA3GXzID+Cftc6dVS8eQyQXJX7tBtEuR9piCDBj5TVf9sGUR2nhBPPn3mr/Uj5sNHduzHRTvw==" saltValue="V7EZBkWlSGk/97DY9svf4g==" spinCount="100000" sheet="1" objects="1" scenarios="1"/>
  <mergeCells count="3">
    <mergeCell ref="B13:Q13"/>
    <mergeCell ref="B3:Q3"/>
    <mergeCell ref="B5:Q5"/>
  </mergeCells>
  <pageMargins left="0.7" right="0.7" top="0.75" bottom="0.75" header="0.3" footer="0.3"/>
  <pageSetup paperSize="9" scale="35"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tabColor rgb="FF92D050"/>
    <pageSetUpPr fitToPage="1"/>
  </sheetPr>
  <dimension ref="B3:L36"/>
  <sheetViews>
    <sheetView tabSelected="1" workbookViewId="0">
      <selection activeCell="J37" sqref="J37"/>
    </sheetView>
  </sheetViews>
  <sheetFormatPr defaultColWidth="11.54296875" defaultRowHeight="15.5" x14ac:dyDescent="0.35"/>
  <cols>
    <col min="1" max="1" width="17.453125" style="134" customWidth="1"/>
    <col min="2" max="2" width="45.36328125" style="134" customWidth="1"/>
    <col min="3" max="4" width="20.36328125" style="134" customWidth="1"/>
    <col min="5" max="5" width="21.54296875" style="134" customWidth="1"/>
    <col min="6" max="6" width="20.36328125" style="134" customWidth="1"/>
    <col min="7" max="7" width="18.26953125" style="134" customWidth="1"/>
    <col min="8" max="8" width="45.36328125" style="188" bestFit="1" customWidth="1"/>
    <col min="9" max="9" width="22.7265625" style="134" customWidth="1"/>
    <col min="10" max="11" width="22.1796875" style="134" customWidth="1"/>
    <col min="12" max="12" width="22.08984375" style="134" customWidth="1"/>
    <col min="13" max="40" width="11.54296875" style="134" customWidth="1"/>
    <col min="41" max="16384" width="11.54296875" style="134"/>
  </cols>
  <sheetData>
    <row r="3" spans="2:12" ht="20" customHeight="1" x14ac:dyDescent="0.35">
      <c r="B3" s="271" t="str">
        <f>_xlfn.CONCAT('Table of Contents'!B37,": ",'Table of Contents'!C37)</f>
        <v>APPENDIX 25: SUMMARY OF BUSINESS RESULTS UNDER MICRO INSURANCE BUSINESS FOR THE PERIOD ENDED 31.12.2025</v>
      </c>
      <c r="C3" s="272"/>
      <c r="D3" s="272"/>
      <c r="E3" s="272"/>
      <c r="F3" s="272"/>
      <c r="G3" s="272"/>
      <c r="H3" s="272"/>
      <c r="I3" s="272"/>
      <c r="J3" s="272"/>
      <c r="K3" s="272"/>
      <c r="L3" s="273"/>
    </row>
    <row r="4" spans="2:12" ht="20" customHeight="1" x14ac:dyDescent="0.35">
      <c r="B4" s="207"/>
      <c r="C4" s="208"/>
      <c r="D4" s="208"/>
      <c r="E4" s="208"/>
      <c r="F4" s="209"/>
      <c r="H4" s="210"/>
      <c r="I4" s="105"/>
      <c r="J4" s="105"/>
      <c r="K4" s="105"/>
      <c r="L4" s="106"/>
    </row>
    <row r="5" spans="2:12" ht="20" customHeight="1" x14ac:dyDescent="0.35">
      <c r="B5" s="268" t="s">
        <v>244</v>
      </c>
      <c r="C5" s="269"/>
      <c r="D5" s="269"/>
      <c r="E5" s="269"/>
      <c r="F5" s="270"/>
      <c r="H5" s="274" t="s">
        <v>245</v>
      </c>
      <c r="I5" s="269"/>
      <c r="J5" s="269"/>
      <c r="K5" s="269"/>
      <c r="L5" s="270"/>
    </row>
    <row r="6" spans="2:12" s="189" customFormat="1" ht="20" customHeight="1" x14ac:dyDescent="0.35">
      <c r="B6" s="108" t="s">
        <v>0</v>
      </c>
      <c r="C6" s="211" t="s">
        <v>177</v>
      </c>
      <c r="D6" s="211" t="s">
        <v>178</v>
      </c>
      <c r="E6" s="74" t="s">
        <v>246</v>
      </c>
      <c r="F6" s="211" t="s">
        <v>176</v>
      </c>
      <c r="H6" s="65" t="s">
        <v>0</v>
      </c>
      <c r="I6" s="66" t="s">
        <v>177</v>
      </c>
      <c r="J6" s="66" t="s">
        <v>178</v>
      </c>
      <c r="K6" s="66" t="s">
        <v>246</v>
      </c>
      <c r="L6" s="66" t="s">
        <v>176</v>
      </c>
    </row>
    <row r="7" spans="2:12" ht="20" customHeight="1" x14ac:dyDescent="0.35">
      <c r="B7" s="67" t="s">
        <v>18</v>
      </c>
      <c r="C7" s="182">
        <f>'APPENDIX 22_M'!C6</f>
        <v>0</v>
      </c>
      <c r="D7" s="182">
        <f>'APPENDIX 22_M'!D6</f>
        <v>0</v>
      </c>
      <c r="E7" s="182">
        <f>'APPENDIX 22_M'!E6</f>
        <v>0</v>
      </c>
      <c r="F7" s="183">
        <f t="shared" ref="F7:F12" si="0">SUM(C7:E7)</f>
        <v>0</v>
      </c>
      <c r="H7" s="67" t="s">
        <v>18</v>
      </c>
      <c r="I7" s="68">
        <f>'APPENDIX 24_M'!C6</f>
        <v>0</v>
      </c>
      <c r="J7" s="68">
        <f>'APPENDIX 24_M'!D6</f>
        <v>0</v>
      </c>
      <c r="K7" s="68">
        <f>'APPENDIX 24_M'!E6</f>
        <v>0</v>
      </c>
      <c r="L7" s="69">
        <f t="shared" ref="L7:L12" si="1">SUM(I7:K7)</f>
        <v>0</v>
      </c>
    </row>
    <row r="8" spans="2:12" ht="20" customHeight="1" x14ac:dyDescent="0.35">
      <c r="B8" s="67" t="s">
        <v>19</v>
      </c>
      <c r="C8" s="182">
        <f>'APPENDIX 22_M'!C7</f>
        <v>0</v>
      </c>
      <c r="D8" s="182">
        <f>'APPENDIX 22_M'!D7</f>
        <v>0</v>
      </c>
      <c r="E8" s="182">
        <f>'APPENDIX 22_M'!E7</f>
        <v>16798.446123921589</v>
      </c>
      <c r="F8" s="183">
        <f t="shared" si="0"/>
        <v>16798.446123921589</v>
      </c>
      <c r="H8" s="67" t="s">
        <v>19</v>
      </c>
      <c r="I8" s="68">
        <f>'APPENDIX 24_M'!C7</f>
        <v>0</v>
      </c>
      <c r="J8" s="68">
        <f>'APPENDIX 24_M'!D7</f>
        <v>0</v>
      </c>
      <c r="K8" s="68">
        <f>'APPENDIX 24_M'!E7</f>
        <v>451.86594000000002</v>
      </c>
      <c r="L8" s="69">
        <f t="shared" si="1"/>
        <v>451.86594000000002</v>
      </c>
    </row>
    <row r="9" spans="2:12" ht="20" customHeight="1" x14ac:dyDescent="0.35">
      <c r="B9" s="67" t="s">
        <v>20</v>
      </c>
      <c r="C9" s="182">
        <f>'APPENDIX 22_M'!C8</f>
        <v>0</v>
      </c>
      <c r="D9" s="182">
        <f>'APPENDIX 22_M'!D8</f>
        <v>1619902.42115354</v>
      </c>
      <c r="E9" s="182">
        <f>'APPENDIX 22_M'!E8</f>
        <v>0</v>
      </c>
      <c r="F9" s="183">
        <f t="shared" si="0"/>
        <v>1619902.42115354</v>
      </c>
      <c r="H9" s="67" t="s">
        <v>20</v>
      </c>
      <c r="I9" s="68">
        <f>'APPENDIX 24_M'!C8</f>
        <v>0</v>
      </c>
      <c r="J9" s="68">
        <f>'APPENDIX 24_M'!D8</f>
        <v>403251.30910000001</v>
      </c>
      <c r="K9" s="68">
        <f>'APPENDIX 24_M'!E8</f>
        <v>0</v>
      </c>
      <c r="L9" s="69">
        <f t="shared" si="1"/>
        <v>403251.30910000001</v>
      </c>
    </row>
    <row r="10" spans="2:12" ht="20" customHeight="1" x14ac:dyDescent="0.35">
      <c r="B10" s="67" t="s">
        <v>21</v>
      </c>
      <c r="C10" s="182">
        <f>'APPENDIX 22_M'!C9</f>
        <v>3938.8</v>
      </c>
      <c r="D10" s="182">
        <f>'APPENDIX 22_M'!D9</f>
        <v>2366.5050000000001</v>
      </c>
      <c r="E10" s="182">
        <f>'APPENDIX 22_M'!E9</f>
        <v>2809.3890000000001</v>
      </c>
      <c r="F10" s="183">
        <f t="shared" si="0"/>
        <v>9114.6939999999995</v>
      </c>
      <c r="H10" s="67" t="s">
        <v>21</v>
      </c>
      <c r="I10" s="68">
        <f>'APPENDIX 24_M'!C9</f>
        <v>675</v>
      </c>
      <c r="J10" s="68">
        <f>'APPENDIX 24_M'!D9</f>
        <v>0</v>
      </c>
      <c r="K10" s="68">
        <f>'APPENDIX 24_M'!E9</f>
        <v>17.398</v>
      </c>
      <c r="L10" s="69">
        <f t="shared" si="1"/>
        <v>692.39800000000002</v>
      </c>
    </row>
    <row r="11" spans="2:12" ht="20" customHeight="1" x14ac:dyDescent="0.35">
      <c r="B11" s="67" t="s">
        <v>22</v>
      </c>
      <c r="C11" s="182">
        <f>'APPENDIX 22_M'!C10</f>
        <v>0</v>
      </c>
      <c r="D11" s="182">
        <f>'APPENDIX 22_M'!D10</f>
        <v>0</v>
      </c>
      <c r="E11" s="182">
        <f>'APPENDIX 22_M'!E10</f>
        <v>0</v>
      </c>
      <c r="F11" s="183">
        <f t="shared" si="0"/>
        <v>0</v>
      </c>
      <c r="H11" s="67" t="s">
        <v>22</v>
      </c>
      <c r="I11" s="68">
        <f>'APPENDIX 24_M'!C10</f>
        <v>0</v>
      </c>
      <c r="J11" s="68">
        <f>'APPENDIX 24_M'!D10</f>
        <v>0</v>
      </c>
      <c r="K11" s="68">
        <f>'APPENDIX 24_M'!E10</f>
        <v>0</v>
      </c>
      <c r="L11" s="69">
        <f t="shared" si="1"/>
        <v>0</v>
      </c>
    </row>
    <row r="12" spans="2:12" ht="20" customHeight="1" x14ac:dyDescent="0.35">
      <c r="B12" s="67" t="s">
        <v>23</v>
      </c>
      <c r="C12" s="182">
        <f>'APPENDIX 22_M'!C11</f>
        <v>14437.705260000001</v>
      </c>
      <c r="D12" s="182">
        <f>'APPENDIX 22_M'!D11</f>
        <v>364067.16246000002</v>
      </c>
      <c r="E12" s="182">
        <f>'APPENDIX 22_M'!E11</f>
        <v>140859.57071999999</v>
      </c>
      <c r="F12" s="183">
        <f t="shared" si="0"/>
        <v>519364.43844000006</v>
      </c>
      <c r="H12" s="67" t="s">
        <v>23</v>
      </c>
      <c r="I12" s="68">
        <f>'APPENDIX 24_M'!C11</f>
        <v>12195.605</v>
      </c>
      <c r="J12" s="68">
        <f>'APPENDIX 24_M'!D11</f>
        <v>87852.4</v>
      </c>
      <c r="K12" s="68">
        <f>'APPENDIX 24_M'!E11</f>
        <v>30483.585999999999</v>
      </c>
      <c r="L12" s="69">
        <f t="shared" si="1"/>
        <v>130531.59099999999</v>
      </c>
    </row>
    <row r="13" spans="2:12" s="188" customFormat="1" ht="20" customHeight="1" x14ac:dyDescent="0.35">
      <c r="B13" s="71" t="s">
        <v>24</v>
      </c>
      <c r="C13" s="184">
        <f>SUM(C7:C12)</f>
        <v>18376.505260000002</v>
      </c>
      <c r="D13" s="184">
        <f>SUM(D7:D12)</f>
        <v>1986336.0886135399</v>
      </c>
      <c r="E13" s="184">
        <f>SUM(E7:E12)</f>
        <v>160467.40584392159</v>
      </c>
      <c r="F13" s="184">
        <f>SUM(F7:F12)</f>
        <v>2165179.9997174614</v>
      </c>
      <c r="H13" s="71" t="s">
        <v>24</v>
      </c>
      <c r="I13" s="72">
        <f>SUM(I7:I12)</f>
        <v>12870.605</v>
      </c>
      <c r="J13" s="72">
        <f>SUM(J7:J12)</f>
        <v>491103.70909999998</v>
      </c>
      <c r="K13" s="72">
        <f>SUM(K7:K12)</f>
        <v>30952.84994</v>
      </c>
      <c r="L13" s="72">
        <f>SUM(L7:L12)</f>
        <v>534927.16403999995</v>
      </c>
    </row>
    <row r="14" spans="2:12" s="188" customFormat="1" ht="20" customHeight="1" x14ac:dyDescent="0.35">
      <c r="B14" s="207"/>
      <c r="C14" s="208"/>
      <c r="D14" s="208"/>
      <c r="E14" s="208"/>
      <c r="F14" s="209"/>
      <c r="H14" s="207"/>
      <c r="I14" s="208"/>
      <c r="J14" s="208"/>
      <c r="K14" s="208"/>
      <c r="L14" s="209"/>
    </row>
    <row r="15" spans="2:12" s="188" customFormat="1" ht="20" customHeight="1" x14ac:dyDescent="0.35">
      <c r="B15" s="268" t="s">
        <v>247</v>
      </c>
      <c r="C15" s="269"/>
      <c r="D15" s="269"/>
      <c r="E15" s="269"/>
      <c r="F15" s="270"/>
      <c r="H15" s="274" t="s">
        <v>248</v>
      </c>
      <c r="I15" s="269"/>
      <c r="J15" s="269"/>
      <c r="K15" s="269"/>
      <c r="L15" s="270"/>
    </row>
    <row r="16" spans="2:12" s="188" customFormat="1" ht="20" customHeight="1" x14ac:dyDescent="0.35">
      <c r="B16" s="108" t="s">
        <v>0</v>
      </c>
      <c r="C16" s="74" t="s">
        <v>177</v>
      </c>
      <c r="D16" s="74" t="s">
        <v>178</v>
      </c>
      <c r="E16" s="74" t="s">
        <v>246</v>
      </c>
      <c r="F16" s="74" t="s">
        <v>176</v>
      </c>
      <c r="H16" s="65" t="s">
        <v>0</v>
      </c>
      <c r="I16" s="66" t="s">
        <v>177</v>
      </c>
      <c r="J16" s="66" t="s">
        <v>178</v>
      </c>
      <c r="K16" s="66" t="s">
        <v>246</v>
      </c>
      <c r="L16" s="96" t="s">
        <v>229</v>
      </c>
    </row>
    <row r="17" spans="2:12" s="188" customFormat="1" ht="20" customHeight="1" x14ac:dyDescent="0.35">
      <c r="B17" s="108"/>
      <c r="C17" s="212" t="s">
        <v>249</v>
      </c>
      <c r="D17" s="212" t="s">
        <v>249</v>
      </c>
      <c r="E17" s="212" t="s">
        <v>249</v>
      </c>
      <c r="F17" s="213" t="s">
        <v>249</v>
      </c>
      <c r="H17" s="67" t="s">
        <v>18</v>
      </c>
      <c r="I17" s="70">
        <f>'APPENDIX 27_M'!C6</f>
        <v>0</v>
      </c>
      <c r="J17" s="70">
        <f>'APPENDIX 27_M'!D6</f>
        <v>0</v>
      </c>
      <c r="K17" s="70">
        <f>'APPENDIX 27_M'!E6</f>
        <v>0</v>
      </c>
      <c r="L17" s="73">
        <f t="shared" ref="L17:L22" si="2">SUM(I17:K17)</f>
        <v>0</v>
      </c>
    </row>
    <row r="18" spans="2:12" s="188" customFormat="1" ht="20" customHeight="1" x14ac:dyDescent="0.35">
      <c r="B18" s="67" t="s">
        <v>18</v>
      </c>
      <c r="C18" s="195">
        <f>'APPENDIX 23_M'!C6</f>
        <v>0</v>
      </c>
      <c r="D18" s="195">
        <f>'APPENDIX 23_M'!D6</f>
        <v>0</v>
      </c>
      <c r="E18" s="195">
        <f>'APPENDIX 23_M'!E6</f>
        <v>0</v>
      </c>
      <c r="F18" s="196">
        <f>'APPENDIX 23_M'!F6</f>
        <v>0</v>
      </c>
      <c r="H18" s="67" t="s">
        <v>19</v>
      </c>
      <c r="I18" s="70">
        <f>'APPENDIX 27_M'!C7</f>
        <v>0</v>
      </c>
      <c r="J18" s="70">
        <f>'APPENDIX 27_M'!D7</f>
        <v>0</v>
      </c>
      <c r="K18" s="70">
        <f>'APPENDIX 27_M'!E7</f>
        <v>-34317.813847064259</v>
      </c>
      <c r="L18" s="73">
        <f t="shared" si="2"/>
        <v>-34317.813847064259</v>
      </c>
    </row>
    <row r="19" spans="2:12" s="188" customFormat="1" ht="20" customHeight="1" x14ac:dyDescent="0.35">
      <c r="B19" s="67" t="s">
        <v>19</v>
      </c>
      <c r="C19" s="195">
        <f>'APPENDIX 23_M'!C7</f>
        <v>0</v>
      </c>
      <c r="D19" s="195">
        <f>'APPENDIX 23_M'!D7</f>
        <v>0</v>
      </c>
      <c r="E19" s="195">
        <f>'APPENDIX 23_M'!E7</f>
        <v>10.468447492857569</v>
      </c>
      <c r="F19" s="196">
        <f>'APPENDIX 23_M'!F7</f>
        <v>0.77584524732879723</v>
      </c>
      <c r="H19" s="67" t="s">
        <v>20</v>
      </c>
      <c r="I19" s="70">
        <f>'APPENDIX 27_M'!C8</f>
        <v>0</v>
      </c>
      <c r="J19" s="70">
        <f>'APPENDIX 27_M'!D8</f>
        <v>-74749.071286786493</v>
      </c>
      <c r="K19" s="70">
        <f>'APPENDIX 27_M'!E8</f>
        <v>0</v>
      </c>
      <c r="L19" s="73">
        <f t="shared" si="2"/>
        <v>-74749.071286786493</v>
      </c>
    </row>
    <row r="20" spans="2:12" s="188" customFormat="1" ht="20" customHeight="1" x14ac:dyDescent="0.35">
      <c r="B20" s="67" t="s">
        <v>20</v>
      </c>
      <c r="C20" s="195">
        <f>'APPENDIX 23_M'!C8</f>
        <v>0</v>
      </c>
      <c r="D20" s="195">
        <f>'APPENDIX 23_M'!D8</f>
        <v>81.552282639350821</v>
      </c>
      <c r="E20" s="195">
        <f>'APPENDIX 23_M'!E8</f>
        <v>0</v>
      </c>
      <c r="F20" s="196">
        <f>'APPENDIX 23_M'!F8</f>
        <v>74.816062468936735</v>
      </c>
      <c r="H20" s="67" t="s">
        <v>21</v>
      </c>
      <c r="I20" s="70">
        <f>'APPENDIX 27_M'!C9</f>
        <v>-6068.4953720847743</v>
      </c>
      <c r="J20" s="70">
        <f>'APPENDIX 27_M'!D9</f>
        <v>-5150.9232366083543</v>
      </c>
      <c r="K20" s="70">
        <f>'APPENDIX 27_M'!E9</f>
        <v>-8411.6842805559972</v>
      </c>
      <c r="L20" s="73">
        <f t="shared" si="2"/>
        <v>-19631.102889249127</v>
      </c>
    </row>
    <row r="21" spans="2:12" s="188" customFormat="1" ht="20" customHeight="1" x14ac:dyDescent="0.35">
      <c r="B21" s="67" t="s">
        <v>21</v>
      </c>
      <c r="C21" s="195">
        <f>'APPENDIX 23_M'!C9</f>
        <v>21.433890417529799</v>
      </c>
      <c r="D21" s="195">
        <f>'APPENDIX 23_M'!D9</f>
        <v>0.11913920376142476</v>
      </c>
      <c r="E21" s="195">
        <f>'APPENDIX 23_M'!E9</f>
        <v>1.7507536718905699</v>
      </c>
      <c r="F21" s="196">
        <f>'APPENDIX 23_M'!F9</f>
        <v>0.42096703281895237</v>
      </c>
      <c r="H21" s="67" t="s">
        <v>22</v>
      </c>
      <c r="I21" s="70">
        <f>'APPENDIX 27_M'!C10</f>
        <v>0</v>
      </c>
      <c r="J21" s="70">
        <f>'APPENDIX 27_M'!D10</f>
        <v>0</v>
      </c>
      <c r="K21" s="70">
        <f>'APPENDIX 27_M'!E10</f>
        <v>0</v>
      </c>
      <c r="L21" s="73">
        <f t="shared" si="2"/>
        <v>0</v>
      </c>
    </row>
    <row r="22" spans="2:12" s="188" customFormat="1" ht="20" customHeight="1" x14ac:dyDescent="0.35">
      <c r="B22" s="67" t="s">
        <v>22</v>
      </c>
      <c r="C22" s="195">
        <f>'APPENDIX 23_M'!C10</f>
        <v>0</v>
      </c>
      <c r="D22" s="195">
        <f>'APPENDIX 23_M'!D10</f>
        <v>0</v>
      </c>
      <c r="E22" s="195">
        <f>'APPENDIX 23_M'!E10</f>
        <v>0</v>
      </c>
      <c r="F22" s="196">
        <f>'APPENDIX 23_M'!F10</f>
        <v>0</v>
      </c>
      <c r="H22" s="67" t="s">
        <v>23</v>
      </c>
      <c r="I22" s="70">
        <f>'APPENDIX 27_M'!C11</f>
        <v>-8225.8784896322795</v>
      </c>
      <c r="J22" s="70">
        <f>'APPENDIX 27_M'!D11</f>
        <v>12024.682794575419</v>
      </c>
      <c r="K22" s="70">
        <f>'APPENDIX 27_M'!E11</f>
        <v>27987.996048524961</v>
      </c>
      <c r="L22" s="73">
        <f t="shared" si="2"/>
        <v>31786.800353468101</v>
      </c>
    </row>
    <row r="23" spans="2:12" s="188" customFormat="1" ht="20" customHeight="1" x14ac:dyDescent="0.35">
      <c r="B23" s="67" t="s">
        <v>23</v>
      </c>
      <c r="C23" s="195">
        <f>'APPENDIX 23_M'!C11</f>
        <v>78.56610958247019</v>
      </c>
      <c r="D23" s="195">
        <f>'APPENDIX 23_M'!D11</f>
        <v>18.328578156887762</v>
      </c>
      <c r="E23" s="195">
        <f>'APPENDIX 23_M'!E11</f>
        <v>87.780798835251844</v>
      </c>
      <c r="F23" s="196">
        <f>'APPENDIX 23_M'!F11</f>
        <v>23.987125250915533</v>
      </c>
      <c r="H23" s="71" t="s">
        <v>24</v>
      </c>
      <c r="I23" s="72">
        <f>SUM(I17:I22)</f>
        <v>-14294.373861717053</v>
      </c>
      <c r="J23" s="72">
        <f>SUM(J17:J22)</f>
        <v>-67875.311728819433</v>
      </c>
      <c r="K23" s="72">
        <f>SUM(K17:K22)</f>
        <v>-14741.502079095299</v>
      </c>
      <c r="L23" s="72">
        <f>SUM(L17:L22)</f>
        <v>-96911.187669631778</v>
      </c>
    </row>
    <row r="24" spans="2:12" s="188" customFormat="1" ht="20" customHeight="1" x14ac:dyDescent="0.35">
      <c r="B24" s="71" t="s">
        <v>24</v>
      </c>
      <c r="C24" s="198">
        <f>SUM(C18:C23)</f>
        <v>99.999999999999986</v>
      </c>
      <c r="D24" s="198">
        <f>SUM(D18:D23)</f>
        <v>100</v>
      </c>
      <c r="E24" s="198">
        <f>SUM(E18:E23)</f>
        <v>99.999999999999986</v>
      </c>
      <c r="F24" s="198">
        <f>SUM(F18:F23)</f>
        <v>100.00000000000003</v>
      </c>
      <c r="H24" s="207"/>
      <c r="I24" s="208"/>
      <c r="J24" s="208"/>
      <c r="K24" s="208"/>
      <c r="L24" s="209"/>
    </row>
    <row r="25" spans="2:12" ht="20" customHeight="1" x14ac:dyDescent="0.35">
      <c r="B25" s="276"/>
      <c r="C25" s="269"/>
      <c r="D25" s="269"/>
      <c r="E25" s="269"/>
      <c r="F25" s="270"/>
      <c r="H25" s="274" t="s">
        <v>250</v>
      </c>
      <c r="I25" s="269"/>
      <c r="J25" s="269"/>
      <c r="K25" s="269"/>
      <c r="L25" s="270"/>
    </row>
    <row r="26" spans="2:12" ht="20" customHeight="1" x14ac:dyDescent="0.35">
      <c r="B26" s="274" t="s">
        <v>251</v>
      </c>
      <c r="C26" s="269"/>
      <c r="D26" s="269"/>
      <c r="E26" s="269"/>
      <c r="F26" s="270"/>
      <c r="H26" s="65" t="s">
        <v>0</v>
      </c>
      <c r="I26" s="96" t="s">
        <v>177</v>
      </c>
      <c r="J26" s="96" t="s">
        <v>178</v>
      </c>
      <c r="K26" s="96" t="s">
        <v>246</v>
      </c>
      <c r="L26" s="96" t="s">
        <v>252</v>
      </c>
    </row>
    <row r="27" spans="2:12" ht="20" customHeight="1" x14ac:dyDescent="0.35">
      <c r="B27" s="74" t="s">
        <v>0</v>
      </c>
      <c r="C27" s="74" t="s">
        <v>177</v>
      </c>
      <c r="D27" s="74" t="s">
        <v>178</v>
      </c>
      <c r="E27" s="74" t="s">
        <v>246</v>
      </c>
      <c r="F27" s="74" t="s">
        <v>176</v>
      </c>
      <c r="H27" s="214"/>
      <c r="I27" s="215" t="s">
        <v>249</v>
      </c>
      <c r="J27" s="215" t="s">
        <v>249</v>
      </c>
      <c r="K27" s="215" t="s">
        <v>249</v>
      </c>
      <c r="L27" s="215" t="s">
        <v>249</v>
      </c>
    </row>
    <row r="28" spans="2:12" ht="20" customHeight="1" x14ac:dyDescent="0.35">
      <c r="B28" s="67" t="s">
        <v>18</v>
      </c>
      <c r="C28" s="68">
        <f>'APPENDIX 25_M'!C6</f>
        <v>0</v>
      </c>
      <c r="D28" s="68">
        <f>'APPENDIX 25_M'!D6</f>
        <v>0</v>
      </c>
      <c r="E28" s="68">
        <f>'APPENDIX 25_M'!E6</f>
        <v>0</v>
      </c>
      <c r="F28" s="69">
        <f t="shared" ref="F28:F33" si="3">SUM(C28:E28)</f>
        <v>0</v>
      </c>
      <c r="H28" s="75" t="s">
        <v>18</v>
      </c>
      <c r="I28" s="99" t="str">
        <f>'APPENDIX 26_M'!C6</f>
        <v>0.00</v>
      </c>
      <c r="J28" s="99" t="str">
        <f>'APPENDIX 26_M'!D6</f>
        <v>0.00</v>
      </c>
      <c r="K28" s="99" t="str">
        <f>'APPENDIX 26_M'!E6</f>
        <v>0.00</v>
      </c>
      <c r="L28" s="100" t="str">
        <f>'APPENDIX 26_M'!F6</f>
        <v>0.00</v>
      </c>
    </row>
    <row r="29" spans="2:12" ht="20" customHeight="1" x14ac:dyDescent="0.35">
      <c r="B29" s="67" t="s">
        <v>19</v>
      </c>
      <c r="C29" s="68">
        <f>'APPENDIX 25_M'!C7</f>
        <v>0</v>
      </c>
      <c r="D29" s="68">
        <f>'APPENDIX 25_M'!D7</f>
        <v>0</v>
      </c>
      <c r="E29" s="68">
        <f>'APPENDIX 25_M'!E7</f>
        <v>1902.51651751124</v>
      </c>
      <c r="F29" s="69">
        <f t="shared" si="3"/>
        <v>1902.51651751124</v>
      </c>
      <c r="H29" s="75" t="s">
        <v>19</v>
      </c>
      <c r="I29" s="99" t="str">
        <f>'APPENDIX 26_M'!C7</f>
        <v>0.00</v>
      </c>
      <c r="J29" s="99" t="str">
        <f>'APPENDIX 26_M'!D7</f>
        <v>0.00</v>
      </c>
      <c r="K29" s="99">
        <f>'APPENDIX 26_M'!E7</f>
        <v>67.284414698697731</v>
      </c>
      <c r="L29" s="100" t="str">
        <f>'APPENDIX 26_M'!F7</f>
        <v>0.00</v>
      </c>
    </row>
    <row r="30" spans="2:12" ht="20" customHeight="1" x14ac:dyDescent="0.35">
      <c r="B30" s="67" t="s">
        <v>20</v>
      </c>
      <c r="C30" s="68">
        <f>'APPENDIX 25_M'!C8</f>
        <v>0</v>
      </c>
      <c r="D30" s="68">
        <f>'APPENDIX 25_M'!D8</f>
        <v>622094.83937000006</v>
      </c>
      <c r="E30" s="68">
        <f>'APPENDIX 25_M'!E8</f>
        <v>0</v>
      </c>
      <c r="F30" s="69">
        <f t="shared" si="3"/>
        <v>622094.83937000006</v>
      </c>
      <c r="H30" s="75" t="s">
        <v>20</v>
      </c>
      <c r="I30" s="99" t="str">
        <f>'APPENDIX 26_M'!C8</f>
        <v>0.00</v>
      </c>
      <c r="J30" s="99">
        <f>'APPENDIX 26_M'!D8</f>
        <v>65.918296597110796</v>
      </c>
      <c r="K30" s="99" t="str">
        <f>'APPENDIX 26_M'!E8</f>
        <v>0.00</v>
      </c>
      <c r="L30" s="100" t="str">
        <f>'APPENDIX 26_M'!F8</f>
        <v>0.00</v>
      </c>
    </row>
    <row r="31" spans="2:12" ht="20" customHeight="1" x14ac:dyDescent="0.35">
      <c r="B31" s="67" t="s">
        <v>21</v>
      </c>
      <c r="C31" s="68">
        <f>'APPENDIX 25_M'!C9</f>
        <v>819</v>
      </c>
      <c r="D31" s="68">
        <f>'APPENDIX 25_M'!D9</f>
        <v>0</v>
      </c>
      <c r="E31" s="68">
        <f>'APPENDIX 25_M'!E9</f>
        <v>170.94</v>
      </c>
      <c r="F31" s="69">
        <f t="shared" si="3"/>
        <v>989.94</v>
      </c>
      <c r="H31" s="75" t="s">
        <v>21</v>
      </c>
      <c r="I31" s="99">
        <f>'APPENDIX 26_M'!C9</f>
        <v>101.98389177504272</v>
      </c>
      <c r="J31" s="99">
        <f>'APPENDIX 26_M'!D9</f>
        <v>0</v>
      </c>
      <c r="K31" s="99">
        <f>'APPENDIX 26_M'!E9</f>
        <v>45.862520048057156</v>
      </c>
      <c r="L31" s="100" t="str">
        <f>'APPENDIX 26_M'!F9</f>
        <v>0.00</v>
      </c>
    </row>
    <row r="32" spans="2:12" ht="20" customHeight="1" x14ac:dyDescent="0.35">
      <c r="B32" s="67" t="s">
        <v>22</v>
      </c>
      <c r="C32" s="68">
        <f>'APPENDIX 25_M'!C10</f>
        <v>0</v>
      </c>
      <c r="D32" s="68">
        <f>'APPENDIX 25_M'!D10</f>
        <v>0</v>
      </c>
      <c r="E32" s="68">
        <f>'APPENDIX 25_M'!E10</f>
        <v>0</v>
      </c>
      <c r="F32" s="69">
        <f t="shared" si="3"/>
        <v>0</v>
      </c>
      <c r="H32" s="75" t="s">
        <v>22</v>
      </c>
      <c r="I32" s="99" t="str">
        <f>'APPENDIX 26_M'!C10</f>
        <v>0.00</v>
      </c>
      <c r="J32" s="99" t="str">
        <f>'APPENDIX 26_M'!D10</f>
        <v>0.00</v>
      </c>
      <c r="K32" s="99" t="str">
        <f>'APPENDIX 26_M'!E10</f>
        <v>0.00</v>
      </c>
      <c r="L32" s="100" t="str">
        <f>'APPENDIX 26_M'!F10</f>
        <v>0.00</v>
      </c>
    </row>
    <row r="33" spans="2:12" ht="20" customHeight="1" x14ac:dyDescent="0.35">
      <c r="B33" s="67" t="s">
        <v>23</v>
      </c>
      <c r="C33" s="68">
        <f>'APPENDIX 25_M'!C11</f>
        <v>12789.248934503281</v>
      </c>
      <c r="D33" s="68">
        <f>'APPENDIX 25_M'!D11</f>
        <v>86187.819166156318</v>
      </c>
      <c r="E33" s="68">
        <f>'APPENDIX 25_M'!E11</f>
        <v>31381.287178931321</v>
      </c>
      <c r="F33" s="69">
        <f t="shared" si="3"/>
        <v>130358.35527959092</v>
      </c>
      <c r="H33" s="75" t="s">
        <v>23</v>
      </c>
      <c r="I33" s="99">
        <f>'APPENDIX 26_M'!C11</f>
        <v>126.07508669320811</v>
      </c>
      <c r="J33" s="99">
        <f>'APPENDIX 26_M'!D11</f>
        <v>34.474868360296782</v>
      </c>
      <c r="K33" s="99">
        <f>'APPENDIX 26_M'!E11</f>
        <v>30.839290844333327</v>
      </c>
      <c r="L33" s="100" t="str">
        <f>'APPENDIX 26_M'!F11</f>
        <v>0.00</v>
      </c>
    </row>
    <row r="34" spans="2:12" ht="20" customHeight="1" x14ac:dyDescent="0.35">
      <c r="B34" s="71" t="s">
        <v>24</v>
      </c>
      <c r="C34" s="72">
        <f>SUM(C28:C33)</f>
        <v>13608.248934503281</v>
      </c>
      <c r="D34" s="72">
        <f>SUM(D28:D33)</f>
        <v>708282.65853615641</v>
      </c>
      <c r="E34" s="72">
        <f>SUM(E28:E33)</f>
        <v>33454.743696442558</v>
      </c>
      <c r="F34" s="72">
        <f>SUM(F28:F33)</f>
        <v>755345.65116710216</v>
      </c>
      <c r="G34" s="216"/>
      <c r="H34" s="71" t="s">
        <v>24</v>
      </c>
      <c r="I34" s="101">
        <f>'APPENDIX 26_M'!C12</f>
        <v>124.30780084246733</v>
      </c>
      <c r="J34" s="101">
        <f>'APPENDIX 26_M'!D12</f>
        <v>59.326449675760472</v>
      </c>
      <c r="K34" s="101">
        <f>'APPENDIX 26_M'!E12</f>
        <v>31.874476364809539</v>
      </c>
      <c r="L34" s="101" t="str">
        <f>'APPENDIX 26_M'!F12</f>
        <v>0.00</v>
      </c>
    </row>
    <row r="35" spans="2:12" ht="20" customHeight="1" x14ac:dyDescent="0.35">
      <c r="B35" s="275" t="s">
        <v>253</v>
      </c>
      <c r="C35" s="272"/>
      <c r="D35" s="272"/>
      <c r="E35" s="272"/>
      <c r="F35" s="272"/>
      <c r="G35" s="272"/>
      <c r="H35" s="272"/>
      <c r="I35" s="272"/>
      <c r="J35" s="272"/>
      <c r="K35" s="272"/>
      <c r="L35" s="272"/>
    </row>
    <row r="36" spans="2:12" x14ac:dyDescent="0.35">
      <c r="H36" s="217"/>
      <c r="I36" s="217"/>
      <c r="J36" s="217"/>
      <c r="K36" s="217"/>
      <c r="L36" s="217"/>
    </row>
  </sheetData>
  <sheetProtection algorithmName="SHA-512" hashValue="BZw/1C63fHiU9jQ0aAck8Aw+Or6vr8N5dXUdA8nmw+6lsMazHSIZ2UEjuef1GDU1lZmiBAVrm/o7SyusQSn34Q==" saltValue="exsAk7d/CvqDx9xH7TFMyA==" spinCount="100000" sheet="1" objects="1" scenarios="1"/>
  <mergeCells count="9">
    <mergeCell ref="B5:F5"/>
    <mergeCell ref="B3:L3"/>
    <mergeCell ref="H5:L5"/>
    <mergeCell ref="B26:F26"/>
    <mergeCell ref="B35:L35"/>
    <mergeCell ref="H25:L25"/>
    <mergeCell ref="B15:F15"/>
    <mergeCell ref="H15:L15"/>
    <mergeCell ref="B25:F25"/>
  </mergeCells>
  <pageMargins left="0.7" right="0.7" top="0.75" bottom="0.75" header="0.3" footer="0.3"/>
  <pageSetup scale="34"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tabColor rgb="FF92D050"/>
    <pageSetUpPr fitToPage="1"/>
  </sheetPr>
  <dimension ref="B3:H13"/>
  <sheetViews>
    <sheetView workbookViewId="0"/>
  </sheetViews>
  <sheetFormatPr defaultColWidth="11.54296875" defaultRowHeight="14.5" x14ac:dyDescent="0.35"/>
  <cols>
    <col min="1" max="1" width="17.453125" customWidth="1"/>
    <col min="2" max="2" width="52" bestFit="1" customWidth="1"/>
    <col min="3" max="5" width="19.54296875" customWidth="1"/>
    <col min="6" max="6" width="21.453125" customWidth="1"/>
    <col min="7" max="7" width="19.453125" bestFit="1" customWidth="1"/>
    <col min="8" max="8" width="13.54296875" style="42" bestFit="1" customWidth="1"/>
    <col min="9" max="9" width="11.54296875" customWidth="1"/>
  </cols>
  <sheetData>
    <row r="3" spans="2:7" x14ac:dyDescent="0.35">
      <c r="B3" s="325" t="str">
        <f>_xlfn.CONCAT("SUMMARY OF BUSINESS RESULTS UNDER MICRO INSURANCE BUSINESS FOR THE PERIOD ENDED"," ",Details!F18)</f>
        <v>SUMMARY OF BUSINESS RESULTS UNDER MICRO INSURANCE BUSINESS FOR THE PERIOD ENDED 31.12.2025</v>
      </c>
      <c r="C3" s="269"/>
      <c r="D3" s="269"/>
      <c r="E3" s="269"/>
      <c r="F3" s="269"/>
      <c r="G3" s="270"/>
    </row>
    <row r="4" spans="2:7" s="94" customFormat="1" ht="28" customHeight="1" x14ac:dyDescent="0.35">
      <c r="B4" s="92" t="s">
        <v>0</v>
      </c>
      <c r="C4" s="98" t="s">
        <v>177</v>
      </c>
      <c r="D4" s="98" t="s">
        <v>178</v>
      </c>
      <c r="E4" s="98" t="str">
        <f>'GDP (Micro)'!E4</f>
        <v>Bundled</v>
      </c>
      <c r="F4" s="98" t="s">
        <v>229</v>
      </c>
      <c r="G4" s="98" t="s">
        <v>197</v>
      </c>
    </row>
    <row r="5" spans="2:7" x14ac:dyDescent="0.35">
      <c r="B5" s="339" t="s">
        <v>17</v>
      </c>
      <c r="C5" s="269"/>
      <c r="D5" s="269"/>
      <c r="E5" s="269"/>
      <c r="F5" s="269"/>
      <c r="G5" s="270"/>
    </row>
    <row r="6" spans="2:7" x14ac:dyDescent="0.35">
      <c r="B6" s="88" t="str">
        <f>'GDP (Micro)'!B6</f>
        <v>APA MICRO INSURANCE</v>
      </c>
      <c r="C6" s="45">
        <f>'GDP (Micro)'!C6+'INWARD (Micro)'!C6</f>
        <v>0</v>
      </c>
      <c r="D6" s="45">
        <f>'GDP (Micro)'!D6+'INWARD (Micro)'!D6</f>
        <v>0</v>
      </c>
      <c r="E6" s="45">
        <f>'GDP (Micro)'!E6+'INWARD (Micro)'!E6</f>
        <v>0</v>
      </c>
      <c r="F6" s="46">
        <f t="shared" ref="F6:F11" si="0">SUM(C6:E6)</f>
        <v>0</v>
      </c>
      <c r="G6" s="89">
        <f t="shared" ref="G6:G11" si="1">(F6/$F$12)*100</f>
        <v>0</v>
      </c>
    </row>
    <row r="7" spans="2:7" x14ac:dyDescent="0.35">
      <c r="B7" s="88" t="str">
        <f>'GDP (Micro)'!B7</f>
        <v>BIRDVIEW MICRO INSURANCE</v>
      </c>
      <c r="C7" s="45">
        <f>'GDP (Micro)'!C7+'INWARD (Micro)'!C7</f>
        <v>0</v>
      </c>
      <c r="D7" s="45">
        <f>'GDP (Micro)'!D7+'INWARD (Micro)'!D7</f>
        <v>0</v>
      </c>
      <c r="E7" s="45">
        <f>'GDP (Micro)'!E7+'INWARD (Micro)'!E7</f>
        <v>16798.446123921589</v>
      </c>
      <c r="F7" s="46">
        <f t="shared" si="0"/>
        <v>16798.446123921589</v>
      </c>
      <c r="G7" s="89">
        <f t="shared" si="1"/>
        <v>0.77584524732879723</v>
      </c>
    </row>
    <row r="8" spans="2:7" x14ac:dyDescent="0.35">
      <c r="B8" s="88" t="str">
        <f>'GDP (Micro)'!B8</f>
        <v>BRITAM MICRO INSURANCE</v>
      </c>
      <c r="C8" s="45">
        <f>'GDP (Micro)'!C8+'INWARD (Micro)'!C8</f>
        <v>0</v>
      </c>
      <c r="D8" s="45">
        <f>'GDP (Micro)'!D8+'INWARD (Micro)'!D8</f>
        <v>1619902.42115354</v>
      </c>
      <c r="E8" s="45">
        <f>'GDP (Micro)'!E8+'INWARD (Micro)'!E8</f>
        <v>0</v>
      </c>
      <c r="F8" s="46">
        <f t="shared" si="0"/>
        <v>1619902.42115354</v>
      </c>
      <c r="G8" s="89">
        <f t="shared" si="1"/>
        <v>74.816062468936735</v>
      </c>
    </row>
    <row r="9" spans="2:7" x14ac:dyDescent="0.35">
      <c r="B9" s="88" t="str">
        <f>'GDP (Micro)'!B9</f>
        <v>CIC MICRO INSURANCE</v>
      </c>
      <c r="C9" s="45">
        <f>'GDP (Micro)'!C9+'INWARD (Micro)'!C9</f>
        <v>3938.8</v>
      </c>
      <c r="D9" s="45">
        <f>'GDP (Micro)'!D9+'INWARD (Micro)'!D9</f>
        <v>2366.5050000000001</v>
      </c>
      <c r="E9" s="45">
        <f>'GDP (Micro)'!E9+'INWARD (Micro)'!E9</f>
        <v>2809.3890000000001</v>
      </c>
      <c r="F9" s="46">
        <f t="shared" si="0"/>
        <v>9114.6939999999995</v>
      </c>
      <c r="G9" s="89">
        <f t="shared" si="1"/>
        <v>0.42096703281895237</v>
      </c>
    </row>
    <row r="10" spans="2:7" x14ac:dyDescent="0.35">
      <c r="B10" s="88" t="str">
        <f>'GDP (Micro)'!B10</f>
        <v>STAR DISCOVER MICRO INSURANCE</v>
      </c>
      <c r="C10" s="45">
        <f>'GDP (Micro)'!C10+'INWARD (Micro)'!C10</f>
        <v>0</v>
      </c>
      <c r="D10" s="45">
        <f>'GDP (Micro)'!D10+'INWARD (Micro)'!D10</f>
        <v>0</v>
      </c>
      <c r="E10" s="45">
        <f>'GDP (Micro)'!E10+'INWARD (Micro)'!E10</f>
        <v>0</v>
      </c>
      <c r="F10" s="46">
        <f t="shared" si="0"/>
        <v>0</v>
      </c>
      <c r="G10" s="89">
        <f t="shared" si="1"/>
        <v>0</v>
      </c>
    </row>
    <row r="11" spans="2:7" x14ac:dyDescent="0.35">
      <c r="B11" s="88" t="str">
        <f>'GDP (Micro)'!B11</f>
        <v>TURACO MICRO INSURANCE</v>
      </c>
      <c r="C11" s="45">
        <f>'GDP (Micro)'!C11+'INWARD (Micro)'!C11</f>
        <v>14437.705260000001</v>
      </c>
      <c r="D11" s="45">
        <f>'GDP (Micro)'!D11+'INWARD (Micro)'!D11</f>
        <v>364067.16246000002</v>
      </c>
      <c r="E11" s="45">
        <f>'GDP (Micro)'!E11+'INWARD (Micro)'!E11</f>
        <v>140859.57071999999</v>
      </c>
      <c r="F11" s="46">
        <f t="shared" si="0"/>
        <v>519364.43844000006</v>
      </c>
      <c r="G11" s="89">
        <f t="shared" si="1"/>
        <v>23.987125250915533</v>
      </c>
    </row>
    <row r="12" spans="2:7" s="42" customFormat="1" x14ac:dyDescent="0.35">
      <c r="B12" s="90" t="s">
        <v>24</v>
      </c>
      <c r="C12" s="47">
        <f>SUM(C6:C11)</f>
        <v>18376.505260000002</v>
      </c>
      <c r="D12" s="47">
        <f>SUM(D6:D11)</f>
        <v>1986336.0886135399</v>
      </c>
      <c r="E12" s="47">
        <f>SUM(E6:E11)</f>
        <v>160467.40584392159</v>
      </c>
      <c r="F12" s="47">
        <f>SUM(F6:F11)</f>
        <v>2165179.9997174614</v>
      </c>
      <c r="G12" s="97">
        <f>SUM(G6:G11)</f>
        <v>100.00000000000003</v>
      </c>
    </row>
    <row r="13" spans="2:7" s="42" customFormat="1" x14ac:dyDescent="0.35">
      <c r="B13" s="340" t="s">
        <v>25</v>
      </c>
      <c r="C13" s="272"/>
      <c r="D13" s="272"/>
      <c r="E13" s="272"/>
      <c r="F13" s="272"/>
      <c r="G13" s="272"/>
    </row>
  </sheetData>
  <sheetProtection algorithmName="SHA-512" hashValue="oADNy/8NnSHf4rV1yHeiMr8FqmCeQcwPRQB9Xm7Vy6KKIKZ9J/JYqPXX+BtrqM2W81IC4IiSNiTXV/NYhnPt+Q==" saltValue="Vv5r258WeqdIkED/lyUO5Q==" spinCount="100000" sheet="1" objects="1" scenarios="1"/>
  <mergeCells count="3">
    <mergeCell ref="B3:G3"/>
    <mergeCell ref="B5:G5"/>
    <mergeCell ref="B13:G13"/>
  </mergeCells>
  <pageMargins left="0.7" right="0.7" top="0.75" bottom="0.75" header="0.3" footer="0.3"/>
  <pageSetup scale="34"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tabColor rgb="FF92D050"/>
  </sheetPr>
  <dimension ref="B3:F13"/>
  <sheetViews>
    <sheetView workbookViewId="0"/>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96" width="9.453125" style="2" customWidth="1"/>
    <col min="97" max="16384" width="9.453125" style="2"/>
  </cols>
  <sheetData>
    <row r="3" spans="2:6" ht="14.5" customHeight="1" x14ac:dyDescent="0.35">
      <c r="B3" s="332" t="str">
        <f>_xlfn.CONCAT("GDP: SUMMARY OF GROSS DIRECT PREMIUM UNDER MICRO INSURANCE BUSINESS FOR THE PERIOD ENDED"," ",Details!F18)</f>
        <v>GDP: SUMMARY OF GROSS DIRECT PREMIUM UNDER MICRO INSURANCE BUSINESS FOR THE PERIOD ENDED 31.12.2025</v>
      </c>
      <c r="C3" s="269"/>
      <c r="D3" s="269"/>
      <c r="E3" s="269"/>
      <c r="F3" s="270"/>
    </row>
    <row r="4" spans="2:6" ht="28" customHeight="1" x14ac:dyDescent="0.3">
      <c r="B4" s="26" t="s">
        <v>0</v>
      </c>
      <c r="C4" s="27" t="s">
        <v>177</v>
      </c>
      <c r="D4" s="27" t="s">
        <v>178</v>
      </c>
      <c r="E4" s="27" t="s">
        <v>246</v>
      </c>
      <c r="F4" s="44" t="s">
        <v>229</v>
      </c>
    </row>
    <row r="5" spans="2:6" ht="14.5" customHeight="1" x14ac:dyDescent="0.35">
      <c r="B5" s="331" t="s">
        <v>17</v>
      </c>
      <c r="C5" s="269"/>
      <c r="D5" s="269"/>
      <c r="E5" s="269"/>
      <c r="F5" s="270"/>
    </row>
    <row r="6" spans="2:6" x14ac:dyDescent="0.3">
      <c r="B6" s="37" t="s">
        <v>18</v>
      </c>
      <c r="C6" s="28">
        <v>0</v>
      </c>
      <c r="D6" s="28">
        <v>0</v>
      </c>
      <c r="E6" s="28">
        <v>0</v>
      </c>
      <c r="F6" s="40">
        <v>0</v>
      </c>
    </row>
    <row r="7" spans="2:6" x14ac:dyDescent="0.3">
      <c r="B7" s="37" t="s">
        <v>19</v>
      </c>
      <c r="C7" s="28">
        <v>0</v>
      </c>
      <c r="D7" s="28">
        <v>0</v>
      </c>
      <c r="E7" s="28">
        <v>16798.446123921589</v>
      </c>
      <c r="F7" s="40">
        <v>0</v>
      </c>
    </row>
    <row r="8" spans="2:6" x14ac:dyDescent="0.3">
      <c r="B8" s="37" t="s">
        <v>20</v>
      </c>
      <c r="C8" s="28">
        <v>0</v>
      </c>
      <c r="D8" s="28">
        <v>1576485.42115354</v>
      </c>
      <c r="E8" s="28">
        <v>0</v>
      </c>
      <c r="F8" s="40">
        <v>0</v>
      </c>
    </row>
    <row r="9" spans="2:6" x14ac:dyDescent="0.3">
      <c r="B9" s="37" t="s">
        <v>21</v>
      </c>
      <c r="C9" s="28">
        <v>3938.8</v>
      </c>
      <c r="D9" s="28">
        <v>2366.5050000000001</v>
      </c>
      <c r="E9" s="28">
        <v>2809.3890000000001</v>
      </c>
      <c r="F9" s="40">
        <v>0</v>
      </c>
    </row>
    <row r="10" spans="2:6" x14ac:dyDescent="0.3">
      <c r="B10" s="37" t="s">
        <v>22</v>
      </c>
      <c r="C10" s="28">
        <v>0</v>
      </c>
      <c r="D10" s="28">
        <v>0</v>
      </c>
      <c r="E10" s="28">
        <v>0</v>
      </c>
      <c r="F10" s="40">
        <v>0</v>
      </c>
    </row>
    <row r="11" spans="2:6" x14ac:dyDescent="0.3">
      <c r="B11" s="37" t="s">
        <v>23</v>
      </c>
      <c r="C11" s="28">
        <v>14437.705260000001</v>
      </c>
      <c r="D11" s="28">
        <v>364067.16246000002</v>
      </c>
      <c r="E11" s="28">
        <v>140859.57071999999</v>
      </c>
      <c r="F11" s="40">
        <v>0</v>
      </c>
    </row>
    <row r="12" spans="2:6" x14ac:dyDescent="0.3">
      <c r="B12" s="38" t="s">
        <v>24</v>
      </c>
      <c r="C12" s="39">
        <f>SUM(C6:C11)</f>
        <v>18376.505260000002</v>
      </c>
      <c r="D12" s="39">
        <f>SUM(D6:D11)</f>
        <v>1942919.0886135399</v>
      </c>
      <c r="E12" s="39">
        <f>SUM(E6:E11)</f>
        <v>160467.40584392159</v>
      </c>
      <c r="F12" s="39">
        <f>SUM(F6:F11)</f>
        <v>0</v>
      </c>
    </row>
    <row r="13" spans="2:6" x14ac:dyDescent="0.3">
      <c r="B13" s="330" t="s">
        <v>25</v>
      </c>
      <c r="C13" s="281"/>
      <c r="D13" s="281"/>
      <c r="E13" s="281"/>
      <c r="F13" s="281"/>
    </row>
  </sheetData>
  <sheetProtection algorithmName="SHA-512" hashValue="TH9bM1fOsgVWXLasFqV+/WnXx0gydWL4ataKpnc7NLCj2OS4cVKDEzrzIo7uVQcycmC5uz4y3cTAhewVZJ0bzA==" saltValue="sCQSDLhh7crtCdt4nQpcGA==" spinCount="100000" sheet="1" objects="1" scenarios="1"/>
  <mergeCells count="3">
    <mergeCell ref="B13:F13"/>
    <mergeCell ref="B3:F3"/>
    <mergeCell ref="B5:F5"/>
  </mergeCell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3">
    <tabColor rgb="FF92D050"/>
  </sheetPr>
  <dimension ref="B3:F13"/>
  <sheetViews>
    <sheetView workbookViewId="0"/>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96" width="9.453125" style="2" customWidth="1"/>
    <col min="97" max="16384" width="9.453125" style="2"/>
  </cols>
  <sheetData>
    <row r="3" spans="2:6" ht="14.5" customHeight="1" x14ac:dyDescent="0.35">
      <c r="B3" s="332" t="str">
        <f>_xlfn.CONCAT("INWARD: SUMMARY OF NET PREMIUM INCOME UNDER MICRO INSURANCE BUSINESS FOR THE PERIOD ENDED"," ",Details!F18)</f>
        <v>INWARD: SUMMARY OF NET PREMIUM INCOME UNDER MICRO INSURANCE BUSINESS FOR THE PERIOD ENDED 31.12.2025</v>
      </c>
      <c r="C3" s="269"/>
      <c r="D3" s="269"/>
      <c r="E3" s="269"/>
      <c r="F3" s="270"/>
    </row>
    <row r="4" spans="2:6" x14ac:dyDescent="0.3">
      <c r="B4" s="26" t="s">
        <v>0</v>
      </c>
      <c r="C4" s="91" t="s">
        <v>177</v>
      </c>
      <c r="D4" s="91" t="s">
        <v>178</v>
      </c>
      <c r="E4" s="91" t="s">
        <v>246</v>
      </c>
      <c r="F4" s="91" t="s">
        <v>176</v>
      </c>
    </row>
    <row r="5" spans="2:6" ht="14.5" customHeight="1" x14ac:dyDescent="0.35">
      <c r="B5" s="331" t="s">
        <v>17</v>
      </c>
      <c r="C5" s="269"/>
      <c r="D5" s="269"/>
      <c r="E5" s="269"/>
      <c r="F5" s="270"/>
    </row>
    <row r="6" spans="2:6" x14ac:dyDescent="0.3">
      <c r="B6" s="37" t="s">
        <v>18</v>
      </c>
      <c r="C6" s="28">
        <v>0</v>
      </c>
      <c r="D6" s="28">
        <v>0</v>
      </c>
      <c r="E6" s="28">
        <v>0</v>
      </c>
      <c r="F6" s="40">
        <v>0</v>
      </c>
    </row>
    <row r="7" spans="2:6" x14ac:dyDescent="0.3">
      <c r="B7" s="37" t="s">
        <v>19</v>
      </c>
      <c r="C7" s="28">
        <v>0</v>
      </c>
      <c r="D7" s="28">
        <v>0</v>
      </c>
      <c r="E7" s="28">
        <v>0</v>
      </c>
      <c r="F7" s="40">
        <v>0</v>
      </c>
    </row>
    <row r="8" spans="2:6" x14ac:dyDescent="0.3">
      <c r="B8" s="37" t="s">
        <v>20</v>
      </c>
      <c r="C8" s="28">
        <v>0</v>
      </c>
      <c r="D8" s="28">
        <v>43417</v>
      </c>
      <c r="E8" s="28">
        <v>0</v>
      </c>
      <c r="F8" s="40">
        <v>0</v>
      </c>
    </row>
    <row r="9" spans="2:6" x14ac:dyDescent="0.3">
      <c r="B9" s="37" t="s">
        <v>21</v>
      </c>
      <c r="C9" s="28">
        <v>0</v>
      </c>
      <c r="D9" s="28">
        <v>0</v>
      </c>
      <c r="E9" s="28">
        <v>0</v>
      </c>
      <c r="F9" s="40">
        <v>0</v>
      </c>
    </row>
    <row r="10" spans="2:6" x14ac:dyDescent="0.3">
      <c r="B10" s="37" t="s">
        <v>22</v>
      </c>
      <c r="C10" s="28">
        <v>0</v>
      </c>
      <c r="D10" s="28">
        <v>0</v>
      </c>
      <c r="E10" s="28">
        <v>0</v>
      </c>
      <c r="F10" s="40">
        <v>0</v>
      </c>
    </row>
    <row r="11" spans="2:6" x14ac:dyDescent="0.3">
      <c r="B11" s="37" t="s">
        <v>23</v>
      </c>
      <c r="C11" s="28">
        <v>0</v>
      </c>
      <c r="D11" s="28">
        <v>0</v>
      </c>
      <c r="E11" s="28">
        <v>0</v>
      </c>
      <c r="F11" s="40">
        <v>0</v>
      </c>
    </row>
    <row r="12" spans="2:6" x14ac:dyDescent="0.3">
      <c r="B12" s="38" t="s">
        <v>24</v>
      </c>
      <c r="C12" s="39">
        <f>SUM(C6:C11)</f>
        <v>0</v>
      </c>
      <c r="D12" s="39">
        <f>SUM(D6:D11)</f>
        <v>43417</v>
      </c>
      <c r="E12" s="39">
        <f>SUM(E6:E11)</f>
        <v>0</v>
      </c>
      <c r="F12" s="39">
        <f>SUM(F6:F11)</f>
        <v>0</v>
      </c>
    </row>
    <row r="13" spans="2:6" x14ac:dyDescent="0.3">
      <c r="B13" s="330" t="s">
        <v>25</v>
      </c>
      <c r="C13" s="281"/>
      <c r="D13" s="281"/>
      <c r="E13" s="281"/>
      <c r="F13" s="281"/>
    </row>
  </sheetData>
  <sheetProtection algorithmName="SHA-512" hashValue="cZevxbiWKlSPAbJCCmjmgpKIv5NbqyBvFUG7hLqIUlaofvqULS18hNd1z2achvYk8j0qgS+nGeUkU79MHNfvfg==" saltValue="96DNJxtrN7uTBBczbQ+8KA==" spinCount="100000" sheet="1" objects="1" scenarios="1"/>
  <mergeCells count="3">
    <mergeCell ref="B13:F13"/>
    <mergeCell ref="B3:F3"/>
    <mergeCell ref="B5:F5"/>
  </mergeCell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tabColor rgb="FF92D050"/>
    <pageSetUpPr fitToPage="1"/>
  </sheetPr>
  <dimension ref="B3:F13"/>
  <sheetViews>
    <sheetView workbookViewId="0"/>
  </sheetViews>
  <sheetFormatPr defaultColWidth="9.453125" defaultRowHeight="14.5" x14ac:dyDescent="0.35"/>
  <cols>
    <col min="1" max="1" width="16.54296875" customWidth="1"/>
    <col min="2" max="2" width="43.453125" customWidth="1"/>
    <col min="3" max="6" width="23.36328125" customWidth="1"/>
    <col min="7" max="7" width="2" customWidth="1"/>
    <col min="8" max="9" width="9.453125" customWidth="1"/>
  </cols>
  <sheetData>
    <row r="3" spans="2:6" x14ac:dyDescent="0.35">
      <c r="B3" s="325" t="str">
        <f>_xlfn.CONCAT("SUMMARY OF MICRO INSURANCE BUSINESS MARKET SHARE PER CLASS FOR THE PERIOD ENDED"," ",Details!F18)</f>
        <v>SUMMARY OF MICRO INSURANCE BUSINESS MARKET SHARE PER CLASS FOR THE PERIOD ENDED 31.12.2025</v>
      </c>
      <c r="C3" s="269"/>
      <c r="D3" s="269"/>
      <c r="E3" s="269"/>
      <c r="F3" s="270"/>
    </row>
    <row r="4" spans="2:6" s="94" customFormat="1" x14ac:dyDescent="0.35">
      <c r="B4" s="92" t="s">
        <v>0</v>
      </c>
      <c r="C4" s="91" t="s">
        <v>177</v>
      </c>
      <c r="D4" s="91" t="s">
        <v>178</v>
      </c>
      <c r="E4" s="91" t="s">
        <v>246</v>
      </c>
      <c r="F4" s="91" t="s">
        <v>176</v>
      </c>
    </row>
    <row r="5" spans="2:6" x14ac:dyDescent="0.35">
      <c r="B5" s="339" t="s">
        <v>17</v>
      </c>
      <c r="C5" s="269"/>
      <c r="D5" s="269"/>
      <c r="E5" s="269"/>
      <c r="F5" s="270"/>
    </row>
    <row r="6" spans="2:6" x14ac:dyDescent="0.35">
      <c r="B6" s="83" t="str">
        <f>'APPENDIX 22_M'!B6</f>
        <v>APA MICRO INSURANCE</v>
      </c>
      <c r="C6" s="84">
        <f>IFERROR('APPENDIX 22_M'!C6/'APPENDIX 22_M'!C$12*100,"")</f>
        <v>0</v>
      </c>
      <c r="D6" s="84">
        <f>IFERROR('APPENDIX 22_M'!D6/'APPENDIX 22_M'!D$12*100,"")</f>
        <v>0</v>
      </c>
      <c r="E6" s="84">
        <f>IFERROR('APPENDIX 22_M'!E6/'APPENDIX 22_M'!E$12*100,"")</f>
        <v>0</v>
      </c>
      <c r="F6" s="85">
        <f>IFERROR('APPENDIX 22_M'!F6/'APPENDIX 22_M'!F$12*100,"")</f>
        <v>0</v>
      </c>
    </row>
    <row r="7" spans="2:6" x14ac:dyDescent="0.35">
      <c r="B7" s="83" t="str">
        <f>'APPENDIX 22_M'!B7</f>
        <v>BIRDVIEW MICRO INSURANCE</v>
      </c>
      <c r="C7" s="84">
        <f>IFERROR('APPENDIX 22_M'!C7/'APPENDIX 22_M'!C$12*100,"")</f>
        <v>0</v>
      </c>
      <c r="D7" s="84">
        <f>IFERROR('APPENDIX 22_M'!D7/'APPENDIX 22_M'!D$12*100,"")</f>
        <v>0</v>
      </c>
      <c r="E7" s="84">
        <f>IFERROR('APPENDIX 22_M'!E7/'APPENDIX 22_M'!E$12*100,"")</f>
        <v>10.468447492857569</v>
      </c>
      <c r="F7" s="85">
        <f>IFERROR('APPENDIX 22_M'!F7/'APPENDIX 22_M'!F$12*100,"")</f>
        <v>0.77584524732879723</v>
      </c>
    </row>
    <row r="8" spans="2:6" x14ac:dyDescent="0.35">
      <c r="B8" s="83" t="str">
        <f>'APPENDIX 22_M'!B8</f>
        <v>BRITAM MICRO INSURANCE</v>
      </c>
      <c r="C8" s="84">
        <f>IFERROR('APPENDIX 22_M'!C8/'APPENDIX 22_M'!C$12*100,"")</f>
        <v>0</v>
      </c>
      <c r="D8" s="84">
        <f>IFERROR('APPENDIX 22_M'!D8/'APPENDIX 22_M'!D$12*100,"")</f>
        <v>81.552282639350821</v>
      </c>
      <c r="E8" s="84">
        <f>IFERROR('APPENDIX 22_M'!E8/'APPENDIX 22_M'!E$12*100,"")</f>
        <v>0</v>
      </c>
      <c r="F8" s="85">
        <f>IFERROR('APPENDIX 22_M'!F8/'APPENDIX 22_M'!F$12*100,"")</f>
        <v>74.816062468936735</v>
      </c>
    </row>
    <row r="9" spans="2:6" x14ac:dyDescent="0.35">
      <c r="B9" s="83" t="str">
        <f>'APPENDIX 22_M'!B9</f>
        <v>CIC MICRO INSURANCE</v>
      </c>
      <c r="C9" s="84">
        <f>IFERROR('APPENDIX 22_M'!C9/'APPENDIX 22_M'!C$12*100,"")</f>
        <v>21.433890417529799</v>
      </c>
      <c r="D9" s="84">
        <f>IFERROR('APPENDIX 22_M'!D9/'APPENDIX 22_M'!D$12*100,"")</f>
        <v>0.11913920376142476</v>
      </c>
      <c r="E9" s="84">
        <f>IFERROR('APPENDIX 22_M'!E9/'APPENDIX 22_M'!E$12*100,"")</f>
        <v>1.7507536718905699</v>
      </c>
      <c r="F9" s="85">
        <f>IFERROR('APPENDIX 22_M'!F9/'APPENDIX 22_M'!F$12*100,"")</f>
        <v>0.42096703281895237</v>
      </c>
    </row>
    <row r="10" spans="2:6" x14ac:dyDescent="0.35">
      <c r="B10" s="83" t="str">
        <f>'APPENDIX 22_M'!B10</f>
        <v>STAR DISCOVER MICRO INSURANCE</v>
      </c>
      <c r="C10" s="84">
        <f>IFERROR('APPENDIX 22_M'!C10/'APPENDIX 22_M'!C$12*100,"")</f>
        <v>0</v>
      </c>
      <c r="D10" s="84">
        <f>IFERROR('APPENDIX 22_M'!D10/'APPENDIX 22_M'!D$12*100,"")</f>
        <v>0</v>
      </c>
      <c r="E10" s="84">
        <f>IFERROR('APPENDIX 22_M'!E10/'APPENDIX 22_M'!E$12*100,"")</f>
        <v>0</v>
      </c>
      <c r="F10" s="85">
        <f>IFERROR('APPENDIX 22_M'!F10/'APPENDIX 22_M'!F$12*100,"")</f>
        <v>0</v>
      </c>
    </row>
    <row r="11" spans="2:6" x14ac:dyDescent="0.35">
      <c r="B11" s="83" t="str">
        <f>'APPENDIX 22_M'!B11</f>
        <v>TURACO MICRO INSURANCE</v>
      </c>
      <c r="C11" s="84">
        <f>IFERROR('APPENDIX 22_M'!C11/'APPENDIX 22_M'!C$12*100,"")</f>
        <v>78.56610958247019</v>
      </c>
      <c r="D11" s="84">
        <f>IFERROR('APPENDIX 22_M'!D11/'APPENDIX 22_M'!D$12*100,"")</f>
        <v>18.328578156887762</v>
      </c>
      <c r="E11" s="84">
        <f>IFERROR('APPENDIX 22_M'!E11/'APPENDIX 22_M'!E$12*100,"")</f>
        <v>87.780798835251844</v>
      </c>
      <c r="F11" s="85">
        <f>IFERROR('APPENDIX 22_M'!F11/'APPENDIX 22_M'!F$12*100,"")</f>
        <v>23.987125250915533</v>
      </c>
    </row>
    <row r="12" spans="2:6" x14ac:dyDescent="0.35">
      <c r="B12" s="86" t="s">
        <v>24</v>
      </c>
      <c r="C12" s="87">
        <f>SUM(C6:C11)</f>
        <v>99.999999999999986</v>
      </c>
      <c r="D12" s="87">
        <f>SUM(D6:D11)</f>
        <v>100</v>
      </c>
      <c r="E12" s="87">
        <f>SUM(E6:E11)</f>
        <v>99.999999999999986</v>
      </c>
      <c r="F12" s="87">
        <f>SUM(F6:F11)</f>
        <v>100.00000000000003</v>
      </c>
    </row>
    <row r="13" spans="2:6" x14ac:dyDescent="0.35">
      <c r="B13" s="341" t="s">
        <v>231</v>
      </c>
      <c r="C13" s="272"/>
      <c r="D13" s="272"/>
      <c r="E13" s="272"/>
      <c r="F13" s="272"/>
    </row>
  </sheetData>
  <sheetProtection algorithmName="SHA-512" hashValue="uHp0oNG40EHUrsW0HhStpJFz7WoUeDjrsspSxTu+WRMgZ06ZL2sT1fWJ7tQh0tIawDRZTzsExRbX6BfYBD1AhQ==" saltValue="PJEgQDcyjENKN64I1LEmrA==" spinCount="100000" sheet="1" objects="1" scenarios="1"/>
  <mergeCells count="3">
    <mergeCell ref="B13:F13"/>
    <mergeCell ref="B3:F3"/>
    <mergeCell ref="B5:F5"/>
  </mergeCells>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5">
    <tabColor rgb="FF92D050"/>
    <pageSetUpPr fitToPage="1"/>
  </sheetPr>
  <dimension ref="B3:F13"/>
  <sheetViews>
    <sheetView workbookViewId="0"/>
  </sheetViews>
  <sheetFormatPr defaultColWidth="9.453125" defaultRowHeight="14" x14ac:dyDescent="0.3"/>
  <cols>
    <col min="1" max="1" width="17" style="2" customWidth="1"/>
    <col min="2" max="2" width="45.453125" style="2" bestFit="1" customWidth="1"/>
    <col min="3" max="6" width="21.26953125" style="2" customWidth="1"/>
    <col min="7" max="7" width="11.54296875" style="2" customWidth="1"/>
    <col min="8" max="8" width="16.453125" style="2" customWidth="1"/>
    <col min="9" max="95" width="9.453125" style="2" customWidth="1"/>
    <col min="96" max="16384" width="9.453125" style="2"/>
  </cols>
  <sheetData>
    <row r="3" spans="2:6" ht="14.5" customHeight="1" x14ac:dyDescent="0.35">
      <c r="B3" s="332" t="str">
        <f>_xlfn.CONCAT("SUMMARY OF CLAIMS PAID UNDER MICRO INSURANCE BUSINESS FOR THE PERIOD ENDED"," ",Details!F18)</f>
        <v>SUMMARY OF CLAIMS PAID UNDER MICRO INSURANCE BUSINESS FOR THE PERIOD ENDED 31.12.2025</v>
      </c>
      <c r="C3" s="269"/>
      <c r="D3" s="269"/>
      <c r="E3" s="269"/>
      <c r="F3" s="270"/>
    </row>
    <row r="4" spans="2:6" x14ac:dyDescent="0.3">
      <c r="B4" s="26" t="s">
        <v>0</v>
      </c>
      <c r="C4" s="27" t="s">
        <v>177</v>
      </c>
      <c r="D4" s="27" t="s">
        <v>178</v>
      </c>
      <c r="E4" s="27" t="s">
        <v>246</v>
      </c>
      <c r="F4" s="27" t="s">
        <v>176</v>
      </c>
    </row>
    <row r="5" spans="2:6" ht="14.5" customHeight="1" x14ac:dyDescent="0.35">
      <c r="B5" s="331" t="s">
        <v>17</v>
      </c>
      <c r="C5" s="269"/>
      <c r="D5" s="269"/>
      <c r="E5" s="269"/>
      <c r="F5" s="270"/>
    </row>
    <row r="6" spans="2:6" x14ac:dyDescent="0.3">
      <c r="B6" s="37" t="s">
        <v>18</v>
      </c>
      <c r="C6" s="80">
        <v>0</v>
      </c>
      <c r="D6" s="80">
        <v>0</v>
      </c>
      <c r="E6" s="80">
        <v>0</v>
      </c>
      <c r="F6" s="81">
        <v>0</v>
      </c>
    </row>
    <row r="7" spans="2:6" x14ac:dyDescent="0.3">
      <c r="B7" s="37" t="s">
        <v>19</v>
      </c>
      <c r="C7" s="80">
        <v>0</v>
      </c>
      <c r="D7" s="80">
        <v>0</v>
      </c>
      <c r="E7" s="80">
        <v>451.86594000000002</v>
      </c>
      <c r="F7" s="81">
        <v>0</v>
      </c>
    </row>
    <row r="8" spans="2:6" x14ac:dyDescent="0.3">
      <c r="B8" s="37" t="s">
        <v>20</v>
      </c>
      <c r="C8" s="28">
        <v>0</v>
      </c>
      <c r="D8" s="28">
        <v>403251.30910000001</v>
      </c>
      <c r="E8" s="28">
        <v>0</v>
      </c>
      <c r="F8" s="81">
        <v>0</v>
      </c>
    </row>
    <row r="9" spans="2:6" x14ac:dyDescent="0.3">
      <c r="B9" s="37" t="s">
        <v>21</v>
      </c>
      <c r="C9" s="28">
        <v>675</v>
      </c>
      <c r="D9" s="28">
        <v>0</v>
      </c>
      <c r="E9" s="28">
        <v>17.398</v>
      </c>
      <c r="F9" s="81">
        <v>0</v>
      </c>
    </row>
    <row r="10" spans="2:6" x14ac:dyDescent="0.3">
      <c r="B10" s="37" t="s">
        <v>22</v>
      </c>
      <c r="C10" s="28">
        <v>0</v>
      </c>
      <c r="D10" s="28">
        <v>0</v>
      </c>
      <c r="E10" s="28">
        <v>0</v>
      </c>
      <c r="F10" s="81">
        <v>0</v>
      </c>
    </row>
    <row r="11" spans="2:6" x14ac:dyDescent="0.3">
      <c r="B11" s="37" t="s">
        <v>23</v>
      </c>
      <c r="C11" s="28">
        <v>12195.605</v>
      </c>
      <c r="D11" s="28">
        <v>87852.4</v>
      </c>
      <c r="E11" s="28">
        <v>30483.585999999999</v>
      </c>
      <c r="F11" s="81">
        <v>0</v>
      </c>
    </row>
    <row r="12" spans="2:6" x14ac:dyDescent="0.3">
      <c r="B12" s="38" t="s">
        <v>24</v>
      </c>
      <c r="C12" s="39">
        <f>SUM(C6:C11)</f>
        <v>12870.605</v>
      </c>
      <c r="D12" s="39">
        <f>SUM(D6:D11)</f>
        <v>491103.70909999998</v>
      </c>
      <c r="E12" s="39">
        <f>SUM(E6:E11)</f>
        <v>30952.84994</v>
      </c>
      <c r="F12" s="39">
        <f>SUM(F6:F11)</f>
        <v>0</v>
      </c>
    </row>
    <row r="13" spans="2:6" x14ac:dyDescent="0.3">
      <c r="B13" s="330" t="s">
        <v>25</v>
      </c>
      <c r="C13" s="281"/>
      <c r="D13" s="281"/>
      <c r="E13" s="281"/>
      <c r="F13" s="281"/>
    </row>
  </sheetData>
  <sheetProtection algorithmName="SHA-512" hashValue="VNeYxZfKGs+6cIardLxOdVhnQE9/n1mtw1cTF/xRSXj9nK0f0ZpIe/YryBGkKPsx3OcOXWehSqg7hsAlpTTfwg==" saltValue="HMzE7ilV1TzSIFTkkqEvBA==" spinCount="100000" sheet="1" objects="1" scenarios="1"/>
  <mergeCells count="3">
    <mergeCell ref="B13:F13"/>
    <mergeCell ref="B3:F3"/>
    <mergeCell ref="B5:F5"/>
  </mergeCells>
  <pageMargins left="0.7" right="0.7" top="0.75" bottom="0.75" header="0.3" footer="0.3"/>
  <pageSetup scale="34"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6">
    <tabColor rgb="FF92D050"/>
  </sheetPr>
  <dimension ref="B3:F13"/>
  <sheetViews>
    <sheetView workbookViewId="0"/>
  </sheetViews>
  <sheetFormatPr defaultColWidth="9.453125" defaultRowHeight="14" x14ac:dyDescent="0.3"/>
  <cols>
    <col min="1" max="1" width="16.453125" style="2" customWidth="1"/>
    <col min="2" max="2" width="49.453125" style="2" customWidth="1"/>
    <col min="3" max="6" width="26.1796875" style="2" customWidth="1"/>
    <col min="7" max="7" width="21.54296875" style="2" customWidth="1"/>
    <col min="8" max="8" width="14.54296875" style="2" bestFit="1" customWidth="1"/>
    <col min="9" max="95" width="9.453125" style="2" customWidth="1"/>
    <col min="96" max="16384" width="9.453125" style="2"/>
  </cols>
  <sheetData>
    <row r="3" spans="2:6" ht="14.5" customHeight="1" x14ac:dyDescent="0.35">
      <c r="B3" s="336" t="str">
        <f>_xlfn.CONCAT("SUMMARY OF CLAIMS INCURRED UNDER MICRO INSURANCE BUSINESS FOR THE PERIOD ENDED"," ",Details!F18)</f>
        <v>SUMMARY OF CLAIMS INCURRED UNDER MICRO INSURANCE BUSINESS FOR THE PERIOD ENDED 31.12.2025</v>
      </c>
      <c r="C3" s="269"/>
      <c r="D3" s="269"/>
      <c r="E3" s="269"/>
      <c r="F3" s="270"/>
    </row>
    <row r="4" spans="2:6" s="41" customFormat="1" ht="15.5" customHeight="1" x14ac:dyDescent="0.35">
      <c r="B4" s="74" t="s">
        <v>0</v>
      </c>
      <c r="C4" s="74" t="s">
        <v>177</v>
      </c>
      <c r="D4" s="74" t="s">
        <v>178</v>
      </c>
      <c r="E4" s="74" t="s">
        <v>246</v>
      </c>
      <c r="F4" s="74" t="s">
        <v>176</v>
      </c>
    </row>
    <row r="5" spans="2:6" ht="14.5" customHeight="1" x14ac:dyDescent="0.35">
      <c r="B5" s="335" t="s">
        <v>17</v>
      </c>
      <c r="C5" s="269"/>
      <c r="D5" s="269"/>
      <c r="E5" s="269"/>
      <c r="F5" s="270"/>
    </row>
    <row r="6" spans="2:6" ht="15.5" customHeight="1" x14ac:dyDescent="0.35">
      <c r="B6" s="67" t="s">
        <v>18</v>
      </c>
      <c r="C6" s="68">
        <v>0</v>
      </c>
      <c r="D6" s="68">
        <v>0</v>
      </c>
      <c r="E6" s="68">
        <v>0</v>
      </c>
      <c r="F6" s="69">
        <v>0</v>
      </c>
    </row>
    <row r="7" spans="2:6" ht="15.5" customHeight="1" x14ac:dyDescent="0.35">
      <c r="B7" s="67" t="s">
        <v>19</v>
      </c>
      <c r="C7" s="68">
        <v>0</v>
      </c>
      <c r="D7" s="68">
        <v>0</v>
      </c>
      <c r="E7" s="68">
        <v>1902.51651751124</v>
      </c>
      <c r="F7" s="69">
        <v>0</v>
      </c>
    </row>
    <row r="8" spans="2:6" ht="15.5" customHeight="1" x14ac:dyDescent="0.35">
      <c r="B8" s="67" t="s">
        <v>20</v>
      </c>
      <c r="C8" s="70">
        <v>0</v>
      </c>
      <c r="D8" s="70">
        <v>622094.83937000006</v>
      </c>
      <c r="E8" s="70">
        <v>0</v>
      </c>
      <c r="F8" s="69">
        <v>0</v>
      </c>
    </row>
    <row r="9" spans="2:6" ht="15.5" customHeight="1" x14ac:dyDescent="0.35">
      <c r="B9" s="67" t="s">
        <v>21</v>
      </c>
      <c r="C9" s="70">
        <v>819</v>
      </c>
      <c r="D9" s="70">
        <v>0</v>
      </c>
      <c r="E9" s="70">
        <v>170.94</v>
      </c>
      <c r="F9" s="69">
        <v>0</v>
      </c>
    </row>
    <row r="10" spans="2:6" ht="15.5" customHeight="1" x14ac:dyDescent="0.35">
      <c r="B10" s="67" t="s">
        <v>22</v>
      </c>
      <c r="C10" s="70">
        <v>0</v>
      </c>
      <c r="D10" s="70">
        <v>0</v>
      </c>
      <c r="E10" s="70">
        <v>0</v>
      </c>
      <c r="F10" s="69">
        <v>0</v>
      </c>
    </row>
    <row r="11" spans="2:6" ht="15.5" customHeight="1" x14ac:dyDescent="0.35">
      <c r="B11" s="67" t="s">
        <v>23</v>
      </c>
      <c r="C11" s="70">
        <v>12789.248934503281</v>
      </c>
      <c r="D11" s="70">
        <v>86187.819166156318</v>
      </c>
      <c r="E11" s="70">
        <v>31381.287178931321</v>
      </c>
      <c r="F11" s="69">
        <v>0</v>
      </c>
    </row>
    <row r="12" spans="2:6" ht="15.5" customHeight="1" x14ac:dyDescent="0.35">
      <c r="B12" s="71" t="s">
        <v>24</v>
      </c>
      <c r="C12" s="72">
        <f>SUM(C6:C11)</f>
        <v>13608.248934503281</v>
      </c>
      <c r="D12" s="72">
        <f>SUM(D6:D11)</f>
        <v>708282.65853615641</v>
      </c>
      <c r="E12" s="72">
        <f>SUM(E6:E11)</f>
        <v>33454.743696442558</v>
      </c>
      <c r="F12" s="72">
        <f>SUM(F6:F11)</f>
        <v>0</v>
      </c>
    </row>
    <row r="13" spans="2:6" ht="15.5" customHeight="1" x14ac:dyDescent="0.35">
      <c r="B13" s="275" t="s">
        <v>25</v>
      </c>
      <c r="C13" s="272"/>
      <c r="D13" s="272"/>
      <c r="E13" s="272"/>
      <c r="F13" s="272"/>
    </row>
  </sheetData>
  <sheetProtection algorithmName="SHA-512" hashValue="jDQIZpxkPqGbzdolXvZ+hGCdt6g+BU3bXM8aq3KH9B8u2R8WOduKYT2toZx2bZJ/8p0B+u6Tx394fkT8NrBXiQ==" saltValue="SsAAIfqAii3U7ZtHlUPFdg==" spinCount="100000" sheet="1" objects="1" scenarios="1"/>
  <mergeCells count="3">
    <mergeCell ref="B13:F13"/>
    <mergeCell ref="B3:F3"/>
    <mergeCell ref="B5:F5"/>
  </mergeCells>
  <pageMargins left="0.7" right="0.7" top="0.75" bottom="0.75" header="0.3" footer="0.3"/>
  <pageSetup paperSize="9" scale="31"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7">
    <tabColor rgb="FF92D050"/>
    <pageSetUpPr fitToPage="1"/>
  </sheetPr>
  <dimension ref="B3:F13"/>
  <sheetViews>
    <sheetView workbookViewId="0"/>
  </sheetViews>
  <sheetFormatPr defaultColWidth="9.453125" defaultRowHeight="14" x14ac:dyDescent="0.3"/>
  <cols>
    <col min="1" max="1" width="17.453125" style="2" customWidth="1"/>
    <col min="2" max="2" width="50.6328125" style="2" bestFit="1" customWidth="1"/>
    <col min="3" max="6" width="27.81640625" style="2" customWidth="1"/>
    <col min="7" max="7" width="2.453125" style="2" customWidth="1"/>
    <col min="8" max="94" width="9.453125" style="2" customWidth="1"/>
    <col min="95" max="16384" width="9.453125" style="2"/>
  </cols>
  <sheetData>
    <row r="3" spans="2:6" ht="14.5" customHeight="1" x14ac:dyDescent="0.35">
      <c r="B3" s="336" t="str">
        <f>_xlfn.CONCAT("SUMMARY OF INCURRED CLAIMS RATIOS UNDER MICRO INSURANCE BUSINESS FOR THE PERIOD ENDED"," ",Details!F18)</f>
        <v>SUMMARY OF INCURRED CLAIMS RATIOS UNDER MICRO INSURANCE BUSINESS FOR THE PERIOD ENDED 31.12.2025</v>
      </c>
      <c r="C3" s="269"/>
      <c r="D3" s="269"/>
      <c r="E3" s="269"/>
      <c r="F3" s="270"/>
    </row>
    <row r="4" spans="2:6" ht="15.5" customHeight="1" x14ac:dyDescent="0.35">
      <c r="B4" s="65" t="s">
        <v>0</v>
      </c>
      <c r="C4" s="96" t="s">
        <v>177</v>
      </c>
      <c r="D4" s="96" t="s">
        <v>178</v>
      </c>
      <c r="E4" s="96" t="s">
        <v>246</v>
      </c>
      <c r="F4" s="96" t="s">
        <v>229</v>
      </c>
    </row>
    <row r="5" spans="2:6" ht="14.5" customHeight="1" x14ac:dyDescent="0.35">
      <c r="B5" s="335" t="s">
        <v>17</v>
      </c>
      <c r="C5" s="269"/>
      <c r="D5" s="269"/>
      <c r="E5" s="269"/>
      <c r="F5" s="270"/>
    </row>
    <row r="6" spans="2:6" ht="15.5" customHeight="1" x14ac:dyDescent="0.35">
      <c r="B6" s="75" t="str">
        <f>'APPENDIX 25_M'!B6</f>
        <v>APA MICRO INSURANCE</v>
      </c>
      <c r="C6" s="99" t="str">
        <f>IFERROR('APPENDIX 25_M'!C6/'NEPI (Micro)'!C6*100,"0.00")</f>
        <v>0.00</v>
      </c>
      <c r="D6" s="99" t="str">
        <f>IFERROR('APPENDIX 25_M'!D6/'NEPI (Micro)'!D6*100,"0.00")</f>
        <v>0.00</v>
      </c>
      <c r="E6" s="99" t="str">
        <f>IFERROR('APPENDIX 25_M'!E6/'NEPI (Micro)'!E6*100,"0.00")</f>
        <v>0.00</v>
      </c>
      <c r="F6" s="100" t="str">
        <f>IFERROR('APPENDIX 25_M'!F6/'NEPI (Micro)'!F6*100,"0.00")</f>
        <v>0.00</v>
      </c>
    </row>
    <row r="7" spans="2:6" ht="15.5" customHeight="1" x14ac:dyDescent="0.35">
      <c r="B7" s="75" t="str">
        <f>'APPENDIX 25_M'!B7</f>
        <v>BIRDVIEW MICRO INSURANCE</v>
      </c>
      <c r="C7" s="99" t="str">
        <f>IFERROR('APPENDIX 25_M'!C7/'NEPI (Micro)'!C7*100,"0.00")</f>
        <v>0.00</v>
      </c>
      <c r="D7" s="99" t="str">
        <f>IFERROR('APPENDIX 25_M'!D7/'NEPI (Micro)'!D7*100,"0.00")</f>
        <v>0.00</v>
      </c>
      <c r="E7" s="99">
        <f>IFERROR('APPENDIX 25_M'!E7/'NEPI (Micro)'!E7*100,"0.00")</f>
        <v>67.284414698697731</v>
      </c>
      <c r="F7" s="100" t="str">
        <f>IFERROR('APPENDIX 25_M'!F7/'NEPI (Micro)'!F7*100,"0.00")</f>
        <v>0.00</v>
      </c>
    </row>
    <row r="8" spans="2:6" ht="15.5" customHeight="1" x14ac:dyDescent="0.35">
      <c r="B8" s="75" t="str">
        <f>'APPENDIX 25_M'!B8</f>
        <v>BRITAM MICRO INSURANCE</v>
      </c>
      <c r="C8" s="99" t="str">
        <f>IFERROR('APPENDIX 25_M'!C8/'NEPI (Micro)'!C8*100,"0.00")</f>
        <v>0.00</v>
      </c>
      <c r="D8" s="99">
        <f>IFERROR('APPENDIX 25_M'!D8/'NEPI (Micro)'!D8*100,"0.00")</f>
        <v>65.918296597110796</v>
      </c>
      <c r="E8" s="99" t="str">
        <f>IFERROR('APPENDIX 25_M'!E8/'NEPI (Micro)'!E8*100,"0.00")</f>
        <v>0.00</v>
      </c>
      <c r="F8" s="100" t="str">
        <f>IFERROR('APPENDIX 25_M'!F8/'NEPI (Micro)'!F8*100,"0.00")</f>
        <v>0.00</v>
      </c>
    </row>
    <row r="9" spans="2:6" ht="15.5" customHeight="1" x14ac:dyDescent="0.35">
      <c r="B9" s="75" t="str">
        <f>'APPENDIX 25_M'!B9</f>
        <v>CIC MICRO INSURANCE</v>
      </c>
      <c r="C9" s="99">
        <f>IFERROR('APPENDIX 25_M'!C9/'NEPI (Micro)'!C9*100,"0.00")</f>
        <v>101.98389177504272</v>
      </c>
      <c r="D9" s="99">
        <f>IFERROR('APPENDIX 25_M'!D9/'NEPI (Micro)'!D9*100,"0.00")</f>
        <v>0</v>
      </c>
      <c r="E9" s="99">
        <f>IFERROR('APPENDIX 25_M'!E9/'NEPI (Micro)'!E9*100,"0.00")</f>
        <v>45.862520048057156</v>
      </c>
      <c r="F9" s="100" t="str">
        <f>IFERROR('APPENDIX 25_M'!F9/'NEPI (Micro)'!F9*100,"0.00")</f>
        <v>0.00</v>
      </c>
    </row>
    <row r="10" spans="2:6" ht="15.5" customHeight="1" x14ac:dyDescent="0.35">
      <c r="B10" s="75" t="str">
        <f>'APPENDIX 25_M'!B10</f>
        <v>STAR DISCOVER MICRO INSURANCE</v>
      </c>
      <c r="C10" s="99" t="str">
        <f>IFERROR('APPENDIX 25_M'!C10/'NEPI (Micro)'!C10*100,"0.00")</f>
        <v>0.00</v>
      </c>
      <c r="D10" s="99" t="str">
        <f>IFERROR('APPENDIX 25_M'!D10/'NEPI (Micro)'!D10*100,"0.00")</f>
        <v>0.00</v>
      </c>
      <c r="E10" s="99" t="str">
        <f>IFERROR('APPENDIX 25_M'!E10/'NEPI (Micro)'!E10*100,"0.00")</f>
        <v>0.00</v>
      </c>
      <c r="F10" s="100" t="str">
        <f>IFERROR('APPENDIX 25_M'!F10/'NEPI (Micro)'!F10*100,"0.00")</f>
        <v>0.00</v>
      </c>
    </row>
    <row r="11" spans="2:6" ht="15.5" customHeight="1" x14ac:dyDescent="0.35">
      <c r="B11" s="75" t="str">
        <f>'APPENDIX 25_M'!B11</f>
        <v>TURACO MICRO INSURANCE</v>
      </c>
      <c r="C11" s="99">
        <f>IFERROR('APPENDIX 25_M'!C11/'NEPI (Micro)'!C11*100,"0.00")</f>
        <v>126.07508669320811</v>
      </c>
      <c r="D11" s="99">
        <f>IFERROR('APPENDIX 25_M'!D11/'NEPI (Micro)'!D11*100,"0.00")</f>
        <v>34.474868360296782</v>
      </c>
      <c r="E11" s="99">
        <f>IFERROR('APPENDIX 25_M'!E11/'NEPI (Micro)'!E11*100,"0.00")</f>
        <v>30.839290844333327</v>
      </c>
      <c r="F11" s="100" t="str">
        <f>IFERROR('APPENDIX 25_M'!F11/'NEPI (Micro)'!F11*100,"0.00")</f>
        <v>0.00</v>
      </c>
    </row>
    <row r="12" spans="2:6" ht="15.5" customHeight="1" x14ac:dyDescent="0.35">
      <c r="B12" s="71" t="s">
        <v>24</v>
      </c>
      <c r="C12" s="101">
        <f>IFERROR('APPENDIX 25_M'!C12/'NEPI (Micro)'!C12*100,"0.00")</f>
        <v>124.30780084246733</v>
      </c>
      <c r="D12" s="101">
        <f>IFERROR('APPENDIX 25_M'!D12/'NEPI (Micro)'!D12*100,"0.00")</f>
        <v>59.326449675760472</v>
      </c>
      <c r="E12" s="101">
        <f>IFERROR('APPENDIX 25_M'!E12/'NEPI (Micro)'!E12*100,"0.00")</f>
        <v>31.874476364809539</v>
      </c>
      <c r="F12" s="101" t="str">
        <f>IFERROR('APPENDIX 25_M'!F12/'NEPI (Micro)'!F12*100,"0.00")</f>
        <v>0.00</v>
      </c>
    </row>
    <row r="13" spans="2:6" ht="15.5" customHeight="1" x14ac:dyDescent="0.35">
      <c r="B13" s="77" t="s">
        <v>232</v>
      </c>
      <c r="C13" s="76"/>
      <c r="D13" s="76"/>
      <c r="E13" s="76"/>
      <c r="F13" s="76"/>
    </row>
  </sheetData>
  <sheetProtection algorithmName="SHA-512" hashValue="M34JKMjpRC35qnyVI8N6FN+N5PvwI4hF4J2j00Lwu7Bb+l6SqOqt6/CQo2JqMso14/hWmjrUA01RNDSqyIFcmQ==" saltValue="fNtWT0o1aZ4XnaHGNNPYTw==" spinCount="100000" sheet="1" objects="1" scenarios="1"/>
  <mergeCells count="2">
    <mergeCell ref="B3:F3"/>
    <mergeCell ref="B5:F5"/>
  </mergeCells>
  <pageMargins left="0.7" right="0.7" top="0.75" bottom="0.75" header="0.3" footer="0.3"/>
  <pageSetup paperSize="9" scale="36"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tabColor rgb="FFA2D668"/>
    <pageSetUpPr fitToPage="1"/>
  </sheetPr>
  <dimension ref="B3:F13"/>
  <sheetViews>
    <sheetView workbookViewId="0"/>
  </sheetViews>
  <sheetFormatPr defaultColWidth="9.453125" defaultRowHeight="14" x14ac:dyDescent="0.3"/>
  <cols>
    <col min="1" max="1" width="15.453125" style="2" customWidth="1"/>
    <col min="2" max="2" width="51.453125" style="2" customWidth="1"/>
    <col min="3" max="6" width="21.54296875" style="2" customWidth="1"/>
    <col min="7" max="8" width="6.453125" style="2" bestFit="1" customWidth="1"/>
    <col min="9" max="9" width="13.54296875" style="2" customWidth="1"/>
    <col min="10" max="96" width="9.453125" style="2" customWidth="1"/>
    <col min="97" max="16384" width="9.453125" style="2"/>
  </cols>
  <sheetData>
    <row r="3" spans="2:6" ht="14.5" customHeight="1" x14ac:dyDescent="0.35">
      <c r="B3" s="336" t="str">
        <f>_xlfn.CONCAT("NPI: SUMMARY OF NET PREMIUM INCOME UNDER MICRO INSURANCE BUSINESS FOR THE PERIOD ENDED"," ",Details!F18)</f>
        <v>NPI: SUMMARY OF NET PREMIUM INCOME UNDER MICRO INSURANCE BUSINESS FOR THE PERIOD ENDED 31.12.2025</v>
      </c>
      <c r="C3" s="269"/>
      <c r="D3" s="269"/>
      <c r="E3" s="269"/>
      <c r="F3" s="270"/>
    </row>
    <row r="4" spans="2:6" ht="15.5" customHeight="1" x14ac:dyDescent="0.35">
      <c r="B4" s="65" t="s">
        <v>0</v>
      </c>
      <c r="C4" s="66" t="s">
        <v>177</v>
      </c>
      <c r="D4" s="66" t="s">
        <v>178</v>
      </c>
      <c r="E4" s="66" t="s">
        <v>246</v>
      </c>
      <c r="F4" s="96" t="s">
        <v>229</v>
      </c>
    </row>
    <row r="5" spans="2:6" ht="14.5" customHeight="1" x14ac:dyDescent="0.35">
      <c r="B5" s="335" t="s">
        <v>17</v>
      </c>
      <c r="C5" s="269"/>
      <c r="D5" s="269"/>
      <c r="E5" s="269"/>
      <c r="F5" s="270"/>
    </row>
    <row r="6" spans="2:6" ht="15.5" customHeight="1" x14ac:dyDescent="0.35">
      <c r="B6" s="67" t="s">
        <v>18</v>
      </c>
      <c r="C6" s="70">
        <v>0</v>
      </c>
      <c r="D6" s="70">
        <v>0</v>
      </c>
      <c r="E6" s="70">
        <v>0</v>
      </c>
      <c r="F6" s="73">
        <v>0</v>
      </c>
    </row>
    <row r="7" spans="2:6" ht="15.5" customHeight="1" x14ac:dyDescent="0.35">
      <c r="B7" s="67" t="s">
        <v>19</v>
      </c>
      <c r="C7" s="70">
        <v>0</v>
      </c>
      <c r="D7" s="70">
        <v>0</v>
      </c>
      <c r="E7" s="70">
        <v>8452.9331146330842</v>
      </c>
      <c r="F7" s="73">
        <v>0</v>
      </c>
    </row>
    <row r="8" spans="2:6" ht="15.5" customHeight="1" x14ac:dyDescent="0.35">
      <c r="B8" s="67" t="s">
        <v>20</v>
      </c>
      <c r="C8" s="70">
        <v>0</v>
      </c>
      <c r="D8" s="70">
        <v>1427607.0237437009</v>
      </c>
      <c r="E8" s="70">
        <v>0</v>
      </c>
      <c r="F8" s="73">
        <v>0</v>
      </c>
    </row>
    <row r="9" spans="2:6" ht="15.5" customHeight="1" x14ac:dyDescent="0.35">
      <c r="B9" s="67" t="s">
        <v>21</v>
      </c>
      <c r="C9" s="70">
        <v>1969.52</v>
      </c>
      <c r="D9" s="70">
        <v>1461.4274587954189</v>
      </c>
      <c r="E9" s="70">
        <v>1405.432649825784</v>
      </c>
      <c r="F9" s="73">
        <v>0</v>
      </c>
    </row>
    <row r="10" spans="2:6" ht="15.5" customHeight="1" x14ac:dyDescent="0.35">
      <c r="B10" s="67" t="s">
        <v>22</v>
      </c>
      <c r="C10" s="70">
        <v>0</v>
      </c>
      <c r="D10" s="70">
        <v>0</v>
      </c>
      <c r="E10" s="70">
        <v>0</v>
      </c>
      <c r="F10" s="73">
        <v>0</v>
      </c>
    </row>
    <row r="11" spans="2:6" ht="15.5" customHeight="1" x14ac:dyDescent="0.35">
      <c r="B11" s="67" t="s">
        <v>23</v>
      </c>
      <c r="C11" s="70">
        <v>11600.69617641</v>
      </c>
      <c r="D11" s="70">
        <v>292527.96503661002</v>
      </c>
      <c r="E11" s="70">
        <v>113180.66507351999</v>
      </c>
      <c r="F11" s="73">
        <v>0</v>
      </c>
    </row>
    <row r="12" spans="2:6" ht="15.5" customHeight="1" x14ac:dyDescent="0.35">
      <c r="B12" s="71" t="s">
        <v>24</v>
      </c>
      <c r="C12" s="72">
        <f>SUM(C6:C11)</f>
        <v>13570.21617641</v>
      </c>
      <c r="D12" s="72">
        <f>SUM(D6:D11)</f>
        <v>1721596.4162391066</v>
      </c>
      <c r="E12" s="72">
        <f>SUM(E6:E11)</f>
        <v>123039.03083797886</v>
      </c>
      <c r="F12" s="72">
        <f>SUM(F6:F11)</f>
        <v>0</v>
      </c>
    </row>
    <row r="13" spans="2:6" ht="14.5" customHeight="1" x14ac:dyDescent="0.35">
      <c r="B13" s="298" t="s">
        <v>25</v>
      </c>
      <c r="C13" s="281"/>
      <c r="D13" s="281"/>
      <c r="E13" s="281"/>
      <c r="F13" s="281"/>
    </row>
  </sheetData>
  <sheetProtection algorithmName="SHA-512" hashValue="zI+yS9a01V6smia6YPUBkAjDrgo1cwhBiZaT3f+nKEVHxCIcZkzkFbAln6ZSK1WmJfGAu01ubcjJDYaw5VdgQw==" saltValue="gJuqCDnWGcF0GAudz8+QL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tabColor rgb="FFA2D668"/>
    <pageSetUpPr fitToPage="1"/>
  </sheetPr>
  <dimension ref="B3:F13"/>
  <sheetViews>
    <sheetView workbookViewId="0"/>
  </sheetViews>
  <sheetFormatPr defaultColWidth="9.453125" defaultRowHeight="14" x14ac:dyDescent="0.3"/>
  <cols>
    <col min="1" max="1" width="15.453125" style="2" customWidth="1"/>
    <col min="2" max="2" width="51.453125" style="2" customWidth="1"/>
    <col min="3" max="6" width="23.26953125" style="2" customWidth="1"/>
    <col min="7" max="8" width="6.453125" style="2" bestFit="1" customWidth="1"/>
    <col min="9" max="9" width="13.54296875" style="2" customWidth="1"/>
    <col min="10" max="96" width="9.453125" style="2" customWidth="1"/>
    <col min="97" max="16384" width="9.453125" style="2"/>
  </cols>
  <sheetData>
    <row r="3" spans="2:6" ht="14.5" customHeight="1" x14ac:dyDescent="0.35">
      <c r="B3" s="336" t="str">
        <f>_xlfn.CONCAT("NEPI: SUMMARY OF NET EARNED PREMIUM UNDER MICRO INSURANCE BUSINESS FOR THE PERIOD ENDED"," ",Details!F18)</f>
        <v>NEPI: SUMMARY OF NET EARNED PREMIUM UNDER MICRO INSURANCE BUSINESS FOR THE PERIOD ENDED 31.12.2025</v>
      </c>
      <c r="C3" s="269"/>
      <c r="D3" s="269"/>
      <c r="E3" s="269"/>
      <c r="F3" s="270"/>
    </row>
    <row r="4" spans="2:6" ht="31" customHeight="1" x14ac:dyDescent="0.35">
      <c r="B4" s="65" t="s">
        <v>0</v>
      </c>
      <c r="C4" s="66" t="s">
        <v>177</v>
      </c>
      <c r="D4" s="66" t="s">
        <v>178</v>
      </c>
      <c r="E4" s="66" t="s">
        <v>246</v>
      </c>
      <c r="F4" s="96" t="s">
        <v>229</v>
      </c>
    </row>
    <row r="5" spans="2:6" ht="14.5" customHeight="1" x14ac:dyDescent="0.35">
      <c r="B5" s="335" t="s">
        <v>17</v>
      </c>
      <c r="C5" s="269"/>
      <c r="D5" s="269"/>
      <c r="E5" s="269"/>
      <c r="F5" s="270"/>
    </row>
    <row r="6" spans="2:6" ht="15.5" customHeight="1" x14ac:dyDescent="0.35">
      <c r="B6" s="67" t="s">
        <v>18</v>
      </c>
      <c r="C6" s="70">
        <v>0</v>
      </c>
      <c r="D6" s="70">
        <v>0</v>
      </c>
      <c r="E6" s="70">
        <v>0</v>
      </c>
      <c r="F6" s="73">
        <v>0</v>
      </c>
    </row>
    <row r="7" spans="2:6" ht="15.5" customHeight="1" x14ac:dyDescent="0.35">
      <c r="B7" s="67" t="s">
        <v>19</v>
      </c>
      <c r="C7" s="70">
        <v>0</v>
      </c>
      <c r="D7" s="70">
        <v>0</v>
      </c>
      <c r="E7" s="70">
        <v>2827.573853515386</v>
      </c>
      <c r="F7" s="73">
        <v>0</v>
      </c>
    </row>
    <row r="8" spans="2:6" ht="15.5" customHeight="1" x14ac:dyDescent="0.35">
      <c r="B8" s="67" t="s">
        <v>20</v>
      </c>
      <c r="C8" s="70">
        <v>0</v>
      </c>
      <c r="D8" s="70">
        <v>943736.21814321354</v>
      </c>
      <c r="E8" s="70">
        <v>0</v>
      </c>
      <c r="F8" s="73">
        <v>0</v>
      </c>
    </row>
    <row r="9" spans="2:6" ht="15.5" customHeight="1" x14ac:dyDescent="0.35">
      <c r="B9" s="67" t="s">
        <v>21</v>
      </c>
      <c r="C9" s="70">
        <v>803.06799999999998</v>
      </c>
      <c r="D9" s="70">
        <v>135.22845879541899</v>
      </c>
      <c r="E9" s="70">
        <v>372.72264982578389</v>
      </c>
      <c r="F9" s="73">
        <v>0</v>
      </c>
    </row>
    <row r="10" spans="2:6" ht="15.5" customHeight="1" x14ac:dyDescent="0.35">
      <c r="B10" s="67" t="s">
        <v>22</v>
      </c>
      <c r="C10" s="70">
        <v>0</v>
      </c>
      <c r="D10" s="70">
        <v>0</v>
      </c>
      <c r="E10" s="70">
        <v>0</v>
      </c>
      <c r="F10" s="73">
        <v>0</v>
      </c>
    </row>
    <row r="11" spans="2:6" ht="15.5" customHeight="1" x14ac:dyDescent="0.35">
      <c r="B11" s="67" t="s">
        <v>23</v>
      </c>
      <c r="C11" s="70">
        <v>10144.15240151666</v>
      </c>
      <c r="D11" s="70">
        <v>250001.88039997019</v>
      </c>
      <c r="E11" s="70">
        <v>101757.48637455321</v>
      </c>
      <c r="F11" s="73">
        <v>0</v>
      </c>
    </row>
    <row r="12" spans="2:6" ht="15.5" customHeight="1" x14ac:dyDescent="0.35">
      <c r="B12" s="71" t="s">
        <v>24</v>
      </c>
      <c r="C12" s="72">
        <f>SUM(C6:C11)</f>
        <v>10947.220401516659</v>
      </c>
      <c r="D12" s="72">
        <f>SUM(D6:D11)</f>
        <v>1193873.3270019791</v>
      </c>
      <c r="E12" s="72">
        <f>SUM(E6:E11)</f>
        <v>104957.78287789438</v>
      </c>
      <c r="F12" s="72">
        <f>SUM(F6:F11)</f>
        <v>0</v>
      </c>
    </row>
    <row r="13" spans="2:6" ht="14.5" customHeight="1" x14ac:dyDescent="0.35">
      <c r="B13" s="298" t="s">
        <v>25</v>
      </c>
      <c r="C13" s="281"/>
      <c r="D13" s="281"/>
      <c r="E13" s="281"/>
      <c r="F13" s="281"/>
    </row>
  </sheetData>
  <sheetProtection algorithmName="SHA-512" hashValue="6aULEe4P43MlGywU++CY8UGhMDjnwo3RTdcU98p8WOyVzevOFAvnoMA5TD2mk0etqirYvQBVn9pkD5P5nlmuhQ==" saltValue="uKOsqW5wyy6/csmVvKz80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0">
    <tabColor rgb="FFA2D668"/>
    <pageSetUpPr fitToPage="1"/>
  </sheetPr>
  <dimension ref="B3:F13"/>
  <sheetViews>
    <sheetView workbookViewId="0"/>
  </sheetViews>
  <sheetFormatPr defaultColWidth="9.453125" defaultRowHeight="14" x14ac:dyDescent="0.3"/>
  <cols>
    <col min="1" max="1" width="15.453125" style="2" customWidth="1"/>
    <col min="2" max="2" width="51.453125" style="2" customWidth="1"/>
    <col min="3" max="6" width="22.08984375" style="2" customWidth="1"/>
    <col min="7" max="8" width="6.453125" style="2" bestFit="1" customWidth="1"/>
    <col min="9" max="9" width="13.54296875" style="2" customWidth="1"/>
    <col min="10" max="96" width="9.453125" style="2" customWidth="1"/>
    <col min="97" max="16384" width="9.453125" style="2"/>
  </cols>
  <sheetData>
    <row r="3" spans="2:6" ht="14.5" customHeight="1" x14ac:dyDescent="0.35">
      <c r="B3" s="336" t="str">
        <f>_xlfn.CONCAT("COM: SUMMARY OF NET COMMISSIONS UNDER MICRO INSURANCE BUSINESS FOR THE PERIOD ENDED"," ",Details!F18)</f>
        <v>COM: SUMMARY OF NET COMMISSIONS UNDER MICRO INSURANCE BUSINESS FOR THE PERIOD ENDED 31.12.2025</v>
      </c>
      <c r="C3" s="269"/>
      <c r="D3" s="269"/>
      <c r="E3" s="269"/>
      <c r="F3" s="270"/>
    </row>
    <row r="4" spans="2:6" ht="15.5" customHeight="1" x14ac:dyDescent="0.35">
      <c r="B4" s="65" t="s">
        <v>0</v>
      </c>
      <c r="C4" s="66" t="s">
        <v>177</v>
      </c>
      <c r="D4" s="66" t="s">
        <v>178</v>
      </c>
      <c r="E4" s="66" t="s">
        <v>246</v>
      </c>
      <c r="F4" s="96" t="s">
        <v>229</v>
      </c>
    </row>
    <row r="5" spans="2:6" ht="14.5" customHeight="1" x14ac:dyDescent="0.35">
      <c r="B5" s="335" t="s">
        <v>17</v>
      </c>
      <c r="C5" s="269"/>
      <c r="D5" s="269"/>
      <c r="E5" s="269"/>
      <c r="F5" s="270"/>
    </row>
    <row r="6" spans="2:6" ht="15.5" customHeight="1" x14ac:dyDescent="0.35">
      <c r="B6" s="67" t="s">
        <v>18</v>
      </c>
      <c r="C6" s="70">
        <v>0</v>
      </c>
      <c r="D6" s="70">
        <v>0</v>
      </c>
      <c r="E6" s="70">
        <v>0</v>
      </c>
      <c r="F6" s="73">
        <v>0</v>
      </c>
    </row>
    <row r="7" spans="2:6" ht="15.5" customHeight="1" x14ac:dyDescent="0.35">
      <c r="B7" s="67" t="s">
        <v>19</v>
      </c>
      <c r="C7" s="70">
        <v>0</v>
      </c>
      <c r="D7" s="70">
        <v>0</v>
      </c>
      <c r="E7" s="70">
        <v>98.168249400699622</v>
      </c>
      <c r="F7" s="73">
        <v>0</v>
      </c>
    </row>
    <row r="8" spans="2:6" ht="15.5" customHeight="1" x14ac:dyDescent="0.35">
      <c r="B8" s="67" t="s">
        <v>20</v>
      </c>
      <c r="C8" s="70">
        <v>0</v>
      </c>
      <c r="D8" s="70">
        <v>76595.14516999996</v>
      </c>
      <c r="E8" s="70">
        <v>0</v>
      </c>
      <c r="F8" s="73">
        <v>0</v>
      </c>
    </row>
    <row r="9" spans="2:6" ht="15.5" customHeight="1" x14ac:dyDescent="0.35">
      <c r="B9" s="67" t="s">
        <v>21</v>
      </c>
      <c r="C9" s="70">
        <v>-177.792</v>
      </c>
      <c r="D9" s="70">
        <v>37.975974698852262</v>
      </c>
      <c r="E9" s="70">
        <v>-121.572517543554</v>
      </c>
      <c r="F9" s="73">
        <v>0</v>
      </c>
    </row>
    <row r="10" spans="2:6" ht="15.5" customHeight="1" x14ac:dyDescent="0.35">
      <c r="B10" s="67" t="s">
        <v>22</v>
      </c>
      <c r="C10" s="70">
        <v>0</v>
      </c>
      <c r="D10" s="70">
        <v>0</v>
      </c>
      <c r="E10" s="70">
        <v>0</v>
      </c>
      <c r="F10" s="73">
        <v>0</v>
      </c>
    </row>
    <row r="11" spans="2:6" ht="15.5" customHeight="1" x14ac:dyDescent="0.35">
      <c r="B11" s="67" t="s">
        <v>23</v>
      </c>
      <c r="C11" s="70">
        <v>1740.1044264614991</v>
      </c>
      <c r="D11" s="70">
        <v>43879.194755491502</v>
      </c>
      <c r="E11" s="70">
        <v>16977.099761027999</v>
      </c>
      <c r="F11" s="73">
        <v>0</v>
      </c>
    </row>
    <row r="12" spans="2:6" ht="15.5" customHeight="1" x14ac:dyDescent="0.35">
      <c r="B12" s="71" t="s">
        <v>24</v>
      </c>
      <c r="C12" s="72">
        <f>SUM(C6:C11)</f>
        <v>1562.3124264614992</v>
      </c>
      <c r="D12" s="72">
        <f>SUM(D6:D11)</f>
        <v>120512.31590019033</v>
      </c>
      <c r="E12" s="72">
        <f>SUM(E6:E11)</f>
        <v>16953.695492885145</v>
      </c>
      <c r="F12" s="72">
        <f>SUM(F6:F11)</f>
        <v>0</v>
      </c>
    </row>
    <row r="13" spans="2:6" ht="14.5" customHeight="1" x14ac:dyDescent="0.35">
      <c r="B13" s="298" t="s">
        <v>25</v>
      </c>
      <c r="C13" s="281"/>
      <c r="D13" s="281"/>
      <c r="E13" s="281"/>
      <c r="F13" s="281"/>
    </row>
  </sheetData>
  <sheetProtection algorithmName="SHA-512" hashValue="UZEtM0w/cmGOvWFJcpDr/troavVHLTb7rVQNgCGTDaGcBAsyUFFCExroOsvmoL9sIZOkXqpDtasqdQtoeHqDUQ==" saltValue="lDBIWI0hlpXSEXTzt98VB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1">
    <tabColor rgb="FFA2D668"/>
    <pageSetUpPr fitToPage="1"/>
  </sheetPr>
  <dimension ref="B3:F13"/>
  <sheetViews>
    <sheetView workbookViewId="0"/>
  </sheetViews>
  <sheetFormatPr defaultColWidth="9.453125" defaultRowHeight="14" x14ac:dyDescent="0.3"/>
  <cols>
    <col min="1" max="1" width="15.453125" style="2" customWidth="1"/>
    <col min="2" max="2" width="51.453125" style="2" customWidth="1"/>
    <col min="3" max="6" width="23.81640625" style="2" customWidth="1"/>
    <col min="7" max="8" width="6.453125" style="2" bestFit="1" customWidth="1"/>
    <col min="9" max="9" width="13.54296875" style="2" customWidth="1"/>
    <col min="10" max="96" width="9.453125" style="2" customWidth="1"/>
    <col min="97" max="16384" width="9.453125" style="2"/>
  </cols>
  <sheetData>
    <row r="3" spans="2:6" ht="14.5" customHeight="1" x14ac:dyDescent="0.35">
      <c r="B3" s="336" t="str">
        <f>_xlfn.CONCAT("MGT: SUMMARY OF MANAGEMENT EXPENSES UNDER MICRO INSURANCE BUSINESS FOR THE PERIOD ENDED"," ",Details!F18)</f>
        <v>MGT: SUMMARY OF MANAGEMENT EXPENSES UNDER MICRO INSURANCE BUSINESS FOR THE PERIOD ENDED 31.12.2025</v>
      </c>
      <c r="C3" s="269"/>
      <c r="D3" s="269"/>
      <c r="E3" s="269"/>
      <c r="F3" s="270"/>
    </row>
    <row r="4" spans="2:6" ht="15.5" customHeight="1" x14ac:dyDescent="0.35">
      <c r="B4" s="65" t="s">
        <v>0</v>
      </c>
      <c r="C4" s="66" t="str">
        <f>'COM (Micro)'!C4</f>
        <v>Life</v>
      </c>
      <c r="D4" s="66" t="str">
        <f>'COM (Micro)'!D4</f>
        <v>General</v>
      </c>
      <c r="E4" s="66" t="str">
        <f>'COM (Micro)'!E4</f>
        <v>Bundled</v>
      </c>
      <c r="F4" s="96" t="s">
        <v>229</v>
      </c>
    </row>
    <row r="5" spans="2:6" ht="14.5" customHeight="1" x14ac:dyDescent="0.35">
      <c r="B5" s="335" t="s">
        <v>17</v>
      </c>
      <c r="C5" s="269"/>
      <c r="D5" s="269"/>
      <c r="E5" s="269"/>
      <c r="F5" s="270"/>
    </row>
    <row r="6" spans="2:6" ht="15.5" customHeight="1" x14ac:dyDescent="0.35">
      <c r="B6" s="67" t="s">
        <v>18</v>
      </c>
      <c r="C6" s="70">
        <v>0</v>
      </c>
      <c r="D6" s="70">
        <v>0</v>
      </c>
      <c r="E6" s="70">
        <v>0</v>
      </c>
      <c r="F6" s="73">
        <v>0</v>
      </c>
    </row>
    <row r="7" spans="2:6" ht="15.5" customHeight="1" x14ac:dyDescent="0.35">
      <c r="B7" s="67" t="s">
        <v>19</v>
      </c>
      <c r="C7" s="70">
        <v>0</v>
      </c>
      <c r="D7" s="70">
        <v>0</v>
      </c>
      <c r="E7" s="70">
        <v>35144.702933667708</v>
      </c>
      <c r="F7" s="73">
        <v>0</v>
      </c>
    </row>
    <row r="8" spans="2:6" ht="15.5" customHeight="1" x14ac:dyDescent="0.35">
      <c r="B8" s="67" t="s">
        <v>20</v>
      </c>
      <c r="C8" s="70">
        <v>0</v>
      </c>
      <c r="D8" s="70">
        <v>319795.30489000003</v>
      </c>
      <c r="E8" s="70">
        <v>0</v>
      </c>
      <c r="F8" s="73">
        <v>0</v>
      </c>
    </row>
    <row r="9" spans="2:6" ht="15.5" customHeight="1" x14ac:dyDescent="0.35">
      <c r="B9" s="67" t="s">
        <v>21</v>
      </c>
      <c r="C9" s="70">
        <v>6230.355372084774</v>
      </c>
      <c r="D9" s="70">
        <v>5248.1757207049213</v>
      </c>
      <c r="E9" s="70">
        <v>8735.0394479253355</v>
      </c>
      <c r="F9" s="73">
        <v>0</v>
      </c>
    </row>
    <row r="10" spans="2:6" ht="15.5" customHeight="1" x14ac:dyDescent="0.35">
      <c r="B10" s="67" t="s">
        <v>22</v>
      </c>
      <c r="C10" s="70">
        <v>0</v>
      </c>
      <c r="D10" s="70">
        <v>0</v>
      </c>
      <c r="E10" s="70">
        <v>0</v>
      </c>
      <c r="F10" s="73">
        <v>0</v>
      </c>
    </row>
    <row r="11" spans="2:6" ht="15.5" customHeight="1" x14ac:dyDescent="0.35">
      <c r="B11" s="67" t="s">
        <v>23</v>
      </c>
      <c r="C11" s="70">
        <v>3840.6775301841581</v>
      </c>
      <c r="D11" s="70">
        <v>107910.1836837469</v>
      </c>
      <c r="E11" s="70">
        <v>25411.103386068909</v>
      </c>
      <c r="F11" s="73">
        <v>0</v>
      </c>
    </row>
    <row r="12" spans="2:6" ht="15.5" customHeight="1" x14ac:dyDescent="0.35">
      <c r="B12" s="71" t="s">
        <v>24</v>
      </c>
      <c r="C12" s="72">
        <f>SUM(C6:C11)</f>
        <v>10071.032902268933</v>
      </c>
      <c r="D12" s="72">
        <f>SUM(D6:D11)</f>
        <v>432953.66429445182</v>
      </c>
      <c r="E12" s="72">
        <f>SUM(E6:E11)</f>
        <v>69290.845767661958</v>
      </c>
      <c r="F12" s="72">
        <f>SUM(F6:F11)</f>
        <v>0</v>
      </c>
    </row>
    <row r="13" spans="2:6" ht="14.5" customHeight="1" x14ac:dyDescent="0.35">
      <c r="B13" s="298" t="s">
        <v>25</v>
      </c>
      <c r="C13" s="281"/>
      <c r="D13" s="281"/>
      <c r="E13" s="281"/>
      <c r="F13" s="281"/>
    </row>
  </sheetData>
  <sheetProtection algorithmName="SHA-512" hashValue="gTGsnxlug06OP9N3VZ2YNbQrCujXv2mbcUItrW1UgPKYKBxHanM7u694ZFMRU9OEpt48PNdHM5wnOu0lQnXcFQ==" saltValue="USkXBN6d52nXWRdtUW8VDA=="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2">
    <tabColor rgb="FFA2D668"/>
    <pageSetUpPr fitToPage="1"/>
  </sheetPr>
  <dimension ref="B3:F13"/>
  <sheetViews>
    <sheetView workbookViewId="0"/>
  </sheetViews>
  <sheetFormatPr defaultColWidth="9.453125" defaultRowHeight="14" x14ac:dyDescent="0.3"/>
  <cols>
    <col min="1" max="1" width="15.453125" style="2" customWidth="1"/>
    <col min="2" max="2" width="51.453125" style="2" customWidth="1"/>
    <col min="3" max="6" width="26.90625" style="2" customWidth="1"/>
    <col min="7" max="8" width="6.453125" style="2" bestFit="1" customWidth="1"/>
    <col min="9" max="9" width="13.54296875" style="2" customWidth="1"/>
    <col min="10" max="96" width="9.453125" style="2" customWidth="1"/>
    <col min="97" max="16384" width="9.453125" style="2"/>
  </cols>
  <sheetData>
    <row r="3" spans="2:6" ht="14.5" customHeight="1" x14ac:dyDescent="0.35">
      <c r="B3" s="336" t="str">
        <f>_xlfn.CONCAT("SUMMARY OF UNDERWRITING PROFITS UNDER MICRO INSURANCE BUSINESS FOR THE PERIOD ENDED"," ",Details!F18)</f>
        <v>SUMMARY OF UNDERWRITING PROFITS UNDER MICRO INSURANCE BUSINESS FOR THE PERIOD ENDED 31.12.2025</v>
      </c>
      <c r="C3" s="269"/>
      <c r="D3" s="269"/>
      <c r="E3" s="269"/>
      <c r="F3" s="270"/>
    </row>
    <row r="4" spans="2:6" ht="15.5" customHeight="1" x14ac:dyDescent="0.35">
      <c r="B4" s="65" t="s">
        <v>0</v>
      </c>
      <c r="C4" s="66" t="s">
        <v>177</v>
      </c>
      <c r="D4" s="66" t="s">
        <v>178</v>
      </c>
      <c r="E4" s="66" t="s">
        <v>246</v>
      </c>
      <c r="F4" s="96" t="s">
        <v>229</v>
      </c>
    </row>
    <row r="5" spans="2:6" ht="14.5" customHeight="1" x14ac:dyDescent="0.35">
      <c r="B5" s="335" t="s">
        <v>17</v>
      </c>
      <c r="C5" s="269"/>
      <c r="D5" s="269"/>
      <c r="E5" s="269"/>
      <c r="F5" s="270"/>
    </row>
    <row r="6" spans="2:6" ht="15.5" customHeight="1" x14ac:dyDescent="0.35">
      <c r="B6" s="67" t="s">
        <v>18</v>
      </c>
      <c r="C6" s="70">
        <v>0</v>
      </c>
      <c r="D6" s="70">
        <v>0</v>
      </c>
      <c r="E6" s="70">
        <v>0</v>
      </c>
      <c r="F6" s="73">
        <v>0</v>
      </c>
    </row>
    <row r="7" spans="2:6" ht="15.5" customHeight="1" x14ac:dyDescent="0.35">
      <c r="B7" s="67" t="s">
        <v>19</v>
      </c>
      <c r="C7" s="70">
        <v>0</v>
      </c>
      <c r="D7" s="70">
        <v>0</v>
      </c>
      <c r="E7" s="70">
        <v>-34317.813847064259</v>
      </c>
      <c r="F7" s="73">
        <v>0</v>
      </c>
    </row>
    <row r="8" spans="2:6" ht="15.5" customHeight="1" x14ac:dyDescent="0.35">
      <c r="B8" s="67" t="s">
        <v>20</v>
      </c>
      <c r="C8" s="70">
        <v>0</v>
      </c>
      <c r="D8" s="70">
        <v>-74749.071286786493</v>
      </c>
      <c r="E8" s="70">
        <v>0</v>
      </c>
      <c r="F8" s="73">
        <v>0</v>
      </c>
    </row>
    <row r="9" spans="2:6" ht="15.5" customHeight="1" x14ac:dyDescent="0.35">
      <c r="B9" s="67" t="s">
        <v>21</v>
      </c>
      <c r="C9" s="70">
        <v>-6068.4953720847743</v>
      </c>
      <c r="D9" s="70">
        <v>-5150.9232366083543</v>
      </c>
      <c r="E9" s="70">
        <v>-8411.6842805559972</v>
      </c>
      <c r="F9" s="73">
        <v>0</v>
      </c>
    </row>
    <row r="10" spans="2:6" ht="15.5" customHeight="1" x14ac:dyDescent="0.35">
      <c r="B10" s="67" t="s">
        <v>22</v>
      </c>
      <c r="C10" s="70">
        <v>0</v>
      </c>
      <c r="D10" s="70">
        <v>0</v>
      </c>
      <c r="E10" s="70">
        <v>0</v>
      </c>
      <c r="F10" s="73">
        <v>0</v>
      </c>
    </row>
    <row r="11" spans="2:6" ht="15.5" customHeight="1" x14ac:dyDescent="0.35">
      <c r="B11" s="67" t="s">
        <v>23</v>
      </c>
      <c r="C11" s="70">
        <v>-8225.8784896322795</v>
      </c>
      <c r="D11" s="70">
        <v>12024.682794575419</v>
      </c>
      <c r="E11" s="70">
        <v>27987.996048524961</v>
      </c>
      <c r="F11" s="73">
        <v>0</v>
      </c>
    </row>
    <row r="12" spans="2:6" ht="15.5" customHeight="1" x14ac:dyDescent="0.35">
      <c r="B12" s="71" t="s">
        <v>24</v>
      </c>
      <c r="C12" s="72">
        <f>SUM(C6:C11)</f>
        <v>-14294.373861717053</v>
      </c>
      <c r="D12" s="72">
        <f>SUM(D6:D11)</f>
        <v>-67875.311728819433</v>
      </c>
      <c r="E12" s="72">
        <f>SUM(E6:E11)</f>
        <v>-14741.502079095299</v>
      </c>
      <c r="F12" s="72">
        <f>SUM(F6:F11)</f>
        <v>0</v>
      </c>
    </row>
    <row r="13" spans="2:6" ht="14.5" customHeight="1" x14ac:dyDescent="0.35">
      <c r="B13" s="298" t="s">
        <v>25</v>
      </c>
      <c r="C13" s="281"/>
      <c r="D13" s="281"/>
      <c r="E13" s="281"/>
      <c r="F13" s="281"/>
    </row>
  </sheetData>
  <sheetProtection algorithmName="SHA-512" hashValue="/Eg4T0tKrLKG8pP/k2lbts56rmOgT0Xlg2VC9H68X0wkgE98Sz3+lblPnej2bbAfY0Mm/bat6A31CskbBfoWUQ==" saltValue="ZCk0kPSQl+NFqqQZXikuyg=="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5"/>
  <dimension ref="A1:B37"/>
  <sheetViews>
    <sheetView workbookViewId="0"/>
  </sheetViews>
  <sheetFormatPr defaultRowHeight="14.5" x14ac:dyDescent="0.35"/>
  <sheetData>
    <row r="1" spans="1:2" x14ac:dyDescent="0.35">
      <c r="A1" s="2" t="s">
        <v>254</v>
      </c>
      <c r="B1" s="2"/>
    </row>
    <row r="2" spans="1:2" x14ac:dyDescent="0.35">
      <c r="A2" s="2" t="s">
        <v>255</v>
      </c>
      <c r="B2" s="2"/>
    </row>
    <row r="3" spans="1:2" x14ac:dyDescent="0.35">
      <c r="A3" s="2" t="s">
        <v>256</v>
      </c>
      <c r="B3" s="2"/>
    </row>
    <row r="4" spans="1:2" x14ac:dyDescent="0.35">
      <c r="A4" s="2" t="s">
        <v>257</v>
      </c>
      <c r="B4" s="2"/>
    </row>
    <row r="5" spans="1:2" x14ac:dyDescent="0.35">
      <c r="A5" s="2" t="s">
        <v>258</v>
      </c>
      <c r="B5" s="2"/>
    </row>
    <row r="6" spans="1:2" x14ac:dyDescent="0.35">
      <c r="A6" s="2" t="s">
        <v>259</v>
      </c>
      <c r="B6" s="2"/>
    </row>
    <row r="7" spans="1:2" x14ac:dyDescent="0.35">
      <c r="A7" s="2" t="s">
        <v>260</v>
      </c>
      <c r="B7" s="2"/>
    </row>
    <row r="8" spans="1:2" x14ac:dyDescent="0.35">
      <c r="A8" s="2" t="s">
        <v>261</v>
      </c>
      <c r="B8" s="2"/>
    </row>
    <row r="9" spans="1:2" x14ac:dyDescent="0.35">
      <c r="A9" s="2" t="s">
        <v>262</v>
      </c>
      <c r="B9" s="2"/>
    </row>
    <row r="10" spans="1:2" x14ac:dyDescent="0.35">
      <c r="A10" s="2" t="s">
        <v>263</v>
      </c>
      <c r="B10" s="2"/>
    </row>
    <row r="11" spans="1:2" x14ac:dyDescent="0.35">
      <c r="A11" s="2" t="s">
        <v>264</v>
      </c>
      <c r="B11" s="2"/>
    </row>
    <row r="12" spans="1:2" x14ac:dyDescent="0.35">
      <c r="A12" s="2" t="s">
        <v>265</v>
      </c>
      <c r="B12" s="2"/>
    </row>
    <row r="13" spans="1:2" x14ac:dyDescent="0.35">
      <c r="A13" s="2" t="s">
        <v>266</v>
      </c>
      <c r="B13" s="2"/>
    </row>
    <row r="14" spans="1:2" x14ac:dyDescent="0.35">
      <c r="A14" s="2" t="s">
        <v>267</v>
      </c>
      <c r="B14" s="2"/>
    </row>
    <row r="15" spans="1:2" x14ac:dyDescent="0.35">
      <c r="A15" s="2" t="s">
        <v>268</v>
      </c>
      <c r="B15" s="2"/>
    </row>
    <row r="16" spans="1:2" ht="15.5" customHeight="1" x14ac:dyDescent="0.35">
      <c r="A16" s="2" t="s">
        <v>269</v>
      </c>
      <c r="B16" s="76"/>
    </row>
    <row r="17" spans="1:2" x14ac:dyDescent="0.35">
      <c r="A17" s="2" t="s">
        <v>270</v>
      </c>
      <c r="B17" s="2"/>
    </row>
    <row r="18" spans="1:2" x14ac:dyDescent="0.35">
      <c r="A18" s="2" t="s">
        <v>271</v>
      </c>
      <c r="B18" s="2"/>
    </row>
    <row r="19" spans="1:2" x14ac:dyDescent="0.35">
      <c r="A19" s="2" t="s">
        <v>272</v>
      </c>
      <c r="B19" s="2"/>
    </row>
    <row r="20" spans="1:2" x14ac:dyDescent="0.35">
      <c r="A20" s="2" t="s">
        <v>273</v>
      </c>
      <c r="B20" s="2"/>
    </row>
    <row r="21" spans="1:2" x14ac:dyDescent="0.35">
      <c r="A21" s="2" t="s">
        <v>274</v>
      </c>
      <c r="B21" s="2"/>
    </row>
    <row r="22" spans="1:2" x14ac:dyDescent="0.35">
      <c r="A22" s="2" t="s">
        <v>275</v>
      </c>
      <c r="B22" s="2"/>
    </row>
    <row r="23" spans="1:2" x14ac:dyDescent="0.35">
      <c r="A23" s="2" t="s">
        <v>276</v>
      </c>
      <c r="B23" s="2"/>
    </row>
    <row r="24" spans="1:2" x14ac:dyDescent="0.35">
      <c r="A24" s="2" t="s">
        <v>277</v>
      </c>
      <c r="B24" s="2"/>
    </row>
    <row r="25" spans="1:2" x14ac:dyDescent="0.35">
      <c r="A25" s="2" t="s">
        <v>278</v>
      </c>
      <c r="B25" s="2"/>
    </row>
    <row r="26" spans="1:2" x14ac:dyDescent="0.35">
      <c r="A26" s="2" t="s">
        <v>279</v>
      </c>
      <c r="B26" s="2"/>
    </row>
    <row r="27" spans="1:2" x14ac:dyDescent="0.35">
      <c r="A27" s="2" t="s">
        <v>280</v>
      </c>
      <c r="B27" s="2"/>
    </row>
    <row r="28" spans="1:2" x14ac:dyDescent="0.35">
      <c r="A28" s="2" t="s">
        <v>281</v>
      </c>
      <c r="B28" s="2"/>
    </row>
    <row r="29" spans="1:2" x14ac:dyDescent="0.35">
      <c r="A29" s="2" t="s">
        <v>282</v>
      </c>
      <c r="B29" s="2"/>
    </row>
    <row r="30" spans="1:2" x14ac:dyDescent="0.35">
      <c r="A30" s="2" t="s">
        <v>283</v>
      </c>
      <c r="B30" s="2"/>
    </row>
    <row r="31" spans="1:2" x14ac:dyDescent="0.35">
      <c r="A31" s="2" t="s">
        <v>284</v>
      </c>
      <c r="B31" s="2"/>
    </row>
    <row r="32" spans="1:2" x14ac:dyDescent="0.35">
      <c r="A32" s="2"/>
      <c r="B32" s="2"/>
    </row>
    <row r="33" spans="1:2" x14ac:dyDescent="0.35">
      <c r="A33" s="2"/>
      <c r="B33" s="2"/>
    </row>
    <row r="34" spans="1:2" x14ac:dyDescent="0.35">
      <c r="A34" s="2"/>
      <c r="B34" s="2"/>
    </row>
    <row r="35" spans="1:2" x14ac:dyDescent="0.35">
      <c r="A35" s="2"/>
      <c r="B35" s="2"/>
    </row>
    <row r="36" spans="1:2" x14ac:dyDescent="0.35">
      <c r="A36" s="2"/>
      <c r="B36" s="2"/>
    </row>
    <row r="37" spans="1:2" x14ac:dyDescent="0.35">
      <c r="A37" s="2"/>
      <c r="B37" s="2"/>
    </row>
  </sheetData>
  <sheetProtection algorithmName="SHA-512" hashValue="SUl2J5Gt72pF0B8dqKw+2M8D/CTVimA5U+Z/FGb1/XdQWXJnwNkkX2kQHw9U1yh5M4syZsHr9sM1sXOfAZWrDw==" saltValue="RQV+YAEqrr1RTSgsKjDiMg==" spinCount="100000" sheet="1" objects="1" scenarios="1"/>
  <autoFilter ref="A1:A37" xr:uid="{00000000-0009-0000-0000-00003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33</vt:i4>
      </vt:variant>
    </vt:vector>
  </HeadingPairs>
  <TitlesOfParts>
    <vt:vector size="89" baseType="lpstr">
      <vt:lpstr>Details</vt:lpstr>
      <vt:lpstr>Reliance &amp; Limitations</vt:lpstr>
      <vt:lpstr>Table of Contents</vt:lpstr>
      <vt:lpstr>APPENDIX 1</vt:lpstr>
      <vt:lpstr>APPENDIX 2</vt:lpstr>
      <vt:lpstr>APPENDIX 3</vt:lpstr>
      <vt:lpstr>APPENDIX 4 i</vt:lpstr>
      <vt:lpstr>APPENDIX 4 ii</vt:lpstr>
      <vt:lpstr>APPENDIX 4 iii</vt:lpstr>
      <vt:lpstr>APPENDIX 5 i</vt:lpstr>
      <vt:lpstr>APPENDIX 5 ii</vt:lpstr>
      <vt:lpstr>APPENDIX 5 iii</vt:lpstr>
      <vt:lpstr>APPENDIX  5 iv</vt:lpstr>
      <vt:lpstr>APPENDIX 6</vt:lpstr>
      <vt:lpstr>APPENDIX 7</vt:lpstr>
      <vt:lpstr>APPENDIX 8</vt:lpstr>
      <vt:lpstr>APPENDIX 9</vt:lpstr>
      <vt:lpstr>APPENDIX 10</vt:lpstr>
      <vt:lpstr>APPENDIX 11</vt:lpstr>
      <vt:lpstr>APPENDIX 12</vt:lpstr>
      <vt:lpstr>APPENDIX 13</vt:lpstr>
      <vt:lpstr>LINKED</vt:lpstr>
      <vt:lpstr>NON-LINKED</vt:lpstr>
      <vt:lpstr>APPENDIX 14</vt:lpstr>
      <vt:lpstr>PENSIONS</vt:lpstr>
      <vt:lpstr>APPENDIX 15</vt:lpstr>
      <vt:lpstr>APPENDIX 16</vt:lpstr>
      <vt:lpstr>APPENDIX 17</vt:lpstr>
      <vt:lpstr>APPENDIX 18</vt:lpstr>
      <vt:lpstr>GDP</vt:lpstr>
      <vt:lpstr>INWARD</vt:lpstr>
      <vt:lpstr>APPENDIX 19</vt:lpstr>
      <vt:lpstr>APPENDIX 20</vt:lpstr>
      <vt:lpstr>APPENDIX 21</vt:lpstr>
      <vt:lpstr>APPENDIX 22</vt:lpstr>
      <vt:lpstr>NPI</vt:lpstr>
      <vt:lpstr>NEPI</vt:lpstr>
      <vt:lpstr>COM</vt:lpstr>
      <vt:lpstr>MGT</vt:lpstr>
      <vt:lpstr>UWProfit</vt:lpstr>
      <vt:lpstr>APPENDIX 23</vt:lpstr>
      <vt:lpstr>APPENDIX 24</vt:lpstr>
      <vt:lpstr>APPENDIX 25</vt:lpstr>
      <vt:lpstr>APPENDIX 22_M</vt:lpstr>
      <vt:lpstr>GDP (Micro)</vt:lpstr>
      <vt:lpstr>INWARD (Micro)</vt:lpstr>
      <vt:lpstr>APPENDIX 23_M</vt:lpstr>
      <vt:lpstr>APPENDIX 24_M</vt:lpstr>
      <vt:lpstr>APPENDIX 25_M</vt:lpstr>
      <vt:lpstr>APPENDIX 26_M</vt:lpstr>
      <vt:lpstr>NPI (Micro)</vt:lpstr>
      <vt:lpstr>NEPI (Micro)</vt:lpstr>
      <vt:lpstr>COM (Micro)</vt:lpstr>
      <vt:lpstr>MGT (Micro)</vt:lpstr>
      <vt:lpstr>APPENDIX 27_M</vt:lpstr>
      <vt:lpstr>Sheet1</vt:lpstr>
      <vt:lpstr>Appendix_1_Range</vt:lpstr>
      <vt:lpstr>Appendix_10_Range</vt:lpstr>
      <vt:lpstr>Appendix_11_Range</vt:lpstr>
      <vt:lpstr>Appendix_12_Range</vt:lpstr>
      <vt:lpstr>Appendix_13_Range</vt:lpstr>
      <vt:lpstr>Appendix_14_Range</vt:lpstr>
      <vt:lpstr>Appendix_15_Range</vt:lpstr>
      <vt:lpstr>Appendix_16_Range</vt:lpstr>
      <vt:lpstr>Appendix_17_Range</vt:lpstr>
      <vt:lpstr>Appendix_18_Range</vt:lpstr>
      <vt:lpstr>Appendix_19_Range</vt:lpstr>
      <vt:lpstr>Appendix_2_Range</vt:lpstr>
      <vt:lpstr>Appendix_20_Range</vt:lpstr>
      <vt:lpstr>Appendix_21_Range</vt:lpstr>
      <vt:lpstr>Appendix_22_Range</vt:lpstr>
      <vt:lpstr>Appendix_23_Range</vt:lpstr>
      <vt:lpstr>'APPENDIX 25'!Appendix_24_Range</vt:lpstr>
      <vt:lpstr>Appendix_25_Range</vt:lpstr>
      <vt:lpstr>Appendix_3_Range</vt:lpstr>
      <vt:lpstr>Appendix_4i_Range</vt:lpstr>
      <vt:lpstr>Appendix_4ii_Range</vt:lpstr>
      <vt:lpstr>Appendix_4iii_Range</vt:lpstr>
      <vt:lpstr>Appendix_5i_Range</vt:lpstr>
      <vt:lpstr>Appendix_5ii_Range</vt:lpstr>
      <vt:lpstr>Appendix_5iii_Range</vt:lpstr>
      <vt:lpstr>Appendix_5iv_Range</vt:lpstr>
      <vt:lpstr>Appendix_6i_Range</vt:lpstr>
      <vt:lpstr>Appendix_7_Range</vt:lpstr>
      <vt:lpstr>Appendix_8_Range</vt:lpstr>
      <vt:lpstr>Appendix_9_Range</vt:lpstr>
      <vt:lpstr>Details_Range</vt:lpstr>
      <vt:lpstr>'Reliance &amp; Limitations'!Reliances_and_Limitations</vt:lpstr>
      <vt:lpstr>'Table of Contents'!Table_of_Contents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lnjue</dc:creator>
  <cp:lastModifiedBy>Gerald Kago</cp:lastModifiedBy>
  <cp:lastPrinted>2025-07-03T11:33:28Z</cp:lastPrinted>
  <dcterms:created xsi:type="dcterms:W3CDTF">2014-08-15T11:20:55Z</dcterms:created>
  <dcterms:modified xsi:type="dcterms:W3CDTF">2026-04-10T13:45:57Z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Restricted</vt:lpwstr>
  </property>
  <property fmtid="{D5CDD505-2E9C-101B-9397-08002B2CF9AE}" pid="3" name="ClassifiedBy">
    <vt:lpwstr>System</vt:lpwstr>
  </property>
  <property fmtid="{D5CDD505-2E9C-101B-9397-08002B2CF9AE}" pid="4" name="ClassificationHost">
    <vt:lpwstr>DMBURIA2020.ira.go.ke</vt:lpwstr>
  </property>
  <property fmtid="{D5CDD505-2E9C-101B-9397-08002B2CF9AE}" pid="5" name="ClassificationDate">
    <vt:lpwstr> 5/12/2022 11:08:05 AM</vt:lpwstr>
  </property>
  <property fmtid="{D5CDD505-2E9C-101B-9397-08002B2CF9AE}" pid="6" name="ClassificationGUID">
    <vt:lpwstr>{1527e4dc-add4-49cc-9728-d0b02d635621}</vt:lpwstr>
  </property>
</Properties>
</file>