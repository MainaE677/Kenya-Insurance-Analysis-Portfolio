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https://irake-my.sharepoint.com/personal/pkinoti_ira_go_ke/Documents/Documents/Misc/"/>
    </mc:Choice>
  </mc:AlternateContent>
  <xr:revisionPtr revIDLastSave="0" documentId="8_{9E49F319-4901-4202-AEC0-66EA360C1ED8}" xr6:coauthVersionLast="47" xr6:coauthVersionMax="47" xr10:uidLastSave="{00000000-0000-0000-0000-000000000000}"/>
  <workbookProtection workbookAlgorithmName="SHA-512" workbookHashValue="UT+0h64TnHXI9gE00SsLumiOVYppWXEdwuTDKEbbjOVR70a13/0h+V594gpUUrcnjkrPsTq9HRt1bO6U9pFI2A==" workbookSaltValue="bPaMYy6TxkXvQQbtZNqxmA==" workbookSpinCount="100000" lockStructure="1"/>
  <bookViews>
    <workbookView xWindow="-110" yWindow="-110" windowWidth="19420" windowHeight="10300" tabRatio="929" firstSheet="20" activeTab="26" xr2:uid="{00000000-000D-0000-FFFF-FFFF00000000}"/>
  </bookViews>
  <sheets>
    <sheet name="Details" sheetId="1" r:id="rId1"/>
    <sheet name="Reliance &amp; Limitations" sheetId="2" r:id="rId2"/>
    <sheet name="Table of Contents" sheetId="3" r:id="rId3"/>
    <sheet name="APPENDIX 1" sheetId="4" r:id="rId4"/>
    <sheet name="APPENDIX 2" sheetId="5" r:id="rId5"/>
    <sheet name="APPENDIX 3" sheetId="6" r:id="rId6"/>
    <sheet name="APPENDIX 4" sheetId="7" r:id="rId7"/>
    <sheet name="APPENDIX 5" sheetId="8" r:id="rId8"/>
    <sheet name="APPENDIX 6" sheetId="9" r:id="rId9"/>
    <sheet name="APPENDIX 7" sheetId="10" r:id="rId10"/>
    <sheet name="APPENDIX 8" sheetId="11" r:id="rId11"/>
    <sheet name="APPENDIX 9" sheetId="12" r:id="rId12"/>
    <sheet name="APPENDIX 10" sheetId="13" r:id="rId13"/>
    <sheet name="LINKED" sheetId="14" state="hidden" r:id="rId14"/>
    <sheet name="NON-LINKED" sheetId="15" state="hidden" r:id="rId15"/>
    <sheet name="APPENDIX 11" sheetId="16" r:id="rId16"/>
    <sheet name="PENSIONS" sheetId="17" state="hidden" r:id="rId17"/>
    <sheet name="APPENDIX 12" sheetId="18" r:id="rId18"/>
    <sheet name="APPENDIX 13" sheetId="19" r:id="rId19"/>
    <sheet name="APPENDIX 14" sheetId="20" r:id="rId20"/>
    <sheet name="APPENDIX 15" sheetId="21" r:id="rId21"/>
    <sheet name="GDP" sheetId="22" state="hidden" r:id="rId22"/>
    <sheet name="INWARD" sheetId="23" state="hidden" r:id="rId23"/>
    <sheet name="APPENDIX 16" sheetId="24" r:id="rId24"/>
    <sheet name="APPENDIX 17" sheetId="25" r:id="rId25"/>
    <sheet name="APPENDIX 18" sheetId="26" r:id="rId26"/>
    <sheet name="APPENDIX 19" sheetId="27" r:id="rId27"/>
    <sheet name="NPI" sheetId="28" state="hidden" r:id="rId28"/>
    <sheet name="NEPI" sheetId="29" state="hidden" r:id="rId29"/>
    <sheet name="COM" sheetId="30" state="hidden" r:id="rId30"/>
    <sheet name="MGT" sheetId="31" state="hidden" r:id="rId31"/>
    <sheet name="APPENDIX 20" sheetId="32" r:id="rId32"/>
    <sheet name="APPENDIX 21" sheetId="33" r:id="rId33"/>
    <sheet name="APPENDIX 22" sheetId="34" r:id="rId34"/>
    <sheet name="GDP (Micro)" sheetId="35" state="hidden" r:id="rId35"/>
    <sheet name="INWARD (Micro)" sheetId="36" state="hidden" r:id="rId36"/>
    <sheet name="APPENDIX 23Micro" sheetId="37" state="hidden" r:id="rId37"/>
    <sheet name="APPENDIX 24Micro" sheetId="38" state="hidden" r:id="rId38"/>
    <sheet name="APPENDIX 25Micro" sheetId="39" state="hidden" r:id="rId39"/>
    <sheet name="APPENDIX 26Micro" sheetId="40" state="hidden" r:id="rId40"/>
    <sheet name="NPI (Micro)" sheetId="41" state="hidden" r:id="rId41"/>
    <sheet name="NEPI (Micro)" sheetId="42" state="hidden" r:id="rId42"/>
    <sheet name="COM (Micro)" sheetId="43" state="hidden" r:id="rId43"/>
    <sheet name="MGT (Micro)" sheetId="44" state="hidden" r:id="rId44"/>
    <sheet name="APPENDIX 27Micro" sheetId="45" state="hidden" r:id="rId45"/>
    <sheet name="APPENDIX 23" sheetId="46" r:id="rId46"/>
    <sheet name="APPENDIX 24 i" sheetId="47" r:id="rId47"/>
    <sheet name="APPENDIX 24 ii" sheetId="48" r:id="rId48"/>
    <sheet name="APPENDIX 24 iii" sheetId="49" r:id="rId49"/>
    <sheet name="APPENDIX 25 i" sheetId="50" r:id="rId50"/>
    <sheet name="APPENDIX 25 ii" sheetId="51" r:id="rId51"/>
    <sheet name="APPENDIX 25 iii" sheetId="52" r:id="rId52"/>
    <sheet name="APPENDIX  25 iv" sheetId="53" r:id="rId53"/>
    <sheet name="APPENDIX 26 i" sheetId="54" r:id="rId54"/>
    <sheet name="Sheet1" sheetId="55" state="hidden" r:id="rId55"/>
  </sheets>
  <definedNames>
    <definedName name="_xlnm._FilterDatabase" localSheetId="54" hidden="1">Sheet1!$A$1:$A$37</definedName>
    <definedName name="Appendix_1_Range">'APPENDIX 1'!$B$3:$R$51</definedName>
    <definedName name="Appendix_10_Range">'APPENDIX 10'!$B$3:$Q$37</definedName>
    <definedName name="Appendix_11_Range">'APPENDIX 11'!$B$3:$Q$37</definedName>
    <definedName name="Appendix_12_Range">'APPENDIX 12'!$B$3:$Q$37</definedName>
    <definedName name="Appendix_13_Range">'APPENDIX 13'!$B$3:$Q$37</definedName>
    <definedName name="Appendix_14_Range">'APPENDIX 14'!$B$3:$Q$37</definedName>
    <definedName name="Appendix_15_Range">'APPENDIX 15'!$B$3:$R$50</definedName>
    <definedName name="Appendix_16_Range">'APPENDIX 16'!$B$3:$Q$50</definedName>
    <definedName name="Appendix_17_Range">'APPENDIX 17'!$B$3:$Q$50</definedName>
    <definedName name="Appendix_18_Range">'APPENDIX 18'!$B$3:$Q$50</definedName>
    <definedName name="Appendix_19_Range">'APPENDIX 19'!$B$3:$Q$50</definedName>
    <definedName name="Appendix_2_Range">'APPENDIX 2'!$B$3:$R$38</definedName>
    <definedName name="Appendix_20_Range">'APPENDIX 20'!$B$3:$Q$50</definedName>
    <definedName name="Appendix_21_Range">'APPENDIX 21'!$B$3:$Q$50</definedName>
    <definedName name="Appendix_22_Range">'APPENDIX 22'!$B$3:$G$24</definedName>
    <definedName name="Appendix_23_Range">'APPENDIX 23Micro'!$B$3:$F$13</definedName>
    <definedName name="Appendix_24_Range">'APPENDIX 24Micro'!$B$3:$F$13</definedName>
    <definedName name="Appendix_25_Range">'APPENDIX 25Micro'!$B$3:$F$13</definedName>
    <definedName name="Appendix_26_Range">'APPENDIX 26Micro'!$B$3:$F$13</definedName>
    <definedName name="Appendix_27_Range">'APPENDIX 27Micro'!$B$3:$F$13</definedName>
    <definedName name="Appendix_28_Range">'APPENDIX 23'!$B$3:$Q$13</definedName>
    <definedName name="Appendix_29i_Range">'APPENDIX 24 i'!$B$4:$L$44</definedName>
    <definedName name="Appendix_29ii_Range">'APPENDIX 24 ii'!$B$3:$L$44</definedName>
    <definedName name="Appendix_29iii_Range">'APPENDIX 24 iii'!$B$3:$K$44</definedName>
    <definedName name="Appendix_3_Range">'APPENDIX 3'!$B$3:$R$12</definedName>
    <definedName name="Appendix_30i_Range">'APPENDIX 25 i'!$B$4:$L$42</definedName>
    <definedName name="Appendix_30ii_Range">'APPENDIX 25 ii'!$B$3:$L$42</definedName>
    <definedName name="Appendix_30iii_Range">'APPENDIX 25 iii'!$B$3:$L$42</definedName>
    <definedName name="Appendix_30iv_Range">'APPENDIX  25 iv'!$B$3:$N$42</definedName>
    <definedName name="Appendix_31i_Range">'APPENDIX 26 i'!$B$4:$I$42</definedName>
    <definedName name="Appendix_4_Range">'APPENDIX 4'!$B$3:$L$37</definedName>
    <definedName name="Appendix_5_Range">'APPENDIX 5'!$B$3:$K$37</definedName>
    <definedName name="Appendix_6_Range">'APPENDIX 6'!$B$3:$Q$37</definedName>
    <definedName name="Appendix_7_Range">'APPENDIX 7'!$B$3:$Q$37</definedName>
    <definedName name="Appendix_8_Range">'APPENDIX 8'!$B$3:$Q$37</definedName>
    <definedName name="Appendix_9_Range">'APPENDIX 9'!$B$3:$Q$37</definedName>
    <definedName name="Details_Range">Details!$C$2:$J$21</definedName>
    <definedName name="_xlnm.Print_Area" localSheetId="52">'APPENDIX  25 iv'!$A$1:$N$40</definedName>
    <definedName name="_xlnm.Print_Area" localSheetId="3">'APPENDIX 1'!$A$2:$Q$50</definedName>
    <definedName name="_xlnm.Print_Area" localSheetId="48">'APPENDIX 24 iii'!$A$1:$K$40</definedName>
    <definedName name="_xlnm.Print_Area" localSheetId="7">'APPENDIX 5'!$A$1:$K$37</definedName>
    <definedName name="_xlnm.Print_Area" localSheetId="0">Details!$A$1:$O$24</definedName>
    <definedName name="_xlnm.Print_Area" localSheetId="1">'Reliance &amp; Limitations'!$A$1:$P$10</definedName>
    <definedName name="_xlnm.Print_Area" localSheetId="2">'Table of Contents'!$A$1:$D$45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21" l="1"/>
  <c r="D49" i="27"/>
  <c r="E49" i="27"/>
  <c r="F49" i="27"/>
  <c r="G49" i="27"/>
  <c r="H49" i="27"/>
  <c r="I49" i="27"/>
  <c r="J49" i="27"/>
  <c r="K49" i="27"/>
  <c r="L49" i="27"/>
  <c r="M49" i="27"/>
  <c r="N49" i="27"/>
  <c r="O49" i="27"/>
  <c r="P49" i="27"/>
  <c r="Q49" i="27"/>
  <c r="C49" i="27"/>
  <c r="B43" i="27"/>
  <c r="D42" i="27"/>
  <c r="E42" i="27"/>
  <c r="F42" i="27"/>
  <c r="G42" i="27"/>
  <c r="H42" i="27"/>
  <c r="I42" i="27"/>
  <c r="J42" i="27"/>
  <c r="K42" i="27"/>
  <c r="L42" i="27"/>
  <c r="M42" i="27"/>
  <c r="N42" i="27"/>
  <c r="O42" i="27"/>
  <c r="P42" i="27"/>
  <c r="Q42" i="27"/>
  <c r="C42" i="27"/>
  <c r="C42" i="26"/>
  <c r="C29" i="3"/>
  <c r="C35" i="3"/>
  <c r="B3" i="34"/>
  <c r="F10" i="42"/>
  <c r="F11" i="42"/>
  <c r="F8" i="42"/>
  <c r="F9" i="42"/>
  <c r="F7" i="42"/>
  <c r="F6" i="42"/>
  <c r="J28" i="34"/>
  <c r="K28" i="34"/>
  <c r="J29" i="34"/>
  <c r="K29" i="34"/>
  <c r="J30" i="34"/>
  <c r="K30" i="34"/>
  <c r="J31" i="34"/>
  <c r="K31" i="34"/>
  <c r="J32" i="34"/>
  <c r="K32" i="34"/>
  <c r="J33" i="34"/>
  <c r="K33" i="34"/>
  <c r="I29" i="34"/>
  <c r="I30" i="34"/>
  <c r="I31" i="34"/>
  <c r="I32" i="34"/>
  <c r="I33" i="34"/>
  <c r="I28" i="34"/>
  <c r="C30" i="3"/>
  <c r="C33" i="3"/>
  <c r="C31" i="3"/>
  <c r="C34" i="3"/>
  <c r="L34" i="34"/>
  <c r="K34" i="34"/>
  <c r="J34" i="34"/>
  <c r="I34" i="34"/>
  <c r="K23" i="34"/>
  <c r="J23" i="34"/>
  <c r="I23" i="34"/>
  <c r="L22" i="34"/>
  <c r="L21" i="34"/>
  <c r="L20" i="34"/>
  <c r="L19" i="34"/>
  <c r="L18" i="34"/>
  <c r="L17" i="34"/>
  <c r="K13" i="34"/>
  <c r="J13" i="34"/>
  <c r="I13" i="34"/>
  <c r="L12" i="34"/>
  <c r="L11" i="34"/>
  <c r="L10" i="34"/>
  <c r="L9" i="34"/>
  <c r="L8" i="34"/>
  <c r="L7" i="34"/>
  <c r="E34" i="34"/>
  <c r="D34" i="34"/>
  <c r="C34" i="34"/>
  <c r="F33" i="34"/>
  <c r="F32" i="34"/>
  <c r="F31" i="34"/>
  <c r="F30" i="34"/>
  <c r="L30" i="34" s="1"/>
  <c r="F29" i="34"/>
  <c r="F28" i="34"/>
  <c r="L28" i="34" l="1"/>
  <c r="L29" i="34"/>
  <c r="L31" i="34"/>
  <c r="L33" i="34"/>
  <c r="L32" i="34"/>
  <c r="L23" i="34"/>
  <c r="L13" i="34"/>
  <c r="F34" i="34"/>
  <c r="F7" i="45" l="1"/>
  <c r="F8" i="45"/>
  <c r="F9" i="45"/>
  <c r="F10" i="45"/>
  <c r="F11" i="45"/>
  <c r="F6" i="45"/>
  <c r="F7" i="39"/>
  <c r="F8" i="39"/>
  <c r="F9" i="39"/>
  <c r="F10" i="39"/>
  <c r="F11" i="39"/>
  <c r="F6" i="39"/>
  <c r="F7" i="38"/>
  <c r="F8" i="38"/>
  <c r="F9" i="38"/>
  <c r="F10" i="38"/>
  <c r="F11" i="38"/>
  <c r="F6" i="38"/>
  <c r="F7" i="35"/>
  <c r="F8" i="35"/>
  <c r="F9" i="35"/>
  <c r="F10" i="35"/>
  <c r="F11" i="35"/>
  <c r="F6" i="35"/>
  <c r="R33" i="53" l="1"/>
  <c r="L31" i="5" l="1"/>
  <c r="Q7" i="53"/>
  <c r="P7" i="53" s="1"/>
  <c r="Q8" i="53"/>
  <c r="Q9" i="53"/>
  <c r="Q10" i="53"/>
  <c r="Q11" i="53"/>
  <c r="Q12" i="53"/>
  <c r="Q13" i="53"/>
  <c r="Q14" i="53"/>
  <c r="Q15" i="53"/>
  <c r="P15" i="53" s="1"/>
  <c r="Q16" i="53"/>
  <c r="Q17" i="53"/>
  <c r="Q18" i="53"/>
  <c r="Q19" i="53"/>
  <c r="Q20" i="53"/>
  <c r="P20" i="53" s="1"/>
  <c r="Q21" i="53"/>
  <c r="Q22" i="53"/>
  <c r="P22" i="53" s="1"/>
  <c r="Q23" i="53"/>
  <c r="P23" i="53" s="1"/>
  <c r="Q24" i="53"/>
  <c r="Q25" i="53"/>
  <c r="Q26" i="53"/>
  <c r="Q27" i="53"/>
  <c r="Q28" i="53"/>
  <c r="Q29" i="53"/>
  <c r="Q30" i="53"/>
  <c r="Q31" i="53"/>
  <c r="P31" i="53" s="1"/>
  <c r="Q32" i="53"/>
  <c r="Q33" i="53"/>
  <c r="Q34" i="53"/>
  <c r="Q35" i="53"/>
  <c r="Q36" i="53"/>
  <c r="Q37" i="53"/>
  <c r="Q38" i="53"/>
  <c r="P38" i="53" s="1"/>
  <c r="Q39" i="53"/>
  <c r="P39" i="53" s="1"/>
  <c r="Q40" i="53"/>
  <c r="Q41" i="53"/>
  <c r="Q6" i="53"/>
  <c r="P6" i="53" s="1"/>
  <c r="N13" i="49"/>
  <c r="N14" i="49"/>
  <c r="N15" i="49"/>
  <c r="N16" i="49"/>
  <c r="N17" i="49"/>
  <c r="N18" i="49"/>
  <c r="N19" i="49"/>
  <c r="N20" i="49"/>
  <c r="M20" i="49" s="1"/>
  <c r="N21" i="49"/>
  <c r="N47" i="49" s="1"/>
  <c r="N22" i="49"/>
  <c r="N23" i="49"/>
  <c r="N24" i="49"/>
  <c r="N25" i="49"/>
  <c r="N26" i="49"/>
  <c r="N27" i="49"/>
  <c r="N28" i="49"/>
  <c r="M28" i="49" s="1"/>
  <c r="N29" i="49"/>
  <c r="Q29" i="49" s="1"/>
  <c r="N30" i="49"/>
  <c r="N31" i="49"/>
  <c r="N32" i="49"/>
  <c r="N33" i="49"/>
  <c r="N34" i="49"/>
  <c r="N35" i="49"/>
  <c r="N36" i="49"/>
  <c r="M36" i="49" s="1"/>
  <c r="N37" i="49"/>
  <c r="Q37" i="49" s="1"/>
  <c r="N38" i="49"/>
  <c r="M38" i="49" s="1"/>
  <c r="N39" i="49"/>
  <c r="N40" i="49"/>
  <c r="Q40" i="49" s="1"/>
  <c r="N41" i="49"/>
  <c r="N42" i="49"/>
  <c r="N43" i="49"/>
  <c r="N7" i="49"/>
  <c r="Q7" i="49" s="1"/>
  <c r="N8" i="49"/>
  <c r="Q8" i="49" s="1"/>
  <c r="N9" i="49"/>
  <c r="N10" i="49"/>
  <c r="N11" i="49"/>
  <c r="N12" i="49"/>
  <c r="N6" i="49"/>
  <c r="P41" i="53"/>
  <c r="P40" i="53"/>
  <c r="P37" i="53"/>
  <c r="P36" i="53"/>
  <c r="P35" i="53"/>
  <c r="P34" i="53"/>
  <c r="P33" i="53"/>
  <c r="P32" i="53"/>
  <c r="P29" i="53"/>
  <c r="P28" i="53"/>
  <c r="P27" i="53"/>
  <c r="P26" i="53"/>
  <c r="P25" i="53"/>
  <c r="P24" i="53"/>
  <c r="P21" i="53"/>
  <c r="P19" i="53"/>
  <c r="P18" i="53"/>
  <c r="P17" i="53"/>
  <c r="P16" i="53"/>
  <c r="P14" i="53"/>
  <c r="P13" i="53"/>
  <c r="P12" i="53"/>
  <c r="P11" i="53"/>
  <c r="P10" i="53"/>
  <c r="P9" i="53"/>
  <c r="P8" i="53"/>
  <c r="M43" i="49"/>
  <c r="Q42" i="49"/>
  <c r="M40" i="49"/>
  <c r="Q39" i="49"/>
  <c r="M39" i="49"/>
  <c r="M35" i="49"/>
  <c r="P35" i="49" s="1"/>
  <c r="Q34" i="49"/>
  <c r="M33" i="49"/>
  <c r="M32" i="49"/>
  <c r="Q31" i="49"/>
  <c r="M31" i="49"/>
  <c r="P31" i="49" s="1"/>
  <c r="R31" i="49" s="1"/>
  <c r="M30" i="49"/>
  <c r="Q27" i="49"/>
  <c r="M27" i="49"/>
  <c r="Q26" i="49"/>
  <c r="M25" i="49"/>
  <c r="M24" i="49"/>
  <c r="Q23" i="49"/>
  <c r="M23" i="49"/>
  <c r="P23" i="49" s="1"/>
  <c r="M22" i="49"/>
  <c r="Q19" i="49"/>
  <c r="M19" i="49"/>
  <c r="Q18" i="49"/>
  <c r="M17" i="49"/>
  <c r="M16" i="49"/>
  <c r="Q15" i="49"/>
  <c r="M15" i="49"/>
  <c r="P15" i="49" s="1"/>
  <c r="Q14" i="49"/>
  <c r="M14" i="49"/>
  <c r="P14" i="49" s="1"/>
  <c r="M12" i="49"/>
  <c r="Q11" i="49"/>
  <c r="M11" i="49"/>
  <c r="P11" i="49" s="1"/>
  <c r="Q10" i="49"/>
  <c r="M9" i="49"/>
  <c r="P9" i="49" s="1"/>
  <c r="Q12" i="46"/>
  <c r="P12" i="46"/>
  <c r="O12" i="46"/>
  <c r="N12" i="46"/>
  <c r="M12" i="46"/>
  <c r="L12" i="46"/>
  <c r="K12" i="46"/>
  <c r="J12" i="46"/>
  <c r="I12" i="46"/>
  <c r="H12" i="46"/>
  <c r="G12" i="46"/>
  <c r="F12" i="46"/>
  <c r="E12" i="46"/>
  <c r="D12" i="46"/>
  <c r="C12" i="46"/>
  <c r="F12" i="45"/>
  <c r="E12" i="45"/>
  <c r="D12" i="45"/>
  <c r="C12" i="45"/>
  <c r="F12" i="44"/>
  <c r="E12" i="44"/>
  <c r="D12" i="44"/>
  <c r="C12" i="44"/>
  <c r="E4" i="44"/>
  <c r="D4" i="44"/>
  <c r="C4" i="44"/>
  <c r="B3" i="44"/>
  <c r="F12" i="43"/>
  <c r="E12" i="43"/>
  <c r="D12" i="43"/>
  <c r="C12" i="43"/>
  <c r="B3" i="43"/>
  <c r="F12" i="42"/>
  <c r="E12" i="42"/>
  <c r="D12" i="42"/>
  <c r="C12" i="42"/>
  <c r="B3" i="42"/>
  <c r="F12" i="41"/>
  <c r="E12" i="41"/>
  <c r="D12" i="41"/>
  <c r="C12" i="41"/>
  <c r="B3" i="41"/>
  <c r="C12" i="40"/>
  <c r="F11" i="40"/>
  <c r="E11" i="40"/>
  <c r="D11" i="40"/>
  <c r="C11" i="40"/>
  <c r="B11" i="40"/>
  <c r="F10" i="40"/>
  <c r="E10" i="40"/>
  <c r="D10" i="40"/>
  <c r="C10" i="40"/>
  <c r="B10" i="40"/>
  <c r="F9" i="40"/>
  <c r="E9" i="40"/>
  <c r="D9" i="40"/>
  <c r="C9" i="40"/>
  <c r="B9" i="40"/>
  <c r="F8" i="40"/>
  <c r="E8" i="40"/>
  <c r="D8" i="40"/>
  <c r="C8" i="40"/>
  <c r="B8" i="40"/>
  <c r="F7" i="40"/>
  <c r="E7" i="40"/>
  <c r="D7" i="40"/>
  <c r="C7" i="40"/>
  <c r="B7" i="40"/>
  <c r="F6" i="40"/>
  <c r="E6" i="40"/>
  <c r="D6" i="40"/>
  <c r="C6" i="40"/>
  <c r="B6" i="40"/>
  <c r="F12" i="39"/>
  <c r="E12" i="39"/>
  <c r="E12" i="40" s="1"/>
  <c r="D12" i="39"/>
  <c r="D12" i="40" s="1"/>
  <c r="C12" i="39"/>
  <c r="F12" i="38"/>
  <c r="E12" i="38"/>
  <c r="D12" i="38"/>
  <c r="C12" i="38"/>
  <c r="F12" i="36"/>
  <c r="E12" i="36"/>
  <c r="D12" i="36"/>
  <c r="C12" i="36"/>
  <c r="B3" i="36"/>
  <c r="F12" i="35"/>
  <c r="E12" i="35"/>
  <c r="D12" i="35"/>
  <c r="C12" i="35"/>
  <c r="B3" i="35"/>
  <c r="E12" i="34"/>
  <c r="D12" i="34"/>
  <c r="C12" i="34"/>
  <c r="B12" i="34"/>
  <c r="B11" i="37" s="1"/>
  <c r="E11" i="34"/>
  <c r="D11" i="34"/>
  <c r="C11" i="34"/>
  <c r="B11" i="34"/>
  <c r="B10" i="37" s="1"/>
  <c r="E10" i="34"/>
  <c r="D10" i="34"/>
  <c r="C10" i="34"/>
  <c r="B10" i="34"/>
  <c r="B9" i="37" s="1"/>
  <c r="E9" i="34"/>
  <c r="D9" i="34"/>
  <c r="C9" i="34"/>
  <c r="B9" i="34"/>
  <c r="B8" i="37" s="1"/>
  <c r="E8" i="34"/>
  <c r="D8" i="34"/>
  <c r="C8" i="34"/>
  <c r="B8" i="34"/>
  <c r="B7" i="37" s="1"/>
  <c r="E7" i="34"/>
  <c r="D7" i="34"/>
  <c r="C7" i="34"/>
  <c r="B7" i="34"/>
  <c r="B6" i="37" s="1"/>
  <c r="E6" i="34"/>
  <c r="Q49" i="33"/>
  <c r="P49" i="33"/>
  <c r="O49" i="33"/>
  <c r="N49" i="33"/>
  <c r="M49" i="33"/>
  <c r="L49" i="33"/>
  <c r="K49" i="33"/>
  <c r="J49" i="33"/>
  <c r="I49" i="33"/>
  <c r="H49" i="33"/>
  <c r="G49" i="33"/>
  <c r="F49" i="33"/>
  <c r="E49" i="33"/>
  <c r="D49" i="33"/>
  <c r="C49" i="33"/>
  <c r="Q42" i="33"/>
  <c r="P42" i="33"/>
  <c r="O42" i="33"/>
  <c r="N42" i="33"/>
  <c r="M42" i="33"/>
  <c r="L42" i="33"/>
  <c r="K42" i="33"/>
  <c r="J42" i="33"/>
  <c r="I42" i="33"/>
  <c r="H42" i="33"/>
  <c r="G42" i="33"/>
  <c r="F42" i="33"/>
  <c r="E42" i="33"/>
  <c r="D42" i="33"/>
  <c r="C42" i="33"/>
  <c r="Q49" i="32"/>
  <c r="P49" i="32"/>
  <c r="O49" i="32"/>
  <c r="N49" i="32"/>
  <c r="M49" i="32"/>
  <c r="L49" i="32"/>
  <c r="K49" i="32"/>
  <c r="J49" i="32"/>
  <c r="I49" i="32"/>
  <c r="H49" i="32"/>
  <c r="G49" i="32"/>
  <c r="F49" i="32"/>
  <c r="E49" i="32"/>
  <c r="D49" i="32"/>
  <c r="C49" i="32"/>
  <c r="Q42" i="32"/>
  <c r="P42" i="32"/>
  <c r="O42" i="32"/>
  <c r="N42" i="32"/>
  <c r="M42" i="32"/>
  <c r="L42" i="32"/>
  <c r="K42" i="32"/>
  <c r="J42" i="32"/>
  <c r="I42" i="32"/>
  <c r="H42" i="32"/>
  <c r="G42" i="32"/>
  <c r="F42" i="32"/>
  <c r="E42" i="32"/>
  <c r="D42" i="32"/>
  <c r="C42" i="32"/>
  <c r="Q49" i="31"/>
  <c r="P49" i="31"/>
  <c r="O49" i="31"/>
  <c r="N49" i="31"/>
  <c r="M49" i="31"/>
  <c r="L49" i="31"/>
  <c r="K49" i="31"/>
  <c r="J49" i="31"/>
  <c r="I49" i="31"/>
  <c r="H49" i="31"/>
  <c r="G49" i="31"/>
  <c r="F49" i="31"/>
  <c r="E49" i="31"/>
  <c r="D49" i="31"/>
  <c r="C49" i="31"/>
  <c r="Q42" i="31"/>
  <c r="P42" i="31"/>
  <c r="O42" i="31"/>
  <c r="N42" i="31"/>
  <c r="M42" i="31"/>
  <c r="L42" i="31"/>
  <c r="K42" i="31"/>
  <c r="J42" i="31"/>
  <c r="I42" i="31"/>
  <c r="H42" i="31"/>
  <c r="G42" i="31"/>
  <c r="F42" i="31"/>
  <c r="E42" i="31"/>
  <c r="D42" i="31"/>
  <c r="C42" i="31"/>
  <c r="B3" i="31"/>
  <c r="Q49" i="30"/>
  <c r="P49" i="30"/>
  <c r="O49" i="30"/>
  <c r="N49" i="30"/>
  <c r="M49" i="30"/>
  <c r="L49" i="30"/>
  <c r="K49" i="30"/>
  <c r="J49" i="30"/>
  <c r="I49" i="30"/>
  <c r="H49" i="30"/>
  <c r="G49" i="30"/>
  <c r="F49" i="30"/>
  <c r="E49" i="30"/>
  <c r="D49" i="30"/>
  <c r="C49" i="30"/>
  <c r="Q42" i="30"/>
  <c r="P42" i="30"/>
  <c r="O42" i="30"/>
  <c r="N42" i="30"/>
  <c r="M42" i="30"/>
  <c r="L42" i="30"/>
  <c r="K42" i="30"/>
  <c r="J42" i="30"/>
  <c r="I42" i="30"/>
  <c r="H42" i="30"/>
  <c r="G42" i="30"/>
  <c r="F42" i="30"/>
  <c r="E42" i="30"/>
  <c r="D42" i="30"/>
  <c r="C42" i="30"/>
  <c r="B3" i="30"/>
  <c r="Q49" i="29"/>
  <c r="P49" i="29"/>
  <c r="O49" i="29"/>
  <c r="N49" i="29"/>
  <c r="M49" i="29"/>
  <c r="L49" i="29"/>
  <c r="K49" i="29"/>
  <c r="J49" i="29"/>
  <c r="I49" i="29"/>
  <c r="H49" i="29"/>
  <c r="G49" i="29"/>
  <c r="F49" i="29"/>
  <c r="E49" i="29"/>
  <c r="D49" i="29"/>
  <c r="C49" i="29"/>
  <c r="Q42" i="29"/>
  <c r="P42" i="29"/>
  <c r="O42" i="29"/>
  <c r="N42" i="29"/>
  <c r="M42" i="29"/>
  <c r="L42" i="29"/>
  <c r="K42" i="29"/>
  <c r="J42" i="29"/>
  <c r="I42" i="29"/>
  <c r="H42" i="29"/>
  <c r="G42" i="29"/>
  <c r="F42" i="29"/>
  <c r="E42" i="29"/>
  <c r="D42" i="29"/>
  <c r="C42" i="29"/>
  <c r="B3" i="29"/>
  <c r="Q49" i="28"/>
  <c r="P49" i="28"/>
  <c r="O49" i="28"/>
  <c r="N49" i="28"/>
  <c r="M49" i="28"/>
  <c r="L49" i="28"/>
  <c r="K49" i="28"/>
  <c r="J49" i="28"/>
  <c r="I49" i="28"/>
  <c r="H49" i="28"/>
  <c r="G49" i="28"/>
  <c r="F49" i="28"/>
  <c r="E49" i="28"/>
  <c r="D49" i="28"/>
  <c r="C49" i="28"/>
  <c r="Q42" i="28"/>
  <c r="P42" i="28"/>
  <c r="O42" i="28"/>
  <c r="N42" i="28"/>
  <c r="M42" i="28"/>
  <c r="L42" i="28"/>
  <c r="K42" i="28"/>
  <c r="J42" i="28"/>
  <c r="I42" i="28"/>
  <c r="H42" i="28"/>
  <c r="G42" i="28"/>
  <c r="F42" i="28"/>
  <c r="E42" i="28"/>
  <c r="D42" i="28"/>
  <c r="C42" i="28"/>
  <c r="B3" i="28"/>
  <c r="Q48" i="27"/>
  <c r="P48" i="27"/>
  <c r="O48" i="27"/>
  <c r="N48" i="27"/>
  <c r="M48" i="27"/>
  <c r="L48" i="27"/>
  <c r="K48" i="27"/>
  <c r="J48" i="27"/>
  <c r="I48" i="27"/>
  <c r="H48" i="27"/>
  <c r="G48" i="27"/>
  <c r="F48" i="27"/>
  <c r="E48" i="27"/>
  <c r="D48" i="27"/>
  <c r="C48" i="27"/>
  <c r="Q47" i="27"/>
  <c r="P47" i="27"/>
  <c r="O47" i="27"/>
  <c r="N47" i="27"/>
  <c r="M47" i="27"/>
  <c r="L47" i="27"/>
  <c r="K47" i="27"/>
  <c r="J47" i="27"/>
  <c r="I47" i="27"/>
  <c r="H47" i="27"/>
  <c r="G47" i="27"/>
  <c r="F47" i="27"/>
  <c r="E47" i="27"/>
  <c r="D47" i="27"/>
  <c r="C47" i="27"/>
  <c r="Q46" i="27"/>
  <c r="P46" i="27"/>
  <c r="O46" i="27"/>
  <c r="N46" i="27"/>
  <c r="M46" i="27"/>
  <c r="L46" i="27"/>
  <c r="K46" i="27"/>
  <c r="J46" i="27"/>
  <c r="I46" i="27"/>
  <c r="H46" i="27"/>
  <c r="G46" i="27"/>
  <c r="F46" i="27"/>
  <c r="E46" i="27"/>
  <c r="D46" i="27"/>
  <c r="C46" i="27"/>
  <c r="Q45" i="27"/>
  <c r="P45" i="27"/>
  <c r="O45" i="27"/>
  <c r="N45" i="27"/>
  <c r="M45" i="27"/>
  <c r="L45" i="27"/>
  <c r="K45" i="27"/>
  <c r="J45" i="27"/>
  <c r="I45" i="27"/>
  <c r="H45" i="27"/>
  <c r="G45" i="27"/>
  <c r="F45" i="27"/>
  <c r="E45" i="27"/>
  <c r="D45" i="27"/>
  <c r="C45" i="27"/>
  <c r="Q44" i="27"/>
  <c r="P44" i="27"/>
  <c r="O44" i="27"/>
  <c r="N44" i="27"/>
  <c r="M44" i="27"/>
  <c r="L44" i="27"/>
  <c r="K44" i="27"/>
  <c r="J44" i="27"/>
  <c r="I44" i="27"/>
  <c r="H44" i="27"/>
  <c r="G44" i="27"/>
  <c r="F44" i="27"/>
  <c r="E44" i="27"/>
  <c r="D44" i="27"/>
  <c r="C44" i="27"/>
  <c r="Q41" i="27"/>
  <c r="P41" i="27"/>
  <c r="O41" i="27"/>
  <c r="N41" i="27"/>
  <c r="M41" i="27"/>
  <c r="L41" i="27"/>
  <c r="K41" i="27"/>
  <c r="J41" i="27"/>
  <c r="I41" i="27"/>
  <c r="H41" i="27"/>
  <c r="G41" i="27"/>
  <c r="F41" i="27"/>
  <c r="E41" i="27"/>
  <c r="D41" i="27"/>
  <c r="C41" i="27"/>
  <c r="Q40" i="27"/>
  <c r="P40" i="27"/>
  <c r="O40" i="27"/>
  <c r="N40" i="27"/>
  <c r="M40" i="27"/>
  <c r="L40" i="27"/>
  <c r="K40" i="27"/>
  <c r="J40" i="27"/>
  <c r="I40" i="27"/>
  <c r="H40" i="27"/>
  <c r="G40" i="27"/>
  <c r="F40" i="27"/>
  <c r="E40" i="27"/>
  <c r="D40" i="27"/>
  <c r="C40" i="27"/>
  <c r="Q39" i="27"/>
  <c r="P39" i="27"/>
  <c r="O39" i="27"/>
  <c r="N39" i="27"/>
  <c r="M39" i="27"/>
  <c r="L39" i="27"/>
  <c r="K39" i="27"/>
  <c r="J39" i="27"/>
  <c r="I39" i="27"/>
  <c r="H39" i="27"/>
  <c r="G39" i="27"/>
  <c r="F39" i="27"/>
  <c r="E39" i="27"/>
  <c r="D39" i="27"/>
  <c r="C39" i="27"/>
  <c r="Q38" i="27"/>
  <c r="P38" i="27"/>
  <c r="O38" i="27"/>
  <c r="N38" i="27"/>
  <c r="M38" i="27"/>
  <c r="L38" i="27"/>
  <c r="K38" i="27"/>
  <c r="J38" i="27"/>
  <c r="I38" i="27"/>
  <c r="H38" i="27"/>
  <c r="G38" i="27"/>
  <c r="F38" i="27"/>
  <c r="E38" i="27"/>
  <c r="D38" i="27"/>
  <c r="C38" i="27"/>
  <c r="Q37" i="27"/>
  <c r="P37" i="27"/>
  <c r="O37" i="27"/>
  <c r="N37" i="27"/>
  <c r="M37" i="27"/>
  <c r="L37" i="27"/>
  <c r="K37" i="27"/>
  <c r="J37" i="27"/>
  <c r="I37" i="27"/>
  <c r="H37" i="27"/>
  <c r="G37" i="27"/>
  <c r="F37" i="27"/>
  <c r="E37" i="27"/>
  <c r="D37" i="27"/>
  <c r="C37" i="27"/>
  <c r="Q36" i="27"/>
  <c r="P36" i="27"/>
  <c r="O36" i="27"/>
  <c r="N36" i="27"/>
  <c r="M36" i="27"/>
  <c r="L36" i="27"/>
  <c r="K36" i="27"/>
  <c r="J36" i="27"/>
  <c r="I36" i="27"/>
  <c r="H36" i="27"/>
  <c r="G36" i="27"/>
  <c r="F36" i="27"/>
  <c r="E36" i="27"/>
  <c r="D36" i="27"/>
  <c r="C36" i="27"/>
  <c r="Q35" i="27"/>
  <c r="P35" i="27"/>
  <c r="O35" i="27"/>
  <c r="N35" i="27"/>
  <c r="M35" i="27"/>
  <c r="L35" i="27"/>
  <c r="K35" i="27"/>
  <c r="J35" i="27"/>
  <c r="I35" i="27"/>
  <c r="H35" i="27"/>
  <c r="G35" i="27"/>
  <c r="F35" i="27"/>
  <c r="E35" i="27"/>
  <c r="D35" i="27"/>
  <c r="C35" i="27"/>
  <c r="Q34" i="27"/>
  <c r="P34" i="27"/>
  <c r="O34" i="27"/>
  <c r="N34" i="27"/>
  <c r="M34" i="27"/>
  <c r="L34" i="27"/>
  <c r="K34" i="27"/>
  <c r="J34" i="27"/>
  <c r="I34" i="27"/>
  <c r="H34" i="27"/>
  <c r="G34" i="27"/>
  <c r="F34" i="27"/>
  <c r="E34" i="27"/>
  <c r="D34" i="27"/>
  <c r="C34" i="27"/>
  <c r="Q33" i="27"/>
  <c r="P33" i="27"/>
  <c r="O33" i="27"/>
  <c r="N33" i="27"/>
  <c r="M33" i="27"/>
  <c r="L33" i="27"/>
  <c r="K33" i="27"/>
  <c r="J33" i="27"/>
  <c r="I33" i="27"/>
  <c r="H33" i="27"/>
  <c r="G33" i="27"/>
  <c r="F33" i="27"/>
  <c r="E33" i="27"/>
  <c r="D33" i="27"/>
  <c r="C33" i="27"/>
  <c r="Q32" i="27"/>
  <c r="P32" i="27"/>
  <c r="O32" i="27"/>
  <c r="N32" i="27"/>
  <c r="M32" i="27"/>
  <c r="L32" i="27"/>
  <c r="K32" i="27"/>
  <c r="J32" i="27"/>
  <c r="I32" i="27"/>
  <c r="H32" i="27"/>
  <c r="G32" i="27"/>
  <c r="F32" i="27"/>
  <c r="E32" i="27"/>
  <c r="D32" i="27"/>
  <c r="C32" i="27"/>
  <c r="Q31" i="27"/>
  <c r="P31" i="27"/>
  <c r="O31" i="27"/>
  <c r="N31" i="27"/>
  <c r="M31" i="27"/>
  <c r="L31" i="27"/>
  <c r="K31" i="27"/>
  <c r="J31" i="27"/>
  <c r="I31" i="27"/>
  <c r="H31" i="27"/>
  <c r="G31" i="27"/>
  <c r="F31" i="27"/>
  <c r="E31" i="27"/>
  <c r="D31" i="27"/>
  <c r="C31" i="27"/>
  <c r="Q30" i="27"/>
  <c r="P30" i="27"/>
  <c r="O30" i="27"/>
  <c r="N30" i="27"/>
  <c r="M30" i="27"/>
  <c r="L30" i="27"/>
  <c r="K30" i="27"/>
  <c r="J30" i="27"/>
  <c r="I30" i="27"/>
  <c r="H30" i="27"/>
  <c r="G30" i="27"/>
  <c r="F30" i="27"/>
  <c r="E30" i="27"/>
  <c r="D30" i="27"/>
  <c r="C30" i="27"/>
  <c r="Q29" i="27"/>
  <c r="P29" i="27"/>
  <c r="O29" i="27"/>
  <c r="N29" i="27"/>
  <c r="M29" i="27"/>
  <c r="L29" i="27"/>
  <c r="K29" i="27"/>
  <c r="J29" i="27"/>
  <c r="I29" i="27"/>
  <c r="H29" i="27"/>
  <c r="G29" i="27"/>
  <c r="F29" i="27"/>
  <c r="E29" i="27"/>
  <c r="D29" i="27"/>
  <c r="C29" i="27"/>
  <c r="Q28" i="27"/>
  <c r="P28" i="27"/>
  <c r="O28" i="27"/>
  <c r="N28" i="27"/>
  <c r="M28" i="27"/>
  <c r="L28" i="27"/>
  <c r="K28" i="27"/>
  <c r="J28" i="27"/>
  <c r="I28" i="27"/>
  <c r="H28" i="27"/>
  <c r="G28" i="27"/>
  <c r="F28" i="27"/>
  <c r="E28" i="27"/>
  <c r="D28" i="27"/>
  <c r="C28" i="27"/>
  <c r="Q27" i="27"/>
  <c r="P27" i="27"/>
  <c r="O27" i="27"/>
  <c r="N27" i="27"/>
  <c r="M27" i="27"/>
  <c r="L27" i="27"/>
  <c r="K27" i="27"/>
  <c r="J27" i="27"/>
  <c r="I27" i="27"/>
  <c r="H27" i="27"/>
  <c r="G27" i="27"/>
  <c r="F27" i="27"/>
  <c r="E27" i="27"/>
  <c r="D27" i="27"/>
  <c r="C27" i="27"/>
  <c r="Q26" i="27"/>
  <c r="P26" i="27"/>
  <c r="O26" i="27"/>
  <c r="N26" i="27"/>
  <c r="M26" i="27"/>
  <c r="L26" i="27"/>
  <c r="K26" i="27"/>
  <c r="J26" i="27"/>
  <c r="I26" i="27"/>
  <c r="H26" i="27"/>
  <c r="G26" i="27"/>
  <c r="F26" i="27"/>
  <c r="E26" i="27"/>
  <c r="D26" i="27"/>
  <c r="C26" i="27"/>
  <c r="Q25" i="27"/>
  <c r="P25" i="27"/>
  <c r="O25" i="27"/>
  <c r="N25" i="27"/>
  <c r="M25" i="27"/>
  <c r="L25" i="27"/>
  <c r="K25" i="27"/>
  <c r="J25" i="27"/>
  <c r="I25" i="27"/>
  <c r="H25" i="27"/>
  <c r="G25" i="27"/>
  <c r="F25" i="27"/>
  <c r="E25" i="27"/>
  <c r="D25" i="27"/>
  <c r="C25" i="27"/>
  <c r="Q24" i="27"/>
  <c r="P24" i="27"/>
  <c r="O24" i="27"/>
  <c r="N24" i="27"/>
  <c r="M24" i="27"/>
  <c r="L24" i="27"/>
  <c r="K24" i="27"/>
  <c r="J24" i="27"/>
  <c r="I24" i="27"/>
  <c r="H24" i="27"/>
  <c r="G24" i="27"/>
  <c r="F24" i="27"/>
  <c r="E24" i="27"/>
  <c r="D24" i="27"/>
  <c r="C24" i="27"/>
  <c r="Q23" i="27"/>
  <c r="P23" i="27"/>
  <c r="O23" i="27"/>
  <c r="N23" i="27"/>
  <c r="M23" i="27"/>
  <c r="L23" i="27"/>
  <c r="K23" i="27"/>
  <c r="J23" i="27"/>
  <c r="I23" i="27"/>
  <c r="H23" i="27"/>
  <c r="G23" i="27"/>
  <c r="F23" i="27"/>
  <c r="E23" i="27"/>
  <c r="D23" i="27"/>
  <c r="C23" i="27"/>
  <c r="Q22" i="27"/>
  <c r="P22" i="27"/>
  <c r="O22" i="27"/>
  <c r="N22" i="27"/>
  <c r="M22" i="27"/>
  <c r="L22" i="27"/>
  <c r="K22" i="27"/>
  <c r="J22" i="27"/>
  <c r="I22" i="27"/>
  <c r="H22" i="27"/>
  <c r="G22" i="27"/>
  <c r="F22" i="27"/>
  <c r="E22" i="27"/>
  <c r="D22" i="27"/>
  <c r="C22" i="27"/>
  <c r="Q21" i="27"/>
  <c r="P21" i="27"/>
  <c r="O21" i="27"/>
  <c r="N21" i="27"/>
  <c r="M21" i="27"/>
  <c r="L21" i="27"/>
  <c r="K21" i="27"/>
  <c r="J21" i="27"/>
  <c r="I21" i="27"/>
  <c r="H21" i="27"/>
  <c r="G21" i="27"/>
  <c r="F21" i="27"/>
  <c r="E21" i="27"/>
  <c r="D21" i="27"/>
  <c r="C21" i="27"/>
  <c r="Q20" i="27"/>
  <c r="P20" i="27"/>
  <c r="O20" i="27"/>
  <c r="N20" i="27"/>
  <c r="M20" i="27"/>
  <c r="L20" i="27"/>
  <c r="K20" i="27"/>
  <c r="J20" i="27"/>
  <c r="I20" i="27"/>
  <c r="H20" i="27"/>
  <c r="G20" i="27"/>
  <c r="F20" i="27"/>
  <c r="E20" i="27"/>
  <c r="D20" i="27"/>
  <c r="C20" i="27"/>
  <c r="Q19" i="27"/>
  <c r="P19" i="27"/>
  <c r="O19" i="27"/>
  <c r="N19" i="27"/>
  <c r="M19" i="27"/>
  <c r="L19" i="27"/>
  <c r="K19" i="27"/>
  <c r="J19" i="27"/>
  <c r="I19" i="27"/>
  <c r="H19" i="27"/>
  <c r="G19" i="27"/>
  <c r="F19" i="27"/>
  <c r="E19" i="27"/>
  <c r="D19" i="27"/>
  <c r="C19" i="27"/>
  <c r="Q18" i="27"/>
  <c r="P18" i="27"/>
  <c r="O18" i="27"/>
  <c r="N18" i="27"/>
  <c r="M18" i="27"/>
  <c r="L18" i="27"/>
  <c r="K18" i="27"/>
  <c r="J18" i="27"/>
  <c r="I18" i="27"/>
  <c r="H18" i="27"/>
  <c r="G18" i="27"/>
  <c r="F18" i="27"/>
  <c r="E18" i="27"/>
  <c r="D18" i="27"/>
  <c r="C18" i="27"/>
  <c r="Q17" i="27"/>
  <c r="P17" i="27"/>
  <c r="O17" i="27"/>
  <c r="N17" i="27"/>
  <c r="M17" i="27"/>
  <c r="L17" i="27"/>
  <c r="K17" i="27"/>
  <c r="J17" i="27"/>
  <c r="I17" i="27"/>
  <c r="H17" i="27"/>
  <c r="G17" i="27"/>
  <c r="F17" i="27"/>
  <c r="E17" i="27"/>
  <c r="D17" i="27"/>
  <c r="C17" i="27"/>
  <c r="Q16" i="27"/>
  <c r="P16" i="27"/>
  <c r="O16" i="27"/>
  <c r="N16" i="27"/>
  <c r="M16" i="27"/>
  <c r="L16" i="27"/>
  <c r="K16" i="27"/>
  <c r="J16" i="27"/>
  <c r="I16" i="27"/>
  <c r="H16" i="27"/>
  <c r="G16" i="27"/>
  <c r="F16" i="27"/>
  <c r="E16" i="27"/>
  <c r="D16" i="27"/>
  <c r="C16" i="27"/>
  <c r="Q15" i="27"/>
  <c r="P15" i="27"/>
  <c r="O15" i="27"/>
  <c r="N15" i="27"/>
  <c r="M15" i="27"/>
  <c r="L15" i="27"/>
  <c r="K15" i="27"/>
  <c r="J15" i="27"/>
  <c r="I15" i="27"/>
  <c r="H15" i="27"/>
  <c r="G15" i="27"/>
  <c r="F15" i="27"/>
  <c r="E15" i="27"/>
  <c r="D15" i="27"/>
  <c r="C15" i="27"/>
  <c r="Q14" i="27"/>
  <c r="P14" i="27"/>
  <c r="O14" i="27"/>
  <c r="N14" i="27"/>
  <c r="M14" i="27"/>
  <c r="L14" i="27"/>
  <c r="K14" i="27"/>
  <c r="J14" i="27"/>
  <c r="I14" i="27"/>
  <c r="H14" i="27"/>
  <c r="G14" i="27"/>
  <c r="F14" i="27"/>
  <c r="E14" i="27"/>
  <c r="D14" i="27"/>
  <c r="C14" i="27"/>
  <c r="Q13" i="27"/>
  <c r="P13" i="27"/>
  <c r="O13" i="27"/>
  <c r="N13" i="27"/>
  <c r="M13" i="27"/>
  <c r="L13" i="27"/>
  <c r="K13" i="27"/>
  <c r="J13" i="27"/>
  <c r="I13" i="27"/>
  <c r="H13" i="27"/>
  <c r="G13" i="27"/>
  <c r="F13" i="27"/>
  <c r="E13" i="27"/>
  <c r="D13" i="27"/>
  <c r="C13" i="27"/>
  <c r="Q12" i="27"/>
  <c r="P12" i="27"/>
  <c r="O12" i="27"/>
  <c r="N12" i="27"/>
  <c r="M12" i="27"/>
  <c r="L12" i="27"/>
  <c r="K12" i="27"/>
  <c r="J12" i="27"/>
  <c r="I12" i="27"/>
  <c r="H12" i="27"/>
  <c r="G12" i="27"/>
  <c r="F12" i="27"/>
  <c r="E12" i="27"/>
  <c r="D12" i="27"/>
  <c r="C12" i="27"/>
  <c r="Q11" i="27"/>
  <c r="P11" i="27"/>
  <c r="O11" i="27"/>
  <c r="N11" i="27"/>
  <c r="M11" i="27"/>
  <c r="L11" i="27"/>
  <c r="K11" i="27"/>
  <c r="J11" i="27"/>
  <c r="I11" i="27"/>
  <c r="H11" i="27"/>
  <c r="G11" i="27"/>
  <c r="F11" i="27"/>
  <c r="E11" i="27"/>
  <c r="D11" i="27"/>
  <c r="C11" i="27"/>
  <c r="Q10" i="27"/>
  <c r="P10" i="27"/>
  <c r="O10" i="27"/>
  <c r="N10" i="27"/>
  <c r="M10" i="27"/>
  <c r="L10" i="27"/>
  <c r="K10" i="27"/>
  <c r="J10" i="27"/>
  <c r="I10" i="27"/>
  <c r="H10" i="27"/>
  <c r="G10" i="27"/>
  <c r="F10" i="27"/>
  <c r="E10" i="27"/>
  <c r="D10" i="27"/>
  <c r="C10" i="27"/>
  <c r="Q9" i="27"/>
  <c r="P9" i="27"/>
  <c r="O9" i="27"/>
  <c r="N9" i="27"/>
  <c r="M9" i="27"/>
  <c r="L9" i="27"/>
  <c r="K9" i="27"/>
  <c r="J9" i="27"/>
  <c r="I9" i="27"/>
  <c r="H9" i="27"/>
  <c r="G9" i="27"/>
  <c r="F9" i="27"/>
  <c r="E9" i="27"/>
  <c r="D9" i="27"/>
  <c r="C9" i="27"/>
  <c r="Q8" i="27"/>
  <c r="P8" i="27"/>
  <c r="O8" i="27"/>
  <c r="N8" i="27"/>
  <c r="M8" i="27"/>
  <c r="L8" i="27"/>
  <c r="K8" i="27"/>
  <c r="J8" i="27"/>
  <c r="I8" i="27"/>
  <c r="H8" i="27"/>
  <c r="G8" i="27"/>
  <c r="F8" i="27"/>
  <c r="E8" i="27"/>
  <c r="D8" i="27"/>
  <c r="C8" i="27"/>
  <c r="Q7" i="27"/>
  <c r="P7" i="27"/>
  <c r="O7" i="27"/>
  <c r="N7" i="27"/>
  <c r="M7" i="27"/>
  <c r="L7" i="27"/>
  <c r="K7" i="27"/>
  <c r="J7" i="27"/>
  <c r="I7" i="27"/>
  <c r="H7" i="27"/>
  <c r="G7" i="27"/>
  <c r="F7" i="27"/>
  <c r="E7" i="27"/>
  <c r="D7" i="27"/>
  <c r="C7" i="27"/>
  <c r="Q6" i="27"/>
  <c r="P6" i="27"/>
  <c r="O6" i="27"/>
  <c r="N6" i="27"/>
  <c r="M6" i="27"/>
  <c r="L6" i="27"/>
  <c r="K6" i="27"/>
  <c r="J6" i="27"/>
  <c r="I6" i="27"/>
  <c r="H6" i="27"/>
  <c r="G6" i="27"/>
  <c r="F6" i="27"/>
  <c r="E6" i="27"/>
  <c r="D6" i="27"/>
  <c r="C6" i="27"/>
  <c r="Q49" i="26"/>
  <c r="P49" i="26"/>
  <c r="O49" i="26"/>
  <c r="N49" i="26"/>
  <c r="M49" i="26"/>
  <c r="L49" i="26"/>
  <c r="K49" i="26"/>
  <c r="J49" i="26"/>
  <c r="I49" i="26"/>
  <c r="H49" i="26"/>
  <c r="G49" i="26"/>
  <c r="F49" i="26"/>
  <c r="E49" i="26"/>
  <c r="D49" i="26"/>
  <c r="C49" i="26"/>
  <c r="Q42" i="26"/>
  <c r="P42" i="26"/>
  <c r="O42" i="26"/>
  <c r="N42" i="26"/>
  <c r="M42" i="26"/>
  <c r="L42" i="26"/>
  <c r="K42" i="26"/>
  <c r="J42" i="26"/>
  <c r="I42" i="26"/>
  <c r="H42" i="26"/>
  <c r="G42" i="26"/>
  <c r="F42" i="26"/>
  <c r="E42" i="26"/>
  <c r="D42" i="26"/>
  <c r="Q49" i="25"/>
  <c r="P49" i="25"/>
  <c r="O49" i="25"/>
  <c r="N49" i="25"/>
  <c r="M49" i="25"/>
  <c r="L49" i="25"/>
  <c r="K49" i="25"/>
  <c r="J49" i="25"/>
  <c r="I49" i="25"/>
  <c r="H49" i="25"/>
  <c r="G49" i="25"/>
  <c r="F49" i="25"/>
  <c r="E49" i="25"/>
  <c r="D49" i="25"/>
  <c r="C49" i="25"/>
  <c r="Q42" i="25"/>
  <c r="P42" i="25"/>
  <c r="O42" i="25"/>
  <c r="N42" i="25"/>
  <c r="M42" i="25"/>
  <c r="L42" i="25"/>
  <c r="K42" i="25"/>
  <c r="J42" i="25"/>
  <c r="I42" i="25"/>
  <c r="H42" i="25"/>
  <c r="G42" i="25"/>
  <c r="F42" i="25"/>
  <c r="E42" i="25"/>
  <c r="D42" i="25"/>
  <c r="C42" i="25"/>
  <c r="B48" i="24"/>
  <c r="B47" i="24"/>
  <c r="B46" i="24"/>
  <c r="B45" i="24"/>
  <c r="B44" i="24"/>
  <c r="B20" i="24"/>
  <c r="Q49" i="23"/>
  <c r="P49" i="23"/>
  <c r="O49" i="23"/>
  <c r="N49" i="23"/>
  <c r="M49" i="23"/>
  <c r="L49" i="23"/>
  <c r="K49" i="23"/>
  <c r="J49" i="23"/>
  <c r="I49" i="23"/>
  <c r="H49" i="23"/>
  <c r="G49" i="23"/>
  <c r="F49" i="23"/>
  <c r="E49" i="23"/>
  <c r="D49" i="23"/>
  <c r="C49" i="23"/>
  <c r="Q42" i="23"/>
  <c r="P42" i="23"/>
  <c r="O42" i="23"/>
  <c r="N42" i="23"/>
  <c r="M42" i="23"/>
  <c r="L42" i="23"/>
  <c r="K42" i="23"/>
  <c r="J42" i="23"/>
  <c r="I42" i="23"/>
  <c r="H42" i="23"/>
  <c r="G42" i="23"/>
  <c r="F42" i="23"/>
  <c r="E42" i="23"/>
  <c r="D42" i="23"/>
  <c r="C42" i="23"/>
  <c r="B3" i="23"/>
  <c r="Q49" i="22"/>
  <c r="P49" i="22"/>
  <c r="O49" i="22"/>
  <c r="N49" i="22"/>
  <c r="M49" i="22"/>
  <c r="L49" i="22"/>
  <c r="K49" i="22"/>
  <c r="J49" i="22"/>
  <c r="I49" i="22"/>
  <c r="H49" i="22"/>
  <c r="G49" i="22"/>
  <c r="F49" i="22"/>
  <c r="E49" i="22"/>
  <c r="D49" i="22"/>
  <c r="C49" i="22"/>
  <c r="Q42" i="22"/>
  <c r="P42" i="22"/>
  <c r="O42" i="22"/>
  <c r="N42" i="22"/>
  <c r="M42" i="22"/>
  <c r="L42" i="22"/>
  <c r="K42" i="22"/>
  <c r="J42" i="22"/>
  <c r="I42" i="22"/>
  <c r="H42" i="22"/>
  <c r="G42" i="22"/>
  <c r="F42" i="22"/>
  <c r="E42" i="22"/>
  <c r="D42" i="22"/>
  <c r="C42" i="22"/>
  <c r="B3" i="22"/>
  <c r="J49" i="21"/>
  <c r="I49" i="21"/>
  <c r="P48" i="21"/>
  <c r="O48" i="21"/>
  <c r="N48" i="21"/>
  <c r="M48" i="21"/>
  <c r="L48" i="21"/>
  <c r="K48" i="21"/>
  <c r="J48" i="21"/>
  <c r="I48" i="21"/>
  <c r="H48" i="21"/>
  <c r="G48" i="21"/>
  <c r="F48" i="21"/>
  <c r="E48" i="21"/>
  <c r="D48" i="21"/>
  <c r="C48" i="21"/>
  <c r="Q48" i="21" s="1"/>
  <c r="P47" i="21"/>
  <c r="O47" i="21"/>
  <c r="N47" i="21"/>
  <c r="M47" i="21"/>
  <c r="L47" i="21"/>
  <c r="K47" i="21"/>
  <c r="J47" i="21"/>
  <c r="I47" i="21"/>
  <c r="H47" i="21"/>
  <c r="G47" i="21"/>
  <c r="F47" i="21"/>
  <c r="E47" i="21"/>
  <c r="D47" i="21"/>
  <c r="C47" i="21"/>
  <c r="P46" i="21"/>
  <c r="O46" i="21"/>
  <c r="N46" i="21"/>
  <c r="M46" i="21"/>
  <c r="L46" i="21"/>
  <c r="K46" i="21"/>
  <c r="J46" i="21"/>
  <c r="I46" i="21"/>
  <c r="H46" i="21"/>
  <c r="G46" i="21"/>
  <c r="F46" i="21"/>
  <c r="E46" i="21"/>
  <c r="D46" i="21"/>
  <c r="C46" i="21"/>
  <c r="P45" i="21"/>
  <c r="O45" i="21"/>
  <c r="N45" i="21"/>
  <c r="M45" i="21"/>
  <c r="L45" i="21"/>
  <c r="K45" i="21"/>
  <c r="J45" i="21"/>
  <c r="I45" i="21"/>
  <c r="H45" i="21"/>
  <c r="H45" i="24" s="1"/>
  <c r="G45" i="21"/>
  <c r="F45" i="21"/>
  <c r="E45" i="21"/>
  <c r="E45" i="24" s="1"/>
  <c r="D45" i="21"/>
  <c r="C45" i="21"/>
  <c r="P44" i="21"/>
  <c r="O44" i="21"/>
  <c r="N44" i="21"/>
  <c r="M44" i="21"/>
  <c r="L44" i="21"/>
  <c r="L49" i="21" s="1"/>
  <c r="K44" i="21"/>
  <c r="J44" i="21"/>
  <c r="I44" i="21"/>
  <c r="H44" i="21"/>
  <c r="H49" i="21" s="1"/>
  <c r="G44" i="21"/>
  <c r="F44" i="21"/>
  <c r="E44" i="21"/>
  <c r="E49" i="21" s="1"/>
  <c r="E44" i="24" s="1"/>
  <c r="D44" i="21"/>
  <c r="C44" i="21"/>
  <c r="Q44" i="21" s="1"/>
  <c r="P41" i="21"/>
  <c r="O41" i="21"/>
  <c r="N41" i="21"/>
  <c r="M41" i="21"/>
  <c r="L41" i="21"/>
  <c r="K41" i="21"/>
  <c r="J41" i="21"/>
  <c r="I41" i="21"/>
  <c r="H41" i="21"/>
  <c r="G41" i="21"/>
  <c r="F41" i="21"/>
  <c r="E41" i="21"/>
  <c r="D41" i="21"/>
  <c r="C41" i="21"/>
  <c r="Q41" i="21" s="1"/>
  <c r="B41" i="21"/>
  <c r="B41" i="24" s="1"/>
  <c r="P40" i="21"/>
  <c r="O40" i="21"/>
  <c r="N40" i="21"/>
  <c r="M40" i="21"/>
  <c r="L40" i="21"/>
  <c r="K40" i="21"/>
  <c r="J40" i="21"/>
  <c r="I40" i="21"/>
  <c r="H40" i="21"/>
  <c r="G40" i="21"/>
  <c r="F40" i="21"/>
  <c r="E40" i="21"/>
  <c r="Q40" i="21" s="1"/>
  <c r="D40" i="21"/>
  <c r="C40" i="21"/>
  <c r="B40" i="21"/>
  <c r="B40" i="24" s="1"/>
  <c r="P39" i="21"/>
  <c r="O39" i="21"/>
  <c r="N39" i="21"/>
  <c r="M39" i="21"/>
  <c r="L39" i="21"/>
  <c r="K39" i="21"/>
  <c r="J39" i="21"/>
  <c r="I39" i="21"/>
  <c r="H39" i="21"/>
  <c r="G39" i="21"/>
  <c r="F39" i="21"/>
  <c r="E39" i="21"/>
  <c r="D39" i="21"/>
  <c r="C39" i="21"/>
  <c r="B39" i="21"/>
  <c r="B39" i="24" s="1"/>
  <c r="P38" i="21"/>
  <c r="O38" i="21"/>
  <c r="N38" i="21"/>
  <c r="M38" i="21"/>
  <c r="L38" i="21"/>
  <c r="K38" i="21"/>
  <c r="J38" i="21"/>
  <c r="I38" i="21"/>
  <c r="H38" i="21"/>
  <c r="G38" i="21"/>
  <c r="F38" i="21"/>
  <c r="E38" i="21"/>
  <c r="D38" i="21"/>
  <c r="C38" i="21"/>
  <c r="B38" i="21"/>
  <c r="B38" i="24" s="1"/>
  <c r="P37" i="21"/>
  <c r="O37" i="21"/>
  <c r="N37" i="21"/>
  <c r="M37" i="21"/>
  <c r="L37" i="21"/>
  <c r="K37" i="21"/>
  <c r="J37" i="21"/>
  <c r="I37" i="21"/>
  <c r="H37" i="21"/>
  <c r="G37" i="21"/>
  <c r="F37" i="21"/>
  <c r="E37" i="21"/>
  <c r="D37" i="21"/>
  <c r="C37" i="21"/>
  <c r="B37" i="21"/>
  <c r="B37" i="24" s="1"/>
  <c r="P36" i="21"/>
  <c r="O36" i="21"/>
  <c r="N36" i="21"/>
  <c r="M36" i="21"/>
  <c r="L36" i="21"/>
  <c r="K36" i="21"/>
  <c r="J36" i="21"/>
  <c r="I36" i="21"/>
  <c r="H36" i="21"/>
  <c r="G36" i="21"/>
  <c r="F36" i="21"/>
  <c r="E36" i="21"/>
  <c r="D36" i="21"/>
  <c r="C36" i="21"/>
  <c r="B36" i="21"/>
  <c r="B36" i="24" s="1"/>
  <c r="P35" i="21"/>
  <c r="O35" i="21"/>
  <c r="N35" i="21"/>
  <c r="M35" i="21"/>
  <c r="L35" i="21"/>
  <c r="K35" i="21"/>
  <c r="J35" i="21"/>
  <c r="I35" i="21"/>
  <c r="H35" i="21"/>
  <c r="G35" i="21"/>
  <c r="F35" i="21"/>
  <c r="E35" i="21"/>
  <c r="D35" i="21"/>
  <c r="C35" i="21"/>
  <c r="B35" i="21"/>
  <c r="B35" i="24" s="1"/>
  <c r="P34" i="21"/>
  <c r="O34" i="21"/>
  <c r="N34" i="21"/>
  <c r="M34" i="21"/>
  <c r="L34" i="21"/>
  <c r="K34" i="21"/>
  <c r="J34" i="21"/>
  <c r="I34" i="21"/>
  <c r="H34" i="21"/>
  <c r="G34" i="21"/>
  <c r="F34" i="21"/>
  <c r="E34" i="21"/>
  <c r="D34" i="21"/>
  <c r="C34" i="21"/>
  <c r="B34" i="21"/>
  <c r="B34" i="24" s="1"/>
  <c r="P33" i="21"/>
  <c r="O33" i="21"/>
  <c r="N33" i="21"/>
  <c r="M33" i="21"/>
  <c r="L33" i="21"/>
  <c r="K33" i="21"/>
  <c r="J33" i="21"/>
  <c r="I33" i="21"/>
  <c r="H33" i="21"/>
  <c r="G33" i="21"/>
  <c r="F33" i="21"/>
  <c r="E33" i="21"/>
  <c r="D33" i="21"/>
  <c r="C33" i="21"/>
  <c r="B33" i="21"/>
  <c r="B33" i="24" s="1"/>
  <c r="P32" i="21"/>
  <c r="O32" i="21"/>
  <c r="N32" i="21"/>
  <c r="M32" i="21"/>
  <c r="L32" i="21"/>
  <c r="K32" i="21"/>
  <c r="J32" i="21"/>
  <c r="I32" i="21"/>
  <c r="H32" i="21"/>
  <c r="G32" i="21"/>
  <c r="F32" i="21"/>
  <c r="E32" i="21"/>
  <c r="D32" i="21"/>
  <c r="C32" i="21"/>
  <c r="B32" i="21"/>
  <c r="B32" i="24" s="1"/>
  <c r="P31" i="21"/>
  <c r="O31" i="21"/>
  <c r="N31" i="21"/>
  <c r="M31" i="21"/>
  <c r="L31" i="21"/>
  <c r="K31" i="21"/>
  <c r="J31" i="21"/>
  <c r="I31" i="21"/>
  <c r="H31" i="21"/>
  <c r="G31" i="21"/>
  <c r="F31" i="21"/>
  <c r="E31" i="21"/>
  <c r="D31" i="21"/>
  <c r="C31" i="21"/>
  <c r="B31" i="21"/>
  <c r="B31" i="24" s="1"/>
  <c r="P30" i="21"/>
  <c r="O30" i="21"/>
  <c r="N30" i="21"/>
  <c r="M30" i="21"/>
  <c r="L30" i="21"/>
  <c r="K30" i="21"/>
  <c r="J30" i="21"/>
  <c r="I30" i="21"/>
  <c r="H30" i="21"/>
  <c r="G30" i="21"/>
  <c r="F30" i="21"/>
  <c r="E30" i="21"/>
  <c r="D30" i="21"/>
  <c r="C30" i="21"/>
  <c r="B30" i="21"/>
  <c r="B30" i="24" s="1"/>
  <c r="P29" i="21"/>
  <c r="O29" i="21"/>
  <c r="N29" i="21"/>
  <c r="M29" i="21"/>
  <c r="L29" i="21"/>
  <c r="K29" i="21"/>
  <c r="J29" i="21"/>
  <c r="I29" i="21"/>
  <c r="H29" i="21"/>
  <c r="G29" i="21"/>
  <c r="F29" i="21"/>
  <c r="E29" i="21"/>
  <c r="D29" i="21"/>
  <c r="C29" i="21"/>
  <c r="B29" i="21"/>
  <c r="B29" i="24" s="1"/>
  <c r="P28" i="21"/>
  <c r="O28" i="21"/>
  <c r="N28" i="21"/>
  <c r="M28" i="21"/>
  <c r="L28" i="21"/>
  <c r="K28" i="21"/>
  <c r="J28" i="21"/>
  <c r="I28" i="21"/>
  <c r="H28" i="21"/>
  <c r="G28" i="21"/>
  <c r="F28" i="21"/>
  <c r="E28" i="21"/>
  <c r="D28" i="21"/>
  <c r="C28" i="21"/>
  <c r="B28" i="21"/>
  <c r="B28" i="24" s="1"/>
  <c r="P27" i="21"/>
  <c r="O27" i="21"/>
  <c r="N27" i="21"/>
  <c r="M27" i="21"/>
  <c r="L27" i="21"/>
  <c r="K27" i="21"/>
  <c r="J27" i="21"/>
  <c r="I27" i="21"/>
  <c r="H27" i="21"/>
  <c r="G27" i="21"/>
  <c r="F27" i="21"/>
  <c r="E27" i="21"/>
  <c r="D27" i="21"/>
  <c r="C27" i="21"/>
  <c r="B27" i="21"/>
  <c r="B27" i="24" s="1"/>
  <c r="P26" i="21"/>
  <c r="O26" i="21"/>
  <c r="N26" i="21"/>
  <c r="M26" i="21"/>
  <c r="L26" i="21"/>
  <c r="K26" i="21"/>
  <c r="J26" i="21"/>
  <c r="I26" i="21"/>
  <c r="H26" i="21"/>
  <c r="G26" i="21"/>
  <c r="F26" i="21"/>
  <c r="E26" i="21"/>
  <c r="D26" i="21"/>
  <c r="C26" i="21"/>
  <c r="B26" i="21"/>
  <c r="B26" i="24" s="1"/>
  <c r="P25" i="21"/>
  <c r="O25" i="21"/>
  <c r="N25" i="21"/>
  <c r="M25" i="21"/>
  <c r="L25" i="21"/>
  <c r="K25" i="21"/>
  <c r="J25" i="21"/>
  <c r="I25" i="21"/>
  <c r="H25" i="21"/>
  <c r="G25" i="21"/>
  <c r="F25" i="21"/>
  <c r="E25" i="21"/>
  <c r="D25" i="21"/>
  <c r="C25" i="21"/>
  <c r="B25" i="21"/>
  <c r="B25" i="24" s="1"/>
  <c r="P24" i="21"/>
  <c r="O24" i="21"/>
  <c r="N24" i="21"/>
  <c r="M24" i="21"/>
  <c r="L24" i="21"/>
  <c r="K24" i="21"/>
  <c r="J24" i="21"/>
  <c r="I24" i="21"/>
  <c r="H24" i="21"/>
  <c r="G24" i="21"/>
  <c r="F24" i="21"/>
  <c r="E24" i="21"/>
  <c r="D24" i="21"/>
  <c r="C24" i="21"/>
  <c r="B24" i="21"/>
  <c r="B24" i="24" s="1"/>
  <c r="P23" i="21"/>
  <c r="O23" i="21"/>
  <c r="N23" i="21"/>
  <c r="M23" i="21"/>
  <c r="L23" i="21"/>
  <c r="K23" i="21"/>
  <c r="J23" i="21"/>
  <c r="I23" i="21"/>
  <c r="H23" i="21"/>
  <c r="G23" i="21"/>
  <c r="F23" i="21"/>
  <c r="E23" i="21"/>
  <c r="D23" i="21"/>
  <c r="C23" i="21"/>
  <c r="B23" i="21"/>
  <c r="B23" i="24" s="1"/>
  <c r="P22" i="21"/>
  <c r="O22" i="21"/>
  <c r="N22" i="21"/>
  <c r="M22" i="21"/>
  <c r="L22" i="21"/>
  <c r="K22" i="21"/>
  <c r="J22" i="21"/>
  <c r="I22" i="21"/>
  <c r="H22" i="21"/>
  <c r="G22" i="21"/>
  <c r="F22" i="21"/>
  <c r="E22" i="21"/>
  <c r="D22" i="21"/>
  <c r="C22" i="21"/>
  <c r="B22" i="21"/>
  <c r="B22" i="24" s="1"/>
  <c r="P21" i="21"/>
  <c r="O21" i="21"/>
  <c r="N21" i="21"/>
  <c r="M21" i="21"/>
  <c r="L21" i="21"/>
  <c r="K21" i="21"/>
  <c r="J21" i="21"/>
  <c r="I21" i="21"/>
  <c r="H21" i="21"/>
  <c r="G21" i="21"/>
  <c r="F21" i="21"/>
  <c r="E21" i="21"/>
  <c r="D21" i="21"/>
  <c r="C21" i="21"/>
  <c r="B21" i="21"/>
  <c r="B21" i="24" s="1"/>
  <c r="P20" i="21"/>
  <c r="O20" i="21"/>
  <c r="N20" i="21"/>
  <c r="M20" i="21"/>
  <c r="L20" i="21"/>
  <c r="K20" i="21"/>
  <c r="J20" i="21"/>
  <c r="I20" i="21"/>
  <c r="H20" i="21"/>
  <c r="G20" i="21"/>
  <c r="F20" i="21"/>
  <c r="E20" i="21"/>
  <c r="D20" i="21"/>
  <c r="C20" i="21"/>
  <c r="Q20" i="21" s="1"/>
  <c r="P19" i="21"/>
  <c r="O19" i="21"/>
  <c r="N19" i="21"/>
  <c r="M19" i="21"/>
  <c r="L19" i="21"/>
  <c r="K19" i="21"/>
  <c r="J19" i="21"/>
  <c r="I19" i="21"/>
  <c r="H19" i="21"/>
  <c r="G19" i="21"/>
  <c r="F19" i="21"/>
  <c r="E19" i="21"/>
  <c r="D19" i="21"/>
  <c r="C19" i="21"/>
  <c r="B19" i="21"/>
  <c r="B19" i="24" s="1"/>
  <c r="P18" i="21"/>
  <c r="O18" i="21"/>
  <c r="N18" i="21"/>
  <c r="M18" i="21"/>
  <c r="L18" i="21"/>
  <c r="K18" i="21"/>
  <c r="J18" i="21"/>
  <c r="I18" i="21"/>
  <c r="H18" i="21"/>
  <c r="G18" i="21"/>
  <c r="F18" i="21"/>
  <c r="E18" i="21"/>
  <c r="D18" i="21"/>
  <c r="C18" i="21"/>
  <c r="B18" i="21"/>
  <c r="B18" i="24" s="1"/>
  <c r="P17" i="21"/>
  <c r="O17" i="21"/>
  <c r="N17" i="21"/>
  <c r="M17" i="21"/>
  <c r="L17" i="21"/>
  <c r="K17" i="21"/>
  <c r="J17" i="21"/>
  <c r="I17" i="21"/>
  <c r="H17" i="21"/>
  <c r="G17" i="21"/>
  <c r="F17" i="21"/>
  <c r="E17" i="21"/>
  <c r="D17" i="21"/>
  <c r="C17" i="21"/>
  <c r="Q17" i="21" s="1"/>
  <c r="B17" i="21"/>
  <c r="B17" i="24" s="1"/>
  <c r="P16" i="21"/>
  <c r="O16" i="21"/>
  <c r="N16" i="21"/>
  <c r="M16" i="21"/>
  <c r="L16" i="21"/>
  <c r="K16" i="21"/>
  <c r="J16" i="21"/>
  <c r="I16" i="21"/>
  <c r="H16" i="21"/>
  <c r="G16" i="21"/>
  <c r="F16" i="21"/>
  <c r="E16" i="21"/>
  <c r="D16" i="21"/>
  <c r="C16" i="21"/>
  <c r="B16" i="21"/>
  <c r="B16" i="24" s="1"/>
  <c r="P15" i="21"/>
  <c r="O15" i="21"/>
  <c r="N15" i="21"/>
  <c r="M15" i="21"/>
  <c r="L15" i="21"/>
  <c r="K15" i="21"/>
  <c r="J15" i="21"/>
  <c r="I15" i="21"/>
  <c r="H15" i="21"/>
  <c r="G15" i="21"/>
  <c r="F15" i="21"/>
  <c r="E15" i="21"/>
  <c r="D15" i="21"/>
  <c r="C15" i="21"/>
  <c r="B15" i="21"/>
  <c r="B15" i="24" s="1"/>
  <c r="P14" i="21"/>
  <c r="O14" i="21"/>
  <c r="N14" i="21"/>
  <c r="M14" i="21"/>
  <c r="L14" i="21"/>
  <c r="K14" i="21"/>
  <c r="J14" i="21"/>
  <c r="I14" i="21"/>
  <c r="H14" i="21"/>
  <c r="G14" i="21"/>
  <c r="F14" i="21"/>
  <c r="E14" i="21"/>
  <c r="D14" i="21"/>
  <c r="Q14" i="21" s="1"/>
  <c r="C14" i="21"/>
  <c r="B14" i="21"/>
  <c r="B14" i="24" s="1"/>
  <c r="P13" i="21"/>
  <c r="O13" i="21"/>
  <c r="N13" i="21"/>
  <c r="M13" i="21"/>
  <c r="L13" i="21"/>
  <c r="K13" i="21"/>
  <c r="J13" i="21"/>
  <c r="I13" i="21"/>
  <c r="H13" i="21"/>
  <c r="G13" i="21"/>
  <c r="F13" i="21"/>
  <c r="E13" i="21"/>
  <c r="D13" i="21"/>
  <c r="C13" i="21"/>
  <c r="B13" i="21"/>
  <c r="B13" i="24" s="1"/>
  <c r="P12" i="21"/>
  <c r="O12" i="21"/>
  <c r="N12" i="21"/>
  <c r="M12" i="21"/>
  <c r="L12" i="21"/>
  <c r="K12" i="21"/>
  <c r="J12" i="21"/>
  <c r="I12" i="21"/>
  <c r="H12" i="21"/>
  <c r="G12" i="21"/>
  <c r="F12" i="21"/>
  <c r="E12" i="21"/>
  <c r="D12" i="21"/>
  <c r="C12" i="21"/>
  <c r="B12" i="21"/>
  <c r="B12" i="24" s="1"/>
  <c r="P11" i="21"/>
  <c r="O11" i="21"/>
  <c r="N11" i="21"/>
  <c r="M11" i="21"/>
  <c r="L11" i="21"/>
  <c r="K11" i="21"/>
  <c r="J11" i="21"/>
  <c r="I11" i="21"/>
  <c r="H11" i="21"/>
  <c r="G11" i="21"/>
  <c r="F11" i="21"/>
  <c r="E11" i="21"/>
  <c r="D11" i="21"/>
  <c r="C11" i="21"/>
  <c r="B11" i="21"/>
  <c r="B11" i="24" s="1"/>
  <c r="P10" i="21"/>
  <c r="O10" i="21"/>
  <c r="N10" i="21"/>
  <c r="M10" i="21"/>
  <c r="L10" i="21"/>
  <c r="K10" i="21"/>
  <c r="J10" i="21"/>
  <c r="I10" i="21"/>
  <c r="H10" i="21"/>
  <c r="G10" i="21"/>
  <c r="F10" i="21"/>
  <c r="E10" i="21"/>
  <c r="D10" i="21"/>
  <c r="C10" i="21"/>
  <c r="B10" i="21"/>
  <c r="B10" i="24" s="1"/>
  <c r="P9" i="21"/>
  <c r="O9" i="21"/>
  <c r="N9" i="21"/>
  <c r="M9" i="21"/>
  <c r="L9" i="21"/>
  <c r="K9" i="21"/>
  <c r="J9" i="21"/>
  <c r="I9" i="21"/>
  <c r="H9" i="21"/>
  <c r="G9" i="21"/>
  <c r="F9" i="21"/>
  <c r="E9" i="21"/>
  <c r="D9" i="21"/>
  <c r="C9" i="21"/>
  <c r="B9" i="21"/>
  <c r="B9" i="24" s="1"/>
  <c r="P8" i="21"/>
  <c r="O8" i="21"/>
  <c r="N8" i="21"/>
  <c r="M8" i="21"/>
  <c r="L8" i="21"/>
  <c r="K8" i="21"/>
  <c r="J8" i="21"/>
  <c r="I8" i="21"/>
  <c r="H8" i="21"/>
  <c r="G8" i="21"/>
  <c r="F8" i="21"/>
  <c r="E8" i="21"/>
  <c r="D8" i="21"/>
  <c r="C8" i="21"/>
  <c r="B8" i="21"/>
  <c r="B8" i="24" s="1"/>
  <c r="P7" i="21"/>
  <c r="O7" i="21"/>
  <c r="N7" i="21"/>
  <c r="M7" i="21"/>
  <c r="L7" i="21"/>
  <c r="K7" i="21"/>
  <c r="J7" i="21"/>
  <c r="I7" i="21"/>
  <c r="H7" i="21"/>
  <c r="G7" i="21"/>
  <c r="F7" i="21"/>
  <c r="E7" i="21"/>
  <c r="D7" i="21"/>
  <c r="C7" i="21"/>
  <c r="B7" i="21"/>
  <c r="B7" i="24" s="1"/>
  <c r="P6" i="21"/>
  <c r="O6" i="21"/>
  <c r="N6" i="21"/>
  <c r="M6" i="21"/>
  <c r="L6" i="21"/>
  <c r="K6" i="21"/>
  <c r="J6" i="21"/>
  <c r="I6" i="21"/>
  <c r="H6" i="21"/>
  <c r="G6" i="21"/>
  <c r="F6" i="21"/>
  <c r="E6" i="21"/>
  <c r="D6" i="21"/>
  <c r="C6" i="21"/>
  <c r="B6" i="21"/>
  <c r="B6" i="24" s="1"/>
  <c r="D36" i="20"/>
  <c r="F35" i="20"/>
  <c r="B35" i="20"/>
  <c r="B34" i="20"/>
  <c r="O33" i="20"/>
  <c r="B33" i="20"/>
  <c r="J30" i="20"/>
  <c r="B30" i="20"/>
  <c r="B29" i="20"/>
  <c r="O28" i="20"/>
  <c r="B28" i="20"/>
  <c r="F27" i="20"/>
  <c r="B27" i="20"/>
  <c r="B26" i="20"/>
  <c r="M25" i="20"/>
  <c r="B25" i="20"/>
  <c r="Q24" i="20"/>
  <c r="F24" i="20"/>
  <c r="B24" i="20"/>
  <c r="L23" i="20"/>
  <c r="B23" i="20"/>
  <c r="Q22" i="20"/>
  <c r="B22" i="20"/>
  <c r="D21" i="20"/>
  <c r="B21" i="20"/>
  <c r="L20" i="20"/>
  <c r="B20" i="20"/>
  <c r="L19" i="20"/>
  <c r="D19" i="20"/>
  <c r="B19" i="20"/>
  <c r="L18" i="20"/>
  <c r="D18" i="20"/>
  <c r="B18" i="20"/>
  <c r="L17" i="20"/>
  <c r="D17" i="20"/>
  <c r="B17" i="20"/>
  <c r="L16" i="20"/>
  <c r="D16" i="20"/>
  <c r="B16" i="20"/>
  <c r="L15" i="20"/>
  <c r="D15" i="20"/>
  <c r="B15" i="20"/>
  <c r="L14" i="20"/>
  <c r="D14" i="20"/>
  <c r="B14" i="20"/>
  <c r="L13" i="20"/>
  <c r="D13" i="20"/>
  <c r="B13" i="20"/>
  <c r="L12" i="20"/>
  <c r="B12" i="20"/>
  <c r="B11" i="20"/>
  <c r="B10" i="20"/>
  <c r="B9" i="20"/>
  <c r="B8" i="20"/>
  <c r="D7" i="20"/>
  <c r="B7" i="20"/>
  <c r="B6" i="20"/>
  <c r="Q36" i="19"/>
  <c r="P36" i="19"/>
  <c r="O36" i="19"/>
  <c r="N36" i="19"/>
  <c r="M36" i="19"/>
  <c r="L36" i="19"/>
  <c r="K36" i="19"/>
  <c r="J36" i="19"/>
  <c r="I36" i="19"/>
  <c r="H36" i="19"/>
  <c r="G36" i="19"/>
  <c r="F36" i="19"/>
  <c r="E36" i="19"/>
  <c r="D36" i="19"/>
  <c r="C36" i="19"/>
  <c r="Q31" i="19"/>
  <c r="P31" i="19"/>
  <c r="O31" i="19"/>
  <c r="N31" i="19"/>
  <c r="M31" i="19"/>
  <c r="L31" i="19"/>
  <c r="K31" i="19"/>
  <c r="J31" i="19"/>
  <c r="I31" i="19"/>
  <c r="H31" i="19"/>
  <c r="G31" i="19"/>
  <c r="F31" i="19"/>
  <c r="E31" i="19"/>
  <c r="D31" i="19"/>
  <c r="C31" i="19"/>
  <c r="Q36" i="18"/>
  <c r="P36" i="18"/>
  <c r="O36" i="18"/>
  <c r="N36" i="18"/>
  <c r="M36" i="18"/>
  <c r="L36" i="18"/>
  <c r="K36" i="18"/>
  <c r="J36" i="18"/>
  <c r="I36" i="18"/>
  <c r="H36" i="18"/>
  <c r="G36" i="18"/>
  <c r="F36" i="18"/>
  <c r="E36" i="18"/>
  <c r="D36" i="18"/>
  <c r="C36" i="18"/>
  <c r="Q31" i="18"/>
  <c r="P31" i="18"/>
  <c r="O31" i="18"/>
  <c r="N31" i="18"/>
  <c r="M31" i="18"/>
  <c r="L31" i="18"/>
  <c r="K31" i="18"/>
  <c r="J31" i="18"/>
  <c r="I31" i="18"/>
  <c r="H31" i="18"/>
  <c r="G31" i="18"/>
  <c r="F31" i="18"/>
  <c r="E31" i="18"/>
  <c r="D31" i="18"/>
  <c r="C31" i="18"/>
  <c r="M36" i="17"/>
  <c r="K36" i="17"/>
  <c r="E36" i="17"/>
  <c r="C36" i="17"/>
  <c r="Q35" i="17"/>
  <c r="P35" i="17"/>
  <c r="O35" i="17"/>
  <c r="N35" i="17"/>
  <c r="M35" i="17"/>
  <c r="L35" i="17"/>
  <c r="K35" i="17"/>
  <c r="J35" i="17"/>
  <c r="I35" i="17"/>
  <c r="H35" i="17"/>
  <c r="G35" i="17"/>
  <c r="F35" i="17"/>
  <c r="E35" i="17"/>
  <c r="D35" i="17"/>
  <c r="C35" i="17"/>
  <c r="Q34" i="17"/>
  <c r="Q36" i="17" s="1"/>
  <c r="P34" i="17"/>
  <c r="O34" i="17"/>
  <c r="N34" i="17"/>
  <c r="M34" i="17"/>
  <c r="L34" i="17"/>
  <c r="L36" i="17" s="1"/>
  <c r="K34" i="17"/>
  <c r="J34" i="17"/>
  <c r="I34" i="17"/>
  <c r="I36" i="17" s="1"/>
  <c r="H34" i="17"/>
  <c r="G34" i="17"/>
  <c r="F34" i="17"/>
  <c r="E34" i="17"/>
  <c r="D34" i="17"/>
  <c r="D36" i="17" s="1"/>
  <c r="C34" i="17"/>
  <c r="Q33" i="17"/>
  <c r="P33" i="17"/>
  <c r="P36" i="17" s="1"/>
  <c r="O33" i="17"/>
  <c r="O36" i="17" s="1"/>
  <c r="N33" i="17"/>
  <c r="N36" i="17" s="1"/>
  <c r="M33" i="17"/>
  <c r="L33" i="17"/>
  <c r="K33" i="17"/>
  <c r="J33" i="17"/>
  <c r="I33" i="17"/>
  <c r="H33" i="17"/>
  <c r="H36" i="17" s="1"/>
  <c r="G33" i="17"/>
  <c r="G36" i="17" s="1"/>
  <c r="F33" i="17"/>
  <c r="F36" i="17" s="1"/>
  <c r="E33" i="17"/>
  <c r="D33" i="17"/>
  <c r="C33" i="17"/>
  <c r="Q30" i="17"/>
  <c r="P30" i="17"/>
  <c r="O30" i="17"/>
  <c r="N30" i="17"/>
  <c r="M30" i="17"/>
  <c r="L30" i="17"/>
  <c r="K30" i="17"/>
  <c r="J30" i="17"/>
  <c r="I30" i="17"/>
  <c r="H30" i="17"/>
  <c r="G30" i="17"/>
  <c r="F30" i="17"/>
  <c r="E30" i="17"/>
  <c r="D30" i="17"/>
  <c r="C30" i="17"/>
  <c r="Q29" i="17"/>
  <c r="P29" i="17"/>
  <c r="O29" i="17"/>
  <c r="N29" i="17"/>
  <c r="M29" i="17"/>
  <c r="M29" i="20" s="1"/>
  <c r="L29" i="17"/>
  <c r="K29" i="17"/>
  <c r="J29" i="17"/>
  <c r="I29" i="17"/>
  <c r="H29" i="17"/>
  <c r="G29" i="17"/>
  <c r="F29" i="17"/>
  <c r="E29" i="17"/>
  <c r="D29" i="17"/>
  <c r="C29" i="17"/>
  <c r="Q28" i="17"/>
  <c r="P28" i="17"/>
  <c r="O28" i="17"/>
  <c r="N28" i="17"/>
  <c r="M28" i="17"/>
  <c r="L28" i="17"/>
  <c r="K28" i="17"/>
  <c r="J28" i="17"/>
  <c r="I28" i="17"/>
  <c r="H28" i="17"/>
  <c r="G28" i="17"/>
  <c r="F28" i="17"/>
  <c r="E28" i="17"/>
  <c r="D28" i="17"/>
  <c r="D28" i="20" s="1"/>
  <c r="C28" i="17"/>
  <c r="Q27" i="17"/>
  <c r="P27" i="17"/>
  <c r="O27" i="17"/>
  <c r="N27" i="17"/>
  <c r="M27" i="17"/>
  <c r="L27" i="17"/>
  <c r="K27" i="17"/>
  <c r="J27" i="17"/>
  <c r="I27" i="17"/>
  <c r="H27" i="17"/>
  <c r="G27" i="17"/>
  <c r="F27" i="17"/>
  <c r="E27" i="17"/>
  <c r="D27" i="17"/>
  <c r="C27" i="17"/>
  <c r="Q26" i="17"/>
  <c r="P26" i="17"/>
  <c r="O26" i="17"/>
  <c r="N26" i="17"/>
  <c r="M26" i="17"/>
  <c r="L26" i="17"/>
  <c r="K26" i="17"/>
  <c r="J26" i="17"/>
  <c r="I26" i="17"/>
  <c r="H26" i="17"/>
  <c r="G26" i="17"/>
  <c r="F26" i="17"/>
  <c r="E26" i="17"/>
  <c r="D26" i="17"/>
  <c r="C26" i="17"/>
  <c r="Q25" i="17"/>
  <c r="P25" i="17"/>
  <c r="O25" i="17"/>
  <c r="N25" i="17"/>
  <c r="M25" i="17"/>
  <c r="L25" i="17"/>
  <c r="K25" i="17"/>
  <c r="J25" i="17"/>
  <c r="I25" i="17"/>
  <c r="H25" i="17"/>
  <c r="G25" i="17"/>
  <c r="F25" i="17"/>
  <c r="E25" i="17"/>
  <c r="D25" i="17"/>
  <c r="C25" i="17"/>
  <c r="Q24" i="17"/>
  <c r="P24" i="17"/>
  <c r="O24" i="17"/>
  <c r="N24" i="17"/>
  <c r="M24" i="17"/>
  <c r="L24" i="17"/>
  <c r="K24" i="17"/>
  <c r="J24" i="17"/>
  <c r="I24" i="17"/>
  <c r="H24" i="17"/>
  <c r="G24" i="17"/>
  <c r="F24" i="17"/>
  <c r="E24" i="17"/>
  <c r="D24" i="17"/>
  <c r="C24" i="17"/>
  <c r="Q23" i="17"/>
  <c r="P23" i="17"/>
  <c r="O23" i="17"/>
  <c r="N23" i="17"/>
  <c r="M23" i="17"/>
  <c r="L23" i="17"/>
  <c r="K23" i="17"/>
  <c r="J23" i="17"/>
  <c r="I23" i="17"/>
  <c r="H23" i="17"/>
  <c r="G23" i="17"/>
  <c r="F23" i="17"/>
  <c r="E23" i="17"/>
  <c r="D23" i="17"/>
  <c r="C23" i="17"/>
  <c r="Q22" i="17"/>
  <c r="P22" i="17"/>
  <c r="O22" i="17"/>
  <c r="N22" i="17"/>
  <c r="M22" i="17"/>
  <c r="L22" i="17"/>
  <c r="K22" i="17"/>
  <c r="J22" i="17"/>
  <c r="I22" i="17"/>
  <c r="H22" i="17"/>
  <c r="G22" i="17"/>
  <c r="F22" i="17"/>
  <c r="F22" i="20" s="1"/>
  <c r="E22" i="17"/>
  <c r="D22" i="17"/>
  <c r="C22" i="17"/>
  <c r="Q21" i="17"/>
  <c r="P21" i="17"/>
  <c r="O21" i="17"/>
  <c r="N21" i="17"/>
  <c r="M21" i="17"/>
  <c r="M21" i="20" s="1"/>
  <c r="L21" i="17"/>
  <c r="K21" i="17"/>
  <c r="J21" i="17"/>
  <c r="I21" i="17"/>
  <c r="H21" i="17"/>
  <c r="G21" i="17"/>
  <c r="F21" i="17"/>
  <c r="E21" i="17"/>
  <c r="D21" i="17"/>
  <c r="C21" i="17"/>
  <c r="Q20" i="17"/>
  <c r="P20" i="17"/>
  <c r="O20" i="17"/>
  <c r="N20" i="17"/>
  <c r="M20" i="17"/>
  <c r="L20" i="17"/>
  <c r="K20" i="17"/>
  <c r="J20" i="17"/>
  <c r="I20" i="17"/>
  <c r="H20" i="17"/>
  <c r="G20" i="17"/>
  <c r="F20" i="17"/>
  <c r="E20" i="17"/>
  <c r="D20" i="17"/>
  <c r="D20" i="20" s="1"/>
  <c r="C20" i="17"/>
  <c r="Q19" i="17"/>
  <c r="P19" i="17"/>
  <c r="O19" i="17"/>
  <c r="N19" i="17"/>
  <c r="M19" i="17"/>
  <c r="L19" i="17"/>
  <c r="K19" i="17"/>
  <c r="J19" i="17"/>
  <c r="I19" i="17"/>
  <c r="H19" i="17"/>
  <c r="G19" i="17"/>
  <c r="F19" i="17"/>
  <c r="E19" i="17"/>
  <c r="D19" i="17"/>
  <c r="C19" i="17"/>
  <c r="Q18" i="17"/>
  <c r="P18" i="17"/>
  <c r="O18" i="17"/>
  <c r="N18" i="17"/>
  <c r="M18" i="17"/>
  <c r="L18" i="17"/>
  <c r="K18" i="17"/>
  <c r="J18" i="17"/>
  <c r="I18" i="17"/>
  <c r="H18" i="17"/>
  <c r="G18" i="17"/>
  <c r="F18" i="17"/>
  <c r="E18" i="17"/>
  <c r="D18" i="17"/>
  <c r="C18" i="17"/>
  <c r="Q17" i="17"/>
  <c r="P17" i="17"/>
  <c r="O17" i="17"/>
  <c r="N17" i="17"/>
  <c r="M17" i="17"/>
  <c r="L17" i="17"/>
  <c r="K17" i="17"/>
  <c r="J17" i="17"/>
  <c r="I17" i="17"/>
  <c r="H17" i="17"/>
  <c r="G17" i="17"/>
  <c r="F17" i="17"/>
  <c r="E17" i="17"/>
  <c r="D17" i="17"/>
  <c r="C17" i="17"/>
  <c r="Q16" i="17"/>
  <c r="P16" i="17"/>
  <c r="O16" i="17"/>
  <c r="N16" i="17"/>
  <c r="M16" i="17"/>
  <c r="L16" i="17"/>
  <c r="K16" i="17"/>
  <c r="J16" i="17"/>
  <c r="I16" i="17"/>
  <c r="H16" i="17"/>
  <c r="G16" i="17"/>
  <c r="F16" i="17"/>
  <c r="E16" i="17"/>
  <c r="D16" i="17"/>
  <c r="C16" i="17"/>
  <c r="Q15" i="17"/>
  <c r="P15" i="17"/>
  <c r="O15" i="17"/>
  <c r="N15" i="17"/>
  <c r="M15" i="17"/>
  <c r="L15" i="17"/>
  <c r="K15" i="17"/>
  <c r="J15" i="17"/>
  <c r="I15" i="17"/>
  <c r="H15" i="17"/>
  <c r="G15" i="17"/>
  <c r="F15" i="17"/>
  <c r="E15" i="17"/>
  <c r="D15" i="17"/>
  <c r="C15" i="17"/>
  <c r="Q14" i="17"/>
  <c r="P14" i="17"/>
  <c r="O14" i="17"/>
  <c r="N14" i="17"/>
  <c r="M14" i="17"/>
  <c r="L14" i="17"/>
  <c r="K14" i="17"/>
  <c r="J14" i="17"/>
  <c r="I14" i="17"/>
  <c r="H14" i="17"/>
  <c r="G14" i="17"/>
  <c r="F14" i="17"/>
  <c r="E14" i="17"/>
  <c r="D14" i="17"/>
  <c r="C14" i="17"/>
  <c r="Q13" i="17"/>
  <c r="P13" i="17"/>
  <c r="O13" i="17"/>
  <c r="N13" i="17"/>
  <c r="M13" i="17"/>
  <c r="L13" i="17"/>
  <c r="K13" i="17"/>
  <c r="J13" i="17"/>
  <c r="I13" i="17"/>
  <c r="H13" i="17"/>
  <c r="G13" i="17"/>
  <c r="F13" i="17"/>
  <c r="E13" i="17"/>
  <c r="D13" i="17"/>
  <c r="C13" i="17"/>
  <c r="Q12" i="17"/>
  <c r="P12" i="17"/>
  <c r="P12" i="20" s="1"/>
  <c r="O12" i="17"/>
  <c r="O12" i="20" s="1"/>
  <c r="N12" i="17"/>
  <c r="N12" i="20" s="1"/>
  <c r="M12" i="17"/>
  <c r="M12" i="20" s="1"/>
  <c r="L12" i="17"/>
  <c r="K12" i="17"/>
  <c r="K12" i="20" s="1"/>
  <c r="J12" i="17"/>
  <c r="J12" i="20" s="1"/>
  <c r="I12" i="17"/>
  <c r="I12" i="20" s="1"/>
  <c r="H12" i="17"/>
  <c r="H12" i="20" s="1"/>
  <c r="G12" i="17"/>
  <c r="G12" i="20" s="1"/>
  <c r="F12" i="17"/>
  <c r="F12" i="20" s="1"/>
  <c r="E12" i="17"/>
  <c r="E12" i="20" s="1"/>
  <c r="D12" i="17"/>
  <c r="D12" i="20" s="1"/>
  <c r="C12" i="17"/>
  <c r="Q11" i="17"/>
  <c r="P11" i="17"/>
  <c r="O11" i="17"/>
  <c r="N11" i="17"/>
  <c r="M11" i="17"/>
  <c r="L11" i="17"/>
  <c r="K11" i="17"/>
  <c r="J11" i="17"/>
  <c r="I11" i="17"/>
  <c r="H11" i="17"/>
  <c r="G11" i="17"/>
  <c r="F11" i="17"/>
  <c r="E11" i="17"/>
  <c r="D11" i="17"/>
  <c r="C11" i="17"/>
  <c r="Q10" i="17"/>
  <c r="P10" i="17"/>
  <c r="O10" i="17"/>
  <c r="N10" i="17"/>
  <c r="M10" i="17"/>
  <c r="L10" i="17"/>
  <c r="K10" i="17"/>
  <c r="J10" i="17"/>
  <c r="I10" i="17"/>
  <c r="H10" i="17"/>
  <c r="G10" i="17"/>
  <c r="F10" i="17"/>
  <c r="E10" i="17"/>
  <c r="D10" i="17"/>
  <c r="C10" i="17"/>
  <c r="Q9" i="17"/>
  <c r="P9" i="17"/>
  <c r="O9" i="17"/>
  <c r="N9" i="17"/>
  <c r="M9" i="17"/>
  <c r="L9" i="17"/>
  <c r="K9" i="17"/>
  <c r="J9" i="17"/>
  <c r="I9" i="17"/>
  <c r="H9" i="17"/>
  <c r="G9" i="17"/>
  <c r="F9" i="17"/>
  <c r="E9" i="17"/>
  <c r="D9" i="17"/>
  <c r="C9" i="17"/>
  <c r="Q8" i="17"/>
  <c r="P8" i="17"/>
  <c r="O8" i="17"/>
  <c r="N8" i="17"/>
  <c r="M8" i="17"/>
  <c r="L8" i="17"/>
  <c r="K8" i="17"/>
  <c r="J8" i="17"/>
  <c r="I8" i="17"/>
  <c r="H8" i="17"/>
  <c r="G8" i="17"/>
  <c r="F8" i="17"/>
  <c r="E8" i="17"/>
  <c r="D8" i="17"/>
  <c r="C8" i="17"/>
  <c r="Q7" i="17"/>
  <c r="P7" i="17"/>
  <c r="O7" i="17"/>
  <c r="O31" i="17" s="1"/>
  <c r="N7" i="17"/>
  <c r="M7" i="17"/>
  <c r="L7" i="17"/>
  <c r="K7" i="17"/>
  <c r="J7" i="17"/>
  <c r="I7" i="17"/>
  <c r="H7" i="17"/>
  <c r="G7" i="17"/>
  <c r="G31" i="17" s="1"/>
  <c r="F7" i="17"/>
  <c r="E7" i="17"/>
  <c r="D7" i="17"/>
  <c r="C7" i="17"/>
  <c r="Q6" i="17"/>
  <c r="P6" i="17"/>
  <c r="O6" i="17"/>
  <c r="N6" i="17"/>
  <c r="N31" i="17" s="1"/>
  <c r="M6" i="17"/>
  <c r="M31" i="17" s="1"/>
  <c r="L6" i="17"/>
  <c r="K6" i="17"/>
  <c r="J6" i="17"/>
  <c r="I6" i="17"/>
  <c r="H6" i="17"/>
  <c r="G6" i="17"/>
  <c r="F6" i="17"/>
  <c r="F31" i="17" s="1"/>
  <c r="E6" i="17"/>
  <c r="E31" i="17" s="1"/>
  <c r="D6" i="17"/>
  <c r="C6" i="17"/>
  <c r="B3" i="17"/>
  <c r="Q36" i="16"/>
  <c r="P36" i="16"/>
  <c r="O36" i="16"/>
  <c r="N36" i="16"/>
  <c r="M36" i="16"/>
  <c r="L36" i="16"/>
  <c r="K36" i="16"/>
  <c r="J36" i="16"/>
  <c r="I36" i="16"/>
  <c r="H36" i="16"/>
  <c r="G36" i="16"/>
  <c r="F36" i="16"/>
  <c r="E36" i="16"/>
  <c r="D36" i="16"/>
  <c r="C36" i="16"/>
  <c r="Q31" i="16"/>
  <c r="P31" i="16"/>
  <c r="O31" i="16"/>
  <c r="N31" i="16"/>
  <c r="M31" i="16"/>
  <c r="L31" i="16"/>
  <c r="K31" i="16"/>
  <c r="J31" i="16"/>
  <c r="I31" i="16"/>
  <c r="H31" i="16"/>
  <c r="G31" i="16"/>
  <c r="F31" i="16"/>
  <c r="E31" i="16"/>
  <c r="D31" i="16"/>
  <c r="C31" i="16"/>
  <c r="Q36" i="15"/>
  <c r="P36" i="15"/>
  <c r="O36" i="15"/>
  <c r="N36" i="15"/>
  <c r="M36" i="15"/>
  <c r="L36" i="15"/>
  <c r="K36" i="15"/>
  <c r="J36" i="15"/>
  <c r="I36" i="15"/>
  <c r="H36" i="15"/>
  <c r="G36" i="15"/>
  <c r="F36" i="15"/>
  <c r="E36" i="15"/>
  <c r="D36" i="15"/>
  <c r="C36" i="15"/>
  <c r="Q31" i="15"/>
  <c r="P31" i="15"/>
  <c r="O31" i="15"/>
  <c r="N31" i="15"/>
  <c r="M31" i="15"/>
  <c r="L31" i="15"/>
  <c r="K31" i="15"/>
  <c r="J31" i="15"/>
  <c r="I31" i="15"/>
  <c r="H31" i="15"/>
  <c r="G31" i="15"/>
  <c r="F31" i="15"/>
  <c r="E31" i="15"/>
  <c r="D31" i="15"/>
  <c r="C31" i="15"/>
  <c r="B3" i="15"/>
  <c r="Q31" i="14"/>
  <c r="P31" i="14"/>
  <c r="O31" i="14"/>
  <c r="N31" i="14"/>
  <c r="M31" i="14"/>
  <c r="L31" i="14"/>
  <c r="K31" i="14"/>
  <c r="J31" i="14"/>
  <c r="I31" i="14"/>
  <c r="H31" i="14"/>
  <c r="G31" i="14"/>
  <c r="F31" i="14"/>
  <c r="E31" i="14"/>
  <c r="D31" i="14"/>
  <c r="C31" i="14"/>
  <c r="B3" i="14"/>
  <c r="O36" i="13"/>
  <c r="N36" i="13"/>
  <c r="L36" i="13"/>
  <c r="J36" i="13"/>
  <c r="G36" i="13"/>
  <c r="F36" i="13"/>
  <c r="D36" i="13"/>
  <c r="Q35" i="13"/>
  <c r="Q35" i="20" s="1"/>
  <c r="P35" i="13"/>
  <c r="P35" i="20" s="1"/>
  <c r="O35" i="13"/>
  <c r="O35" i="20" s="1"/>
  <c r="N35" i="13"/>
  <c r="N35" i="20" s="1"/>
  <c r="M35" i="13"/>
  <c r="M35" i="20" s="1"/>
  <c r="L35" i="13"/>
  <c r="L35" i="20" s="1"/>
  <c r="K35" i="13"/>
  <c r="K35" i="20" s="1"/>
  <c r="J35" i="13"/>
  <c r="I35" i="13"/>
  <c r="I35" i="20" s="1"/>
  <c r="H35" i="13"/>
  <c r="H35" i="20" s="1"/>
  <c r="G35" i="13"/>
  <c r="G35" i="20" s="1"/>
  <c r="F35" i="13"/>
  <c r="E35" i="13"/>
  <c r="E35" i="20" s="1"/>
  <c r="D35" i="13"/>
  <c r="D35" i="20" s="1"/>
  <c r="C35" i="13"/>
  <c r="C35" i="20" s="1"/>
  <c r="B35" i="13"/>
  <c r="Q34" i="13"/>
  <c r="P34" i="13"/>
  <c r="P34" i="20" s="1"/>
  <c r="O34" i="13"/>
  <c r="O34" i="20" s="1"/>
  <c r="N34" i="13"/>
  <c r="N34" i="20" s="1"/>
  <c r="M34" i="13"/>
  <c r="M34" i="20" s="1"/>
  <c r="L34" i="13"/>
  <c r="L34" i="20" s="1"/>
  <c r="K34" i="13"/>
  <c r="K34" i="20" s="1"/>
  <c r="J34" i="13"/>
  <c r="J34" i="20" s="1"/>
  <c r="I34" i="13"/>
  <c r="H34" i="13"/>
  <c r="H34" i="20" s="1"/>
  <c r="G34" i="13"/>
  <c r="G34" i="20" s="1"/>
  <c r="F34" i="13"/>
  <c r="F34" i="20" s="1"/>
  <c r="E34" i="13"/>
  <c r="E34" i="20" s="1"/>
  <c r="D34" i="13"/>
  <c r="D34" i="20" s="1"/>
  <c r="C34" i="13"/>
  <c r="C34" i="20" s="1"/>
  <c r="B34" i="13"/>
  <c r="Q33" i="13"/>
  <c r="Q33" i="20" s="1"/>
  <c r="P33" i="13"/>
  <c r="P36" i="13" s="1"/>
  <c r="O33" i="13"/>
  <c r="N33" i="13"/>
  <c r="N33" i="20" s="1"/>
  <c r="N36" i="20" s="1"/>
  <c r="M33" i="13"/>
  <c r="M36" i="13" s="1"/>
  <c r="L33" i="13"/>
  <c r="L33" i="20" s="1"/>
  <c r="L36" i="20" s="1"/>
  <c r="K33" i="13"/>
  <c r="J33" i="13"/>
  <c r="J33" i="20" s="1"/>
  <c r="I33" i="13"/>
  <c r="I33" i="20" s="1"/>
  <c r="H33" i="13"/>
  <c r="H33" i="20" s="1"/>
  <c r="H36" i="20" s="1"/>
  <c r="G33" i="13"/>
  <c r="G33" i="20" s="1"/>
  <c r="G36" i="20" s="1"/>
  <c r="F33" i="13"/>
  <c r="F33" i="20" s="1"/>
  <c r="E33" i="13"/>
  <c r="E33" i="20" s="1"/>
  <c r="E36" i="20" s="1"/>
  <c r="D33" i="13"/>
  <c r="D33" i="20" s="1"/>
  <c r="C33" i="13"/>
  <c r="C36" i="13" s="1"/>
  <c r="B33" i="13"/>
  <c r="Q30" i="13"/>
  <c r="Q30" i="20" s="1"/>
  <c r="P30" i="13"/>
  <c r="P30" i="20" s="1"/>
  <c r="O30" i="13"/>
  <c r="O30" i="20" s="1"/>
  <c r="N30" i="13"/>
  <c r="M30" i="13"/>
  <c r="M30" i="20" s="1"/>
  <c r="L30" i="13"/>
  <c r="L30" i="20" s="1"/>
  <c r="K30" i="13"/>
  <c r="K30" i="20" s="1"/>
  <c r="J30" i="13"/>
  <c r="I30" i="13"/>
  <c r="I30" i="20" s="1"/>
  <c r="H30" i="13"/>
  <c r="H30" i="20" s="1"/>
  <c r="G30" i="13"/>
  <c r="G30" i="20" s="1"/>
  <c r="F30" i="13"/>
  <c r="E30" i="13"/>
  <c r="E30" i="20" s="1"/>
  <c r="D30" i="13"/>
  <c r="D30" i="20" s="1"/>
  <c r="C30" i="13"/>
  <c r="C30" i="20" s="1"/>
  <c r="B30" i="13"/>
  <c r="Q29" i="13"/>
  <c r="Q29" i="20" s="1"/>
  <c r="P29" i="13"/>
  <c r="P29" i="20" s="1"/>
  <c r="O29" i="13"/>
  <c r="O29" i="20" s="1"/>
  <c r="N29" i="13"/>
  <c r="N29" i="20" s="1"/>
  <c r="M29" i="13"/>
  <c r="L29" i="13"/>
  <c r="L29" i="20" s="1"/>
  <c r="K29" i="13"/>
  <c r="K29" i="20" s="1"/>
  <c r="J29" i="13"/>
  <c r="J29" i="20" s="1"/>
  <c r="I29" i="13"/>
  <c r="I29" i="20" s="1"/>
  <c r="H29" i="13"/>
  <c r="H29" i="20" s="1"/>
  <c r="G29" i="13"/>
  <c r="G29" i="20" s="1"/>
  <c r="F29" i="13"/>
  <c r="F29" i="20" s="1"/>
  <c r="E29" i="13"/>
  <c r="D29" i="13"/>
  <c r="D29" i="20" s="1"/>
  <c r="C29" i="13"/>
  <c r="C29" i="20" s="1"/>
  <c r="B29" i="13"/>
  <c r="Q28" i="13"/>
  <c r="Q28" i="20" s="1"/>
  <c r="P28" i="13"/>
  <c r="P28" i="20" s="1"/>
  <c r="O28" i="13"/>
  <c r="N28" i="13"/>
  <c r="N28" i="20" s="1"/>
  <c r="M28" i="13"/>
  <c r="M28" i="20" s="1"/>
  <c r="L28" i="13"/>
  <c r="L28" i="20" s="1"/>
  <c r="K28" i="13"/>
  <c r="K28" i="20" s="1"/>
  <c r="J28" i="13"/>
  <c r="J28" i="20" s="1"/>
  <c r="I28" i="13"/>
  <c r="I28" i="20" s="1"/>
  <c r="H28" i="13"/>
  <c r="H28" i="20" s="1"/>
  <c r="G28" i="13"/>
  <c r="G28" i="20" s="1"/>
  <c r="F28" i="13"/>
  <c r="F28" i="20" s="1"/>
  <c r="E28" i="13"/>
  <c r="E28" i="20" s="1"/>
  <c r="D28" i="13"/>
  <c r="C28" i="13"/>
  <c r="C28" i="20" s="1"/>
  <c r="B28" i="13"/>
  <c r="Q27" i="13"/>
  <c r="Q27" i="20" s="1"/>
  <c r="P27" i="13"/>
  <c r="P27" i="20" s="1"/>
  <c r="O27" i="13"/>
  <c r="O27" i="20" s="1"/>
  <c r="N27" i="13"/>
  <c r="N27" i="20" s="1"/>
  <c r="M27" i="13"/>
  <c r="M27" i="20" s="1"/>
  <c r="L27" i="13"/>
  <c r="L27" i="20" s="1"/>
  <c r="K27" i="13"/>
  <c r="J27" i="13"/>
  <c r="J27" i="20" s="1"/>
  <c r="I27" i="13"/>
  <c r="I27" i="20" s="1"/>
  <c r="H27" i="13"/>
  <c r="H27" i="20" s="1"/>
  <c r="G27" i="13"/>
  <c r="G27" i="20" s="1"/>
  <c r="F27" i="13"/>
  <c r="E27" i="13"/>
  <c r="E27" i="20" s="1"/>
  <c r="D27" i="13"/>
  <c r="D27" i="20" s="1"/>
  <c r="C27" i="13"/>
  <c r="B27" i="13"/>
  <c r="Q26" i="13"/>
  <c r="Q26" i="20" s="1"/>
  <c r="P26" i="13"/>
  <c r="P26" i="20" s="1"/>
  <c r="O26" i="13"/>
  <c r="O26" i="20" s="1"/>
  <c r="N26" i="13"/>
  <c r="N26" i="20" s="1"/>
  <c r="M26" i="13"/>
  <c r="M26" i="20" s="1"/>
  <c r="L26" i="13"/>
  <c r="L26" i="20" s="1"/>
  <c r="K26" i="13"/>
  <c r="K26" i="20" s="1"/>
  <c r="J26" i="13"/>
  <c r="J26" i="20" s="1"/>
  <c r="I26" i="13"/>
  <c r="I26" i="20" s="1"/>
  <c r="H26" i="13"/>
  <c r="H26" i="20" s="1"/>
  <c r="G26" i="13"/>
  <c r="G26" i="20" s="1"/>
  <c r="F26" i="13"/>
  <c r="F26" i="20" s="1"/>
  <c r="E26" i="13"/>
  <c r="E26" i="20" s="1"/>
  <c r="D26" i="13"/>
  <c r="D26" i="20" s="1"/>
  <c r="C26" i="13"/>
  <c r="C26" i="20" s="1"/>
  <c r="B26" i="13"/>
  <c r="Q25" i="13"/>
  <c r="P25" i="13"/>
  <c r="P25" i="20" s="1"/>
  <c r="O25" i="13"/>
  <c r="O25" i="20" s="1"/>
  <c r="N25" i="13"/>
  <c r="N25" i="20" s="1"/>
  <c r="M25" i="13"/>
  <c r="L25" i="13"/>
  <c r="L25" i="20" s="1"/>
  <c r="K25" i="13"/>
  <c r="K25" i="20" s="1"/>
  <c r="J25" i="13"/>
  <c r="J25" i="20" s="1"/>
  <c r="I25" i="13"/>
  <c r="H25" i="13"/>
  <c r="H25" i="20" s="1"/>
  <c r="G25" i="13"/>
  <c r="G25" i="20" s="1"/>
  <c r="F25" i="13"/>
  <c r="F25" i="20" s="1"/>
  <c r="E25" i="13"/>
  <c r="E25" i="20" s="1"/>
  <c r="D25" i="13"/>
  <c r="D25" i="20" s="1"/>
  <c r="C25" i="13"/>
  <c r="C25" i="20" s="1"/>
  <c r="B25" i="13"/>
  <c r="Q24" i="13"/>
  <c r="Q14" i="20" s="1"/>
  <c r="P24" i="13"/>
  <c r="P24" i="20" s="1"/>
  <c r="O24" i="13"/>
  <c r="O24" i="20" s="1"/>
  <c r="N24" i="13"/>
  <c r="N24" i="20" s="1"/>
  <c r="M24" i="13"/>
  <c r="M24" i="20" s="1"/>
  <c r="L24" i="13"/>
  <c r="L24" i="20" s="1"/>
  <c r="K24" i="13"/>
  <c r="K24" i="20" s="1"/>
  <c r="J24" i="13"/>
  <c r="J24" i="20" s="1"/>
  <c r="I24" i="13"/>
  <c r="I24" i="20" s="1"/>
  <c r="H24" i="13"/>
  <c r="H24" i="20" s="1"/>
  <c r="G24" i="13"/>
  <c r="G24" i="20" s="1"/>
  <c r="F24" i="13"/>
  <c r="E24" i="13"/>
  <c r="E24" i="20" s="1"/>
  <c r="D24" i="13"/>
  <c r="D24" i="20" s="1"/>
  <c r="C24" i="13"/>
  <c r="C24" i="20" s="1"/>
  <c r="B24" i="13"/>
  <c r="Q23" i="13"/>
  <c r="Q13" i="20" s="1"/>
  <c r="P23" i="13"/>
  <c r="P23" i="20" s="1"/>
  <c r="O23" i="13"/>
  <c r="N23" i="13"/>
  <c r="N23" i="20" s="1"/>
  <c r="M23" i="13"/>
  <c r="M23" i="20" s="1"/>
  <c r="L23" i="13"/>
  <c r="K23" i="13"/>
  <c r="K23" i="20" s="1"/>
  <c r="J23" i="13"/>
  <c r="J23" i="20" s="1"/>
  <c r="I23" i="13"/>
  <c r="I23" i="20" s="1"/>
  <c r="H23" i="13"/>
  <c r="H23" i="20" s="1"/>
  <c r="G23" i="13"/>
  <c r="F23" i="13"/>
  <c r="F23" i="20" s="1"/>
  <c r="E23" i="13"/>
  <c r="E23" i="20" s="1"/>
  <c r="D23" i="13"/>
  <c r="D23" i="20" s="1"/>
  <c r="C23" i="13"/>
  <c r="C23" i="20" s="1"/>
  <c r="B23" i="13"/>
  <c r="Q22" i="13"/>
  <c r="Q12" i="20" s="1"/>
  <c r="P22" i="13"/>
  <c r="P22" i="20" s="1"/>
  <c r="O22" i="13"/>
  <c r="O22" i="20" s="1"/>
  <c r="N22" i="13"/>
  <c r="M22" i="13"/>
  <c r="M22" i="20" s="1"/>
  <c r="L22" i="13"/>
  <c r="L22" i="20" s="1"/>
  <c r="K22" i="13"/>
  <c r="K22" i="20" s="1"/>
  <c r="J22" i="13"/>
  <c r="J22" i="20" s="1"/>
  <c r="I22" i="13"/>
  <c r="I22" i="20" s="1"/>
  <c r="H22" i="13"/>
  <c r="H22" i="20" s="1"/>
  <c r="G22" i="13"/>
  <c r="G22" i="20" s="1"/>
  <c r="F22" i="13"/>
  <c r="E22" i="13"/>
  <c r="E22" i="20" s="1"/>
  <c r="D22" i="13"/>
  <c r="D22" i="20" s="1"/>
  <c r="C22" i="13"/>
  <c r="C22" i="20" s="1"/>
  <c r="B22" i="13"/>
  <c r="Q21" i="13"/>
  <c r="Q11" i="20" s="1"/>
  <c r="P21" i="13"/>
  <c r="P21" i="20" s="1"/>
  <c r="O21" i="13"/>
  <c r="O21" i="20" s="1"/>
  <c r="N21" i="13"/>
  <c r="N21" i="20" s="1"/>
  <c r="M21" i="13"/>
  <c r="L21" i="13"/>
  <c r="L21" i="20" s="1"/>
  <c r="K21" i="13"/>
  <c r="K21" i="20" s="1"/>
  <c r="J21" i="13"/>
  <c r="J21" i="20" s="1"/>
  <c r="I21" i="13"/>
  <c r="I21" i="20" s="1"/>
  <c r="H21" i="13"/>
  <c r="H21" i="20" s="1"/>
  <c r="G21" i="13"/>
  <c r="G21" i="20" s="1"/>
  <c r="F21" i="13"/>
  <c r="F21" i="20" s="1"/>
  <c r="E21" i="13"/>
  <c r="D21" i="13"/>
  <c r="C21" i="13"/>
  <c r="C21" i="20" s="1"/>
  <c r="B21" i="13"/>
  <c r="Q20" i="13"/>
  <c r="Q20" i="20" s="1"/>
  <c r="P20" i="13"/>
  <c r="P20" i="20" s="1"/>
  <c r="O20" i="13"/>
  <c r="O20" i="20" s="1"/>
  <c r="N20" i="13"/>
  <c r="N20" i="20" s="1"/>
  <c r="M20" i="13"/>
  <c r="M20" i="20" s="1"/>
  <c r="L20" i="13"/>
  <c r="K20" i="13"/>
  <c r="K20" i="20" s="1"/>
  <c r="J20" i="13"/>
  <c r="J20" i="20" s="1"/>
  <c r="I20" i="13"/>
  <c r="I20" i="20" s="1"/>
  <c r="H20" i="13"/>
  <c r="H20" i="20" s="1"/>
  <c r="G20" i="13"/>
  <c r="G20" i="20" s="1"/>
  <c r="F20" i="13"/>
  <c r="F20" i="20" s="1"/>
  <c r="E20" i="13"/>
  <c r="E20" i="20" s="1"/>
  <c r="D20" i="13"/>
  <c r="C20" i="13"/>
  <c r="C20" i="20" s="1"/>
  <c r="B20" i="13"/>
  <c r="Q19" i="13"/>
  <c r="P19" i="13"/>
  <c r="P19" i="20" s="1"/>
  <c r="O19" i="13"/>
  <c r="O19" i="20" s="1"/>
  <c r="N19" i="13"/>
  <c r="N19" i="20" s="1"/>
  <c r="M19" i="13"/>
  <c r="M19" i="20" s="1"/>
  <c r="L19" i="13"/>
  <c r="K19" i="13"/>
  <c r="K19" i="20" s="1"/>
  <c r="J19" i="13"/>
  <c r="J19" i="20" s="1"/>
  <c r="I19" i="13"/>
  <c r="I19" i="20" s="1"/>
  <c r="H19" i="13"/>
  <c r="H19" i="20" s="1"/>
  <c r="G19" i="13"/>
  <c r="G19" i="20" s="1"/>
  <c r="F19" i="13"/>
  <c r="F19" i="20" s="1"/>
  <c r="E19" i="13"/>
  <c r="E19" i="20" s="1"/>
  <c r="D19" i="13"/>
  <c r="C19" i="13"/>
  <c r="C19" i="20" s="1"/>
  <c r="B19" i="13"/>
  <c r="Q18" i="13"/>
  <c r="P18" i="13"/>
  <c r="P18" i="20" s="1"/>
  <c r="O18" i="13"/>
  <c r="O18" i="20" s="1"/>
  <c r="N18" i="13"/>
  <c r="N18" i="20" s="1"/>
  <c r="M18" i="13"/>
  <c r="M18" i="20" s="1"/>
  <c r="L18" i="13"/>
  <c r="K18" i="13"/>
  <c r="K18" i="20" s="1"/>
  <c r="J18" i="13"/>
  <c r="J18" i="20" s="1"/>
  <c r="I18" i="13"/>
  <c r="I18" i="20" s="1"/>
  <c r="H18" i="13"/>
  <c r="H18" i="20" s="1"/>
  <c r="G18" i="13"/>
  <c r="G18" i="20" s="1"/>
  <c r="F18" i="13"/>
  <c r="F18" i="20" s="1"/>
  <c r="E18" i="13"/>
  <c r="E18" i="20" s="1"/>
  <c r="D18" i="13"/>
  <c r="C18" i="13"/>
  <c r="C18" i="20" s="1"/>
  <c r="B18" i="13"/>
  <c r="Q17" i="13"/>
  <c r="P17" i="13"/>
  <c r="P17" i="20" s="1"/>
  <c r="O17" i="13"/>
  <c r="O17" i="20" s="1"/>
  <c r="N17" i="13"/>
  <c r="N17" i="20" s="1"/>
  <c r="M17" i="13"/>
  <c r="M17" i="20" s="1"/>
  <c r="L17" i="13"/>
  <c r="K17" i="13"/>
  <c r="K17" i="20" s="1"/>
  <c r="J17" i="13"/>
  <c r="J17" i="20" s="1"/>
  <c r="I17" i="13"/>
  <c r="H17" i="13"/>
  <c r="H17" i="20" s="1"/>
  <c r="G17" i="13"/>
  <c r="G17" i="20" s="1"/>
  <c r="F17" i="13"/>
  <c r="F17" i="20" s="1"/>
  <c r="E17" i="13"/>
  <c r="E17" i="20" s="1"/>
  <c r="D17" i="13"/>
  <c r="C17" i="13"/>
  <c r="C17" i="20" s="1"/>
  <c r="B17" i="13"/>
  <c r="Q16" i="13"/>
  <c r="P16" i="13"/>
  <c r="P16" i="20" s="1"/>
  <c r="O16" i="13"/>
  <c r="O16" i="20" s="1"/>
  <c r="N16" i="13"/>
  <c r="N16" i="20" s="1"/>
  <c r="M16" i="13"/>
  <c r="M16" i="20" s="1"/>
  <c r="L16" i="13"/>
  <c r="K16" i="13"/>
  <c r="K16" i="20" s="1"/>
  <c r="J16" i="13"/>
  <c r="J16" i="20" s="1"/>
  <c r="I16" i="13"/>
  <c r="I16" i="20" s="1"/>
  <c r="H16" i="13"/>
  <c r="H16" i="20" s="1"/>
  <c r="G16" i="13"/>
  <c r="G16" i="20" s="1"/>
  <c r="F16" i="13"/>
  <c r="F16" i="20" s="1"/>
  <c r="E16" i="13"/>
  <c r="E16" i="20" s="1"/>
  <c r="D16" i="13"/>
  <c r="C16" i="13"/>
  <c r="C16" i="20" s="1"/>
  <c r="B16" i="13"/>
  <c r="Q15" i="13"/>
  <c r="P15" i="13"/>
  <c r="P15" i="20" s="1"/>
  <c r="O15" i="13"/>
  <c r="O15" i="20" s="1"/>
  <c r="N15" i="13"/>
  <c r="N15" i="20" s="1"/>
  <c r="M15" i="13"/>
  <c r="M15" i="20" s="1"/>
  <c r="L15" i="13"/>
  <c r="K15" i="13"/>
  <c r="K15" i="20" s="1"/>
  <c r="J15" i="13"/>
  <c r="J15" i="20" s="1"/>
  <c r="I15" i="13"/>
  <c r="I15" i="20" s="1"/>
  <c r="H15" i="13"/>
  <c r="H15" i="20" s="1"/>
  <c r="G15" i="13"/>
  <c r="G15" i="20" s="1"/>
  <c r="F15" i="13"/>
  <c r="F15" i="20" s="1"/>
  <c r="E15" i="13"/>
  <c r="E15" i="20" s="1"/>
  <c r="D15" i="13"/>
  <c r="C15" i="13"/>
  <c r="C15" i="20" s="1"/>
  <c r="B15" i="13"/>
  <c r="Q14" i="13"/>
  <c r="P14" i="13"/>
  <c r="P14" i="20" s="1"/>
  <c r="O14" i="13"/>
  <c r="O14" i="20" s="1"/>
  <c r="N14" i="13"/>
  <c r="M14" i="13"/>
  <c r="M14" i="20" s="1"/>
  <c r="L14" i="13"/>
  <c r="K14" i="13"/>
  <c r="K14" i="20" s="1"/>
  <c r="J14" i="13"/>
  <c r="J14" i="20" s="1"/>
  <c r="I14" i="13"/>
  <c r="I14" i="20" s="1"/>
  <c r="H14" i="13"/>
  <c r="H14" i="20" s="1"/>
  <c r="G14" i="13"/>
  <c r="G14" i="20" s="1"/>
  <c r="F14" i="13"/>
  <c r="E14" i="13"/>
  <c r="E14" i="20" s="1"/>
  <c r="D14" i="13"/>
  <c r="C14" i="13"/>
  <c r="C14" i="20" s="1"/>
  <c r="B14" i="13"/>
  <c r="Q13" i="13"/>
  <c r="Q31" i="13" s="1"/>
  <c r="P13" i="13"/>
  <c r="P13" i="20" s="1"/>
  <c r="O13" i="13"/>
  <c r="O13" i="20" s="1"/>
  <c r="N13" i="13"/>
  <c r="N13" i="20" s="1"/>
  <c r="M13" i="13"/>
  <c r="M13" i="20" s="1"/>
  <c r="L13" i="13"/>
  <c r="K13" i="13"/>
  <c r="K13" i="20" s="1"/>
  <c r="J13" i="13"/>
  <c r="J13" i="20" s="1"/>
  <c r="I13" i="13"/>
  <c r="H13" i="13"/>
  <c r="H13" i="20" s="1"/>
  <c r="G13" i="13"/>
  <c r="G13" i="20" s="1"/>
  <c r="F13" i="13"/>
  <c r="F13" i="20" s="1"/>
  <c r="E13" i="13"/>
  <c r="E13" i="20" s="1"/>
  <c r="D13" i="13"/>
  <c r="C13" i="13"/>
  <c r="C13" i="20" s="1"/>
  <c r="B13" i="13"/>
  <c r="C12" i="13"/>
  <c r="C12" i="20" s="1"/>
  <c r="B12" i="13"/>
  <c r="Q11" i="13"/>
  <c r="P11" i="13"/>
  <c r="P11" i="20" s="1"/>
  <c r="O11" i="13"/>
  <c r="O11" i="20" s="1"/>
  <c r="N11" i="13"/>
  <c r="N11" i="20" s="1"/>
  <c r="M11" i="13"/>
  <c r="M11" i="20" s="1"/>
  <c r="L11" i="13"/>
  <c r="L11" i="20" s="1"/>
  <c r="K11" i="13"/>
  <c r="J11" i="13"/>
  <c r="J11" i="20" s="1"/>
  <c r="I11" i="13"/>
  <c r="I11" i="20" s="1"/>
  <c r="H11" i="13"/>
  <c r="H11" i="20" s="1"/>
  <c r="G11" i="13"/>
  <c r="G11" i="20" s="1"/>
  <c r="F11" i="13"/>
  <c r="F11" i="20" s="1"/>
  <c r="E11" i="13"/>
  <c r="E11" i="20" s="1"/>
  <c r="D11" i="13"/>
  <c r="D11" i="20" s="1"/>
  <c r="C11" i="13"/>
  <c r="B11" i="13"/>
  <c r="Q10" i="13"/>
  <c r="P10" i="13"/>
  <c r="P10" i="20" s="1"/>
  <c r="O10" i="13"/>
  <c r="O10" i="20" s="1"/>
  <c r="N10" i="13"/>
  <c r="N10" i="20" s="1"/>
  <c r="M10" i="13"/>
  <c r="M10" i="20" s="1"/>
  <c r="L10" i="13"/>
  <c r="L10" i="20" s="1"/>
  <c r="K10" i="13"/>
  <c r="K10" i="20" s="1"/>
  <c r="J10" i="13"/>
  <c r="J10" i="20" s="1"/>
  <c r="I10" i="13"/>
  <c r="I10" i="20" s="1"/>
  <c r="H10" i="13"/>
  <c r="H10" i="20" s="1"/>
  <c r="G10" i="13"/>
  <c r="G10" i="20" s="1"/>
  <c r="F10" i="13"/>
  <c r="F10" i="20" s="1"/>
  <c r="E10" i="13"/>
  <c r="E10" i="20" s="1"/>
  <c r="D10" i="13"/>
  <c r="D10" i="20" s="1"/>
  <c r="C10" i="13"/>
  <c r="C10" i="20" s="1"/>
  <c r="B10" i="13"/>
  <c r="Q9" i="13"/>
  <c r="Q9" i="20" s="1"/>
  <c r="P9" i="13"/>
  <c r="P9" i="20" s="1"/>
  <c r="O9" i="13"/>
  <c r="O9" i="20" s="1"/>
  <c r="N9" i="13"/>
  <c r="N9" i="20" s="1"/>
  <c r="M9" i="13"/>
  <c r="M9" i="20" s="1"/>
  <c r="L9" i="13"/>
  <c r="L9" i="20" s="1"/>
  <c r="K9" i="13"/>
  <c r="K9" i="20" s="1"/>
  <c r="J9" i="13"/>
  <c r="J9" i="20" s="1"/>
  <c r="I9" i="13"/>
  <c r="I9" i="20" s="1"/>
  <c r="H9" i="13"/>
  <c r="H9" i="20" s="1"/>
  <c r="G9" i="13"/>
  <c r="G9" i="20" s="1"/>
  <c r="F9" i="13"/>
  <c r="F9" i="20" s="1"/>
  <c r="E9" i="13"/>
  <c r="E9" i="20" s="1"/>
  <c r="D9" i="13"/>
  <c r="D9" i="20" s="1"/>
  <c r="C9" i="13"/>
  <c r="C9" i="20" s="1"/>
  <c r="B9" i="13"/>
  <c r="Q8" i="13"/>
  <c r="Q8" i="20" s="1"/>
  <c r="P8" i="13"/>
  <c r="P8" i="20" s="1"/>
  <c r="O8" i="13"/>
  <c r="O8" i="20" s="1"/>
  <c r="N8" i="13"/>
  <c r="N8" i="20" s="1"/>
  <c r="M8" i="13"/>
  <c r="M8" i="20" s="1"/>
  <c r="L8" i="13"/>
  <c r="L8" i="20" s="1"/>
  <c r="K8" i="13"/>
  <c r="K8" i="20" s="1"/>
  <c r="J8" i="13"/>
  <c r="J8" i="20" s="1"/>
  <c r="I8" i="13"/>
  <c r="I8" i="20" s="1"/>
  <c r="H8" i="13"/>
  <c r="H8" i="20" s="1"/>
  <c r="G8" i="13"/>
  <c r="G8" i="20" s="1"/>
  <c r="F8" i="13"/>
  <c r="F8" i="20" s="1"/>
  <c r="E8" i="13"/>
  <c r="E8" i="20" s="1"/>
  <c r="D8" i="13"/>
  <c r="D8" i="20" s="1"/>
  <c r="C8" i="13"/>
  <c r="C8" i="20" s="1"/>
  <c r="B8" i="13"/>
  <c r="Q7" i="13"/>
  <c r="Q7" i="20" s="1"/>
  <c r="P7" i="13"/>
  <c r="P7" i="20" s="1"/>
  <c r="O7" i="13"/>
  <c r="O7" i="20" s="1"/>
  <c r="N7" i="13"/>
  <c r="N7" i="20" s="1"/>
  <c r="M7" i="13"/>
  <c r="M7" i="20" s="1"/>
  <c r="L7" i="13"/>
  <c r="L7" i="20" s="1"/>
  <c r="K7" i="13"/>
  <c r="K7" i="20" s="1"/>
  <c r="J7" i="13"/>
  <c r="J7" i="20" s="1"/>
  <c r="I7" i="13"/>
  <c r="I7" i="20" s="1"/>
  <c r="H7" i="13"/>
  <c r="H7" i="20" s="1"/>
  <c r="G7" i="13"/>
  <c r="G7" i="20" s="1"/>
  <c r="F7" i="13"/>
  <c r="F7" i="20" s="1"/>
  <c r="E7" i="13"/>
  <c r="E7" i="20" s="1"/>
  <c r="D7" i="13"/>
  <c r="C7" i="13"/>
  <c r="C7" i="20" s="1"/>
  <c r="B7" i="13"/>
  <c r="Q6" i="13"/>
  <c r="Q6" i="20" s="1"/>
  <c r="P6" i="13"/>
  <c r="O6" i="13"/>
  <c r="O31" i="13" s="1"/>
  <c r="N6" i="13"/>
  <c r="N31" i="13" s="1"/>
  <c r="M6" i="13"/>
  <c r="L6" i="13"/>
  <c r="L31" i="13" s="1"/>
  <c r="K6" i="13"/>
  <c r="K6" i="20" s="1"/>
  <c r="J6" i="13"/>
  <c r="I6" i="13"/>
  <c r="I6" i="20" s="1"/>
  <c r="H6" i="13"/>
  <c r="G6" i="13"/>
  <c r="G31" i="13" s="1"/>
  <c r="F6" i="13"/>
  <c r="F31" i="13" s="1"/>
  <c r="E6" i="13"/>
  <c r="D6" i="13"/>
  <c r="D31" i="13" s="1"/>
  <c r="C6" i="13"/>
  <c r="C6" i="20" s="1"/>
  <c r="B6" i="13"/>
  <c r="Q36" i="12"/>
  <c r="P36" i="12"/>
  <c r="O36" i="12"/>
  <c r="N36" i="12"/>
  <c r="M36" i="12"/>
  <c r="L36" i="12"/>
  <c r="K36" i="12"/>
  <c r="J36" i="12"/>
  <c r="I36" i="12"/>
  <c r="H36" i="12"/>
  <c r="G36" i="12"/>
  <c r="F36" i="12"/>
  <c r="E36" i="12"/>
  <c r="D36" i="12"/>
  <c r="C36" i="12"/>
  <c r="Q31" i="12"/>
  <c r="P31" i="12"/>
  <c r="O31" i="12"/>
  <c r="N31" i="12"/>
  <c r="M31" i="12"/>
  <c r="L31" i="12"/>
  <c r="K31" i="12"/>
  <c r="J31" i="12"/>
  <c r="I31" i="12"/>
  <c r="H31" i="12"/>
  <c r="G31" i="12"/>
  <c r="F31" i="12"/>
  <c r="E31" i="12"/>
  <c r="D31" i="12"/>
  <c r="C31" i="12"/>
  <c r="O38" i="11"/>
  <c r="N38" i="11"/>
  <c r="M38" i="11"/>
  <c r="J38" i="11"/>
  <c r="G38" i="11"/>
  <c r="F38" i="11"/>
  <c r="E38" i="11"/>
  <c r="Q36" i="11"/>
  <c r="P36" i="11"/>
  <c r="O36" i="11"/>
  <c r="N36" i="11"/>
  <c r="M36" i="11"/>
  <c r="L36" i="11"/>
  <c r="L38" i="11" s="1"/>
  <c r="K36" i="11"/>
  <c r="J36" i="11"/>
  <c r="I36" i="11"/>
  <c r="H36" i="11"/>
  <c r="G36" i="11"/>
  <c r="F36" i="11"/>
  <c r="E36" i="11"/>
  <c r="D36" i="11"/>
  <c r="C36" i="11"/>
  <c r="Q31" i="11"/>
  <c r="P31" i="11"/>
  <c r="P38" i="11" s="1"/>
  <c r="O31" i="11"/>
  <c r="N31" i="11"/>
  <c r="M31" i="11"/>
  <c r="L31" i="11"/>
  <c r="K31" i="11"/>
  <c r="K38" i="11" s="1"/>
  <c r="J31" i="11"/>
  <c r="I31" i="11"/>
  <c r="H31" i="11"/>
  <c r="H38" i="11" s="1"/>
  <c r="G31" i="11"/>
  <c r="F31" i="11"/>
  <c r="E31" i="11"/>
  <c r="D31" i="11"/>
  <c r="D38" i="11" s="1"/>
  <c r="C31" i="11"/>
  <c r="C38" i="11" s="1"/>
  <c r="Q36" i="10"/>
  <c r="P36" i="10"/>
  <c r="O36" i="10"/>
  <c r="N36" i="10"/>
  <c r="M36" i="10"/>
  <c r="L36" i="10"/>
  <c r="K36" i="10"/>
  <c r="J36" i="10"/>
  <c r="I36" i="10"/>
  <c r="H36" i="10"/>
  <c r="G36" i="10"/>
  <c r="F36" i="10"/>
  <c r="E36" i="10"/>
  <c r="D36" i="10"/>
  <c r="C36" i="10"/>
  <c r="Q31" i="10"/>
  <c r="P31" i="10"/>
  <c r="O31" i="10"/>
  <c r="N31" i="10"/>
  <c r="M31" i="10"/>
  <c r="L31" i="10"/>
  <c r="K31" i="10"/>
  <c r="J31" i="10"/>
  <c r="I31" i="10"/>
  <c r="H31" i="10"/>
  <c r="G31" i="10"/>
  <c r="F31" i="10"/>
  <c r="E31" i="10"/>
  <c r="D31" i="10"/>
  <c r="C31" i="10"/>
  <c r="K38" i="9"/>
  <c r="J38" i="9"/>
  <c r="I38" i="9"/>
  <c r="H38" i="9"/>
  <c r="G38" i="9"/>
  <c r="C38" i="9"/>
  <c r="Q36" i="9"/>
  <c r="P36" i="9"/>
  <c r="P38" i="9" s="1"/>
  <c r="O36" i="9"/>
  <c r="O38" i="9" s="1"/>
  <c r="N36" i="9"/>
  <c r="N38" i="9" s="1"/>
  <c r="M36" i="9"/>
  <c r="L36" i="9"/>
  <c r="K36" i="9"/>
  <c r="J36" i="9"/>
  <c r="I36" i="9"/>
  <c r="H36" i="9"/>
  <c r="G36" i="9"/>
  <c r="F36" i="9"/>
  <c r="F38" i="9" s="1"/>
  <c r="E36" i="9"/>
  <c r="D36" i="9"/>
  <c r="C36" i="9"/>
  <c r="Q31" i="9"/>
  <c r="Q38" i="9" s="1"/>
  <c r="P31" i="9"/>
  <c r="O31" i="9"/>
  <c r="N31" i="9"/>
  <c r="M31" i="9"/>
  <c r="L31" i="9"/>
  <c r="L38" i="9" s="1"/>
  <c r="K31" i="9"/>
  <c r="J31" i="9"/>
  <c r="I31" i="9"/>
  <c r="H31" i="9"/>
  <c r="G31" i="9"/>
  <c r="F31" i="9"/>
  <c r="E31" i="9"/>
  <c r="D31" i="9"/>
  <c r="D38" i="9" s="1"/>
  <c r="C31" i="9"/>
  <c r="B35" i="8"/>
  <c r="B34" i="8"/>
  <c r="B33" i="8"/>
  <c r="B30" i="8"/>
  <c r="B29" i="8"/>
  <c r="B28" i="8"/>
  <c r="B27" i="8"/>
  <c r="B26" i="8"/>
  <c r="B25" i="8"/>
  <c r="B24" i="8"/>
  <c r="B23" i="8"/>
  <c r="B22" i="8"/>
  <c r="B21" i="8"/>
  <c r="B20" i="8"/>
  <c r="B19" i="8"/>
  <c r="B18" i="8"/>
  <c r="B17" i="8"/>
  <c r="B16" i="8"/>
  <c r="B15" i="8"/>
  <c r="B14" i="8"/>
  <c r="B13" i="8"/>
  <c r="B12" i="8"/>
  <c r="B11" i="8"/>
  <c r="B10" i="8"/>
  <c r="B9" i="8"/>
  <c r="B8" i="8"/>
  <c r="B7" i="8"/>
  <c r="B6" i="8"/>
  <c r="J35" i="7"/>
  <c r="I35" i="7"/>
  <c r="H35" i="7"/>
  <c r="G35" i="7"/>
  <c r="G35" i="8" s="1"/>
  <c r="F35" i="7"/>
  <c r="E35" i="7"/>
  <c r="D35" i="7"/>
  <c r="C35" i="7"/>
  <c r="K35" i="7" s="1"/>
  <c r="B35" i="7"/>
  <c r="J34" i="7"/>
  <c r="I34" i="7"/>
  <c r="H34" i="7"/>
  <c r="G34" i="7"/>
  <c r="F34" i="7"/>
  <c r="E34" i="7"/>
  <c r="D34" i="7"/>
  <c r="C34" i="7"/>
  <c r="K34" i="7" s="1"/>
  <c r="B34" i="7"/>
  <c r="J33" i="7"/>
  <c r="I33" i="7"/>
  <c r="H33" i="7"/>
  <c r="G33" i="7"/>
  <c r="G36" i="7" s="1"/>
  <c r="F33" i="7"/>
  <c r="E33" i="7"/>
  <c r="E36" i="7" s="1"/>
  <c r="E35" i="8" s="1"/>
  <c r="D33" i="7"/>
  <c r="D36" i="7" s="1"/>
  <c r="C33" i="7"/>
  <c r="B33" i="7"/>
  <c r="J30" i="7"/>
  <c r="I30" i="7"/>
  <c r="H30" i="7"/>
  <c r="G30" i="7"/>
  <c r="F30" i="7"/>
  <c r="E30" i="7"/>
  <c r="D30" i="7"/>
  <c r="C30" i="7"/>
  <c r="C30" i="8" s="1"/>
  <c r="B30" i="7"/>
  <c r="J29" i="7"/>
  <c r="I29" i="7"/>
  <c r="H29" i="7"/>
  <c r="G29" i="7"/>
  <c r="F29" i="7"/>
  <c r="E29" i="7"/>
  <c r="D29" i="7"/>
  <c r="D29" i="8" s="1"/>
  <c r="C29" i="7"/>
  <c r="K29" i="7" s="1"/>
  <c r="B29" i="7"/>
  <c r="J28" i="7"/>
  <c r="I28" i="7"/>
  <c r="H28" i="7"/>
  <c r="G28" i="7"/>
  <c r="F28" i="7"/>
  <c r="E28" i="7"/>
  <c r="D28" i="7"/>
  <c r="C28" i="7"/>
  <c r="K28" i="7" s="1"/>
  <c r="B28" i="7"/>
  <c r="J27" i="7"/>
  <c r="I27" i="7"/>
  <c r="H27" i="7"/>
  <c r="G27" i="7"/>
  <c r="F27" i="7"/>
  <c r="F27" i="8" s="1"/>
  <c r="E27" i="7"/>
  <c r="E27" i="8" s="1"/>
  <c r="D27" i="7"/>
  <c r="D27" i="8" s="1"/>
  <c r="C27" i="7"/>
  <c r="B27" i="7"/>
  <c r="J26" i="7"/>
  <c r="I26" i="7"/>
  <c r="H26" i="7"/>
  <c r="G26" i="7"/>
  <c r="G26" i="8" s="1"/>
  <c r="F26" i="7"/>
  <c r="F26" i="8" s="1"/>
  <c r="E26" i="7"/>
  <c r="D26" i="7"/>
  <c r="C26" i="7"/>
  <c r="B26" i="7"/>
  <c r="J25" i="7"/>
  <c r="I25" i="7"/>
  <c r="H25" i="7"/>
  <c r="G25" i="7"/>
  <c r="G25" i="8" s="1"/>
  <c r="F25" i="7"/>
  <c r="F25" i="8" s="1"/>
  <c r="E25" i="7"/>
  <c r="D25" i="7"/>
  <c r="C25" i="7"/>
  <c r="B25" i="7"/>
  <c r="J24" i="7"/>
  <c r="I24" i="7"/>
  <c r="I24" i="8" s="1"/>
  <c r="H24" i="7"/>
  <c r="G24" i="7"/>
  <c r="G24" i="8" s="1"/>
  <c r="F24" i="7"/>
  <c r="E24" i="7"/>
  <c r="D24" i="7"/>
  <c r="D24" i="8" s="1"/>
  <c r="C24" i="7"/>
  <c r="K24" i="7" s="1"/>
  <c r="B24" i="7"/>
  <c r="J23" i="7"/>
  <c r="I23" i="7"/>
  <c r="I23" i="8" s="1"/>
  <c r="H23" i="7"/>
  <c r="G23" i="7"/>
  <c r="F23" i="7"/>
  <c r="E23" i="7"/>
  <c r="D23" i="7"/>
  <c r="C23" i="7"/>
  <c r="B23" i="7"/>
  <c r="J22" i="7"/>
  <c r="I22" i="7"/>
  <c r="H22" i="7"/>
  <c r="G22" i="7"/>
  <c r="F22" i="7"/>
  <c r="E22" i="7"/>
  <c r="D22" i="7"/>
  <c r="C22" i="7"/>
  <c r="K22" i="7" s="1"/>
  <c r="B22" i="7"/>
  <c r="J21" i="7"/>
  <c r="I21" i="7"/>
  <c r="H21" i="7"/>
  <c r="G21" i="7"/>
  <c r="G21" i="8" s="1"/>
  <c r="F21" i="7"/>
  <c r="E21" i="7"/>
  <c r="D21" i="7"/>
  <c r="D21" i="8" s="1"/>
  <c r="C21" i="7"/>
  <c r="K21" i="7" s="1"/>
  <c r="B21" i="7"/>
  <c r="J20" i="7"/>
  <c r="I20" i="7"/>
  <c r="H20" i="7"/>
  <c r="G20" i="7"/>
  <c r="F20" i="7"/>
  <c r="E20" i="7"/>
  <c r="E20" i="8" s="1"/>
  <c r="D20" i="7"/>
  <c r="D20" i="8" s="1"/>
  <c r="C20" i="7"/>
  <c r="K20" i="7" s="1"/>
  <c r="B20" i="7"/>
  <c r="J19" i="7"/>
  <c r="I19" i="7"/>
  <c r="H19" i="7"/>
  <c r="G19" i="7"/>
  <c r="F19" i="7"/>
  <c r="F19" i="8" s="1"/>
  <c r="E19" i="7"/>
  <c r="E19" i="8" s="1"/>
  <c r="D19" i="7"/>
  <c r="C19" i="7"/>
  <c r="B19" i="7"/>
  <c r="J18" i="7"/>
  <c r="I18" i="7"/>
  <c r="H18" i="7"/>
  <c r="G18" i="7"/>
  <c r="F18" i="7"/>
  <c r="F18" i="8" s="1"/>
  <c r="E18" i="7"/>
  <c r="E18" i="8" s="1"/>
  <c r="D18" i="7"/>
  <c r="C18" i="7"/>
  <c r="B18" i="7"/>
  <c r="J17" i="7"/>
  <c r="I17" i="7"/>
  <c r="H17" i="7"/>
  <c r="G17" i="7"/>
  <c r="F17" i="7"/>
  <c r="F17" i="8" s="1"/>
  <c r="E17" i="7"/>
  <c r="D17" i="7"/>
  <c r="C17" i="7"/>
  <c r="B17" i="7"/>
  <c r="J16" i="7"/>
  <c r="I16" i="7"/>
  <c r="I16" i="8" s="1"/>
  <c r="H16" i="7"/>
  <c r="G16" i="7"/>
  <c r="G16" i="8" s="1"/>
  <c r="F16" i="7"/>
  <c r="E16" i="7"/>
  <c r="D16" i="7"/>
  <c r="D16" i="8" s="1"/>
  <c r="C16" i="7"/>
  <c r="K16" i="7" s="1"/>
  <c r="B16" i="7"/>
  <c r="J15" i="7"/>
  <c r="I15" i="7"/>
  <c r="I15" i="8" s="1"/>
  <c r="H15" i="7"/>
  <c r="G15" i="7"/>
  <c r="F15" i="7"/>
  <c r="E15" i="7"/>
  <c r="D15" i="7"/>
  <c r="D15" i="8" s="1"/>
  <c r="C15" i="7"/>
  <c r="B15" i="7"/>
  <c r="J14" i="7"/>
  <c r="I14" i="7"/>
  <c r="H14" i="7"/>
  <c r="G14" i="7"/>
  <c r="F14" i="7"/>
  <c r="E14" i="7"/>
  <c r="D14" i="7"/>
  <c r="C14" i="7"/>
  <c r="K14" i="7" s="1"/>
  <c r="B14" i="7"/>
  <c r="J13" i="7"/>
  <c r="I13" i="7"/>
  <c r="H13" i="7"/>
  <c r="G13" i="7"/>
  <c r="G13" i="8" s="1"/>
  <c r="F13" i="7"/>
  <c r="E13" i="7"/>
  <c r="D13" i="7"/>
  <c r="D13" i="8" s="1"/>
  <c r="C13" i="7"/>
  <c r="K13" i="7" s="1"/>
  <c r="B13" i="7"/>
  <c r="J12" i="7"/>
  <c r="I12" i="7"/>
  <c r="H12" i="7"/>
  <c r="G12" i="7"/>
  <c r="G12" i="8" s="1"/>
  <c r="F12" i="7"/>
  <c r="E12" i="7"/>
  <c r="E12" i="8" s="1"/>
  <c r="D12" i="7"/>
  <c r="D12" i="8" s="1"/>
  <c r="C12" i="7"/>
  <c r="C31" i="7" s="1"/>
  <c r="B12" i="7"/>
  <c r="J11" i="7"/>
  <c r="I11" i="7"/>
  <c r="H11" i="7"/>
  <c r="G11" i="7"/>
  <c r="F11" i="7"/>
  <c r="F11" i="8" s="1"/>
  <c r="E11" i="7"/>
  <c r="E11" i="8" s="1"/>
  <c r="D11" i="7"/>
  <c r="C11" i="7"/>
  <c r="B11" i="7"/>
  <c r="J10" i="7"/>
  <c r="I10" i="7"/>
  <c r="H10" i="7"/>
  <c r="G10" i="7"/>
  <c r="F10" i="7"/>
  <c r="F10" i="8" s="1"/>
  <c r="E10" i="7"/>
  <c r="E10" i="8" s="1"/>
  <c r="D10" i="7"/>
  <c r="C10" i="7"/>
  <c r="B10" i="7"/>
  <c r="J9" i="7"/>
  <c r="I9" i="7"/>
  <c r="H9" i="7"/>
  <c r="G9" i="7"/>
  <c r="F9" i="7"/>
  <c r="F9" i="8" s="1"/>
  <c r="E9" i="7"/>
  <c r="D9" i="7"/>
  <c r="C9" i="7"/>
  <c r="B9" i="7"/>
  <c r="J8" i="7"/>
  <c r="I8" i="7"/>
  <c r="I8" i="8" s="1"/>
  <c r="H8" i="7"/>
  <c r="H31" i="7" s="1"/>
  <c r="G8" i="7"/>
  <c r="G8" i="8" s="1"/>
  <c r="F8" i="7"/>
  <c r="E8" i="7"/>
  <c r="D8" i="7"/>
  <c r="D8" i="8" s="1"/>
  <c r="C8" i="7"/>
  <c r="K8" i="7" s="1"/>
  <c r="B8" i="7"/>
  <c r="J7" i="7"/>
  <c r="I7" i="7"/>
  <c r="I7" i="8" s="1"/>
  <c r="H7" i="7"/>
  <c r="G7" i="7"/>
  <c r="G7" i="8" s="1"/>
  <c r="F7" i="7"/>
  <c r="E7" i="7"/>
  <c r="D7" i="7"/>
  <c r="D7" i="8" s="1"/>
  <c r="C7" i="7"/>
  <c r="B7" i="7"/>
  <c r="J6" i="7"/>
  <c r="J31" i="7" s="1"/>
  <c r="I6" i="7"/>
  <c r="I31" i="7" s="1"/>
  <c r="H6" i="7"/>
  <c r="G6" i="7"/>
  <c r="G31" i="7" s="1"/>
  <c r="F6" i="7"/>
  <c r="F31" i="7" s="1"/>
  <c r="E6" i="7"/>
  <c r="E31" i="7" s="1"/>
  <c r="D6" i="7"/>
  <c r="D31" i="7" s="1"/>
  <c r="C6" i="7"/>
  <c r="C6" i="8" s="1"/>
  <c r="B6" i="7"/>
  <c r="R12" i="6"/>
  <c r="Q12" i="6"/>
  <c r="P12" i="6"/>
  <c r="O12" i="6"/>
  <c r="N12" i="6"/>
  <c r="M12" i="6"/>
  <c r="L12" i="6"/>
  <c r="K12" i="6"/>
  <c r="J12" i="6"/>
  <c r="I12" i="6"/>
  <c r="H12" i="6"/>
  <c r="G12" i="6"/>
  <c r="F12" i="6"/>
  <c r="E12" i="6"/>
  <c r="D12" i="6"/>
  <c r="C12" i="6"/>
  <c r="H37" i="5"/>
  <c r="R36" i="5"/>
  <c r="R37" i="5" s="1"/>
  <c r="Q36" i="5"/>
  <c r="Q37" i="5" s="1"/>
  <c r="P36" i="5"/>
  <c r="P37" i="5" s="1"/>
  <c r="O36" i="5"/>
  <c r="O37" i="5" s="1"/>
  <c r="N36" i="5"/>
  <c r="M36" i="5"/>
  <c r="L36" i="5"/>
  <c r="K36" i="5"/>
  <c r="K37" i="5" s="1"/>
  <c r="J36" i="5"/>
  <c r="J37" i="5" s="1"/>
  <c r="I36" i="5"/>
  <c r="I37" i="5" s="1"/>
  <c r="H36" i="5"/>
  <c r="G36" i="5"/>
  <c r="G37" i="5" s="1"/>
  <c r="F36" i="5"/>
  <c r="F37" i="5" s="1"/>
  <c r="E36" i="5"/>
  <c r="E37" i="5" s="1"/>
  <c r="D36" i="5"/>
  <c r="D37" i="5" s="1"/>
  <c r="C36" i="5"/>
  <c r="C37" i="5" s="1"/>
  <c r="R31" i="5"/>
  <c r="Q31" i="5"/>
  <c r="P31" i="5"/>
  <c r="O31" i="5"/>
  <c r="N31" i="5"/>
  <c r="M31" i="5"/>
  <c r="M37" i="5" s="1"/>
  <c r="K31" i="5"/>
  <c r="J31" i="5"/>
  <c r="I31" i="5"/>
  <c r="H31" i="5"/>
  <c r="G31" i="5"/>
  <c r="F31" i="5"/>
  <c r="E31" i="5"/>
  <c r="D31" i="5"/>
  <c r="C31" i="5"/>
  <c r="R49" i="4"/>
  <c r="Q49" i="4"/>
  <c r="P49" i="4"/>
  <c r="O49" i="4"/>
  <c r="N49" i="4"/>
  <c r="M49" i="4"/>
  <c r="L49" i="4"/>
  <c r="K49" i="4"/>
  <c r="J49" i="4"/>
  <c r="I49" i="4"/>
  <c r="H49" i="4"/>
  <c r="G49" i="4"/>
  <c r="F49" i="4"/>
  <c r="E49" i="4"/>
  <c r="D49" i="4"/>
  <c r="C49" i="4"/>
  <c r="R42" i="4"/>
  <c r="R50" i="4" s="1"/>
  <c r="Q42" i="4"/>
  <c r="Q50" i="4" s="1"/>
  <c r="P42" i="4"/>
  <c r="P50" i="4" s="1"/>
  <c r="O42" i="4"/>
  <c r="O50" i="4" s="1"/>
  <c r="N42" i="4"/>
  <c r="N50" i="4" s="1"/>
  <c r="M42" i="4"/>
  <c r="M50" i="4" s="1"/>
  <c r="L42" i="4"/>
  <c r="L50" i="4" s="1"/>
  <c r="K42" i="4"/>
  <c r="K50" i="4" s="1"/>
  <c r="J42" i="4"/>
  <c r="J50" i="4" s="1"/>
  <c r="I42" i="4"/>
  <c r="I50" i="4" s="1"/>
  <c r="H42" i="4"/>
  <c r="H50" i="4" s="1"/>
  <c r="G42" i="4"/>
  <c r="G50" i="4" s="1"/>
  <c r="F42" i="4"/>
  <c r="F50" i="4" s="1"/>
  <c r="E42" i="4"/>
  <c r="E50" i="4" s="1"/>
  <c r="D42" i="4"/>
  <c r="D50" i="4" s="1"/>
  <c r="C42" i="4"/>
  <c r="C50" i="4" s="1"/>
  <c r="C43" i="3"/>
  <c r="B4" i="54" s="1"/>
  <c r="C42" i="3"/>
  <c r="B4" i="53" s="1"/>
  <c r="C41" i="3"/>
  <c r="B4" i="52" s="1"/>
  <c r="C40" i="3"/>
  <c r="B4" i="51" s="1"/>
  <c r="C39" i="3"/>
  <c r="B4" i="50" s="1"/>
  <c r="C38" i="3"/>
  <c r="B4" i="49" s="1"/>
  <c r="C37" i="3"/>
  <c r="B4" i="48" s="1"/>
  <c r="C36" i="3"/>
  <c r="B4" i="47" s="1"/>
  <c r="B3" i="46"/>
  <c r="B3" i="45"/>
  <c r="B3" i="40"/>
  <c r="C32" i="3"/>
  <c r="B3" i="39" s="1"/>
  <c r="B3" i="38"/>
  <c r="B3" i="37"/>
  <c r="C28" i="3"/>
  <c r="B3" i="33" s="1"/>
  <c r="C27" i="3"/>
  <c r="B3" i="32" s="1"/>
  <c r="C26" i="3"/>
  <c r="B3" i="27" s="1"/>
  <c r="C25" i="3"/>
  <c r="B3" i="26" s="1"/>
  <c r="C24" i="3"/>
  <c r="B3" i="25" s="1"/>
  <c r="C23" i="3"/>
  <c r="B3" i="24" s="1"/>
  <c r="C22" i="3"/>
  <c r="B3" i="21" s="1"/>
  <c r="C21" i="3"/>
  <c r="B3" i="20" s="1"/>
  <c r="C20" i="3"/>
  <c r="B3" i="19" s="1"/>
  <c r="C19" i="3"/>
  <c r="B3" i="18" s="1"/>
  <c r="C18" i="3"/>
  <c r="B3" i="16" s="1"/>
  <c r="C17" i="3"/>
  <c r="B3" i="13" s="1"/>
  <c r="C16" i="3"/>
  <c r="B3" i="12" s="1"/>
  <c r="C15" i="3"/>
  <c r="B3" i="11" s="1"/>
  <c r="C14" i="3"/>
  <c r="B3" i="10" s="1"/>
  <c r="C13" i="3"/>
  <c r="B3" i="9" s="1"/>
  <c r="C12" i="3"/>
  <c r="B3" i="8" s="1"/>
  <c r="C11" i="3"/>
  <c r="B3" i="7" s="1"/>
  <c r="C10" i="3"/>
  <c r="B3" i="6" s="1"/>
  <c r="C9" i="3"/>
  <c r="B3" i="5" s="1"/>
  <c r="C8" i="3"/>
  <c r="B3" i="4" s="1"/>
  <c r="F12" i="40" l="1"/>
  <c r="C13" i="34"/>
  <c r="C19" i="34" s="1"/>
  <c r="F10" i="34"/>
  <c r="F12" i="34"/>
  <c r="D13" i="34"/>
  <c r="D18" i="34" s="1"/>
  <c r="F9" i="34"/>
  <c r="E13" i="34"/>
  <c r="E23" i="34" s="1"/>
  <c r="M7" i="49"/>
  <c r="M8" i="49"/>
  <c r="P8" i="49" s="1"/>
  <c r="Q43" i="49"/>
  <c r="Q35" i="49"/>
  <c r="R35" i="49" s="1"/>
  <c r="Q21" i="49"/>
  <c r="Q32" i="49"/>
  <c r="Q16" i="49"/>
  <c r="Q13" i="49"/>
  <c r="N37" i="5"/>
  <c r="P19" i="49"/>
  <c r="R19" i="49" s="1"/>
  <c r="R8" i="49"/>
  <c r="P36" i="49"/>
  <c r="P28" i="49"/>
  <c r="R23" i="49"/>
  <c r="P16" i="49"/>
  <c r="R11" i="49"/>
  <c r="P30" i="49"/>
  <c r="Q24" i="49"/>
  <c r="P25" i="49"/>
  <c r="P20" i="49"/>
  <c r="P7" i="49"/>
  <c r="R7" i="49" s="1"/>
  <c r="P24" i="49"/>
  <c r="P30" i="53"/>
  <c r="P32" i="49" s="1"/>
  <c r="P40" i="49"/>
  <c r="R40" i="49" s="1"/>
  <c r="P38" i="49"/>
  <c r="R15" i="49"/>
  <c r="P27" i="49"/>
  <c r="R27" i="49" s="1"/>
  <c r="P33" i="49"/>
  <c r="P17" i="49"/>
  <c r="P22" i="49"/>
  <c r="Q6" i="49"/>
  <c r="R14" i="49"/>
  <c r="M6" i="49"/>
  <c r="P6" i="49" s="1"/>
  <c r="H25" i="8"/>
  <c r="H22" i="8"/>
  <c r="H14" i="8"/>
  <c r="H7" i="8"/>
  <c r="H23" i="8"/>
  <c r="H27" i="8"/>
  <c r="H26" i="8"/>
  <c r="H15" i="8"/>
  <c r="J14" i="8"/>
  <c r="H6" i="8"/>
  <c r="F8" i="8"/>
  <c r="E9" i="8"/>
  <c r="C11" i="8"/>
  <c r="J12" i="8"/>
  <c r="I13" i="8"/>
  <c r="G15" i="8"/>
  <c r="F16" i="8"/>
  <c r="E17" i="8"/>
  <c r="C19" i="8"/>
  <c r="J20" i="8"/>
  <c r="I21" i="8"/>
  <c r="G23" i="8"/>
  <c r="F24" i="8"/>
  <c r="D26" i="8"/>
  <c r="C27" i="8"/>
  <c r="H30" i="8"/>
  <c r="G33" i="8"/>
  <c r="G36" i="8" s="1"/>
  <c r="G34" i="8"/>
  <c r="J28" i="8"/>
  <c r="J24" i="8"/>
  <c r="J16" i="8"/>
  <c r="J8" i="8"/>
  <c r="J17" i="8"/>
  <c r="J9" i="8"/>
  <c r="J30" i="8"/>
  <c r="I19" i="8"/>
  <c r="I11" i="8"/>
  <c r="I6" i="8"/>
  <c r="I12" i="8"/>
  <c r="I20" i="8"/>
  <c r="C21" i="8"/>
  <c r="C13" i="8"/>
  <c r="C22" i="8"/>
  <c r="C29" i="8"/>
  <c r="C14" i="8"/>
  <c r="J13" i="8"/>
  <c r="I14" i="8"/>
  <c r="J21" i="8"/>
  <c r="I22" i="8"/>
  <c r="J29" i="8"/>
  <c r="I30" i="8"/>
  <c r="H16" i="8"/>
  <c r="H24" i="8"/>
  <c r="H17" i="8"/>
  <c r="J23" i="8"/>
  <c r="D18" i="8"/>
  <c r="D10" i="8"/>
  <c r="D6" i="8"/>
  <c r="D11" i="8"/>
  <c r="D19" i="8"/>
  <c r="C7" i="8"/>
  <c r="I9" i="8"/>
  <c r="H10" i="8"/>
  <c r="G11" i="8"/>
  <c r="E13" i="8"/>
  <c r="D14" i="8"/>
  <c r="C15" i="8"/>
  <c r="I17" i="8"/>
  <c r="H18" i="8"/>
  <c r="G19" i="8"/>
  <c r="E21" i="8"/>
  <c r="D22" i="8"/>
  <c r="C23" i="8"/>
  <c r="I25" i="8"/>
  <c r="E29" i="8"/>
  <c r="D30" i="8"/>
  <c r="J34" i="8"/>
  <c r="J7" i="8"/>
  <c r="H9" i="8"/>
  <c r="J15" i="8"/>
  <c r="E26" i="8"/>
  <c r="E23" i="8"/>
  <c r="E15" i="8"/>
  <c r="E7" i="8"/>
  <c r="E24" i="8"/>
  <c r="E28" i="8"/>
  <c r="E16" i="8"/>
  <c r="E8" i="8"/>
  <c r="I10" i="8"/>
  <c r="H11" i="8"/>
  <c r="E14" i="8"/>
  <c r="I18" i="8"/>
  <c r="H19" i="8"/>
  <c r="G20" i="8"/>
  <c r="E22" i="8"/>
  <c r="D23" i="8"/>
  <c r="J25" i="8"/>
  <c r="I26" i="8"/>
  <c r="G28" i="8"/>
  <c r="F29" i="8"/>
  <c r="E30" i="8"/>
  <c r="D33" i="8"/>
  <c r="D35" i="8"/>
  <c r="F20" i="8"/>
  <c r="F12" i="8"/>
  <c r="F28" i="8"/>
  <c r="F13" i="8"/>
  <c r="F21" i="8"/>
  <c r="C9" i="8"/>
  <c r="J10" i="8"/>
  <c r="H12" i="8"/>
  <c r="F14" i="8"/>
  <c r="C17" i="8"/>
  <c r="J18" i="8"/>
  <c r="H20" i="8"/>
  <c r="F22" i="8"/>
  <c r="C25" i="8"/>
  <c r="I27" i="8"/>
  <c r="H28" i="8"/>
  <c r="G29" i="8"/>
  <c r="D34" i="8"/>
  <c r="J22" i="8"/>
  <c r="G30" i="8"/>
  <c r="G17" i="8"/>
  <c r="G9" i="8"/>
  <c r="G18" i="8"/>
  <c r="G10" i="8"/>
  <c r="F7" i="8"/>
  <c r="D9" i="8"/>
  <c r="C10" i="8"/>
  <c r="J11" i="8"/>
  <c r="H13" i="8"/>
  <c r="G14" i="8"/>
  <c r="F15" i="8"/>
  <c r="D17" i="8"/>
  <c r="C18" i="8"/>
  <c r="J19" i="8"/>
  <c r="H21" i="8"/>
  <c r="G22" i="8"/>
  <c r="F23" i="8"/>
  <c r="D25" i="8"/>
  <c r="C26" i="8"/>
  <c r="J27" i="8"/>
  <c r="I28" i="8"/>
  <c r="H29" i="8"/>
  <c r="E34" i="8"/>
  <c r="K11" i="7"/>
  <c r="K19" i="7"/>
  <c r="K6" i="7"/>
  <c r="K30" i="7"/>
  <c r="F36" i="7"/>
  <c r="F34" i="8" s="1"/>
  <c r="J6" i="8"/>
  <c r="C8" i="8"/>
  <c r="C31" i="8" s="1"/>
  <c r="C16" i="8"/>
  <c r="C24" i="8"/>
  <c r="E33" i="8"/>
  <c r="E36" i="8" s="1"/>
  <c r="C35" i="8"/>
  <c r="C11" i="20"/>
  <c r="K11" i="20"/>
  <c r="I13" i="20"/>
  <c r="I31" i="13"/>
  <c r="I17" i="20"/>
  <c r="C31" i="17"/>
  <c r="K31" i="17"/>
  <c r="J36" i="17"/>
  <c r="L6" i="20"/>
  <c r="L31" i="20" s="1"/>
  <c r="K12" i="7"/>
  <c r="K9" i="7"/>
  <c r="K17" i="7"/>
  <c r="K25" i="7"/>
  <c r="C28" i="8"/>
  <c r="E38" i="9"/>
  <c r="M38" i="9"/>
  <c r="C31" i="13"/>
  <c r="D31" i="17"/>
  <c r="L31" i="17"/>
  <c r="H36" i="7"/>
  <c r="H33" i="8" s="1"/>
  <c r="K15" i="7"/>
  <c r="K23" i="7"/>
  <c r="E25" i="8"/>
  <c r="J26" i="8"/>
  <c r="G27" i="8"/>
  <c r="D28" i="8"/>
  <c r="I29" i="8"/>
  <c r="F30" i="8"/>
  <c r="I36" i="7"/>
  <c r="I33" i="8" s="1"/>
  <c r="E6" i="8"/>
  <c r="H6" i="24"/>
  <c r="H42" i="21"/>
  <c r="H42" i="24" s="1"/>
  <c r="P42" i="21"/>
  <c r="Q8" i="21"/>
  <c r="Q10" i="21"/>
  <c r="K10" i="7"/>
  <c r="K18" i="7"/>
  <c r="K26" i="7"/>
  <c r="J33" i="8"/>
  <c r="J36" i="7"/>
  <c r="J35" i="8" s="1"/>
  <c r="F6" i="8"/>
  <c r="F31" i="8" s="1"/>
  <c r="C12" i="8"/>
  <c r="C20" i="8"/>
  <c r="E21" i="20"/>
  <c r="E29" i="20"/>
  <c r="K33" i="20"/>
  <c r="K36" i="20" s="1"/>
  <c r="K36" i="13"/>
  <c r="E31" i="13"/>
  <c r="E6" i="20"/>
  <c r="E31" i="20" s="1"/>
  <c r="P11" i="24"/>
  <c r="K7" i="7"/>
  <c r="K33" i="7"/>
  <c r="H34" i="8"/>
  <c r="C36" i="7"/>
  <c r="C34" i="8" s="1"/>
  <c r="G6" i="8"/>
  <c r="H8" i="8"/>
  <c r="I38" i="11"/>
  <c r="Q38" i="11"/>
  <c r="H31" i="13"/>
  <c r="P31" i="13"/>
  <c r="F14" i="20"/>
  <c r="N14" i="20"/>
  <c r="N22" i="20"/>
  <c r="F30" i="20"/>
  <c r="N30" i="20"/>
  <c r="H31" i="17"/>
  <c r="P31" i="17"/>
  <c r="C33" i="20"/>
  <c r="C36" i="20" s="1"/>
  <c r="Q11" i="21"/>
  <c r="Q18" i="21"/>
  <c r="M31" i="13"/>
  <c r="M6" i="20"/>
  <c r="M31" i="20" s="1"/>
  <c r="K31" i="13"/>
  <c r="F35" i="8"/>
  <c r="I31" i="20"/>
  <c r="G23" i="20"/>
  <c r="O23" i="20"/>
  <c r="I31" i="17"/>
  <c r="Q31" i="17"/>
  <c r="O36" i="20"/>
  <c r="F13" i="24"/>
  <c r="K27" i="7"/>
  <c r="J31" i="13"/>
  <c r="J6" i="20"/>
  <c r="J31" i="20" s="1"/>
  <c r="F36" i="20"/>
  <c r="J31" i="17"/>
  <c r="D6" i="20"/>
  <c r="D31" i="20" s="1"/>
  <c r="I34" i="20"/>
  <c r="I36" i="20" s="1"/>
  <c r="Q34" i="20"/>
  <c r="Q36" i="20" s="1"/>
  <c r="M33" i="20"/>
  <c r="M36" i="20" s="1"/>
  <c r="F42" i="21"/>
  <c r="F42" i="24" s="1"/>
  <c r="N42" i="21"/>
  <c r="N42" i="24" s="1"/>
  <c r="N6" i="24"/>
  <c r="O7" i="24"/>
  <c r="G10" i="24"/>
  <c r="N11" i="24"/>
  <c r="F16" i="24"/>
  <c r="N16" i="24"/>
  <c r="F25" i="24"/>
  <c r="N25" i="24"/>
  <c r="I25" i="20"/>
  <c r="Q25" i="20"/>
  <c r="J36" i="20"/>
  <c r="J35" i="20"/>
  <c r="G6" i="24"/>
  <c r="G42" i="21"/>
  <c r="G42" i="24" s="1"/>
  <c r="O6" i="24"/>
  <c r="O42" i="21"/>
  <c r="O10" i="24" s="1"/>
  <c r="P7" i="24"/>
  <c r="P8" i="24"/>
  <c r="H9" i="24"/>
  <c r="P9" i="24"/>
  <c r="N15" i="24"/>
  <c r="G16" i="24"/>
  <c r="H19" i="24"/>
  <c r="P19" i="24"/>
  <c r="Q23" i="21"/>
  <c r="E39" i="24"/>
  <c r="C27" i="20"/>
  <c r="C31" i="20" s="1"/>
  <c r="K27" i="20"/>
  <c r="K31" i="20" s="1"/>
  <c r="E36" i="13"/>
  <c r="P33" i="20"/>
  <c r="P36" i="20" s="1"/>
  <c r="I11" i="24"/>
  <c r="H12" i="24"/>
  <c r="P12" i="24"/>
  <c r="G13" i="24"/>
  <c r="G14" i="24"/>
  <c r="P15" i="24"/>
  <c r="F22" i="24"/>
  <c r="Q22" i="21"/>
  <c r="N22" i="24"/>
  <c r="G31" i="24"/>
  <c r="F6" i="20"/>
  <c r="F31" i="20" s="1"/>
  <c r="N6" i="20"/>
  <c r="K8" i="24"/>
  <c r="C9" i="24"/>
  <c r="Q9" i="21"/>
  <c r="Q12" i="21"/>
  <c r="H13" i="24"/>
  <c r="P13" i="24"/>
  <c r="H14" i="24"/>
  <c r="P14" i="24"/>
  <c r="Q19" i="21"/>
  <c r="E20" i="24"/>
  <c r="M20" i="24"/>
  <c r="P23" i="24"/>
  <c r="G6" i="20"/>
  <c r="G31" i="20" s="1"/>
  <c r="O6" i="20"/>
  <c r="O31" i="20" s="1"/>
  <c r="C6" i="24"/>
  <c r="C42" i="21"/>
  <c r="C42" i="24" s="1"/>
  <c r="Q6" i="21"/>
  <c r="K6" i="24"/>
  <c r="K42" i="21"/>
  <c r="Q7" i="21"/>
  <c r="L8" i="24"/>
  <c r="L9" i="24"/>
  <c r="L10" i="24"/>
  <c r="Q13" i="21"/>
  <c r="G21" i="24"/>
  <c r="Q21" i="21"/>
  <c r="O21" i="24"/>
  <c r="Q25" i="21"/>
  <c r="E35" i="24"/>
  <c r="H36" i="13"/>
  <c r="H6" i="20"/>
  <c r="H31" i="20" s="1"/>
  <c r="P6" i="20"/>
  <c r="P31" i="20" s="1"/>
  <c r="Q21" i="20"/>
  <c r="Q23" i="20"/>
  <c r="M7" i="24"/>
  <c r="E8" i="24"/>
  <c r="Q15" i="21"/>
  <c r="M19" i="24"/>
  <c r="O28" i="24"/>
  <c r="I36" i="13"/>
  <c r="Q36" i="13"/>
  <c r="Q10" i="20"/>
  <c r="Q31" i="20" s="1"/>
  <c r="Q15" i="20"/>
  <c r="Q16" i="20"/>
  <c r="Q17" i="20"/>
  <c r="Q18" i="20"/>
  <c r="Q19" i="20"/>
  <c r="E42" i="21"/>
  <c r="M42" i="21"/>
  <c r="M42" i="24" s="1"/>
  <c r="F7" i="24"/>
  <c r="N7" i="24"/>
  <c r="F8" i="24"/>
  <c r="N8" i="24"/>
  <c r="F17" i="24"/>
  <c r="N17" i="24"/>
  <c r="F18" i="24"/>
  <c r="N18" i="24"/>
  <c r="H20" i="24"/>
  <c r="P20" i="24"/>
  <c r="I6" i="24"/>
  <c r="I42" i="21"/>
  <c r="I42" i="24" s="1"/>
  <c r="H7" i="24"/>
  <c r="G8" i="24"/>
  <c r="O8" i="24"/>
  <c r="F9" i="24"/>
  <c r="N9" i="24"/>
  <c r="M10" i="24"/>
  <c r="D11" i="24"/>
  <c r="L11" i="24"/>
  <c r="J13" i="24"/>
  <c r="H15" i="24"/>
  <c r="H16" i="24"/>
  <c r="P16" i="24"/>
  <c r="H17" i="24"/>
  <c r="P17" i="24"/>
  <c r="F19" i="24"/>
  <c r="E21" i="24"/>
  <c r="L25" i="24"/>
  <c r="E26" i="24"/>
  <c r="M26" i="24"/>
  <c r="M31" i="24"/>
  <c r="Q32" i="21"/>
  <c r="Q38" i="21"/>
  <c r="K38" i="24"/>
  <c r="L41" i="24"/>
  <c r="H46" i="24"/>
  <c r="J42" i="21"/>
  <c r="J42" i="24" s="1"/>
  <c r="H8" i="24"/>
  <c r="G9" i="24"/>
  <c r="O9" i="24"/>
  <c r="F10" i="24"/>
  <c r="N10" i="24"/>
  <c r="M11" i="24"/>
  <c r="L12" i="24"/>
  <c r="K13" i="24"/>
  <c r="J14" i="24"/>
  <c r="H18" i="24"/>
  <c r="P18" i="24"/>
  <c r="E22" i="24"/>
  <c r="D24" i="24"/>
  <c r="Q24" i="21"/>
  <c r="L24" i="24"/>
  <c r="M25" i="24"/>
  <c r="F26" i="24"/>
  <c r="N26" i="24"/>
  <c r="F28" i="24"/>
  <c r="N30" i="24"/>
  <c r="F32" i="24"/>
  <c r="G33" i="24"/>
  <c r="C37" i="24"/>
  <c r="Q37" i="21"/>
  <c r="K37" i="24"/>
  <c r="E41" i="24"/>
  <c r="D42" i="21"/>
  <c r="D42" i="24" s="1"/>
  <c r="L6" i="24"/>
  <c r="L42" i="21"/>
  <c r="L42" i="24" s="1"/>
  <c r="C7" i="24"/>
  <c r="K7" i="24"/>
  <c r="J8" i="24"/>
  <c r="H10" i="24"/>
  <c r="G11" i="24"/>
  <c r="O11" i="24"/>
  <c r="F12" i="24"/>
  <c r="N12" i="24"/>
  <c r="E13" i="24"/>
  <c r="M13" i="24"/>
  <c r="L14" i="24"/>
  <c r="C15" i="24"/>
  <c r="K15" i="24"/>
  <c r="C16" i="24"/>
  <c r="Q16" i="21"/>
  <c r="K16" i="24"/>
  <c r="C17" i="24"/>
  <c r="J18" i="24"/>
  <c r="I19" i="24"/>
  <c r="H21" i="24"/>
  <c r="G22" i="24"/>
  <c r="O22" i="24"/>
  <c r="F23" i="24"/>
  <c r="N23" i="24"/>
  <c r="F24" i="24"/>
  <c r="N24" i="24"/>
  <c r="G25" i="24"/>
  <c r="H26" i="24"/>
  <c r="P26" i="24"/>
  <c r="H27" i="24"/>
  <c r="H28" i="24"/>
  <c r="P28" i="24"/>
  <c r="H32" i="24"/>
  <c r="P32" i="24"/>
  <c r="Q36" i="21"/>
  <c r="L36" i="24"/>
  <c r="E37" i="24"/>
  <c r="F38" i="24"/>
  <c r="F40" i="24"/>
  <c r="G41" i="24"/>
  <c r="O41" i="24"/>
  <c r="G49" i="21"/>
  <c r="G48" i="24" s="1"/>
  <c r="O49" i="21"/>
  <c r="O46" i="24" s="1"/>
  <c r="Q46" i="21"/>
  <c r="G12" i="24"/>
  <c r="O12" i="24"/>
  <c r="N13" i="24"/>
  <c r="E14" i="24"/>
  <c r="L15" i="24"/>
  <c r="D16" i="24"/>
  <c r="L16" i="24"/>
  <c r="L17" i="24"/>
  <c r="C18" i="24"/>
  <c r="K18" i="24"/>
  <c r="J20" i="24"/>
  <c r="I21" i="24"/>
  <c r="H22" i="24"/>
  <c r="P22" i="24"/>
  <c r="G23" i="24"/>
  <c r="O23" i="24"/>
  <c r="G24" i="24"/>
  <c r="H25" i="24"/>
  <c r="I27" i="24"/>
  <c r="Q27" i="21"/>
  <c r="Q29" i="21"/>
  <c r="I31" i="24"/>
  <c r="Q31" i="21"/>
  <c r="Q34" i="21"/>
  <c r="K34" i="24"/>
  <c r="L35" i="24"/>
  <c r="O39" i="24"/>
  <c r="P48" i="24"/>
  <c r="O13" i="24"/>
  <c r="F14" i="24"/>
  <c r="N14" i="24"/>
  <c r="E15" i="24"/>
  <c r="M15" i="24"/>
  <c r="E16" i="24"/>
  <c r="E17" i="24"/>
  <c r="M17" i="24"/>
  <c r="D18" i="24"/>
  <c r="L18" i="24"/>
  <c r="C19" i="24"/>
  <c r="K19" i="24"/>
  <c r="C20" i="24"/>
  <c r="J21" i="24"/>
  <c r="I22" i="24"/>
  <c r="H23" i="24"/>
  <c r="H24" i="24"/>
  <c r="P24" i="24"/>
  <c r="J26" i="24"/>
  <c r="J28" i="24"/>
  <c r="Q33" i="21"/>
  <c r="M35" i="24"/>
  <c r="F36" i="24"/>
  <c r="H40" i="24"/>
  <c r="P40" i="24"/>
  <c r="Q45" i="21"/>
  <c r="O47" i="24"/>
  <c r="E18" i="24"/>
  <c r="D19" i="24"/>
  <c r="L19" i="24"/>
  <c r="D20" i="24"/>
  <c r="L20" i="24"/>
  <c r="C21" i="24"/>
  <c r="J22" i="24"/>
  <c r="I23" i="24"/>
  <c r="C26" i="24"/>
  <c r="Q26" i="21"/>
  <c r="C27" i="24"/>
  <c r="K27" i="24"/>
  <c r="C29" i="24"/>
  <c r="K30" i="24"/>
  <c r="L33" i="24"/>
  <c r="I39" i="24"/>
  <c r="Q39" i="21"/>
  <c r="L28" i="24"/>
  <c r="L29" i="24"/>
  <c r="E33" i="24"/>
  <c r="F34" i="24"/>
  <c r="N34" i="24"/>
  <c r="O35" i="24"/>
  <c r="J38" i="24"/>
  <c r="R44" i="21"/>
  <c r="Q49" i="21"/>
  <c r="Q48" i="24" s="1"/>
  <c r="H30" i="24"/>
  <c r="P30" i="24"/>
  <c r="O31" i="24"/>
  <c r="N32" i="24"/>
  <c r="M33" i="24"/>
  <c r="L34" i="24"/>
  <c r="C35" i="24"/>
  <c r="K35" i="24"/>
  <c r="I37" i="24"/>
  <c r="H38" i="24"/>
  <c r="P38" i="24"/>
  <c r="G39" i="24"/>
  <c r="N40" i="24"/>
  <c r="M41" i="24"/>
  <c r="E46" i="24"/>
  <c r="E49" i="24" s="1"/>
  <c r="E47" i="24"/>
  <c r="E48" i="24"/>
  <c r="D27" i="24"/>
  <c r="L27" i="24"/>
  <c r="C28" i="24"/>
  <c r="J29" i="24"/>
  <c r="I30" i="24"/>
  <c r="Q30" i="21"/>
  <c r="H31" i="24"/>
  <c r="P31" i="24"/>
  <c r="G32" i="24"/>
  <c r="O32" i="24"/>
  <c r="F33" i="24"/>
  <c r="N33" i="24"/>
  <c r="E34" i="24"/>
  <c r="M34" i="24"/>
  <c r="C36" i="24"/>
  <c r="J37" i="24"/>
  <c r="I38" i="24"/>
  <c r="H39" i="24"/>
  <c r="P39" i="24"/>
  <c r="G40" i="24"/>
  <c r="O40" i="24"/>
  <c r="F41" i="24"/>
  <c r="N41" i="24"/>
  <c r="N45" i="24"/>
  <c r="O17" i="24"/>
  <c r="D21" i="24"/>
  <c r="L21" i="24"/>
  <c r="C22" i="24"/>
  <c r="K22" i="24"/>
  <c r="J23" i="24"/>
  <c r="G26" i="24"/>
  <c r="O26" i="24"/>
  <c r="F27" i="24"/>
  <c r="N27" i="24"/>
  <c r="E28" i="24"/>
  <c r="M28" i="24"/>
  <c r="D29" i="24"/>
  <c r="C30" i="24"/>
  <c r="J31" i="24"/>
  <c r="I32" i="24"/>
  <c r="H33" i="24"/>
  <c r="P33" i="24"/>
  <c r="G34" i="24"/>
  <c r="O34" i="24"/>
  <c r="F35" i="24"/>
  <c r="N35" i="24"/>
  <c r="E36" i="24"/>
  <c r="M36" i="24"/>
  <c r="D37" i="24"/>
  <c r="C38" i="24"/>
  <c r="J39" i="24"/>
  <c r="I40" i="24"/>
  <c r="H41" i="24"/>
  <c r="P41" i="24"/>
  <c r="H44" i="24"/>
  <c r="H47" i="24"/>
  <c r="H48" i="24"/>
  <c r="L44" i="24"/>
  <c r="L13" i="24"/>
  <c r="C14" i="24"/>
  <c r="K14" i="24"/>
  <c r="I16" i="24"/>
  <c r="G18" i="24"/>
  <c r="O18" i="24"/>
  <c r="N19" i="24"/>
  <c r="F20" i="24"/>
  <c r="N20" i="24"/>
  <c r="D22" i="24"/>
  <c r="L22" i="24"/>
  <c r="C23" i="24"/>
  <c r="K23" i="24"/>
  <c r="J24" i="24"/>
  <c r="G27" i="24"/>
  <c r="O27" i="24"/>
  <c r="N28" i="24"/>
  <c r="M29" i="24"/>
  <c r="D30" i="24"/>
  <c r="L30" i="24"/>
  <c r="C31" i="24"/>
  <c r="K31" i="24"/>
  <c r="J32" i="24"/>
  <c r="I33" i="24"/>
  <c r="H34" i="24"/>
  <c r="P34" i="24"/>
  <c r="G35" i="24"/>
  <c r="N36" i="24"/>
  <c r="M37" i="24"/>
  <c r="D38" i="24"/>
  <c r="L38" i="24"/>
  <c r="C39" i="24"/>
  <c r="J40" i="24"/>
  <c r="I41" i="24"/>
  <c r="I44" i="24"/>
  <c r="I45" i="24"/>
  <c r="I46" i="24"/>
  <c r="I47" i="24"/>
  <c r="Q47" i="21"/>
  <c r="I48" i="24"/>
  <c r="M49" i="21"/>
  <c r="M48" i="24" s="1"/>
  <c r="G19" i="24"/>
  <c r="O19" i="24"/>
  <c r="G20" i="24"/>
  <c r="O20" i="24"/>
  <c r="F21" i="24"/>
  <c r="N21" i="24"/>
  <c r="L23" i="24"/>
  <c r="C24" i="24"/>
  <c r="K24" i="24"/>
  <c r="J25" i="24"/>
  <c r="I26" i="24"/>
  <c r="P27" i="24"/>
  <c r="G28" i="24"/>
  <c r="F29" i="24"/>
  <c r="N29" i="24"/>
  <c r="M30" i="24"/>
  <c r="L31" i="24"/>
  <c r="C32" i="24"/>
  <c r="J33" i="24"/>
  <c r="I34" i="24"/>
  <c r="H35" i="24"/>
  <c r="P35" i="24"/>
  <c r="G36" i="24"/>
  <c r="O36" i="24"/>
  <c r="F37" i="24"/>
  <c r="N37" i="24"/>
  <c r="E38" i="24"/>
  <c r="M38" i="24"/>
  <c r="D39" i="24"/>
  <c r="C40" i="24"/>
  <c r="J41" i="24"/>
  <c r="J44" i="24"/>
  <c r="J49" i="24" s="1"/>
  <c r="J45" i="24"/>
  <c r="J46" i="24"/>
  <c r="J47" i="24"/>
  <c r="J48" i="24"/>
  <c r="N49" i="21"/>
  <c r="N47" i="24" s="1"/>
  <c r="G29" i="24"/>
  <c r="O29" i="24"/>
  <c r="F30" i="24"/>
  <c r="E31" i="24"/>
  <c r="D32" i="24"/>
  <c r="L32" i="24"/>
  <c r="C33" i="24"/>
  <c r="K33" i="24"/>
  <c r="J34" i="24"/>
  <c r="I35" i="24"/>
  <c r="Q35" i="21"/>
  <c r="H36" i="24"/>
  <c r="P36" i="24"/>
  <c r="G37" i="24"/>
  <c r="N38" i="24"/>
  <c r="M39" i="24"/>
  <c r="L40" i="24"/>
  <c r="C41" i="24"/>
  <c r="K41" i="24"/>
  <c r="C49" i="21"/>
  <c r="C46" i="24" s="1"/>
  <c r="C44" i="24"/>
  <c r="K49" i="21"/>
  <c r="K48" i="24" s="1"/>
  <c r="K45" i="24"/>
  <c r="K46" i="24"/>
  <c r="C48" i="24"/>
  <c r="K26" i="24"/>
  <c r="J27" i="24"/>
  <c r="I28" i="24"/>
  <c r="Q28" i="21"/>
  <c r="H29" i="24"/>
  <c r="P29" i="24"/>
  <c r="G30" i="24"/>
  <c r="O30" i="24"/>
  <c r="F31" i="24"/>
  <c r="N31" i="24"/>
  <c r="E32" i="24"/>
  <c r="M32" i="24"/>
  <c r="D33" i="24"/>
  <c r="C34" i="24"/>
  <c r="J35" i="24"/>
  <c r="I36" i="24"/>
  <c r="H37" i="24"/>
  <c r="P37" i="24"/>
  <c r="G38" i="24"/>
  <c r="O38" i="24"/>
  <c r="F39" i="24"/>
  <c r="N39" i="24"/>
  <c r="E40" i="24"/>
  <c r="M40" i="24"/>
  <c r="D41" i="24"/>
  <c r="D49" i="21"/>
  <c r="D46" i="24" s="1"/>
  <c r="L45" i="24"/>
  <c r="L46" i="24"/>
  <c r="L47" i="24"/>
  <c r="L48" i="24"/>
  <c r="F49" i="21"/>
  <c r="F48" i="24" s="1"/>
  <c r="P49" i="21"/>
  <c r="P47" i="24" s="1"/>
  <c r="P43" i="49"/>
  <c r="P39" i="49"/>
  <c r="R39" i="49" s="1"/>
  <c r="P12" i="49"/>
  <c r="Q12" i="49"/>
  <c r="Q20" i="49"/>
  <c r="Q28" i="49"/>
  <c r="Q36" i="49"/>
  <c r="R36" i="49" s="1"/>
  <c r="F7" i="34"/>
  <c r="F11" i="34"/>
  <c r="Q9" i="49"/>
  <c r="R9" i="49" s="1"/>
  <c r="Q17" i="49"/>
  <c r="Q25" i="49"/>
  <c r="Q33" i="49"/>
  <c r="Q41" i="49"/>
  <c r="M13" i="49"/>
  <c r="P13" i="49" s="1"/>
  <c r="M21" i="49"/>
  <c r="P21" i="49" s="1"/>
  <c r="R21" i="49" s="1"/>
  <c r="Q22" i="49"/>
  <c r="M29" i="49"/>
  <c r="P29" i="49" s="1"/>
  <c r="R29" i="49" s="1"/>
  <c r="Q30" i="49"/>
  <c r="M37" i="49"/>
  <c r="P37" i="49" s="1"/>
  <c r="R37" i="49" s="1"/>
  <c r="Q38" i="49"/>
  <c r="M10" i="49"/>
  <c r="P10" i="49" s="1"/>
  <c r="R10" i="49" s="1"/>
  <c r="M18" i="49"/>
  <c r="P18" i="49" s="1"/>
  <c r="R18" i="49" s="1"/>
  <c r="M26" i="49"/>
  <c r="P26" i="49" s="1"/>
  <c r="R26" i="49" s="1"/>
  <c r="M34" i="49"/>
  <c r="P34" i="49" s="1"/>
  <c r="R34" i="49" s="1"/>
  <c r="M42" i="49"/>
  <c r="P42" i="49" s="1"/>
  <c r="R42" i="49" s="1"/>
  <c r="M41" i="49"/>
  <c r="P41" i="49" s="1"/>
  <c r="F8" i="34"/>
  <c r="D23" i="34" l="1"/>
  <c r="C23" i="34"/>
  <c r="C21" i="34"/>
  <c r="D19" i="34"/>
  <c r="D22" i="34"/>
  <c r="E22" i="34"/>
  <c r="E20" i="34"/>
  <c r="C22" i="34"/>
  <c r="E19" i="34"/>
  <c r="E18" i="34"/>
  <c r="E21" i="34"/>
  <c r="C20" i="34"/>
  <c r="D21" i="34"/>
  <c r="D20" i="34"/>
  <c r="C18" i="34"/>
  <c r="E6" i="37"/>
  <c r="C8" i="37"/>
  <c r="D9" i="37"/>
  <c r="D10" i="37"/>
  <c r="C9" i="37"/>
  <c r="E8" i="37"/>
  <c r="D11" i="37"/>
  <c r="C11" i="37"/>
  <c r="D8" i="37"/>
  <c r="C7" i="37"/>
  <c r="C10" i="37"/>
  <c r="D6" i="37"/>
  <c r="C6" i="37"/>
  <c r="D7" i="37"/>
  <c r="E10" i="37"/>
  <c r="E9" i="37"/>
  <c r="E7" i="37"/>
  <c r="E11" i="37"/>
  <c r="R13" i="49"/>
  <c r="R16" i="49"/>
  <c r="R41" i="49"/>
  <c r="R28" i="49"/>
  <c r="R32" i="49"/>
  <c r="R6" i="49"/>
  <c r="R25" i="49"/>
  <c r="R24" i="49"/>
  <c r="R38" i="49"/>
  <c r="R12" i="49"/>
  <c r="R22" i="49"/>
  <c r="R17" i="49"/>
  <c r="R30" i="49"/>
  <c r="R33" i="49"/>
  <c r="R20" i="49"/>
  <c r="Q47" i="49"/>
  <c r="M47" i="49"/>
  <c r="R18" i="21"/>
  <c r="F13" i="34"/>
  <c r="F20" i="34" s="1"/>
  <c r="R43" i="49"/>
  <c r="P47" i="49"/>
  <c r="K47" i="24"/>
  <c r="I49" i="24"/>
  <c r="L49" i="24"/>
  <c r="N46" i="24"/>
  <c r="G46" i="24"/>
  <c r="O44" i="24"/>
  <c r="O45" i="24"/>
  <c r="I15" i="24"/>
  <c r="E42" i="24"/>
  <c r="E30" i="24"/>
  <c r="M8" i="24"/>
  <c r="D7" i="24"/>
  <c r="O16" i="24"/>
  <c r="E31" i="8"/>
  <c r="K23" i="8"/>
  <c r="D45" i="24"/>
  <c r="F46" i="24"/>
  <c r="G45" i="24"/>
  <c r="D10" i="24"/>
  <c r="K42" i="24"/>
  <c r="K32" i="24"/>
  <c r="K40" i="24"/>
  <c r="O42" i="24"/>
  <c r="O37" i="24"/>
  <c r="I10" i="24"/>
  <c r="K30" i="8"/>
  <c r="D36" i="8"/>
  <c r="I35" i="8"/>
  <c r="H35" i="8"/>
  <c r="H36" i="8" s="1"/>
  <c r="L25" i="7"/>
  <c r="K31" i="7"/>
  <c r="L27" i="7" s="1"/>
  <c r="D48" i="24"/>
  <c r="D44" i="24"/>
  <c r="C45" i="24"/>
  <c r="D40" i="24"/>
  <c r="D23" i="24"/>
  <c r="K39" i="24"/>
  <c r="E29" i="24"/>
  <c r="J15" i="24"/>
  <c r="P46" i="24"/>
  <c r="F45" i="24"/>
  <c r="K28" i="24"/>
  <c r="M45" i="24"/>
  <c r="J36" i="24"/>
  <c r="Q44" i="24"/>
  <c r="D31" i="24"/>
  <c r="K29" i="24"/>
  <c r="K21" i="24"/>
  <c r="G47" i="24"/>
  <c r="J30" i="24"/>
  <c r="K20" i="24"/>
  <c r="M16" i="24"/>
  <c r="F47" i="24"/>
  <c r="I29" i="24"/>
  <c r="D17" i="24"/>
  <c r="G44" i="24"/>
  <c r="D36" i="24"/>
  <c r="O25" i="24"/>
  <c r="L39" i="24"/>
  <c r="M22" i="24"/>
  <c r="C13" i="24"/>
  <c r="D25" i="24"/>
  <c r="E10" i="24"/>
  <c r="E19" i="24"/>
  <c r="E7" i="24"/>
  <c r="L26" i="24"/>
  <c r="D9" i="24"/>
  <c r="Q42" i="21"/>
  <c r="R31" i="21" s="1"/>
  <c r="R6" i="21"/>
  <c r="R19" i="21"/>
  <c r="I12" i="24"/>
  <c r="C8" i="24"/>
  <c r="J17" i="24"/>
  <c r="J10" i="24"/>
  <c r="M23" i="24"/>
  <c r="F15" i="24"/>
  <c r="G7" i="24"/>
  <c r="I18" i="24"/>
  <c r="I8" i="24"/>
  <c r="L17" i="7"/>
  <c r="K17" i="8"/>
  <c r="K19" i="8"/>
  <c r="L19" i="7"/>
  <c r="C33" i="8"/>
  <c r="C36" i="8" s="1"/>
  <c r="R29" i="21"/>
  <c r="Q12" i="24"/>
  <c r="R12" i="21"/>
  <c r="R8" i="21"/>
  <c r="K44" i="24"/>
  <c r="K49" i="24" s="1"/>
  <c r="Q47" i="24"/>
  <c r="R47" i="21"/>
  <c r="P45" i="24"/>
  <c r="N44" i="24"/>
  <c r="M44" i="24"/>
  <c r="M46" i="24"/>
  <c r="Q27" i="24"/>
  <c r="O48" i="24"/>
  <c r="I20" i="24"/>
  <c r="Q32" i="24"/>
  <c r="R32" i="21"/>
  <c r="M21" i="24"/>
  <c r="I14" i="24"/>
  <c r="M18" i="24"/>
  <c r="D26" i="24"/>
  <c r="I13" i="24"/>
  <c r="J11" i="24"/>
  <c r="N31" i="20"/>
  <c r="J9" i="24"/>
  <c r="R23" i="21"/>
  <c r="M14" i="24"/>
  <c r="M12" i="24"/>
  <c r="O15" i="24"/>
  <c r="G31" i="8"/>
  <c r="J36" i="8"/>
  <c r="P42" i="24"/>
  <c r="P25" i="24"/>
  <c r="P21" i="24"/>
  <c r="P10" i="24"/>
  <c r="L9" i="7"/>
  <c r="K9" i="8"/>
  <c r="K11" i="8"/>
  <c r="L11" i="7"/>
  <c r="D47" i="24"/>
  <c r="P44" i="24"/>
  <c r="F44" i="24"/>
  <c r="F49" i="24" s="1"/>
  <c r="R48" i="21"/>
  <c r="Q45" i="24"/>
  <c r="R45" i="21"/>
  <c r="Q37" i="24"/>
  <c r="R37" i="21"/>
  <c r="D12" i="24"/>
  <c r="I7" i="24"/>
  <c r="Q15" i="24"/>
  <c r="R15" i="21"/>
  <c r="K25" i="24"/>
  <c r="J12" i="24"/>
  <c r="D8" i="24"/>
  <c r="J16" i="24"/>
  <c r="K10" i="24"/>
  <c r="O14" i="24"/>
  <c r="J7" i="24"/>
  <c r="E23" i="24"/>
  <c r="M24" i="24"/>
  <c r="E12" i="24"/>
  <c r="G15" i="24"/>
  <c r="L26" i="7"/>
  <c r="K26" i="8"/>
  <c r="P6" i="24"/>
  <c r="H11" i="24"/>
  <c r="I34" i="8"/>
  <c r="I36" i="8" s="1"/>
  <c r="H31" i="8"/>
  <c r="H49" i="24"/>
  <c r="N48" i="24"/>
  <c r="M47" i="24"/>
  <c r="D6" i="24"/>
  <c r="M27" i="24"/>
  <c r="K12" i="24"/>
  <c r="M6" i="24"/>
  <c r="M9" i="24"/>
  <c r="Q25" i="24"/>
  <c r="R25" i="21"/>
  <c r="K11" i="24"/>
  <c r="L7" i="24"/>
  <c r="C10" i="24"/>
  <c r="E24" i="24"/>
  <c r="L37" i="24"/>
  <c r="Q11" i="24"/>
  <c r="R11" i="21"/>
  <c r="K18" i="8"/>
  <c r="L18" i="7"/>
  <c r="K12" i="8"/>
  <c r="L12" i="7"/>
  <c r="F33" i="8"/>
  <c r="F36" i="8" s="1"/>
  <c r="D31" i="8"/>
  <c r="I31" i="8"/>
  <c r="Q33" i="24"/>
  <c r="R33" i="21"/>
  <c r="I25" i="24"/>
  <c r="D13" i="24"/>
  <c r="I24" i="24"/>
  <c r="D35" i="24"/>
  <c r="D34" i="24"/>
  <c r="Q39" i="24"/>
  <c r="R39" i="21"/>
  <c r="Q26" i="24"/>
  <c r="R26" i="21"/>
  <c r="Q34" i="24"/>
  <c r="R34" i="21"/>
  <c r="O24" i="24"/>
  <c r="J19" i="24"/>
  <c r="D15" i="24"/>
  <c r="Q46" i="24"/>
  <c r="R46" i="21"/>
  <c r="R49" i="21" s="1"/>
  <c r="K17" i="24"/>
  <c r="D14" i="24"/>
  <c r="I9" i="24"/>
  <c r="C47" i="24"/>
  <c r="C49" i="24" s="1"/>
  <c r="O33" i="24"/>
  <c r="E25" i="24"/>
  <c r="I17" i="24"/>
  <c r="E11" i="24"/>
  <c r="J6" i="24"/>
  <c r="E27" i="24"/>
  <c r="C12" i="24"/>
  <c r="E6" i="24"/>
  <c r="E9" i="24"/>
  <c r="C25" i="24"/>
  <c r="C11" i="24"/>
  <c r="Q7" i="24"/>
  <c r="R7" i="21"/>
  <c r="K9" i="24"/>
  <c r="D28" i="24"/>
  <c r="G17" i="24"/>
  <c r="F11" i="24"/>
  <c r="F6" i="24"/>
  <c r="K36" i="24"/>
  <c r="K36" i="7"/>
  <c r="K33" i="8" s="1"/>
  <c r="K10" i="8"/>
  <c r="L10" i="7"/>
  <c r="J31" i="8"/>
  <c r="C24" i="34" l="1"/>
  <c r="F21" i="34"/>
  <c r="F22" i="34"/>
  <c r="F23" i="34"/>
  <c r="F18" i="34"/>
  <c r="F19" i="34"/>
  <c r="C12" i="37"/>
  <c r="D12" i="37"/>
  <c r="E12" i="37"/>
  <c r="F10" i="37"/>
  <c r="R47" i="49"/>
  <c r="R16" i="21"/>
  <c r="R13" i="21"/>
  <c r="Q38" i="24"/>
  <c r="K6" i="8"/>
  <c r="L23" i="8" s="1"/>
  <c r="R22" i="21"/>
  <c r="R24" i="21"/>
  <c r="Q30" i="24"/>
  <c r="F9" i="37"/>
  <c r="F8" i="37"/>
  <c r="F11" i="37"/>
  <c r="Q16" i="24"/>
  <c r="Q13" i="24"/>
  <c r="Q49" i="24"/>
  <c r="K28" i="8"/>
  <c r="L21" i="7"/>
  <c r="L16" i="7"/>
  <c r="K24" i="8"/>
  <c r="K14" i="8"/>
  <c r="K16" i="8"/>
  <c r="L14" i="7"/>
  <c r="K20" i="8"/>
  <c r="L22" i="7"/>
  <c r="L8" i="7"/>
  <c r="L29" i="7"/>
  <c r="L20" i="7"/>
  <c r="K22" i="8"/>
  <c r="K8" i="8"/>
  <c r="K29" i="8"/>
  <c r="K13" i="8"/>
  <c r="L13" i="7"/>
  <c r="L28" i="7"/>
  <c r="K21" i="8"/>
  <c r="L24" i="7"/>
  <c r="L30" i="7"/>
  <c r="Q22" i="24"/>
  <c r="Q24" i="24"/>
  <c r="L23" i="7"/>
  <c r="K27" i="8"/>
  <c r="F6" i="37"/>
  <c r="R27" i="21"/>
  <c r="Q29" i="24"/>
  <c r="Q19" i="24"/>
  <c r="K25" i="8"/>
  <c r="L15" i="7"/>
  <c r="R9" i="21"/>
  <c r="O49" i="24"/>
  <c r="Q18" i="24"/>
  <c r="L33" i="7"/>
  <c r="R36" i="21"/>
  <c r="K15" i="8"/>
  <c r="R35" i="21"/>
  <c r="R10" i="21"/>
  <c r="Q9" i="24"/>
  <c r="Q31" i="24"/>
  <c r="P49" i="24"/>
  <c r="Q23" i="24"/>
  <c r="M49" i="24"/>
  <c r="Q8" i="24"/>
  <c r="Q6" i="24"/>
  <c r="D49" i="24"/>
  <c r="Q36" i="24"/>
  <c r="Q35" i="24"/>
  <c r="Q10" i="24"/>
  <c r="F7" i="37"/>
  <c r="K34" i="8"/>
  <c r="K36" i="8" s="1"/>
  <c r="L34" i="7"/>
  <c r="K35" i="8"/>
  <c r="L35" i="7"/>
  <c r="N49" i="24"/>
  <c r="R42" i="21"/>
  <c r="R17" i="21"/>
  <c r="Q41" i="24"/>
  <c r="Q17" i="24"/>
  <c r="R41" i="21"/>
  <c r="R14" i="21"/>
  <c r="Q14" i="24"/>
  <c r="Q40" i="24"/>
  <c r="Q20" i="24"/>
  <c r="R40" i="21"/>
  <c r="R20" i="21"/>
  <c r="G49" i="24"/>
  <c r="R21" i="21"/>
  <c r="R28" i="21"/>
  <c r="L7" i="7"/>
  <c r="R38" i="21"/>
  <c r="L6" i="7"/>
  <c r="Q21" i="24"/>
  <c r="Q28" i="24"/>
  <c r="K7" i="8"/>
  <c r="R30" i="21"/>
  <c r="F12" i="37" l="1"/>
  <c r="L7" i="8"/>
  <c r="L26" i="8"/>
  <c r="L30" i="8"/>
  <c r="L24" i="8"/>
  <c r="L10" i="8"/>
  <c r="L21" i="8"/>
  <c r="L31" i="7"/>
  <c r="L27" i="8"/>
  <c r="L28" i="8"/>
  <c r="L6" i="8"/>
  <c r="K31" i="8"/>
  <c r="M6" i="8"/>
  <c r="L13" i="8"/>
  <c r="L20" i="8"/>
  <c r="Q42" i="24"/>
  <c r="S6" i="24"/>
  <c r="L15" i="8"/>
  <c r="L25" i="8"/>
  <c r="L29" i="8"/>
  <c r="L17" i="8"/>
  <c r="L18" i="8"/>
  <c r="L19" i="8"/>
  <c r="L8" i="8"/>
  <c r="L16" i="8"/>
  <c r="L11" i="8"/>
  <c r="L12" i="8"/>
  <c r="L36" i="7"/>
  <c r="L22" i="8"/>
  <c r="L14" i="8"/>
  <c r="L9" i="8"/>
  <c r="L37" i="5" l="1"/>
  <c r="D24" i="34" l="1"/>
  <c r="E24" i="34"/>
  <c r="F24" i="34"/>
</calcChain>
</file>

<file path=xl/sharedStrings.xml><?xml version="1.0" encoding="utf-8"?>
<sst xmlns="http://schemas.openxmlformats.org/spreadsheetml/2006/main" count="2170" uniqueCount="295">
  <si>
    <t>INSURANCE REGULATORY AUTHORITY</t>
  </si>
  <si>
    <t>TYPE OF INDUSTRY STATISTICS</t>
  </si>
  <si>
    <t>Quarterly (Unaudited)</t>
  </si>
  <si>
    <t>QUARTER</t>
  </si>
  <si>
    <t xml:space="preserve"> YEAR</t>
  </si>
  <si>
    <t>PERIOD ENDED</t>
  </si>
  <si>
    <t>31.03.2025</t>
  </si>
  <si>
    <t>RELIANCE AND LIMITATIONS</t>
  </si>
  <si>
    <t>The insurance information contained in this workbook has been extracted from the quarterly unaudited returns submitted to the Authority in line with Section 54 of the Insurance Act. No adjustments have been made to the returns’ data except where necessary in consultation with the affected insurer(s) or reinsurer(s).
The publication of any summary of the returns in this report does not necessarily mean that the returns so summarized have satisfied all the requirements of the Insurance Act, or that the Commissioner of Insurance approves the accuracy or the contents of the returns
Where necessary, figures have been adjusted to eliminate errors in totals due to rounding off, and are given in thousands Kenya shillings (‘000’ KES) except where otherwise stated. The report incorporates data from all insurers and reinsurers except for Jubilee Allianz General Insurance Limited, Invesco Assurance Company and Corporate Insurance Company Limited-Life due to non-submission of 2024 Q2 unaudited returns.</t>
  </si>
  <si>
    <t>2025 QUARTER ONE STATISTICS</t>
  </si>
  <si>
    <t>TABLE OF CONTENTS</t>
  </si>
  <si>
    <t>Link</t>
  </si>
  <si>
    <t>Description</t>
  </si>
  <si>
    <t>APPENDIX 1</t>
  </si>
  <si>
    <t>APPENDIX 2</t>
  </si>
  <si>
    <t>APPENDIX 3</t>
  </si>
  <si>
    <t>APPENDIX 4</t>
  </si>
  <si>
    <t>APPENDIX 5</t>
  </si>
  <si>
    <t>APPENDIX 6</t>
  </si>
  <si>
    <t>APPENDIX 7</t>
  </si>
  <si>
    <t>APPENDIX 8</t>
  </si>
  <si>
    <t>APPENDIX 9</t>
  </si>
  <si>
    <t>APPENDIX 10</t>
  </si>
  <si>
    <t>APPENDIX 11</t>
  </si>
  <si>
    <t>APPENDIX 12</t>
  </si>
  <si>
    <t>APPENDIX 13</t>
  </si>
  <si>
    <t>APPENDIX 14</t>
  </si>
  <si>
    <t>APPENDIX 15</t>
  </si>
  <si>
    <t>APPENDIX 16</t>
  </si>
  <si>
    <t>APPENDIX 17</t>
  </si>
  <si>
    <t>APPENDIX 18</t>
  </si>
  <si>
    <t>APPENDIX 19</t>
  </si>
  <si>
    <t>APPENDIX 20</t>
  </si>
  <si>
    <t>APPENDIX 21</t>
  </si>
  <si>
    <t>APPENDIX 22</t>
  </si>
  <si>
    <t>APPENDIX 23</t>
  </si>
  <si>
    <t>Company</t>
  </si>
  <si>
    <t>Insurance Revenue</t>
  </si>
  <si>
    <t>Insurance Service Expense</t>
  </si>
  <si>
    <t>Net expenses from reinsurance contracts held</t>
  </si>
  <si>
    <t>Insurance Service Result</t>
  </si>
  <si>
    <t>Net Investment Income</t>
  </si>
  <si>
    <t>Finance expenses from insurance contracts</t>
  </si>
  <si>
    <t>Finance income from reinsurance contracts</t>
  </si>
  <si>
    <t xml:space="preserve">Net Financial Result </t>
  </si>
  <si>
    <t>Asset management services revenue</t>
  </si>
  <si>
    <t>Other Income</t>
  </si>
  <si>
    <t>Other finance costs</t>
  </si>
  <si>
    <t>Other operating expenses</t>
  </si>
  <si>
    <t>Share of profit of associates and joint ventures accounted for using the equity method</t>
  </si>
  <si>
    <t>Profit before income tax</t>
  </si>
  <si>
    <t>Income tax expense</t>
  </si>
  <si>
    <t>Profit for the year</t>
  </si>
  <si>
    <t>INSURERS</t>
  </si>
  <si>
    <t>AAR INSURANCE KENYA</t>
  </si>
  <si>
    <t xml:space="preserve">AFRICAN MERCHANT ASSURANCE </t>
  </si>
  <si>
    <t>APA INSURANCE COMPANY</t>
  </si>
  <si>
    <t>BRITAM GENERAL INSURANCE</t>
  </si>
  <si>
    <t>CANNON GENERAL INSURANCE (K) LIMITED</t>
  </si>
  <si>
    <t>CIC GENERAL INSURANCE COMPANY</t>
  </si>
  <si>
    <t>CORPORATE INSURANCE COMPANY</t>
  </si>
  <si>
    <t>DEFINITE ASSURANCE COMPANY</t>
  </si>
  <si>
    <t>DIRECTLINE ASSURANCE COMPANY</t>
  </si>
  <si>
    <t>EQUITY GENERAL INSURANCE LIMITED</t>
  </si>
  <si>
    <t xml:space="preserve">FIDELITY SHIELD INSURANCE  </t>
  </si>
  <si>
    <t>FIRST ASSURANCE COMPANY</t>
  </si>
  <si>
    <t>GA INSURANCE COMPANY</t>
  </si>
  <si>
    <t xml:space="preserve">GEMINIA INSURANCE COMPANY </t>
  </si>
  <si>
    <t>ICEA LION GENERAL INSURANCE</t>
  </si>
  <si>
    <t xml:space="preserve">INTRA-AFRICA ASSURANCE </t>
  </si>
  <si>
    <t>JUBILEE ALLIANZ GENERAL INSURANCE</t>
  </si>
  <si>
    <t>JUBILEE HEALTH INSURANCE</t>
  </si>
  <si>
    <t xml:space="preserve">KENINDIA ASSURANCE COMPANY </t>
  </si>
  <si>
    <t>KENYA ORIENT INSURANCE</t>
  </si>
  <si>
    <t>MADISON INSURANCE COMPANY</t>
  </si>
  <si>
    <t>MAYFAIR INSURANCE COMPANY</t>
  </si>
  <si>
    <t>MUA INSURANCE COMPANY</t>
  </si>
  <si>
    <t>NCBA INSURANCE COMPANY</t>
  </si>
  <si>
    <t xml:space="preserve">OCCIDENTAL INSURANCE COMPANY </t>
  </si>
  <si>
    <t xml:space="preserve">OLD MUTUAL GENERAL INSURANCE </t>
  </si>
  <si>
    <t>PACIS INSURANCE COMPANY</t>
  </si>
  <si>
    <t>PIONEER INSURANCE COMPANY</t>
  </si>
  <si>
    <t>SANLAM INSURANCE COMPANY</t>
  </si>
  <si>
    <t>STAR DISCOVER INSURANCE</t>
  </si>
  <si>
    <t>TAKAFUL INSURANCE OF AFRICA</t>
  </si>
  <si>
    <t>TAUSI ASSURANCE COMPANY</t>
  </si>
  <si>
    <t>THE HERITAGE INSURANCE COMPANY</t>
  </si>
  <si>
    <t xml:space="preserve">THE KENYAN ALLIANCE INSURANCE </t>
  </si>
  <si>
    <t xml:space="preserve">THE MONARCH INSURANCE </t>
  </si>
  <si>
    <t xml:space="preserve">TRIDENT INSURANCE COMPANY </t>
  </si>
  <si>
    <t>TOTAL</t>
  </si>
  <si>
    <t>REINSURERS</t>
  </si>
  <si>
    <t>CONTINENTAL REINSURANCE</t>
  </si>
  <si>
    <t xml:space="preserve">EAST AFRICA REINSURANCE </t>
  </si>
  <si>
    <t>GHANA REINSURANCE COMPANY</t>
  </si>
  <si>
    <t>KENYA REINSURANCE CORPORATION</t>
  </si>
  <si>
    <t>WAICA REINSURANCE KENYA LIMITED</t>
  </si>
  <si>
    <t>GRAND TOTAL</t>
  </si>
  <si>
    <t>Amounts in Thousand Shillings</t>
  </si>
  <si>
    <t>ABSA LIFE ASSURANCE</t>
  </si>
  <si>
    <t xml:space="preserve">APA LIFE ASSURANCE COMPANY </t>
  </si>
  <si>
    <t>BRITAM LIFE ASSURANCE</t>
  </si>
  <si>
    <t>CANNON LIFE ASSURANCE (K) LIMITED</t>
  </si>
  <si>
    <t>CAPEX LIFE ASSURANCE COMPANY</t>
  </si>
  <si>
    <t>CIC LIFE ASSURANCE COMPANY</t>
  </si>
  <si>
    <t xml:space="preserve">EQUITY LIFE ASSURANCE </t>
  </si>
  <si>
    <t xml:space="preserve">GA LIFE ASSURANCE COMPANY </t>
  </si>
  <si>
    <t>GEMINIA LIFE INSURANCE COMPANY</t>
  </si>
  <si>
    <t xml:space="preserve">ICEA LION LIFE ASSURANCE </t>
  </si>
  <si>
    <t>JUBILEE LIFE INSURANCE</t>
  </si>
  <si>
    <t>KENINDIA ASSURANCE COMPANY</t>
  </si>
  <si>
    <t>KENYA ORIENT LIFE ASSURANCE</t>
  </si>
  <si>
    <t>KUSCCO MUTUAL ASSURANCE LIMITED</t>
  </si>
  <si>
    <t>LIBERTY LIFE ASSURANCE COMPANY</t>
  </si>
  <si>
    <t>OLD MUTUAL ASSURANCE COMPANY</t>
  </si>
  <si>
    <t>OLD MUTUAL LIFE ASSURANCE KENYA</t>
  </si>
  <si>
    <t xml:space="preserve">PIONEER ASSURANCE COMPANY </t>
  </si>
  <si>
    <t>PRUDENTIAL LIFE ASSURANCE</t>
  </si>
  <si>
    <t>SANLAM LIFE ASSURANCE</t>
  </si>
  <si>
    <t>STAR DISCOVER LIFE INSURANCE</t>
  </si>
  <si>
    <t>THE KENYAN ALLIANCE INSURANCE</t>
  </si>
  <si>
    <t>THE MONARCH INSURANCE</t>
  </si>
  <si>
    <t>APA MICRO INSURANCE</t>
  </si>
  <si>
    <t>BIRDVIEW MICRO INSURANCE</t>
  </si>
  <si>
    <t>BRITAM MICRO INSURANCE</t>
  </si>
  <si>
    <t>CIC MICRO INSURANCE</t>
  </si>
  <si>
    <t>STAR DISCOVER MICRO INSURANCE</t>
  </si>
  <si>
    <t>TURACO MICRO INSURANCE</t>
  </si>
  <si>
    <t>Life Assurances</t>
  </si>
  <si>
    <t>Annuities</t>
  </si>
  <si>
    <t>Personal Pensions</t>
  </si>
  <si>
    <t>Deposit Administration</t>
  </si>
  <si>
    <t>Group Life</t>
  </si>
  <si>
    <t>Group Credit</t>
  </si>
  <si>
    <t xml:space="preserve">Permanent Health </t>
  </si>
  <si>
    <t>Investments</t>
  </si>
  <si>
    <t>Total</t>
  </si>
  <si>
    <t>Market Share (%)</t>
  </si>
  <si>
    <t>Pensions</t>
  </si>
  <si>
    <t>Figures in %</t>
  </si>
  <si>
    <t>Life Fund BF</t>
  </si>
  <si>
    <t>Gross Premium</t>
  </si>
  <si>
    <t xml:space="preserve">Net Premium </t>
  </si>
  <si>
    <t>Other (Fee) Income</t>
  </si>
  <si>
    <t>Total Benefits</t>
  </si>
  <si>
    <t>Claims</t>
  </si>
  <si>
    <t>Surrenders_x000D_</t>
  </si>
  <si>
    <t>Bonuses Paid</t>
  </si>
  <si>
    <t>Annuities Paid</t>
  </si>
  <si>
    <t>Net Commisions</t>
  </si>
  <si>
    <t xml:space="preserve">Expense of Management </t>
  </si>
  <si>
    <t>Investment Income</t>
  </si>
  <si>
    <t>Investment Expenses</t>
  </si>
  <si>
    <t>Transfer To (From) P &amp; L</t>
  </si>
  <si>
    <t>Life Fund CF</t>
  </si>
  <si>
    <t xml:space="preserve">JUBILEE INSURANCE COMPANY </t>
  </si>
  <si>
    <t xml:space="preserve">Aviation </t>
  </si>
  <si>
    <t>Engineering</t>
  </si>
  <si>
    <t>Fire Domestic</t>
  </si>
  <si>
    <t>Fire Industrial</t>
  </si>
  <si>
    <t>Liability</t>
  </si>
  <si>
    <t>Marine</t>
  </si>
  <si>
    <t>Motor Private</t>
  </si>
  <si>
    <t>Motor Commercial</t>
  </si>
  <si>
    <t>Motor Commercial PSV</t>
  </si>
  <si>
    <t>Personal Accident</t>
  </si>
  <si>
    <t>Theft</t>
  </si>
  <si>
    <t>Workmens' Compensation</t>
  </si>
  <si>
    <t>Medical</t>
  </si>
  <si>
    <t>Miscellaneous</t>
  </si>
  <si>
    <t xml:space="preserve">Total_x000D_
</t>
  </si>
  <si>
    <t xml:space="preserve">TOTAL </t>
  </si>
  <si>
    <t>figures in %</t>
  </si>
  <si>
    <t xml:space="preserve">Gross Direct Premium </t>
  </si>
  <si>
    <t>Inward Reinsurance</t>
  </si>
  <si>
    <t xml:space="preserve">Outward Reinsurance </t>
  </si>
  <si>
    <t>Net Premium Written</t>
  </si>
  <si>
    <t>UPR B/F</t>
  </si>
  <si>
    <t xml:space="preserve"> Unexpired Risk Reserve (B/F) </t>
  </si>
  <si>
    <t xml:space="preserve">UPR C/F_x000D_
</t>
  </si>
  <si>
    <t>Net Earned Premium Income</t>
  </si>
  <si>
    <t>Incurred Claims</t>
  </si>
  <si>
    <t>Underwriting Profit /(Loss)</t>
  </si>
  <si>
    <t xml:space="preserve">Operating Profit_x000D_
</t>
  </si>
  <si>
    <t>Life</t>
  </si>
  <si>
    <t>General</t>
  </si>
  <si>
    <t>Bundled</t>
  </si>
  <si>
    <t>Amounts not in Thousand Shillings</t>
  </si>
  <si>
    <t>Share Capital</t>
  </si>
  <si>
    <t xml:space="preserve">Share Premium_x000D_
</t>
  </si>
  <si>
    <t>Revaluation Reserves</t>
  </si>
  <si>
    <t>Statutory Reserves</t>
  </si>
  <si>
    <t>Other Equity</t>
  </si>
  <si>
    <t>Retained Earnings</t>
  </si>
  <si>
    <t>Other Reserves</t>
  </si>
  <si>
    <t xml:space="preserve">Total Equity_x000D_
</t>
  </si>
  <si>
    <t>Investment Contract Liabilites</t>
  </si>
  <si>
    <t>Insurance Contract Liabilites</t>
  </si>
  <si>
    <t>Reinsurance Contract Liabilites</t>
  </si>
  <si>
    <t>Long-Term Liabilites</t>
  </si>
  <si>
    <t>Short-Term Liabilites</t>
  </si>
  <si>
    <t>Other Liabilites</t>
  </si>
  <si>
    <t>Total Equity And Liabilities</t>
  </si>
  <si>
    <t>Intangible Assets</t>
  </si>
  <si>
    <t>Land and Buildings</t>
  </si>
  <si>
    <t>Investment Property</t>
  </si>
  <si>
    <t>Fixed Assets</t>
  </si>
  <si>
    <t>Government Securites</t>
  </si>
  <si>
    <t>Other Securites</t>
  </si>
  <si>
    <t>Investment in Related Parties</t>
  </si>
  <si>
    <t>Corporate Bonds</t>
  </si>
  <si>
    <t>Commercial Papers</t>
  </si>
  <si>
    <t>Debentures</t>
  </si>
  <si>
    <t>Ordinary Shares Quoted</t>
  </si>
  <si>
    <t>Ordinary Shares Unquoted</t>
  </si>
  <si>
    <t>Preference Shares Quoted</t>
  </si>
  <si>
    <t>Preference Shares Unquoted</t>
  </si>
  <si>
    <t>Loans Secured and Unsecured</t>
  </si>
  <si>
    <t>Mortgages</t>
  </si>
  <si>
    <t>Term Deposits</t>
  </si>
  <si>
    <t>Cash and Cash Balances</t>
  </si>
  <si>
    <t>Insurance Contract Assets</t>
  </si>
  <si>
    <t>Reinsurance Contract Assets</t>
  </si>
  <si>
    <t>Other Receivables</t>
  </si>
  <si>
    <t>Other Assets</t>
  </si>
  <si>
    <t>Total Assets</t>
  </si>
  <si>
    <t xml:space="preserve">Amounts in thousand Shillings                                                                                                                                                                                         </t>
  </si>
  <si>
    <t>Continued next page</t>
  </si>
  <si>
    <t>Continued from previous page</t>
  </si>
  <si>
    <t>Industry</t>
  </si>
  <si>
    <t>Insurers</t>
  </si>
  <si>
    <t>Reinsurers</t>
  </si>
  <si>
    <t>COMPANY</t>
  </si>
  <si>
    <t>Share Premium</t>
  </si>
  <si>
    <t>Revaluation Reserve</t>
  </si>
  <si>
    <t xml:space="preserve">Amounts in thousand Shillings                                                                                                                                                                                               </t>
  </si>
  <si>
    <t>Details_Range</t>
  </si>
  <si>
    <t>Appendix_1_Range</t>
  </si>
  <si>
    <t>Appendix_2_Range</t>
  </si>
  <si>
    <t>Appendix_3_Range</t>
  </si>
  <si>
    <t>Appendix_4_Range</t>
  </si>
  <si>
    <t>Appendix_5_Range</t>
  </si>
  <si>
    <t>Appendix_6_Range</t>
  </si>
  <si>
    <t>Appendix_7_Range</t>
  </si>
  <si>
    <t>Appendix_8_Range</t>
  </si>
  <si>
    <t>Appendix_9_Range</t>
  </si>
  <si>
    <t>Appendix_10_Range</t>
  </si>
  <si>
    <t>Appendix_11_Range</t>
  </si>
  <si>
    <t>Appendix_12_Range</t>
  </si>
  <si>
    <t>Appendix_13_Range</t>
  </si>
  <si>
    <t>Appendix_14_Range</t>
  </si>
  <si>
    <t>Appendix_15_Range</t>
  </si>
  <si>
    <t>Appendix_16_Range</t>
  </si>
  <si>
    <t>Appendix_17_Range</t>
  </si>
  <si>
    <t>Appendix_18_Range</t>
  </si>
  <si>
    <t>Appendix_19_Range</t>
  </si>
  <si>
    <t>Appendix_20_Range</t>
  </si>
  <si>
    <t>Appendix_21_Range</t>
  </si>
  <si>
    <t>Appendix_22_Range</t>
  </si>
  <si>
    <t>Appendix_23_Range</t>
  </si>
  <si>
    <t>Appendix_24_Range</t>
  </si>
  <si>
    <t>Appendix_25_Range</t>
  </si>
  <si>
    <t>Appendix_26_Range</t>
  </si>
  <si>
    <t>Appendix_27_Range</t>
  </si>
  <si>
    <t>Appendix_28_Range</t>
  </si>
  <si>
    <t>Appendix_29i_Range</t>
  </si>
  <si>
    <t>Appendix_29ii_Range</t>
  </si>
  <si>
    <t>Appendix_29iii_Range</t>
  </si>
  <si>
    <t>Appendix_30i_Range</t>
  </si>
  <si>
    <t>Appendix_30ii_Range</t>
  </si>
  <si>
    <t>Appendix_30iii_Range</t>
  </si>
  <si>
    <t>Appendix_30iv_Range</t>
  </si>
  <si>
    <t>Appendix_31i_Range</t>
  </si>
  <si>
    <t>(%)</t>
  </si>
  <si>
    <t xml:space="preserve">Average
</t>
  </si>
  <si>
    <t>SUMMARY OF INCURRED CLAIMS RATIOS</t>
  </si>
  <si>
    <t>SUMMARY OF UNDERWRITING PROFITS</t>
  </si>
  <si>
    <t>SUMMARY OF CLAIMS PAID</t>
  </si>
  <si>
    <t>SUMMARY OF INCURRED CLAIMS</t>
  </si>
  <si>
    <t>APPENDIX 23Micro</t>
  </si>
  <si>
    <t>APPENDIX 24Micro</t>
  </si>
  <si>
    <t>APPENDIX 25Micro</t>
  </si>
  <si>
    <t>APPENDIX 26Micro</t>
  </si>
  <si>
    <t>APPENDIX 27Micro</t>
  </si>
  <si>
    <t>APPENDIX 24 i</t>
  </si>
  <si>
    <t>APPENDIX 24 ii</t>
  </si>
  <si>
    <t>APPENDIX 24 iii</t>
  </si>
  <si>
    <t>APPENDIX 25 i</t>
  </si>
  <si>
    <t>APPENDIX 25 ii</t>
  </si>
  <si>
    <t>APPENDIX 25 iii</t>
  </si>
  <si>
    <t>APPENDIX 25 iv</t>
  </si>
  <si>
    <t>APPENDIX 26 i</t>
  </si>
  <si>
    <t>SUMMARY OF MARKET SHARE PER CLASS OF BUSINESS</t>
  </si>
  <si>
    <t xml:space="preserve">Amounts in thousand shillings unless otherwise stated </t>
  </si>
  <si>
    <t>SUMMARY OF GROSS PREMIUM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</si>
</sst>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164" formatCode="_-* #,##0_-;\-* #,##0_-;_-* &quot;-&quot;_-;_-@_-"/>
    <numFmt numFmtId="165" formatCode="_-* #,##0.00_-;\-* #,##0.00_-;_-* &quot;-&quot;??_-;_-@_-"/>
    <numFmt numFmtId="166" formatCode="_-* #,##0_-;\-* #,##0_-;_-* &quot;-&quot;??_-;_-@_-"/>
    <numFmt numFmtId="167" formatCode="_(* #,##0_);_(* \(#,##0\);_(* &quot;-&quot;??_);_(@_)"/>
    <numFmt numFmtId="168" formatCode="_(* #,##0_);_(* \(\ #,##0\ \);_(* &quot;-&quot;??_);_(\ @_ \)"/>
    <numFmt numFmtId="169" formatCode="0.0"/>
    <numFmt numFmtId="170" formatCode="_(* #,##0.00_);_(* \(\ #,##0.00\ \);_(* &quot;-&quot;??_);_(\ @_ \)"/>
  </numFmts>
  <fonts count="43" x14ac:knownFonts="1">
    <font>
      <sz val="11"/>
      <color theme="1"/>
      <name val="Calibri"/>
      <family val="2"/>
      <scheme val="minor"/>
    </font>
    <font>
      <sz val="11"/>
      <color theme="1"/>
      <name val="Calibri"/>
      <family val="2"/>
      <scheme val="minor"/>
    </font>
    <font>
      <b/>
      <sz val="11"/>
      <color theme="1"/>
      <name val="Calibri"/>
      <family val="2"/>
      <scheme val="minor"/>
    </font>
    <font>
      <b/>
      <sz val="11"/>
      <name val="Bookman Old Style"/>
      <family val="1"/>
    </font>
    <font>
      <b/>
      <sz val="10"/>
      <name val="Bookman Old Style"/>
      <family val="1"/>
    </font>
    <font>
      <b/>
      <sz val="9"/>
      <name val="Bookman Old Style"/>
      <family val="1"/>
    </font>
    <font>
      <sz val="10"/>
      <color indexed="8"/>
      <name val="Bookman Old Style"/>
      <family val="1"/>
    </font>
    <font>
      <b/>
      <sz val="10"/>
      <color indexed="8"/>
      <name val="Bookman Old Style"/>
      <family val="1"/>
    </font>
    <font>
      <i/>
      <sz val="10"/>
      <color indexed="8"/>
      <name val="Bookman Old Style"/>
      <family val="1"/>
    </font>
    <font>
      <sz val="11"/>
      <color theme="1"/>
      <name val="Bookman Old Style"/>
      <family val="1"/>
    </font>
    <font>
      <b/>
      <sz val="11"/>
      <color theme="1"/>
      <name val="Bookman Old Style"/>
      <family val="1"/>
    </font>
    <font>
      <i/>
      <sz val="11"/>
      <color theme="1"/>
      <name val="Bookman Old Style"/>
      <family val="1"/>
    </font>
    <font>
      <sz val="10"/>
      <color theme="1"/>
      <name val="Bookman Old Style"/>
      <family val="1"/>
    </font>
    <font>
      <sz val="11"/>
      <name val="Bookman Old Style"/>
      <family val="1"/>
    </font>
    <font>
      <u/>
      <sz val="11"/>
      <color theme="10"/>
      <name val="Calibri"/>
      <family val="2"/>
      <scheme val="minor"/>
    </font>
    <font>
      <b/>
      <i/>
      <sz val="24"/>
      <color theme="4"/>
      <name val="Bookman Old Style"/>
      <family val="1"/>
    </font>
    <font>
      <b/>
      <i/>
      <sz val="24"/>
      <color rgb="FF996633"/>
      <name val="Bookman Old Style"/>
      <family val="1"/>
    </font>
    <font>
      <b/>
      <sz val="12"/>
      <color theme="1"/>
      <name val="Bookman Old Style"/>
      <family val="1"/>
    </font>
    <font>
      <b/>
      <sz val="18"/>
      <color theme="1"/>
      <name val="Bookman Old Style"/>
      <family val="1"/>
    </font>
    <font>
      <sz val="10"/>
      <color theme="1"/>
      <name val="Arial"/>
      <family val="2"/>
    </font>
    <font>
      <b/>
      <sz val="10"/>
      <color theme="1"/>
      <name val="Arial"/>
      <family val="2"/>
    </font>
    <font>
      <sz val="11"/>
      <color indexed="8"/>
      <name val="Bookman Old Style"/>
      <family val="1"/>
    </font>
    <font>
      <b/>
      <sz val="11"/>
      <color indexed="8"/>
      <name val="Bookman Old Style"/>
      <family val="1"/>
    </font>
    <font>
      <b/>
      <sz val="11"/>
      <color indexed="63"/>
      <name val="Bookman Old Style"/>
      <family val="1"/>
    </font>
    <font>
      <b/>
      <sz val="20"/>
      <color theme="1"/>
      <name val="Bookman Old Style"/>
      <family val="1"/>
    </font>
    <font>
      <b/>
      <sz val="14"/>
      <color rgb="FF76B531"/>
      <name val="Bookman Old Style"/>
      <family val="1"/>
    </font>
    <font>
      <b/>
      <i/>
      <sz val="16"/>
      <color rgb="FF946D20"/>
      <name val="Bookman Old Style"/>
      <family val="1"/>
    </font>
    <font>
      <u/>
      <sz val="11"/>
      <color theme="1"/>
      <name val="Bookman Old Style"/>
      <family val="1"/>
    </font>
    <font>
      <i/>
      <sz val="11"/>
      <color theme="1"/>
      <name val="Calibri"/>
      <family val="2"/>
      <scheme val="minor"/>
    </font>
    <font>
      <i/>
      <sz val="11"/>
      <color indexed="8"/>
      <name val="Bookman Old Style"/>
      <family val="1"/>
    </font>
    <font>
      <sz val="10"/>
      <name val="Tahoma"/>
      <family val="2"/>
    </font>
    <font>
      <sz val="11"/>
      <color theme="1" tint="0.14999847407452621"/>
      <name val="Calibri"/>
      <family val="2"/>
      <scheme val="minor"/>
    </font>
    <font>
      <b/>
      <sz val="12"/>
      <name val="Bookman Old Style"/>
      <family val="1"/>
    </font>
    <font>
      <sz val="12"/>
      <color indexed="8"/>
      <name val="Bookman Old Style"/>
      <family val="1"/>
    </font>
    <font>
      <b/>
      <sz val="12"/>
      <color indexed="8"/>
      <name val="Bookman Old Style"/>
      <family val="1"/>
    </font>
    <font>
      <i/>
      <sz val="12"/>
      <color indexed="8"/>
      <name val="Bookman Old Style"/>
      <family val="1"/>
    </font>
    <font>
      <i/>
      <sz val="12"/>
      <color theme="1"/>
      <name val="Bookman Old Style"/>
      <family val="1"/>
    </font>
    <font>
      <sz val="12"/>
      <color theme="1"/>
      <name val="Bookman Old Style"/>
      <family val="1"/>
    </font>
    <font>
      <b/>
      <i/>
      <sz val="12"/>
      <color theme="1"/>
      <name val="Bookman Old Style"/>
      <family val="1"/>
    </font>
    <font>
      <b/>
      <sz val="16"/>
      <name val="Bookman Old Style"/>
      <family val="1"/>
    </font>
    <font>
      <b/>
      <sz val="10"/>
      <color indexed="63"/>
      <name val="Bookman Old Style"/>
      <family val="1"/>
    </font>
    <font>
      <sz val="11"/>
      <color indexed="63"/>
      <name val="Bookman Old Style"/>
      <family val="1"/>
    </font>
    <font>
      <sz val="12"/>
      <name val="Bookman Old Style"/>
      <family val="1"/>
    </font>
  </fonts>
  <fills count="14">
    <fill>
      <patternFill patternType="none"/>
    </fill>
    <fill>
      <patternFill patternType="gray125"/>
    </fill>
    <fill>
      <patternFill patternType="solid">
        <fgColor indexed="1"/>
        <bgColor indexed="1"/>
      </patternFill>
    </fill>
    <fill>
      <patternFill patternType="solid">
        <fgColor indexed="9"/>
        <bgColor indexed="9"/>
      </patternFill>
    </fill>
    <fill>
      <patternFill patternType="solid">
        <fgColor theme="0"/>
        <bgColor indexed="64"/>
      </patternFill>
    </fill>
    <fill>
      <patternFill patternType="solid">
        <fgColor rgb="FFA2D668"/>
        <bgColor indexed="64"/>
      </patternFill>
    </fill>
    <fill>
      <patternFill patternType="solid">
        <fgColor rgb="FFF0A73C"/>
        <bgColor indexed="64"/>
      </patternFill>
    </fill>
    <fill>
      <patternFill patternType="solid">
        <fgColor rgb="FFABDB77"/>
        <bgColor indexed="64"/>
      </patternFill>
    </fill>
    <fill>
      <patternFill patternType="solid">
        <fgColor rgb="FFF0A73C"/>
        <bgColor indexed="1"/>
      </patternFill>
    </fill>
    <fill>
      <patternFill patternType="solid">
        <fgColor rgb="FFABDB77"/>
        <bgColor indexed="1"/>
      </patternFill>
    </fill>
    <fill>
      <patternFill patternType="solid">
        <fgColor theme="0"/>
        <bgColor indexed="1"/>
      </patternFill>
    </fill>
    <fill>
      <patternFill patternType="solid">
        <fgColor rgb="FFFFC000"/>
        <bgColor indexed="64"/>
      </patternFill>
    </fill>
    <fill>
      <patternFill patternType="solid">
        <fgColor rgb="FFFFC000"/>
        <bgColor indexed="9"/>
      </patternFill>
    </fill>
    <fill>
      <patternFill patternType="solid">
        <fgColor rgb="FFFFC000"/>
        <bgColor indexed="1"/>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top style="medium">
        <color indexed="64"/>
      </top>
      <bottom/>
      <diagonal/>
    </border>
    <border>
      <left style="medium">
        <color indexed="64"/>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ouble">
        <color rgb="FFA87C24"/>
      </left>
      <right/>
      <top style="double">
        <color rgb="FFA87C24"/>
      </top>
      <bottom/>
      <diagonal/>
    </border>
    <border>
      <left/>
      <right style="double">
        <color rgb="FFA87C24"/>
      </right>
      <top style="double">
        <color rgb="FFA87C24"/>
      </top>
      <bottom/>
      <diagonal/>
    </border>
    <border>
      <left style="double">
        <color rgb="FFA87C24"/>
      </left>
      <right/>
      <top/>
      <bottom/>
      <diagonal/>
    </border>
    <border>
      <left/>
      <right style="double">
        <color rgb="FFA87C24"/>
      </right>
      <top/>
      <bottom/>
      <diagonal/>
    </border>
    <border>
      <left style="double">
        <color rgb="FFA87C24"/>
      </left>
      <right/>
      <top style="thick">
        <color rgb="FFA87C24"/>
      </top>
      <bottom style="thick">
        <color rgb="FFA87C24"/>
      </bottom>
      <diagonal/>
    </border>
    <border>
      <left style="medium">
        <color rgb="FFA87C24"/>
      </left>
      <right style="double">
        <color rgb="FFA87C24"/>
      </right>
      <top style="thick">
        <color rgb="FFA87C24"/>
      </top>
      <bottom style="thick">
        <color rgb="FFA87C24"/>
      </bottom>
      <diagonal/>
    </border>
    <border>
      <left style="thick">
        <color rgb="FFA87C24"/>
      </left>
      <right style="double">
        <color rgb="FFA87C24"/>
      </right>
      <top style="thick">
        <color rgb="FFA87C24"/>
      </top>
      <bottom/>
      <diagonal/>
    </border>
    <border>
      <left style="thick">
        <color rgb="FFA87C24"/>
      </left>
      <right style="double">
        <color rgb="FFA87C24"/>
      </right>
      <top/>
      <bottom/>
      <diagonal/>
    </border>
    <border>
      <left style="thick">
        <color rgb="FFA87C24"/>
      </left>
      <right style="double">
        <color rgb="FFA87C24"/>
      </right>
      <top/>
      <bottom style="double">
        <color rgb="FFA87C24"/>
      </bottom>
      <diagonal/>
    </border>
    <border>
      <left style="thick">
        <color rgb="FFA87C24"/>
      </left>
      <right style="thick">
        <color rgb="FFA87C24"/>
      </right>
      <top/>
      <bottom/>
      <diagonal/>
    </border>
    <border>
      <left/>
      <right/>
      <top style="double">
        <color rgb="FFC7932B"/>
      </top>
      <bottom/>
      <diagonal/>
    </border>
    <border>
      <left/>
      <right/>
      <top style="medium">
        <color rgb="FFC7932B"/>
      </top>
      <bottom style="double">
        <color rgb="FFC7932B"/>
      </bottom>
      <diagonal/>
    </border>
    <border>
      <left/>
      <right style="medium">
        <color rgb="FFC7932B"/>
      </right>
      <top style="medium">
        <color rgb="FFC7932B"/>
      </top>
      <bottom style="double">
        <color rgb="FFC7932B"/>
      </bottom>
      <diagonal/>
    </border>
    <border>
      <left/>
      <right style="medium">
        <color rgb="FFC7932B"/>
      </right>
      <top style="double">
        <color rgb="FFC7932B"/>
      </top>
      <bottom/>
      <diagonal/>
    </border>
    <border>
      <left style="medium">
        <color rgb="FFC7932B"/>
      </left>
      <right/>
      <top/>
      <bottom/>
      <diagonal/>
    </border>
    <border>
      <left/>
      <right style="medium">
        <color rgb="FFC7932B"/>
      </right>
      <top/>
      <bottom/>
      <diagonal/>
    </border>
    <border>
      <left style="medium">
        <color rgb="FFC7932B"/>
      </left>
      <right/>
      <top/>
      <bottom style="medium">
        <color rgb="FFC7932B"/>
      </bottom>
      <diagonal/>
    </border>
    <border>
      <left/>
      <right/>
      <top/>
      <bottom style="medium">
        <color rgb="FFC7932B"/>
      </bottom>
      <diagonal/>
    </border>
    <border>
      <left/>
      <right style="medium">
        <color rgb="FFC7932B"/>
      </right>
      <top/>
      <bottom style="medium">
        <color rgb="FFC7932B"/>
      </bottom>
      <diagonal/>
    </border>
    <border>
      <left/>
      <right/>
      <top style="double">
        <color indexed="64"/>
      </top>
      <bottom/>
      <diagonal/>
    </border>
    <border>
      <left/>
      <right/>
      <top style="thick">
        <color rgb="FFA87C24"/>
      </top>
      <bottom/>
      <diagonal/>
    </border>
    <border>
      <left style="medium">
        <color rgb="FFC7932B"/>
      </left>
      <right style="medium">
        <color rgb="FFC7932B"/>
      </right>
      <top style="medium">
        <color rgb="FFC7932B"/>
      </top>
      <bottom style="double">
        <color rgb="FFC7932B"/>
      </bottom>
      <diagonal/>
    </border>
    <border>
      <left style="medium">
        <color rgb="FFC7932B"/>
      </left>
      <right style="medium">
        <color rgb="FFC7932B"/>
      </right>
      <top style="double">
        <color rgb="FFC7932B"/>
      </top>
      <bottom style="medium">
        <color rgb="FFC7932B"/>
      </bottom>
      <diagonal/>
    </border>
    <border>
      <left style="double">
        <color rgb="FFA87C24"/>
      </left>
      <right style="double">
        <color rgb="FFA87C2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9">
    <xf numFmtId="0" fontId="0" fillId="0" borderId="0"/>
    <xf numFmtId="165" fontId="1" fillId="0" borderId="0"/>
    <xf numFmtId="0" fontId="30" fillId="0" borderId="0"/>
    <xf numFmtId="165" fontId="1" fillId="0" borderId="0"/>
    <xf numFmtId="0" fontId="14" fillId="0" borderId="0"/>
    <xf numFmtId="164" fontId="1" fillId="0" borderId="0"/>
    <xf numFmtId="0" fontId="30" fillId="0" borderId="0"/>
    <xf numFmtId="170" fontId="30" fillId="0" borderId="0"/>
    <xf numFmtId="165" fontId="1" fillId="0" borderId="0"/>
  </cellStyleXfs>
  <cellXfs count="305">
    <xf numFmtId="0" fontId="0" fillId="0" borderId="0" xfId="0"/>
    <xf numFmtId="0" fontId="2" fillId="0" borderId="0" xfId="0" applyFont="1"/>
    <xf numFmtId="0" fontId="9" fillId="0" borderId="0" xfId="0" applyFont="1"/>
    <xf numFmtId="0" fontId="9" fillId="0" borderId="1" xfId="0" applyFont="1" applyBorder="1"/>
    <xf numFmtId="0" fontId="6" fillId="2" borderId="1" xfId="0" applyFont="1" applyFill="1" applyBorder="1"/>
    <xf numFmtId="0" fontId="10" fillId="0" borderId="0" xfId="0" applyFont="1"/>
    <xf numFmtId="0" fontId="6" fillId="0" borderId="1" xfId="0" applyFont="1" applyBorder="1" applyAlignment="1">
      <alignment wrapText="1"/>
    </xf>
    <xf numFmtId="0" fontId="9" fillId="0" borderId="0" xfId="0" applyFont="1" applyAlignment="1">
      <alignment vertical="center"/>
    </xf>
    <xf numFmtId="0" fontId="9" fillId="0" borderId="2" xfId="0" applyFont="1" applyBorder="1"/>
    <xf numFmtId="165" fontId="9" fillId="0" borderId="1" xfId="0" applyNumberFormat="1" applyFont="1" applyBorder="1"/>
    <xf numFmtId="0" fontId="9" fillId="0" borderId="0" xfId="0" applyFont="1" applyAlignment="1">
      <alignment wrapText="1"/>
    </xf>
    <xf numFmtId="166" fontId="9" fillId="0" borderId="0" xfId="0" applyNumberFormat="1" applyFont="1"/>
    <xf numFmtId="166" fontId="9" fillId="0" borderId="0" xfId="1" applyNumberFormat="1" applyFont="1"/>
    <xf numFmtId="167" fontId="6" fillId="2" borderId="1" xfId="1" applyNumberFormat="1" applyFont="1" applyFill="1" applyBorder="1" applyAlignment="1">
      <alignment horizontal="right" wrapText="1"/>
    </xf>
    <xf numFmtId="167" fontId="7" fillId="2" borderId="1" xfId="1" applyNumberFormat="1" applyFont="1" applyFill="1" applyBorder="1" applyAlignment="1">
      <alignment horizontal="right" wrapText="1"/>
    </xf>
    <xf numFmtId="168" fontId="9" fillId="0" borderId="1" xfId="1" applyNumberFormat="1" applyFont="1" applyBorder="1" applyAlignment="1">
      <alignment horizontal="right" wrapText="1"/>
    </xf>
    <xf numFmtId="168" fontId="10" fillId="0" borderId="1" xfId="1" applyNumberFormat="1" applyFont="1" applyBorder="1" applyAlignment="1">
      <alignment horizontal="right" wrapText="1"/>
    </xf>
    <xf numFmtId="0" fontId="0" fillId="4" borderId="0" xfId="0" applyFill="1"/>
    <xf numFmtId="0" fontId="0" fillId="4" borderId="8" xfId="0" applyFill="1" applyBorder="1"/>
    <xf numFmtId="0" fontId="0" fillId="4" borderId="10" xfId="0" applyFill="1" applyBorder="1"/>
    <xf numFmtId="0" fontId="0" fillId="4" borderId="11" xfId="0" applyFill="1" applyBorder="1"/>
    <xf numFmtId="0" fontId="0" fillId="4" borderId="9" xfId="0" applyFill="1" applyBorder="1"/>
    <xf numFmtId="0" fontId="0" fillId="4" borderId="12" xfId="0" applyFill="1" applyBorder="1"/>
    <xf numFmtId="0" fontId="15" fillId="4" borderId="0" xfId="0" applyFont="1" applyFill="1"/>
    <xf numFmtId="0" fontId="16" fillId="4" borderId="0" xfId="0" applyFont="1" applyFill="1"/>
    <xf numFmtId="0" fontId="10" fillId="4" borderId="0" xfId="0" applyFont="1" applyFill="1"/>
    <xf numFmtId="0" fontId="0" fillId="4" borderId="14" xfId="0" applyFill="1" applyBorder="1"/>
    <xf numFmtId="0" fontId="0" fillId="4" borderId="15" xfId="0" applyFill="1" applyBorder="1"/>
    <xf numFmtId="0" fontId="0" fillId="4" borderId="16" xfId="0" applyFill="1" applyBorder="1"/>
    <xf numFmtId="0" fontId="18" fillId="4" borderId="0" xfId="0" applyFont="1" applyFill="1" applyAlignment="1">
      <alignment horizontal="left" indent="17"/>
    </xf>
    <xf numFmtId="0" fontId="0" fillId="4" borderId="0" xfId="0" applyFill="1" applyAlignment="1">
      <alignment horizontal="left" indent="17"/>
    </xf>
    <xf numFmtId="0" fontId="10" fillId="4" borderId="0" xfId="0" applyFont="1" applyFill="1" applyAlignment="1">
      <alignment horizontal="left"/>
    </xf>
    <xf numFmtId="0" fontId="17" fillId="5" borderId="13" xfId="0" applyFont="1" applyFill="1" applyBorder="1" applyAlignment="1">
      <alignment horizontal="center" vertical="center"/>
    </xf>
    <xf numFmtId="0" fontId="10" fillId="0" borderId="21" xfId="0" applyFont="1" applyBorder="1"/>
    <xf numFmtId="0" fontId="10" fillId="0" borderId="22" xfId="0" applyFont="1" applyBorder="1"/>
    <xf numFmtId="0" fontId="19" fillId="0" borderId="0" xfId="0" applyFont="1"/>
    <xf numFmtId="0" fontId="20" fillId="0" borderId="0" xfId="0" applyFont="1"/>
    <xf numFmtId="0" fontId="10" fillId="6" borderId="1" xfId="0" applyFont="1" applyFill="1" applyBorder="1"/>
    <xf numFmtId="166" fontId="4" fillId="6" borderId="1" xfId="1" applyNumberFormat="1" applyFont="1" applyFill="1" applyBorder="1" applyAlignment="1">
      <alignment horizontal="right" wrapText="1"/>
    </xf>
    <xf numFmtId="0" fontId="3" fillId="0" borderId="1" xfId="0" applyFont="1" applyBorder="1"/>
    <xf numFmtId="0" fontId="5" fillId="0" borderId="1" xfId="0" applyFont="1" applyBorder="1" applyAlignment="1">
      <alignment horizontal="center" wrapText="1"/>
    </xf>
    <xf numFmtId="0" fontId="4" fillId="0" borderId="1" xfId="0" applyFont="1" applyBorder="1" applyAlignment="1">
      <alignment horizontal="center" wrapText="1"/>
    </xf>
    <xf numFmtId="0" fontId="3" fillId="6" borderId="1" xfId="0" applyFont="1" applyFill="1" applyBorder="1"/>
    <xf numFmtId="0" fontId="3" fillId="0" borderId="1" xfId="0" applyFont="1" applyBorder="1" applyAlignment="1">
      <alignment wrapText="1"/>
    </xf>
    <xf numFmtId="0" fontId="5" fillId="0" borderId="1" xfId="0" applyFont="1" applyBorder="1" applyAlignment="1">
      <alignment horizontal="center"/>
    </xf>
    <xf numFmtId="0" fontId="3" fillId="0" borderId="1" xfId="0" applyFont="1" applyBorder="1" applyAlignment="1">
      <alignment horizontal="center" wrapText="1"/>
    </xf>
    <xf numFmtId="168" fontId="21" fillId="0" borderId="1" xfId="1" applyNumberFormat="1" applyFont="1" applyBorder="1" applyAlignment="1">
      <alignment horizontal="right" wrapText="1"/>
    </xf>
    <xf numFmtId="0" fontId="12" fillId="0" borderId="23" xfId="0" applyFont="1" applyBorder="1" applyAlignment="1">
      <alignment horizontal="left"/>
    </xf>
    <xf numFmtId="0" fontId="12" fillId="0" borderId="24" xfId="0" applyFont="1" applyBorder="1" applyAlignment="1">
      <alignment horizontal="left"/>
    </xf>
    <xf numFmtId="0" fontId="12" fillId="0" borderId="25" xfId="0" applyFont="1" applyBorder="1" applyAlignment="1">
      <alignment horizontal="left"/>
    </xf>
    <xf numFmtId="0" fontId="9" fillId="0" borderId="9" xfId="0" applyFont="1" applyBorder="1"/>
    <xf numFmtId="0" fontId="9" fillId="0" borderId="17" xfId="0" applyFont="1" applyBorder="1"/>
    <xf numFmtId="0" fontId="9" fillId="0" borderId="18" xfId="0" applyFont="1" applyBorder="1"/>
    <xf numFmtId="0" fontId="2" fillId="0" borderId="0" xfId="0" applyFont="1" applyAlignment="1">
      <alignment wrapText="1"/>
    </xf>
    <xf numFmtId="0" fontId="17" fillId="6" borderId="13" xfId="0" applyFont="1" applyFill="1" applyBorder="1" applyAlignment="1">
      <alignment horizontal="center" vertical="center"/>
    </xf>
    <xf numFmtId="0" fontId="21" fillId="0" borderId="1" xfId="0" applyFont="1" applyBorder="1" applyAlignment="1">
      <alignment wrapText="1"/>
    </xf>
    <xf numFmtId="0" fontId="22" fillId="6" borderId="1" xfId="0" applyFont="1" applyFill="1" applyBorder="1" applyAlignment="1">
      <alignment wrapText="1"/>
    </xf>
    <xf numFmtId="168" fontId="22" fillId="6" borderId="1" xfId="1" applyNumberFormat="1" applyFont="1" applyFill="1" applyBorder="1" applyAlignment="1">
      <alignment horizontal="right" wrapText="1"/>
    </xf>
    <xf numFmtId="168" fontId="22" fillId="0" borderId="1" xfId="1" applyNumberFormat="1" applyFont="1" applyBorder="1" applyAlignment="1">
      <alignment horizontal="right" wrapText="1"/>
    </xf>
    <xf numFmtId="0" fontId="9" fillId="0" borderId="0" xfId="0" applyFont="1" applyAlignment="1">
      <alignment horizontal="center" vertical="center"/>
    </xf>
    <xf numFmtId="0" fontId="6" fillId="0" borderId="2" xfId="0" applyFont="1" applyBorder="1" applyAlignment="1">
      <alignment wrapText="1"/>
    </xf>
    <xf numFmtId="0" fontId="29" fillId="0" borderId="0" xfId="0" applyFont="1" applyAlignment="1">
      <alignment horizontal="left" wrapText="1"/>
    </xf>
    <xf numFmtId="164" fontId="0" fillId="0" borderId="0" xfId="5" applyFont="1"/>
    <xf numFmtId="164" fontId="9" fillId="0" borderId="0" xfId="5" applyFont="1"/>
    <xf numFmtId="0" fontId="21" fillId="0" borderId="1" xfId="0" applyFont="1" applyBorder="1"/>
    <xf numFmtId="0" fontId="0" fillId="0" borderId="0" xfId="0" applyAlignment="1">
      <alignment wrapText="1"/>
    </xf>
    <xf numFmtId="0" fontId="3" fillId="0" borderId="1" xfId="0" applyFont="1" applyBorder="1" applyAlignment="1">
      <alignment horizontal="center"/>
    </xf>
    <xf numFmtId="168" fontId="21" fillId="2" borderId="1" xfId="1" applyNumberFormat="1" applyFont="1" applyFill="1" applyBorder="1" applyAlignment="1">
      <alignment horizontal="right" wrapText="1"/>
    </xf>
    <xf numFmtId="168" fontId="22" fillId="2" borderId="1" xfId="1" applyNumberFormat="1" applyFont="1" applyFill="1" applyBorder="1" applyAlignment="1">
      <alignment horizontal="right" wrapText="1"/>
    </xf>
    <xf numFmtId="168" fontId="22" fillId="8" borderId="1" xfId="1" applyNumberFormat="1" applyFont="1" applyFill="1" applyBorder="1" applyAlignment="1">
      <alignment horizontal="right" wrapText="1"/>
    </xf>
    <xf numFmtId="167" fontId="21" fillId="2" borderId="1" xfId="1" applyNumberFormat="1" applyFont="1" applyFill="1" applyBorder="1" applyAlignment="1">
      <alignment horizontal="right" wrapText="1"/>
    </xf>
    <xf numFmtId="167" fontId="22" fillId="2" borderId="1" xfId="1" applyNumberFormat="1" applyFont="1" applyFill="1" applyBorder="1" applyAlignment="1">
      <alignment horizontal="right" wrapText="1"/>
    </xf>
    <xf numFmtId="166" fontId="3" fillId="6" borderId="1" xfId="1" applyNumberFormat="1" applyFont="1" applyFill="1" applyBorder="1" applyAlignment="1">
      <alignment horizontal="right" wrapText="1"/>
    </xf>
    <xf numFmtId="167" fontId="22" fillId="8" borderId="1" xfId="1" applyNumberFormat="1" applyFont="1" applyFill="1" applyBorder="1" applyAlignment="1">
      <alignment horizontal="right" wrapText="1"/>
    </xf>
    <xf numFmtId="165" fontId="21" fillId="2" borderId="2" xfId="1" applyFont="1" applyFill="1" applyBorder="1" applyAlignment="1">
      <alignment horizontal="right" wrapText="1"/>
    </xf>
    <xf numFmtId="165" fontId="22" fillId="2" borderId="2" xfId="1" applyFont="1" applyFill="1" applyBorder="1" applyAlignment="1">
      <alignment horizontal="right" wrapText="1"/>
    </xf>
    <xf numFmtId="165" fontId="22" fillId="6" borderId="1" xfId="1" applyFont="1" applyFill="1" applyBorder="1" applyAlignment="1">
      <alignment horizontal="center" wrapText="1"/>
    </xf>
    <xf numFmtId="166" fontId="22" fillId="3" borderId="2" xfId="1" applyNumberFormat="1" applyFont="1" applyFill="1" applyBorder="1" applyAlignment="1">
      <alignment horizontal="right" wrapText="1"/>
    </xf>
    <xf numFmtId="166" fontId="22" fillId="8" borderId="1" xfId="1" applyNumberFormat="1" applyFont="1" applyFill="1" applyBorder="1" applyAlignment="1">
      <alignment horizontal="center" wrapText="1"/>
    </xf>
    <xf numFmtId="166" fontId="3" fillId="6" borderId="1" xfId="1" applyNumberFormat="1" applyFont="1" applyFill="1" applyBorder="1" applyAlignment="1">
      <alignment horizontal="left" wrapText="1"/>
    </xf>
    <xf numFmtId="165" fontId="3" fillId="6" borderId="1" xfId="1" applyFont="1" applyFill="1" applyBorder="1" applyAlignment="1">
      <alignment horizontal="right" wrapText="1"/>
    </xf>
    <xf numFmtId="0" fontId="9" fillId="0" borderId="0" xfId="6" applyFont="1"/>
    <xf numFmtId="0" fontId="10" fillId="0" borderId="0" xfId="6" applyFont="1"/>
    <xf numFmtId="0" fontId="3" fillId="0" borderId="1" xfId="6" applyFont="1" applyBorder="1" applyAlignment="1">
      <alignment wrapText="1"/>
    </xf>
    <xf numFmtId="0" fontId="5" fillId="0" borderId="1" xfId="6" applyFont="1" applyBorder="1" applyAlignment="1">
      <alignment horizontal="center" wrapText="1"/>
    </xf>
    <xf numFmtId="0" fontId="5" fillId="0" borderId="1" xfId="6" applyFont="1" applyBorder="1" applyAlignment="1">
      <alignment horizontal="center"/>
    </xf>
    <xf numFmtId="0" fontId="4" fillId="0" borderId="1" xfId="6" applyFont="1" applyBorder="1" applyAlignment="1">
      <alignment horizontal="center" wrapText="1"/>
    </xf>
    <xf numFmtId="0" fontId="9" fillId="0" borderId="0" xfId="6" applyFont="1" applyAlignment="1">
      <alignment wrapText="1"/>
    </xf>
    <xf numFmtId="0" fontId="9" fillId="0" borderId="1" xfId="6" applyFont="1" applyBorder="1"/>
    <xf numFmtId="167" fontId="6" fillId="2" borderId="1" xfId="7" applyNumberFormat="1" applyFont="1" applyFill="1" applyBorder="1" applyAlignment="1">
      <alignment horizontal="right" wrapText="1"/>
    </xf>
    <xf numFmtId="167" fontId="7" fillId="2" borderId="1" xfId="7" applyNumberFormat="1" applyFont="1" applyFill="1" applyBorder="1" applyAlignment="1">
      <alignment horizontal="right" wrapText="1"/>
    </xf>
    <xf numFmtId="0" fontId="10" fillId="6" borderId="1" xfId="6" applyFont="1" applyFill="1" applyBorder="1"/>
    <xf numFmtId="167" fontId="7" fillId="8" borderId="1" xfId="7" applyNumberFormat="1" applyFont="1" applyFill="1" applyBorder="1" applyAlignment="1">
      <alignment horizontal="right" wrapText="1"/>
    </xf>
    <xf numFmtId="168" fontId="6" fillId="2" borderId="1" xfId="7" applyNumberFormat="1" applyFont="1" applyFill="1" applyBorder="1" applyAlignment="1">
      <alignment horizontal="right" wrapText="1"/>
    </xf>
    <xf numFmtId="0" fontId="31" fillId="4" borderId="9" xfId="0" applyFont="1" applyFill="1" applyBorder="1"/>
    <xf numFmtId="0" fontId="31" fillId="4" borderId="0" xfId="0" applyFont="1" applyFill="1"/>
    <xf numFmtId="0" fontId="31" fillId="4" borderId="12" xfId="0" applyFont="1" applyFill="1" applyBorder="1"/>
    <xf numFmtId="0" fontId="33" fillId="2" borderId="1" xfId="0" applyFont="1" applyFill="1" applyBorder="1"/>
    <xf numFmtId="0" fontId="32" fillId="0" borderId="1" xfId="0" applyFont="1" applyBorder="1" applyAlignment="1">
      <alignment wrapText="1"/>
    </xf>
    <xf numFmtId="0" fontId="32" fillId="0" borderId="1" xfId="0" applyFont="1" applyBorder="1" applyAlignment="1">
      <alignment horizontal="center" wrapText="1"/>
    </xf>
    <xf numFmtId="0" fontId="33" fillId="0" borderId="1" xfId="0" applyFont="1" applyBorder="1" applyAlignment="1">
      <alignment wrapText="1"/>
    </xf>
    <xf numFmtId="168" fontId="33" fillId="0" borderId="2" xfId="1" applyNumberFormat="1" applyFont="1" applyBorder="1" applyAlignment="1">
      <alignment horizontal="right" wrapText="1"/>
    </xf>
    <xf numFmtId="168" fontId="34" fillId="0" borderId="2" xfId="1" applyNumberFormat="1" applyFont="1" applyBorder="1" applyAlignment="1">
      <alignment horizontal="right" wrapText="1"/>
    </xf>
    <xf numFmtId="168" fontId="33" fillId="0" borderId="1" xfId="1" applyNumberFormat="1" applyFont="1" applyBorder="1" applyAlignment="1">
      <alignment horizontal="right" wrapText="1"/>
    </xf>
    <xf numFmtId="0" fontId="34" fillId="6" borderId="1" xfId="0" applyFont="1" applyFill="1" applyBorder="1" applyAlignment="1">
      <alignment wrapText="1"/>
    </xf>
    <xf numFmtId="168" fontId="34" fillId="6" borderId="1" xfId="1" applyNumberFormat="1" applyFont="1" applyFill="1" applyBorder="1" applyAlignment="1">
      <alignment horizontal="right" wrapText="1"/>
    </xf>
    <xf numFmtId="168" fontId="34" fillId="0" borderId="1" xfId="1" applyNumberFormat="1" applyFont="1" applyBorder="1" applyAlignment="1">
      <alignment horizontal="right" wrapText="1"/>
    </xf>
    <xf numFmtId="0" fontId="32" fillId="0" borderId="1" xfId="0" applyFont="1" applyBorder="1" applyAlignment="1">
      <alignment horizontal="center" vertical="center" wrapText="1"/>
    </xf>
    <xf numFmtId="168" fontId="33" fillId="0" borderId="2" xfId="1" applyNumberFormat="1" applyFont="1" applyBorder="1" applyAlignment="1">
      <alignment horizontal="right"/>
    </xf>
    <xf numFmtId="0" fontId="33" fillId="0" borderId="2" xfId="0" applyFont="1" applyBorder="1" applyAlignment="1">
      <alignment wrapText="1"/>
    </xf>
    <xf numFmtId="169" fontId="33" fillId="0" borderId="2" xfId="1" applyNumberFormat="1" applyFont="1" applyBorder="1" applyAlignment="1">
      <alignment horizontal="right" wrapText="1"/>
    </xf>
    <xf numFmtId="169" fontId="34" fillId="0" borderId="2" xfId="1" applyNumberFormat="1" applyFont="1" applyBorder="1" applyAlignment="1">
      <alignment horizontal="right" wrapText="1"/>
    </xf>
    <xf numFmtId="169" fontId="34" fillId="6" borderId="2" xfId="1" applyNumberFormat="1" applyFont="1" applyFill="1" applyBorder="1" applyAlignment="1">
      <alignment horizontal="right" wrapText="1"/>
    </xf>
    <xf numFmtId="0" fontId="37" fillId="0" borderId="0" xfId="0" applyFont="1"/>
    <xf numFmtId="166" fontId="36" fillId="0" borderId="7" xfId="1" applyNumberFormat="1" applyFont="1" applyBorder="1" applyAlignment="1">
      <alignment horizontal="center"/>
    </xf>
    <xf numFmtId="0" fontId="38" fillId="0" borderId="7" xfId="0" applyFont="1" applyBorder="1" applyAlignment="1">
      <alignment horizontal="left"/>
    </xf>
    <xf numFmtId="0" fontId="9" fillId="4" borderId="0" xfId="6" applyFont="1" applyFill="1"/>
    <xf numFmtId="0" fontId="9" fillId="4" borderId="0" xfId="6" applyFont="1" applyFill="1" applyAlignment="1">
      <alignment wrapText="1"/>
    </xf>
    <xf numFmtId="0" fontId="10" fillId="4" borderId="0" xfId="6" applyFont="1" applyFill="1"/>
    <xf numFmtId="167" fontId="6" fillId="10" borderId="1" xfId="7" applyNumberFormat="1" applyFont="1" applyFill="1" applyBorder="1" applyAlignment="1">
      <alignment horizontal="right" wrapText="1"/>
    </xf>
    <xf numFmtId="0" fontId="3" fillId="4" borderId="1" xfId="6" applyFont="1" applyFill="1" applyBorder="1" applyAlignment="1">
      <alignment wrapText="1"/>
    </xf>
    <xf numFmtId="0" fontId="5" fillId="4" borderId="1" xfId="6" applyFont="1" applyFill="1" applyBorder="1" applyAlignment="1">
      <alignment horizontal="center" wrapText="1"/>
    </xf>
    <xf numFmtId="0" fontId="5" fillId="4" borderId="1" xfId="6" applyFont="1" applyFill="1" applyBorder="1" applyAlignment="1">
      <alignment horizontal="center"/>
    </xf>
    <xf numFmtId="0" fontId="4" fillId="4" borderId="1" xfId="6" applyFont="1" applyFill="1" applyBorder="1" applyAlignment="1">
      <alignment horizontal="center" wrapText="1"/>
    </xf>
    <xf numFmtId="0" fontId="6" fillId="4" borderId="1" xfId="0" applyFont="1" applyFill="1" applyBorder="1" applyAlignment="1">
      <alignment wrapText="1"/>
    </xf>
    <xf numFmtId="167" fontId="7" fillId="10" borderId="1" xfId="7" applyNumberFormat="1" applyFont="1" applyFill="1" applyBorder="1" applyAlignment="1">
      <alignment horizontal="right" wrapText="1"/>
    </xf>
    <xf numFmtId="0" fontId="9" fillId="4" borderId="1" xfId="6" applyFont="1" applyFill="1" applyBorder="1"/>
    <xf numFmtId="0" fontId="9" fillId="4" borderId="1" xfId="0" applyFont="1" applyFill="1" applyBorder="1"/>
    <xf numFmtId="168" fontId="6" fillId="10" borderId="1" xfId="7" applyNumberFormat="1" applyFont="1" applyFill="1" applyBorder="1" applyAlignment="1">
      <alignment horizontal="right" wrapText="1"/>
    </xf>
    <xf numFmtId="165" fontId="10" fillId="6" borderId="1" xfId="1" applyFont="1" applyFill="1" applyBorder="1"/>
    <xf numFmtId="166" fontId="10" fillId="6" borderId="1" xfId="1" applyNumberFormat="1" applyFont="1" applyFill="1" applyBorder="1"/>
    <xf numFmtId="0" fontId="36" fillId="0" borderId="0" xfId="0" applyFont="1"/>
    <xf numFmtId="0" fontId="10" fillId="0" borderId="1" xfId="0" applyFont="1" applyBorder="1" applyAlignment="1">
      <alignment wrapText="1"/>
    </xf>
    <xf numFmtId="0" fontId="27" fillId="0" borderId="37" xfId="0" applyFont="1" applyBorder="1"/>
    <xf numFmtId="0" fontId="36" fillId="0" borderId="7" xfId="0" applyFont="1" applyBorder="1" applyAlignment="1">
      <alignment horizontal="left"/>
    </xf>
    <xf numFmtId="0" fontId="13" fillId="0" borderId="26" xfId="4" quotePrefix="1" applyFont="1" applyBorder="1"/>
    <xf numFmtId="0" fontId="7" fillId="8" borderId="1" xfId="0" applyFont="1" applyFill="1" applyBorder="1" applyAlignment="1">
      <alignment wrapText="1"/>
    </xf>
    <xf numFmtId="0" fontId="6" fillId="2" borderId="1" xfId="0" applyFont="1" applyFill="1" applyBorder="1" applyAlignment="1">
      <alignment wrapText="1"/>
    </xf>
    <xf numFmtId="0" fontId="22" fillId="8" borderId="1" xfId="0" applyFont="1" applyFill="1" applyBorder="1" applyAlignment="1">
      <alignment wrapText="1"/>
    </xf>
    <xf numFmtId="168" fontId="21" fillId="0" borderId="2" xfId="1" applyNumberFormat="1" applyFont="1" applyBorder="1" applyAlignment="1">
      <alignment horizontal="right" wrapText="1"/>
    </xf>
    <xf numFmtId="168" fontId="22" fillId="0" borderId="2" xfId="1" applyNumberFormat="1" applyFont="1" applyBorder="1" applyAlignment="1">
      <alignment horizontal="right" wrapText="1"/>
    </xf>
    <xf numFmtId="0" fontId="21" fillId="2" borderId="1" xfId="0" applyFont="1" applyFill="1" applyBorder="1"/>
    <xf numFmtId="0" fontId="21" fillId="0" borderId="2" xfId="0" applyFont="1" applyBorder="1"/>
    <xf numFmtId="170" fontId="21" fillId="0" borderId="1" xfId="1" applyNumberFormat="1" applyFont="1" applyBorder="1" applyAlignment="1">
      <alignment horizontal="right" wrapText="1"/>
    </xf>
    <xf numFmtId="170" fontId="22" fillId="0" borderId="1" xfId="1" applyNumberFormat="1" applyFont="1" applyBorder="1" applyAlignment="1">
      <alignment horizontal="right" wrapText="1"/>
    </xf>
    <xf numFmtId="0" fontId="22" fillId="6" borderId="1" xfId="0" applyFont="1" applyFill="1" applyBorder="1"/>
    <xf numFmtId="170" fontId="22" fillId="6" borderId="1" xfId="1" applyNumberFormat="1" applyFont="1" applyFill="1" applyBorder="1" applyAlignment="1">
      <alignment horizontal="right" wrapText="1"/>
    </xf>
    <xf numFmtId="2" fontId="21" fillId="0" borderId="1" xfId="1" applyNumberFormat="1" applyFont="1" applyBorder="1" applyAlignment="1">
      <alignment horizontal="right" wrapText="1"/>
    </xf>
    <xf numFmtId="2" fontId="22" fillId="0" borderId="1" xfId="1" applyNumberFormat="1" applyFont="1" applyBorder="1" applyAlignment="1">
      <alignment horizontal="right" wrapText="1"/>
    </xf>
    <xf numFmtId="0" fontId="21" fillId="2" borderId="2" xfId="0" applyFont="1" applyFill="1" applyBorder="1"/>
    <xf numFmtId="2" fontId="10" fillId="0" borderId="1" xfId="0" applyNumberFormat="1" applyFont="1" applyBorder="1"/>
    <xf numFmtId="0" fontId="22" fillId="8" borderId="1" xfId="0" applyFont="1" applyFill="1" applyBorder="1"/>
    <xf numFmtId="165" fontId="22" fillId="2" borderId="1" xfId="1" applyFont="1" applyFill="1" applyBorder="1" applyAlignment="1">
      <alignment horizontal="right"/>
    </xf>
    <xf numFmtId="166" fontId="13" fillId="0" borderId="1" xfId="1" applyNumberFormat="1" applyFont="1" applyBorder="1"/>
    <xf numFmtId="166" fontId="37" fillId="0" borderId="0" xfId="1" applyNumberFormat="1" applyFont="1" applyAlignment="1">
      <alignment horizontal="center"/>
    </xf>
    <xf numFmtId="0" fontId="17" fillId="0" borderId="0" xfId="0" applyFont="1"/>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23" fillId="0" borderId="1" xfId="0" applyFont="1" applyBorder="1" applyAlignment="1">
      <alignment horizontal="left" vertical="center" wrapText="1"/>
    </xf>
    <xf numFmtId="0" fontId="23" fillId="0" borderId="1" xfId="0" applyFont="1" applyBorder="1" applyAlignment="1">
      <alignment horizontal="center" vertical="center" wrapText="1"/>
    </xf>
    <xf numFmtId="0" fontId="21" fillId="2" borderId="1" xfId="0" applyFont="1" applyFill="1" applyBorder="1" applyAlignment="1">
      <alignment wrapText="1"/>
    </xf>
    <xf numFmtId="167" fontId="6" fillId="3" borderId="1" xfId="1" applyNumberFormat="1" applyFont="1" applyFill="1" applyBorder="1" applyAlignment="1">
      <alignment horizontal="right" wrapText="1"/>
    </xf>
    <xf numFmtId="167" fontId="7" fillId="3" borderId="1" xfId="1" applyNumberFormat="1" applyFont="1" applyFill="1" applyBorder="1" applyAlignment="1">
      <alignment horizontal="right" wrapText="1"/>
    </xf>
    <xf numFmtId="167" fontId="6" fillId="0" borderId="1" xfId="1" applyNumberFormat="1" applyFont="1" applyBorder="1" applyAlignment="1">
      <alignment horizontal="right" wrapText="1"/>
    </xf>
    <xf numFmtId="167" fontId="7" fillId="0" borderId="1" xfId="1" applyNumberFormat="1" applyFont="1" applyBorder="1" applyAlignment="1">
      <alignment horizontal="right" wrapText="1"/>
    </xf>
    <xf numFmtId="167" fontId="6" fillId="2" borderId="1" xfId="1" applyNumberFormat="1" applyFont="1" applyFill="1" applyBorder="1"/>
    <xf numFmtId="167" fontId="6" fillId="3" borderId="1" xfId="1" applyNumberFormat="1" applyFont="1" applyFill="1" applyBorder="1"/>
    <xf numFmtId="167" fontId="7" fillId="8" borderId="1" xfId="1" applyNumberFormat="1" applyFont="1" applyFill="1" applyBorder="1" applyAlignment="1">
      <alignment horizontal="right" wrapText="1"/>
    </xf>
    <xf numFmtId="41" fontId="6" fillId="2" borderId="1" xfId="1" applyNumberFormat="1" applyFont="1" applyFill="1" applyBorder="1" applyAlignment="1">
      <alignment wrapText="1"/>
    </xf>
    <xf numFmtId="41" fontId="7" fillId="2" borderId="1" xfId="1" applyNumberFormat="1" applyFont="1" applyFill="1" applyBorder="1" applyAlignment="1">
      <alignment wrapText="1"/>
    </xf>
    <xf numFmtId="168" fontId="7" fillId="8" borderId="1" xfId="1" applyNumberFormat="1" applyFont="1" applyFill="1" applyBorder="1" applyAlignment="1">
      <alignment wrapText="1"/>
    </xf>
    <xf numFmtId="0" fontId="4" fillId="0" borderId="1" xfId="0" applyFont="1" applyBorder="1" applyAlignment="1">
      <alignment vertical="center" wrapText="1"/>
    </xf>
    <xf numFmtId="0" fontId="40" fillId="0" borderId="1" xfId="0" applyFont="1" applyBorder="1" applyAlignment="1">
      <alignment horizontal="left" vertical="center" wrapText="1"/>
    </xf>
    <xf numFmtId="0" fontId="40" fillId="0" borderId="1" xfId="0" applyFont="1" applyBorder="1" applyAlignment="1">
      <alignment horizontal="center" vertical="center" wrapText="1"/>
    </xf>
    <xf numFmtId="0" fontId="4" fillId="0" borderId="1" xfId="0" applyFont="1" applyBorder="1" applyAlignment="1">
      <alignment horizontal="center" vertical="center" wrapText="1"/>
    </xf>
    <xf numFmtId="41" fontId="6" fillId="2" borderId="1" xfId="1" applyNumberFormat="1" applyFont="1" applyFill="1" applyBorder="1" applyAlignment="1">
      <alignment horizontal="right" wrapText="1"/>
    </xf>
    <xf numFmtId="41" fontId="6" fillId="3" borderId="1" xfId="1" applyNumberFormat="1" applyFont="1" applyFill="1" applyBorder="1" applyAlignment="1">
      <alignment horizontal="right" wrapText="1"/>
    </xf>
    <xf numFmtId="41" fontId="7" fillId="3" borderId="1" xfId="1" applyNumberFormat="1" applyFont="1" applyFill="1" applyBorder="1" applyAlignment="1">
      <alignment horizontal="right" wrapText="1"/>
    </xf>
    <xf numFmtId="0" fontId="12" fillId="0" borderId="1" xfId="0" applyFont="1" applyBorder="1"/>
    <xf numFmtId="41" fontId="7" fillId="8" borderId="1" xfId="1" applyNumberFormat="1" applyFont="1" applyFill="1" applyBorder="1" applyAlignment="1">
      <alignment horizontal="right" wrapText="1"/>
    </xf>
    <xf numFmtId="41" fontId="7" fillId="2" borderId="1" xfId="1" applyNumberFormat="1" applyFont="1" applyFill="1" applyBorder="1" applyAlignment="1">
      <alignment horizontal="right" wrapText="1"/>
    </xf>
    <xf numFmtId="41" fontId="4" fillId="6" borderId="1" xfId="1" applyNumberFormat="1" applyFont="1" applyFill="1" applyBorder="1" applyAlignment="1">
      <alignment horizontal="right" wrapText="1"/>
    </xf>
    <xf numFmtId="0" fontId="7" fillId="2" borderId="1" xfId="0" applyFont="1" applyFill="1" applyBorder="1" applyAlignment="1">
      <alignment horizontal="center" vertical="center" wrapText="1"/>
    </xf>
    <xf numFmtId="168" fontId="6" fillId="0" borderId="1" xfId="1" applyNumberFormat="1" applyFont="1" applyBorder="1" applyAlignment="1">
      <alignment horizontal="center" wrapText="1"/>
    </xf>
    <xf numFmtId="168" fontId="7" fillId="9" borderId="3" xfId="1" applyNumberFormat="1" applyFont="1" applyFill="1" applyBorder="1" applyAlignment="1">
      <alignment horizontal="right" wrapText="1"/>
    </xf>
    <xf numFmtId="168" fontId="7" fillId="12" borderId="3" xfId="1" applyNumberFormat="1" applyFont="1" applyFill="1" applyBorder="1" applyAlignment="1">
      <alignment horizontal="center" wrapText="1"/>
    </xf>
    <xf numFmtId="0" fontId="3" fillId="0" borderId="1" xfId="0" applyFont="1" applyBorder="1" applyAlignment="1">
      <alignment horizontal="left" wrapText="1"/>
    </xf>
    <xf numFmtId="0" fontId="41" fillId="0" borderId="1" xfId="0" applyFont="1" applyBorder="1" applyAlignment="1">
      <alignment horizontal="left"/>
    </xf>
    <xf numFmtId="166" fontId="3" fillId="7" borderId="1" xfId="1" applyNumberFormat="1" applyFont="1" applyFill="1" applyBorder="1"/>
    <xf numFmtId="0" fontId="13" fillId="0" borderId="1" xfId="0" applyFont="1" applyBorder="1" applyAlignment="1">
      <alignment horizontal="left"/>
    </xf>
    <xf numFmtId="0" fontId="3" fillId="11" borderId="1" xfId="0" applyFont="1" applyFill="1" applyBorder="1" applyAlignment="1">
      <alignment horizontal="left"/>
    </xf>
    <xf numFmtId="0" fontId="22" fillId="2" borderId="1" xfId="2" applyFont="1" applyFill="1" applyBorder="1" applyAlignment="1">
      <alignment horizontal="center" vertical="center" wrapText="1"/>
    </xf>
    <xf numFmtId="41" fontId="21" fillId="2" borderId="1" xfId="1" applyNumberFormat="1" applyFont="1" applyFill="1" applyBorder="1" applyAlignment="1">
      <alignment horizontal="right" wrapText="1"/>
    </xf>
    <xf numFmtId="41" fontId="22" fillId="9" borderId="3" xfId="1" applyNumberFormat="1" applyFont="1" applyFill="1" applyBorder="1" applyAlignment="1">
      <alignment horizontal="right" wrapText="1"/>
    </xf>
    <xf numFmtId="41" fontId="21" fillId="2" borderId="2" xfId="1" applyNumberFormat="1" applyFont="1" applyFill="1" applyBorder="1" applyAlignment="1">
      <alignment horizontal="right" wrapText="1"/>
    </xf>
    <xf numFmtId="0" fontId="3" fillId="0" borderId="2" xfId="2" applyFont="1" applyBorder="1" applyAlignment="1">
      <alignment horizontal="left" vertical="center" wrapText="1"/>
    </xf>
    <xf numFmtId="166" fontId="3" fillId="11" borderId="1" xfId="1" applyNumberFormat="1" applyFont="1" applyFill="1" applyBorder="1"/>
    <xf numFmtId="41" fontId="22" fillId="13" borderId="3" xfId="1" applyNumberFormat="1" applyFont="1" applyFill="1" applyBorder="1" applyAlignment="1">
      <alignment horizontal="right" wrapText="1"/>
    </xf>
    <xf numFmtId="0" fontId="0" fillId="0" borderId="0" xfId="0" applyAlignment="1">
      <alignment vertical="center"/>
    </xf>
    <xf numFmtId="0" fontId="22" fillId="2" borderId="2" xfId="2" applyFont="1" applyFill="1" applyBorder="1" applyAlignment="1">
      <alignment horizontal="center" vertical="center" wrapText="1"/>
    </xf>
    <xf numFmtId="0" fontId="11" fillId="0" borderId="36" xfId="0" applyFont="1" applyBorder="1"/>
    <xf numFmtId="0" fontId="11" fillId="0" borderId="0" xfId="0" applyFont="1"/>
    <xf numFmtId="166" fontId="37" fillId="0" borderId="0" xfId="1" applyNumberFormat="1" applyFont="1"/>
    <xf numFmtId="168" fontId="7" fillId="9" borderId="1" xfId="1" applyNumberFormat="1" applyFont="1" applyFill="1" applyBorder="1" applyAlignment="1">
      <alignment horizontal="right" wrapText="1"/>
    </xf>
    <xf numFmtId="168" fontId="7" fillId="12" borderId="1" xfId="1" applyNumberFormat="1" applyFont="1" applyFill="1" applyBorder="1" applyAlignment="1">
      <alignment horizontal="center" wrapText="1"/>
    </xf>
    <xf numFmtId="168" fontId="9" fillId="0" borderId="0" xfId="0" applyNumberFormat="1" applyFont="1"/>
    <xf numFmtId="41" fontId="9" fillId="0" borderId="0" xfId="0" applyNumberFormat="1" applyFont="1"/>
    <xf numFmtId="165" fontId="22" fillId="8" borderId="1" xfId="1" applyFont="1" applyFill="1" applyBorder="1" applyAlignment="1">
      <alignment horizontal="center" wrapText="1"/>
    </xf>
    <xf numFmtId="0" fontId="11" fillId="0" borderId="36" xfId="0" applyFont="1" applyBorder="1" applyAlignment="1">
      <alignment horizontal="right"/>
    </xf>
    <xf numFmtId="0" fontId="32" fillId="0" borderId="1" xfId="0" applyFont="1" applyBorder="1" applyAlignment="1">
      <alignment horizontal="center"/>
    </xf>
    <xf numFmtId="2" fontId="13" fillId="0" borderId="1" xfId="1" applyNumberFormat="1" applyFont="1" applyBorder="1" applyAlignment="1">
      <alignment horizontal="right" wrapText="1"/>
    </xf>
    <xf numFmtId="0" fontId="3" fillId="0" borderId="1" xfId="0" applyFont="1" applyBorder="1" applyAlignment="1">
      <alignment horizontal="center" vertical="center"/>
    </xf>
    <xf numFmtId="168" fontId="17" fillId="0" borderId="0" xfId="0" applyNumberFormat="1" applyFont="1"/>
    <xf numFmtId="2" fontId="33" fillId="0" borderId="2" xfId="1" applyNumberFormat="1" applyFont="1" applyBorder="1" applyAlignment="1">
      <alignment horizontal="right" wrapText="1"/>
    </xf>
    <xf numFmtId="2" fontId="34" fillId="0" borderId="2" xfId="1" applyNumberFormat="1" applyFont="1" applyBorder="1" applyAlignment="1">
      <alignment horizontal="right" wrapText="1"/>
    </xf>
    <xf numFmtId="2" fontId="34" fillId="6" borderId="2" xfId="1" applyNumberFormat="1" applyFont="1" applyFill="1" applyBorder="1" applyAlignment="1">
      <alignment horizontal="right" wrapText="1"/>
    </xf>
    <xf numFmtId="0" fontId="11" fillId="0" borderId="0" xfId="0" applyFont="1" applyAlignment="1">
      <alignment horizontal="left"/>
    </xf>
    <xf numFmtId="0" fontId="0" fillId="0" borderId="36" xfId="0" applyBorder="1"/>
    <xf numFmtId="166" fontId="11" fillId="0" borderId="0" xfId="1" applyNumberFormat="1" applyFont="1" applyAlignment="1">
      <alignment horizontal="left"/>
    </xf>
    <xf numFmtId="166" fontId="3" fillId="7" borderId="43" xfId="1" applyNumberFormat="1" applyFont="1" applyFill="1" applyBorder="1"/>
    <xf numFmtId="166" fontId="3" fillId="11" borderId="43" xfId="1" applyNumberFormat="1" applyFont="1" applyFill="1" applyBorder="1"/>
    <xf numFmtId="166" fontId="13" fillId="0" borderId="2" xfId="1" applyNumberFormat="1" applyFont="1" applyBorder="1"/>
    <xf numFmtId="0" fontId="0" fillId="0" borderId="4" xfId="0" applyBorder="1"/>
    <xf numFmtId="0" fontId="0" fillId="0" borderId="5" xfId="0" applyBorder="1"/>
    <xf numFmtId="0" fontId="0" fillId="0" borderId="7" xfId="0" applyBorder="1"/>
    <xf numFmtId="0" fontId="0" fillId="0" borderId="4" xfId="0" applyBorder="1" applyAlignment="1">
      <alignment horizontal="center"/>
    </xf>
    <xf numFmtId="0" fontId="0" fillId="0" borderId="5" xfId="0" applyBorder="1" applyAlignment="1">
      <alignment horizontal="center"/>
    </xf>
    <xf numFmtId="0" fontId="0" fillId="0" borderId="42" xfId="0" applyBorder="1" applyAlignment="1">
      <alignment horizontal="center"/>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36" fillId="0" borderId="0" xfId="0" applyFont="1" applyAlignment="1">
      <alignment horizontal="left"/>
    </xf>
    <xf numFmtId="164" fontId="0" fillId="0" borderId="42" xfId="5" applyFont="1" applyBorder="1"/>
    <xf numFmtId="0" fontId="32" fillId="0" borderId="2" xfId="0" applyFont="1" applyBorder="1" applyAlignment="1">
      <alignment wrapText="1"/>
    </xf>
    <xf numFmtId="0" fontId="42" fillId="0" borderId="2" xfId="0" applyFont="1" applyBorder="1" applyAlignment="1">
      <alignment horizontal="center"/>
    </xf>
    <xf numFmtId="0" fontId="13" fillId="0" borderId="39" xfId="0" applyFont="1" applyBorder="1" applyAlignment="1">
      <alignment horizontal="justify" vertical="justify" wrapText="1"/>
    </xf>
    <xf numFmtId="0" fontId="0" fillId="0" borderId="27" xfId="0" applyBorder="1"/>
    <xf numFmtId="0" fontId="0" fillId="0" borderId="30" xfId="0" applyBorder="1"/>
    <xf numFmtId="0" fontId="0" fillId="0" borderId="31" xfId="0" applyBorder="1"/>
    <xf numFmtId="0" fontId="9" fillId="0" borderId="0" xfId="0" applyFont="1"/>
    <xf numFmtId="0" fontId="0" fillId="0" borderId="32" xfId="0" applyBorder="1"/>
    <xf numFmtId="0" fontId="0" fillId="0" borderId="33" xfId="0" applyBorder="1"/>
    <xf numFmtId="0" fontId="0" fillId="0" borderId="34" xfId="0" applyBorder="1"/>
    <xf numFmtId="0" fontId="0" fillId="0" borderId="35" xfId="0" applyBorder="1"/>
    <xf numFmtId="0" fontId="39" fillId="0" borderId="38" xfId="0" applyFont="1" applyBorder="1" applyAlignment="1">
      <alignment horizontal="center"/>
    </xf>
    <xf numFmtId="0" fontId="0" fillId="0" borderId="28" xfId="0" applyBorder="1"/>
    <xf numFmtId="0" fontId="0" fillId="0" borderId="29" xfId="0" applyBorder="1"/>
    <xf numFmtId="0" fontId="26" fillId="0" borderId="40" xfId="0" applyFont="1" applyBorder="1" applyAlignment="1">
      <alignment horizontal="left" indent="5"/>
    </xf>
    <xf numFmtId="0" fontId="0" fillId="0" borderId="20" xfId="0" applyBorder="1"/>
    <xf numFmtId="0" fontId="25" fillId="0" borderId="40" xfId="0" applyFont="1" applyBorder="1" applyAlignment="1">
      <alignment horizontal="center"/>
    </xf>
    <xf numFmtId="0" fontId="24" fillId="0" borderId="40" xfId="0" applyFont="1" applyBorder="1" applyAlignment="1">
      <alignment horizontal="center" vertical="center" wrapText="1"/>
    </xf>
    <xf numFmtId="0" fontId="0" fillId="0" borderId="19" xfId="0" applyBorder="1"/>
    <xf numFmtId="0" fontId="3" fillId="7" borderId="1" xfId="0" applyFont="1" applyFill="1" applyBorder="1" applyAlignment="1">
      <alignment horizontal="center" wrapText="1"/>
    </xf>
    <xf numFmtId="0" fontId="0" fillId="0" borderId="4" xfId="0" applyBorder="1"/>
    <xf numFmtId="0" fontId="0" fillId="0" borderId="5" xfId="0" applyBorder="1"/>
    <xf numFmtId="0" fontId="29" fillId="0" borderId="6" xfId="0" applyFont="1" applyBorder="1" applyAlignment="1">
      <alignment horizontal="left" wrapText="1"/>
    </xf>
    <xf numFmtId="0" fontId="0" fillId="0" borderId="6" xfId="0" applyBorder="1"/>
    <xf numFmtId="0" fontId="4" fillId="7" borderId="1" xfId="0" applyFont="1" applyFill="1" applyBorder="1" applyAlignment="1">
      <alignment horizontal="center" wrapText="1"/>
    </xf>
    <xf numFmtId="0" fontId="23" fillId="6" borderId="1" xfId="0" applyFont="1" applyFill="1" applyBorder="1" applyAlignment="1">
      <alignment horizontal="left" wrapText="1"/>
    </xf>
    <xf numFmtId="0" fontId="8" fillId="0" borderId="0" xfId="0" applyFont="1" applyAlignment="1">
      <alignment horizontal="left" wrapText="1"/>
    </xf>
    <xf numFmtId="0" fontId="40" fillId="6" borderId="1" xfId="0" applyFont="1" applyFill="1" applyBorder="1" applyAlignment="1">
      <alignment horizontal="left" wrapText="1"/>
    </xf>
    <xf numFmtId="0" fontId="0" fillId="0" borderId="0" xfId="0"/>
    <xf numFmtId="0" fontId="3" fillId="5" borderId="1" xfId="0" applyFont="1" applyFill="1" applyBorder="1" applyAlignment="1">
      <alignment horizontal="center"/>
    </xf>
    <xf numFmtId="0" fontId="11" fillId="0" borderId="0" xfId="0" applyFont="1" applyAlignment="1">
      <alignment horizontal="left"/>
    </xf>
    <xf numFmtId="0" fontId="10" fillId="7" borderId="1" xfId="0" applyFont="1" applyFill="1" applyBorder="1" applyAlignment="1">
      <alignment horizontal="center"/>
    </xf>
    <xf numFmtId="0" fontId="10" fillId="6" borderId="1" xfId="0" applyFont="1" applyFill="1" applyBorder="1" applyAlignment="1">
      <alignment horizontal="left"/>
    </xf>
    <xf numFmtId="0" fontId="11" fillId="0" borderId="6" xfId="0" applyFont="1" applyBorder="1" applyAlignment="1">
      <alignment horizontal="left"/>
    </xf>
    <xf numFmtId="0" fontId="10" fillId="5" borderId="1" xfId="0" applyFont="1" applyFill="1" applyBorder="1" applyAlignment="1">
      <alignment horizontal="center"/>
    </xf>
    <xf numFmtId="0" fontId="3" fillId="6" borderId="1" xfId="0" applyFont="1" applyFill="1" applyBorder="1" applyAlignment="1">
      <alignment horizontal="left"/>
    </xf>
    <xf numFmtId="0" fontId="10" fillId="5" borderId="1" xfId="6" applyFont="1" applyFill="1" applyBorder="1" applyAlignment="1">
      <alignment horizontal="center"/>
    </xf>
    <xf numFmtId="0" fontId="11" fillId="0" borderId="6" xfId="6" applyFont="1" applyBorder="1" applyAlignment="1">
      <alignment horizontal="left"/>
    </xf>
    <xf numFmtId="0" fontId="3" fillId="6" borderId="1" xfId="6" applyFont="1" applyFill="1" applyBorder="1" applyAlignment="1">
      <alignment horizontal="left"/>
    </xf>
    <xf numFmtId="0" fontId="11" fillId="4" borderId="6" xfId="6" applyFont="1" applyFill="1" applyBorder="1" applyAlignment="1">
      <alignment horizontal="left"/>
    </xf>
    <xf numFmtId="0" fontId="29" fillId="0" borderId="0" xfId="0" applyFont="1" applyAlignment="1">
      <alignment horizontal="left" wrapText="1"/>
    </xf>
    <xf numFmtId="0" fontId="22" fillId="5" borderId="1" xfId="0" applyFont="1" applyFill="1" applyBorder="1" applyAlignment="1">
      <alignment horizontal="center" wrapText="1"/>
    </xf>
    <xf numFmtId="0" fontId="3" fillId="6" borderId="1" xfId="0" applyFont="1" applyFill="1" applyBorder="1" applyAlignment="1">
      <alignment horizontal="left" wrapText="1"/>
    </xf>
    <xf numFmtId="0" fontId="3" fillId="5" borderId="1" xfId="0" applyFont="1" applyFill="1" applyBorder="1" applyAlignment="1">
      <alignment horizontal="center" wrapText="1"/>
    </xf>
    <xf numFmtId="0" fontId="28" fillId="0" borderId="6" xfId="0" applyFont="1" applyBorder="1" applyAlignment="1">
      <alignment horizontal="left"/>
    </xf>
    <xf numFmtId="0" fontId="36" fillId="0" borderId="6" xfId="0" applyFont="1" applyBorder="1" applyAlignment="1">
      <alignment horizontal="left"/>
    </xf>
    <xf numFmtId="0" fontId="34" fillId="5" borderId="1" xfId="0" applyFont="1" applyFill="1" applyBorder="1" applyAlignment="1">
      <alignment horizontal="center" wrapText="1"/>
    </xf>
    <xf numFmtId="0" fontId="32" fillId="6" borderId="1" xfId="0" applyFont="1" applyFill="1" applyBorder="1" applyAlignment="1">
      <alignment horizontal="left" wrapText="1"/>
    </xf>
    <xf numFmtId="0" fontId="32" fillId="5" borderId="1" xfId="0" applyFont="1" applyFill="1" applyBorder="1" applyAlignment="1">
      <alignment horizontal="center" wrapText="1"/>
    </xf>
    <xf numFmtId="0" fontId="35" fillId="0" borderId="0" xfId="0" applyFont="1" applyAlignment="1">
      <alignment horizontal="left" wrapText="1"/>
    </xf>
    <xf numFmtId="0" fontId="35" fillId="0" borderId="6" xfId="0" applyFont="1" applyBorder="1" applyAlignment="1">
      <alignment horizontal="left" wrapText="1"/>
    </xf>
    <xf numFmtId="0" fontId="3" fillId="6" borderId="42" xfId="0" applyFont="1" applyFill="1" applyBorder="1" applyAlignment="1">
      <alignment horizontal="center"/>
    </xf>
    <xf numFmtId="0" fontId="3" fillId="6" borderId="4" xfId="0" applyFont="1" applyFill="1" applyBorder="1" applyAlignment="1">
      <alignment horizontal="center"/>
    </xf>
    <xf numFmtId="0" fontId="3" fillId="6" borderId="5" xfId="0" applyFont="1" applyFill="1" applyBorder="1" applyAlignment="1">
      <alignment horizontal="center"/>
    </xf>
    <xf numFmtId="0" fontId="32" fillId="6" borderId="42" xfId="0" applyFont="1" applyFill="1" applyBorder="1" applyAlignment="1">
      <alignment horizontal="center" wrapText="1"/>
    </xf>
    <xf numFmtId="0" fontId="32" fillId="6" borderId="4" xfId="0" applyFont="1" applyFill="1" applyBorder="1" applyAlignment="1">
      <alignment horizontal="center" wrapText="1"/>
    </xf>
    <xf numFmtId="0" fontId="32" fillId="6" borderId="5" xfId="0" applyFont="1" applyFill="1" applyBorder="1" applyAlignment="1">
      <alignment horizontal="center" wrapText="1"/>
    </xf>
    <xf numFmtId="0" fontId="3" fillId="6" borderId="44" xfId="0" applyFont="1" applyFill="1" applyBorder="1" applyAlignment="1">
      <alignment horizontal="left"/>
    </xf>
    <xf numFmtId="0" fontId="3" fillId="6" borderId="6" xfId="0" applyFont="1" applyFill="1" applyBorder="1" applyAlignment="1">
      <alignment horizontal="left"/>
    </xf>
    <xf numFmtId="0" fontId="3" fillId="6" borderId="45" xfId="0" applyFont="1" applyFill="1" applyBorder="1" applyAlignment="1">
      <alignment horizontal="left"/>
    </xf>
    <xf numFmtId="0" fontId="36" fillId="0" borderId="42" xfId="0" applyFont="1" applyBorder="1" applyAlignment="1">
      <alignment horizontal="left"/>
    </xf>
    <xf numFmtId="0" fontId="36" fillId="0" borderId="4" xfId="0" applyFont="1" applyBorder="1" applyAlignment="1">
      <alignment horizontal="left"/>
    </xf>
    <xf numFmtId="0" fontId="36" fillId="0" borderId="5" xfId="0" applyFont="1" applyBorder="1" applyAlignment="1">
      <alignment horizontal="left"/>
    </xf>
    <xf numFmtId="0" fontId="3" fillId="6" borderId="42" xfId="0" applyFont="1" applyFill="1" applyBorder="1" applyAlignment="1">
      <alignment horizontal="center" wrapText="1"/>
    </xf>
    <xf numFmtId="0" fontId="3" fillId="6" borderId="4" xfId="0" applyFont="1" applyFill="1" applyBorder="1" applyAlignment="1">
      <alignment horizontal="center" wrapText="1"/>
    </xf>
    <xf numFmtId="0" fontId="3" fillId="6" borderId="5" xfId="0" applyFont="1" applyFill="1" applyBorder="1" applyAlignment="1">
      <alignment horizontal="center" wrapText="1"/>
    </xf>
    <xf numFmtId="0" fontId="17" fillId="6" borderId="42" xfId="0" applyFont="1" applyFill="1" applyBorder="1" applyAlignment="1">
      <alignment horizontal="left"/>
    </xf>
    <xf numFmtId="0" fontId="11" fillId="0" borderId="36" xfId="0" applyFont="1" applyBorder="1" applyAlignment="1">
      <alignment horizontal="center"/>
    </xf>
    <xf numFmtId="166" fontId="17" fillId="6" borderId="42" xfId="1" applyNumberFormat="1" applyFont="1" applyFill="1" applyBorder="1" applyAlignment="1">
      <alignment horizontal="left"/>
    </xf>
    <xf numFmtId="0" fontId="17" fillId="6" borderId="1" xfId="0" applyFont="1" applyFill="1" applyBorder="1" applyAlignment="1">
      <alignment horizontal="left"/>
    </xf>
    <xf numFmtId="0" fontId="17" fillId="6" borderId="41" xfId="0" applyFont="1" applyFill="1" applyBorder="1" applyAlignment="1">
      <alignment horizontal="center"/>
    </xf>
    <xf numFmtId="0" fontId="0" fillId="0" borderId="7" xfId="0" applyBorder="1"/>
    <xf numFmtId="0" fontId="11" fillId="0" borderId="7" xfId="0" applyFont="1" applyBorder="1" applyAlignment="1">
      <alignment horizontal="left"/>
    </xf>
  </cellXfs>
  <cellStyles count="9">
    <cellStyle name="Comma" xfId="1" builtinId="3"/>
    <cellStyle name="Comma [0]" xfId="5" builtinId="6"/>
    <cellStyle name="Comma 2" xfId="3" xr:uid="{00000000-0005-0000-0000-000003000000}"/>
    <cellStyle name="Comma 3" xfId="7" xr:uid="{00000000-0005-0000-0000-000007000000}"/>
    <cellStyle name="Comma 4" xfId="8" xr:uid="{00000000-0005-0000-0000-000008000000}"/>
    <cellStyle name="Hyperlink" xfId="4" builtinId="8"/>
    <cellStyle name="Normal" xfId="0" builtinId="0"/>
    <cellStyle name="Normal 2" xfId="2" xr:uid="{00000000-0005-0000-0000-000002000000}"/>
    <cellStyle name="Normal 3"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C000"/>
    <pageSetUpPr fitToPage="1"/>
  </sheetPr>
  <dimension ref="C1:J21"/>
  <sheetViews>
    <sheetView zoomScale="55" zoomScaleNormal="55" workbookViewId="0">
      <selection activeCell="N16" sqref="N16"/>
    </sheetView>
  </sheetViews>
  <sheetFormatPr defaultColWidth="9.453125" defaultRowHeight="14.5" x14ac:dyDescent="0.35"/>
  <cols>
    <col min="1" max="1" width="2" style="17" customWidth="1"/>
    <col min="2" max="2" width="2.453125" style="17" customWidth="1"/>
    <col min="3" max="3" width="2.54296875" style="17" customWidth="1"/>
    <col min="4" max="4" width="20.453125" style="17" customWidth="1"/>
    <col min="5" max="6" width="48.453125" style="17" customWidth="1"/>
    <col min="7" max="7" width="22.453125" style="17" customWidth="1"/>
    <col min="8" max="8" width="15" style="17" customWidth="1"/>
    <col min="9" max="9" width="9.453125" style="17" customWidth="1"/>
    <col min="10" max="10" width="3.453125" style="17" customWidth="1"/>
    <col min="11" max="11" width="9.453125" style="17" customWidth="1"/>
    <col min="12" max="13" width="12.453125" style="17" customWidth="1"/>
    <col min="14" max="14" width="9.453125" style="17" customWidth="1"/>
    <col min="15" max="15" width="15.453125" style="17" customWidth="1"/>
    <col min="16" max="66" width="9.453125" style="17" customWidth="1"/>
    <col min="67" max="16384" width="9.453125" style="17"/>
  </cols>
  <sheetData>
    <row r="1" spans="3:10" ht="24.75" customHeight="1" thickBot="1" x14ac:dyDescent="0.4"/>
    <row r="2" spans="3:10" ht="15" customHeight="1" thickBot="1" x14ac:dyDescent="0.4">
      <c r="C2" s="18"/>
      <c r="D2" s="19"/>
      <c r="E2" s="19"/>
      <c r="F2" s="19"/>
      <c r="G2" s="19"/>
      <c r="H2" s="19"/>
      <c r="I2" s="19"/>
      <c r="J2" s="20"/>
    </row>
    <row r="3" spans="3:10" ht="7.5" customHeight="1" x14ac:dyDescent="0.35">
      <c r="C3" s="21"/>
      <c r="D3" s="18"/>
      <c r="E3" s="19"/>
      <c r="F3" s="19"/>
      <c r="G3" s="19"/>
      <c r="H3" s="19"/>
      <c r="I3" s="20"/>
      <c r="J3" s="22"/>
    </row>
    <row r="4" spans="3:10" ht="5.25" customHeight="1" x14ac:dyDescent="0.35">
      <c r="C4" s="21"/>
      <c r="D4" s="21"/>
      <c r="I4" s="22"/>
      <c r="J4" s="22"/>
    </row>
    <row r="5" spans="3:10" ht="9" customHeight="1" x14ac:dyDescent="0.35">
      <c r="C5" s="21"/>
      <c r="D5" s="21"/>
      <c r="I5" s="22"/>
      <c r="J5" s="22"/>
    </row>
    <row r="6" spans="3:10" ht="22.5" customHeight="1" x14ac:dyDescent="0.45">
      <c r="C6" s="21"/>
      <c r="D6" s="21"/>
      <c r="E6" s="29" t="s">
        <v>0</v>
      </c>
      <c r="F6" s="29"/>
      <c r="G6" s="29"/>
      <c r="H6" s="30"/>
      <c r="I6" s="22"/>
      <c r="J6" s="22"/>
    </row>
    <row r="7" spans="3:10" ht="30" customHeight="1" x14ac:dyDescent="0.6">
      <c r="C7" s="21"/>
      <c r="D7" s="21"/>
      <c r="E7" s="23"/>
      <c r="I7" s="22"/>
      <c r="J7" s="22"/>
    </row>
    <row r="8" spans="3:10" ht="30" customHeight="1" x14ac:dyDescent="0.6">
      <c r="C8" s="21"/>
      <c r="D8" s="21"/>
      <c r="E8" s="24"/>
      <c r="F8" s="24"/>
      <c r="I8" s="22"/>
      <c r="J8" s="22"/>
    </row>
    <row r="9" spans="3:10" ht="30" customHeight="1" x14ac:dyDescent="0.35">
      <c r="C9" s="21"/>
      <c r="D9" s="21"/>
      <c r="I9" s="22"/>
      <c r="J9" s="22"/>
    </row>
    <row r="10" spans="3:10" ht="20.149999999999999" customHeight="1" thickBot="1" x14ac:dyDescent="0.4">
      <c r="C10" s="21"/>
      <c r="D10" s="21"/>
      <c r="I10" s="22"/>
      <c r="J10" s="22"/>
    </row>
    <row r="11" spans="3:10" ht="20.149999999999999" customHeight="1" thickBot="1" x14ac:dyDescent="0.4">
      <c r="C11" s="21"/>
      <c r="D11" s="21"/>
      <c r="E11" s="25" t="s">
        <v>1</v>
      </c>
      <c r="F11" s="32" t="s">
        <v>2</v>
      </c>
      <c r="I11" s="22"/>
      <c r="J11" s="22"/>
    </row>
    <row r="12" spans="3:10" ht="20.149999999999999" customHeight="1" thickBot="1" x14ac:dyDescent="0.4">
      <c r="C12" s="21"/>
      <c r="D12" s="21"/>
      <c r="I12" s="22"/>
      <c r="J12" s="22"/>
    </row>
    <row r="13" spans="3:10" ht="20.149999999999999" customHeight="1" thickBot="1" x14ac:dyDescent="0.4">
      <c r="C13" s="21"/>
      <c r="D13" s="21"/>
      <c r="E13" s="31" t="s">
        <v>3</v>
      </c>
      <c r="F13" s="54">
        <v>1</v>
      </c>
      <c r="I13" s="22"/>
      <c r="J13" s="22"/>
    </row>
    <row r="14" spans="3:10" s="95" customFormat="1" ht="36.75" customHeight="1" thickBot="1" x14ac:dyDescent="0.4">
      <c r="C14" s="94"/>
      <c r="D14" s="94"/>
      <c r="I14" s="96"/>
      <c r="J14" s="96"/>
    </row>
    <row r="15" spans="3:10" ht="20.149999999999999" customHeight="1" thickBot="1" x14ac:dyDescent="0.4">
      <c r="C15" s="21"/>
      <c r="D15" s="21"/>
      <c r="E15" s="25" t="s">
        <v>4</v>
      </c>
      <c r="F15" s="54">
        <v>2025</v>
      </c>
      <c r="I15" s="22"/>
      <c r="J15" s="22"/>
    </row>
    <row r="16" spans="3:10" ht="20.149999999999999" customHeight="1" x14ac:dyDescent="0.35">
      <c r="C16" s="21"/>
      <c r="D16" s="21"/>
      <c r="I16" s="22"/>
      <c r="J16" s="22"/>
    </row>
    <row r="17" spans="3:10" ht="45" customHeight="1" thickBot="1" x14ac:dyDescent="0.4">
      <c r="C17" s="21"/>
      <c r="D17" s="21"/>
      <c r="I17" s="22"/>
      <c r="J17" s="22"/>
    </row>
    <row r="18" spans="3:10" ht="20.149999999999999" customHeight="1" thickBot="1" x14ac:dyDescent="0.4">
      <c r="C18" s="21"/>
      <c r="D18" s="21"/>
      <c r="E18" s="25" t="s">
        <v>5</v>
      </c>
      <c r="F18" s="54" t="s">
        <v>6</v>
      </c>
      <c r="I18" s="22"/>
      <c r="J18" s="22"/>
    </row>
    <row r="19" spans="3:10" ht="20.149999999999999" customHeight="1" x14ac:dyDescent="0.35">
      <c r="C19" s="21"/>
      <c r="D19" s="21"/>
      <c r="E19" s="25"/>
      <c r="I19" s="22"/>
      <c r="J19" s="22"/>
    </row>
    <row r="20" spans="3:10" ht="15" customHeight="1" thickBot="1" x14ac:dyDescent="0.4">
      <c r="C20" s="21"/>
      <c r="D20" s="26"/>
      <c r="E20" s="27"/>
      <c r="F20" s="27"/>
      <c r="G20" s="27"/>
      <c r="H20" s="27"/>
      <c r="I20" s="28"/>
      <c r="J20" s="22"/>
    </row>
    <row r="21" spans="3:10" ht="15" customHeight="1" thickBot="1" x14ac:dyDescent="0.4">
      <c r="C21" s="26"/>
      <c r="D21" s="27"/>
      <c r="E21" s="27"/>
      <c r="F21" s="27"/>
      <c r="G21" s="27"/>
      <c r="H21" s="27"/>
      <c r="I21" s="27"/>
      <c r="J21" s="28"/>
    </row>
  </sheetData>
  <sheetProtection algorithmName="SHA-512" hashValue="cELBWdYnmCnSsv/EytgGJBI1jONAe2p0JT+YF0A0kNeL8BM8kxqg6J/ZbP2imzLwfp7bavv4cp7qu8RomZxs1w==" saltValue="HPBxewItZ3h3Rpou+o0xGQ==" spinCount="100000" sheet="1" objects="1" scenarios="1"/>
  <pageMargins left="0.7" right="0.7" top="0.75" bottom="0.75" header="0.3" footer="0.3"/>
  <pageSetup paperSize="9" scale="6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C000"/>
  </sheetPr>
  <dimension ref="B1:F9"/>
  <sheetViews>
    <sheetView workbookViewId="0"/>
  </sheetViews>
  <sheetFormatPr defaultColWidth="9.453125" defaultRowHeight="21" customHeight="1" x14ac:dyDescent="0.3"/>
  <cols>
    <col min="1" max="1" width="14.54296875" style="2" customWidth="1"/>
    <col min="2" max="3" width="9.453125" style="2" customWidth="1"/>
    <col min="4" max="4" width="28.453125" style="2" customWidth="1"/>
    <col min="5" max="5" width="50.453125" style="2" customWidth="1"/>
    <col min="6" max="6" width="25" style="2" customWidth="1"/>
    <col min="7" max="57" width="9.453125" style="2" customWidth="1"/>
    <col min="58" max="16384" width="9.453125" style="2"/>
  </cols>
  <sheetData>
    <row r="1" spans="2:6" ht="14" customHeight="1" x14ac:dyDescent="0.3"/>
    <row r="2" spans="2:6" ht="38.25" customHeight="1" thickBot="1" x14ac:dyDescent="0.35"/>
    <row r="3" spans="2:6" ht="62.25" customHeight="1" thickBot="1" x14ac:dyDescent="0.45">
      <c r="B3" s="243" t="s">
        <v>7</v>
      </c>
      <c r="C3" s="244"/>
      <c r="D3" s="244"/>
      <c r="E3" s="244"/>
      <c r="F3" s="245"/>
    </row>
    <row r="4" spans="2:6" ht="23.25" customHeight="1" thickTop="1" x14ac:dyDescent="0.3">
      <c r="B4" s="234" t="s">
        <v>8</v>
      </c>
      <c r="C4" s="235"/>
      <c r="D4" s="235"/>
      <c r="E4" s="235"/>
      <c r="F4" s="236"/>
    </row>
    <row r="5" spans="2:6" ht="23.25" customHeight="1" x14ac:dyDescent="0.3">
      <c r="B5" s="237"/>
      <c r="C5" s="238"/>
      <c r="D5" s="238"/>
      <c r="E5" s="238"/>
      <c r="F5" s="239"/>
    </row>
    <row r="6" spans="2:6" ht="62.25" customHeight="1" x14ac:dyDescent="0.3">
      <c r="B6" s="237"/>
      <c r="C6" s="238"/>
      <c r="D6" s="238"/>
      <c r="E6" s="238"/>
      <c r="F6" s="239"/>
    </row>
    <row r="7" spans="2:6" ht="94.5" customHeight="1" thickBot="1" x14ac:dyDescent="0.35">
      <c r="B7" s="240"/>
      <c r="C7" s="241"/>
      <c r="D7" s="241"/>
      <c r="E7" s="241"/>
      <c r="F7" s="242"/>
    </row>
    <row r="8" spans="2:6" ht="62.25" customHeight="1" x14ac:dyDescent="0.3"/>
    <row r="9" spans="2:6" ht="62.25" customHeight="1" x14ac:dyDescent="0.3"/>
  </sheetData>
  <sheetProtection algorithmName="SHA-512" hashValue="4cV5TVf8KYyiScLKF7PPmgyCZX2qKmugbu8cl4tTmLKUpo8UObs1cySNq3azt6klQXAHSRg8ZLgv2K9qcIWmpg==" saltValue="/Ctuk/UDwITEIb3Fx1rAVw==" spinCount="100000" sheet="1" objects="1" scenarios="1"/>
  <mergeCells count="2">
    <mergeCell ref="B4:F7"/>
    <mergeCell ref="B3:F3"/>
  </mergeCells>
  <printOptions verticalCentered="1"/>
  <pageMargins left="0.7" right="0.7" top="0.75" bottom="0.75" header="0.3" footer="0.3"/>
  <pageSetup paperSize="7" scale="80" orientation="landscape"/>
  <colBreaks count="1" manualBreakCount="1">
    <brk id="16" max="14"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C000"/>
    <pageSetUpPr fitToPage="1"/>
  </sheetPr>
  <dimension ref="A1:C44"/>
  <sheetViews>
    <sheetView topLeftCell="A19" workbookViewId="0">
      <selection activeCell="B26" sqref="B26"/>
    </sheetView>
  </sheetViews>
  <sheetFormatPr defaultColWidth="9.453125" defaultRowHeight="14" x14ac:dyDescent="0.3"/>
  <cols>
    <col min="1" max="1" width="11.54296875" style="2" customWidth="1"/>
    <col min="2" max="2" width="38" style="2" customWidth="1"/>
    <col min="3" max="3" width="175.453125" style="2" customWidth="1"/>
    <col min="4" max="4" width="20.453125" style="2" customWidth="1"/>
    <col min="5" max="55" width="9.453125" style="2" customWidth="1"/>
    <col min="56" max="16384" width="9.453125" style="2"/>
  </cols>
  <sheetData>
    <row r="1" spans="1:3" ht="14.5" customHeight="1" thickBot="1" x14ac:dyDescent="0.35"/>
    <row r="2" spans="1:3" ht="14.5" customHeight="1" thickTop="1" x14ac:dyDescent="0.3">
      <c r="A2" s="50"/>
      <c r="B2" s="51"/>
      <c r="C2" s="52"/>
    </row>
    <row r="3" spans="1:3" x14ac:dyDescent="0.3">
      <c r="A3" s="50"/>
      <c r="B3" s="249" t="s">
        <v>0</v>
      </c>
      <c r="C3" s="247"/>
    </row>
    <row r="4" spans="1:3" x14ac:dyDescent="0.3">
      <c r="A4" s="50"/>
      <c r="B4" s="250"/>
      <c r="C4" s="247"/>
    </row>
    <row r="5" spans="1:3" ht="17.5" customHeight="1" x14ac:dyDescent="0.35">
      <c r="A5" s="50"/>
      <c r="B5" s="248" t="s">
        <v>9</v>
      </c>
      <c r="C5" s="247"/>
    </row>
    <row r="6" spans="1:3" ht="21" customHeight="1" thickBot="1" x14ac:dyDescent="0.5">
      <c r="A6" s="50"/>
      <c r="B6" s="246" t="s">
        <v>10</v>
      </c>
      <c r="C6" s="247"/>
    </row>
    <row r="7" spans="1:3" s="5" customFormat="1" ht="15" customHeight="1" thickTop="1" thickBot="1" x14ac:dyDescent="0.35">
      <c r="A7" s="50"/>
      <c r="B7" s="33" t="s">
        <v>11</v>
      </c>
      <c r="C7" s="34" t="s">
        <v>12</v>
      </c>
    </row>
    <row r="8" spans="1:3" ht="14.5" customHeight="1" thickTop="1" x14ac:dyDescent="0.3">
      <c r="A8" s="50"/>
      <c r="B8" s="135" t="s">
        <v>13</v>
      </c>
      <c r="C8" s="47" t="str">
        <f>_xlfn.CONCAT("SUMMARY OF GENERAL INSURANCE BUSINESS PROFIT &amp; LOSS ACCOUNTS FOR THE PERIOD ENDED"," ",Details!F18)</f>
        <v>SUMMARY OF GENERAL INSURANCE BUSINESS PROFIT &amp; LOSS ACCOUNTS FOR THE PERIOD ENDED 31.03.2025</v>
      </c>
    </row>
    <row r="9" spans="1:3" x14ac:dyDescent="0.3">
      <c r="A9" s="50"/>
      <c r="B9" s="135" t="s">
        <v>14</v>
      </c>
      <c r="C9" s="48" t="str">
        <f>_xlfn.CONCAT("SUMMARY OF LONG TERM INSURANCE BUSINESS PROFIT &amp; LOSS ACCOUNTS  FOR THE PERIOD ENDED"," ",Details!$F$18)</f>
        <v>SUMMARY OF LONG TERM INSURANCE BUSINESS PROFIT &amp; LOSS ACCOUNTS  FOR THE PERIOD ENDED 31.03.2025</v>
      </c>
    </row>
    <row r="10" spans="1:3" x14ac:dyDescent="0.3">
      <c r="A10" s="50"/>
      <c r="B10" s="135" t="s">
        <v>15</v>
      </c>
      <c r="C10" s="48" t="str">
        <f>_xlfn.CONCAT("SUMMARY OF MICRO INSURANCE BUSINESS PROFIT &amp; LOSS ACCOUNTS  FOR THE PERIOD ENDED"," ",Details!$F$18)</f>
        <v>SUMMARY OF MICRO INSURANCE BUSINESS PROFIT &amp; LOSS ACCOUNTS  FOR THE PERIOD ENDED 31.03.2025</v>
      </c>
    </row>
    <row r="11" spans="1:3" x14ac:dyDescent="0.3">
      <c r="A11" s="50"/>
      <c r="B11" s="135" t="s">
        <v>16</v>
      </c>
      <c r="C11" s="48" t="str">
        <f>_xlfn.CONCAT("SUMMARY OF LONG TERM INSURANCE BUSINESS GROSS PREMIUM INCOME FOR THE PERIOD ENDED"," ",Details!F18)</f>
        <v>SUMMARY OF LONG TERM INSURANCE BUSINESS GROSS PREMIUM INCOME FOR THE PERIOD ENDED 31.03.2025</v>
      </c>
    </row>
    <row r="12" spans="1:3" x14ac:dyDescent="0.3">
      <c r="A12" s="50"/>
      <c r="B12" s="135" t="s">
        <v>17</v>
      </c>
      <c r="C12" s="48" t="str">
        <f>_xlfn.CONCAT("SUMMARY OF LONG TERM INSURANCE BUSINESS MARKET SHARE PER CLASS FOR THE PERIOD ENDED"," ",Details!F18)</f>
        <v>SUMMARY OF LONG TERM INSURANCE BUSINESS MARKET SHARE PER CLASS FOR THE PERIOD ENDED 31.03.2025</v>
      </c>
    </row>
    <row r="13" spans="1:3" x14ac:dyDescent="0.3">
      <c r="A13" s="50"/>
      <c r="B13" s="135" t="s">
        <v>18</v>
      </c>
      <c r="C13" s="48" t="str">
        <f>_xlfn.CONCAT("SUMMARY OF LIFE ASSURANCE BUSINESS REVENUE ACCOUNTS FOR THE PERIOD ENDED"," ",Details!F18)</f>
        <v>SUMMARY OF LIFE ASSURANCE BUSINESS REVENUE ACCOUNTS FOR THE PERIOD ENDED 31.03.2025</v>
      </c>
    </row>
    <row r="14" spans="1:3" x14ac:dyDescent="0.3">
      <c r="A14" s="50"/>
      <c r="B14" s="135" t="s">
        <v>19</v>
      </c>
      <c r="C14" s="48" t="str">
        <f>_xlfn.CONCAT("SUMMARY OF ANNUITIES BUSINESS REVENUE ACCOUNTS FOR THE PERIOD ENDED"," ",Details!F18)</f>
        <v>SUMMARY OF ANNUITIES BUSINESS REVENUE ACCOUNTS FOR THE PERIOD ENDED 31.03.2025</v>
      </c>
    </row>
    <row r="15" spans="1:3" x14ac:dyDescent="0.3">
      <c r="A15" s="50"/>
      <c r="B15" s="135" t="s">
        <v>20</v>
      </c>
      <c r="C15" s="48" t="str">
        <f>_xlfn.CONCAT("SUMMARY OF GROUP LIFE BUSINESS REVENUE ACCOUNTS FOR THE PERIOD ENDED"," ",Details!F18)</f>
        <v>SUMMARY OF GROUP LIFE BUSINESS REVENUE ACCOUNTS FOR THE PERIOD ENDED 31.03.2025</v>
      </c>
    </row>
    <row r="16" spans="1:3" x14ac:dyDescent="0.3">
      <c r="A16" s="50"/>
      <c r="B16" s="135" t="s">
        <v>21</v>
      </c>
      <c r="C16" s="48" t="str">
        <f>_xlfn.CONCAT("SUMMARY OF GROUP CREDIT BUSINESS REVENUE ACCOUNTS FOR THE PERIOD ENDED"," ",Details!F18)</f>
        <v>SUMMARY OF GROUP CREDIT BUSINESS REVENUE ACCOUNTS FOR THE PERIOD ENDED 31.03.2025</v>
      </c>
    </row>
    <row r="17" spans="1:3" x14ac:dyDescent="0.3">
      <c r="A17" s="50"/>
      <c r="B17" s="135" t="s">
        <v>22</v>
      </c>
      <c r="C17" s="48" t="str">
        <f>_xlfn.CONCAT("SUMMARY OF INVESTMENTS BUSINESS REVENUE ACCOUNTS FOR THE PERIOD ENDED"," ",Details!F18)</f>
        <v>SUMMARY OF INVESTMENTS BUSINESS REVENUE ACCOUNTS FOR THE PERIOD ENDED 31.03.2025</v>
      </c>
    </row>
    <row r="18" spans="1:3" x14ac:dyDescent="0.3">
      <c r="A18" s="50"/>
      <c r="B18" s="135" t="s">
        <v>23</v>
      </c>
      <c r="C18" s="48" t="str">
        <f>_xlfn.CONCAT("SUMMARY OF PERMANENT HEALTH BUSINESS REVENUE ACCOUNTS FOR THE PERIOD ENDED"," ",Details!F18)</f>
        <v>SUMMARY OF PERMANENT HEALTH BUSINESS REVENUE ACCOUNTS FOR THE PERIOD ENDED 31.03.2025</v>
      </c>
    </row>
    <row r="19" spans="1:3" x14ac:dyDescent="0.3">
      <c r="A19" s="50"/>
      <c r="B19" s="135" t="s">
        <v>24</v>
      </c>
      <c r="C19" s="48" t="str">
        <f>_xlfn.CONCAT("SUMMARY OF PERSONAL PENSIONS BUSINESS REVENUE ACCOUNTS FOR THE PERIOD ENDED"," ",Details!F18)</f>
        <v>SUMMARY OF PERSONAL PENSIONS BUSINESS REVENUE ACCOUNTS FOR THE PERIOD ENDED 31.03.2025</v>
      </c>
    </row>
    <row r="20" spans="1:3" x14ac:dyDescent="0.3">
      <c r="A20" s="50"/>
      <c r="B20" s="135" t="s">
        <v>25</v>
      </c>
      <c r="C20" s="48" t="str">
        <f>_xlfn.CONCAT("SUMMARY OF DEPOSIT ADMINISTRATION BUSINESS REVENUE ACCOUNTS FOR THE PERIOD ENDED"," ",Details!F18)</f>
        <v>SUMMARY OF DEPOSIT ADMINISTRATION BUSINESS REVENUE ACCOUNTS FOR THE PERIOD ENDED 31.03.2025</v>
      </c>
    </row>
    <row r="21" spans="1:3" x14ac:dyDescent="0.3">
      <c r="A21" s="50"/>
      <c r="B21" s="135" t="s">
        <v>26</v>
      </c>
      <c r="C21" s="48" t="str">
        <f>_xlfn.CONCAT("SUMMARY OF COMBINED LONG TERM BUSINESS REVENUE ACCOUNTS FOR THE PERIOD ENDED"," ",Details!F18)</f>
        <v>SUMMARY OF COMBINED LONG TERM BUSINESS REVENUE ACCOUNTS FOR THE PERIOD ENDED 31.03.2025</v>
      </c>
    </row>
    <row r="22" spans="1:3" x14ac:dyDescent="0.3">
      <c r="A22" s="50"/>
      <c r="B22" s="135" t="s">
        <v>27</v>
      </c>
      <c r="C22" s="48" t="str">
        <f>_xlfn.CONCAT("SUMMARY OF GROSS  PREMIUM INCOME UNDER GENERAL INSURANCE BUSINESS FOR THE PERIOD ENDED"," ",Details!$F$18)</f>
        <v>SUMMARY OF GROSS  PREMIUM INCOME UNDER GENERAL INSURANCE BUSINESS FOR THE PERIOD ENDED 31.03.2025</v>
      </c>
    </row>
    <row r="23" spans="1:3" x14ac:dyDescent="0.3">
      <c r="A23" s="50"/>
      <c r="B23" s="135" t="s">
        <v>28</v>
      </c>
      <c r="C23" s="48" t="str">
        <f>_xlfn.CONCAT("SUMMARY OF GENERAL INSURANCE BUSINESS MARKET SHARE PER CLASS FOR THE PERIOD ENDED"," ",Details!$F$18)</f>
        <v>SUMMARY OF GENERAL INSURANCE BUSINESS MARKET SHARE PER CLASS FOR THE PERIOD ENDED 31.03.2025</v>
      </c>
    </row>
    <row r="24" spans="1:3" x14ac:dyDescent="0.3">
      <c r="A24" s="50"/>
      <c r="B24" s="135" t="s">
        <v>29</v>
      </c>
      <c r="C24" s="48" t="str">
        <f>_xlfn.CONCAT("SUMMARY OF CLAIMS PAID UNDER GENERAL INSURANCE BUSINESS FOR THE PERIOD ENDED"," ",Details!$F$18)</f>
        <v>SUMMARY OF CLAIMS PAID UNDER GENERAL INSURANCE BUSINESS FOR THE PERIOD ENDED 31.03.2025</v>
      </c>
    </row>
    <row r="25" spans="1:3" x14ac:dyDescent="0.3">
      <c r="A25" s="50"/>
      <c r="B25" s="135" t="s">
        <v>30</v>
      </c>
      <c r="C25" s="48" t="str">
        <f>_xlfn.CONCAT("SUMMARY OF CLAIMS INCURRED UNDER GENERAL INSURANCE BUSINESS FOR THE PERIOD ENDED"," ",Details!$F$18)</f>
        <v>SUMMARY OF CLAIMS INCURRED UNDER GENERAL INSURANCE BUSINESS FOR THE PERIOD ENDED 31.03.2025</v>
      </c>
    </row>
    <row r="26" spans="1:3" x14ac:dyDescent="0.3">
      <c r="A26" s="50"/>
      <c r="B26" s="135" t="s">
        <v>31</v>
      </c>
      <c r="C26" s="48" t="str">
        <f>_xlfn.CONCAT("SUMMARY OF INCURRED CLAIMS RATIOS UNDER GENERAL INSURANCE BUSINESS FOR THE PERIOD ENDED"," ",Details!$F$18)</f>
        <v>SUMMARY OF INCURRED CLAIMS RATIOS UNDER GENERAL INSURANCE BUSINESS FOR THE PERIOD ENDED 31.03.2025</v>
      </c>
    </row>
    <row r="27" spans="1:3" x14ac:dyDescent="0.3">
      <c r="A27" s="50"/>
      <c r="B27" s="135" t="s">
        <v>32</v>
      </c>
      <c r="C27" s="48" t="str">
        <f>_xlfn.CONCAT("SUMMARY OF UNDERWRITING PROFITS UNDER GENERAL INSURANCE BUSINESS FOR THE PERIOD ENDED"," ",Details!$F$18)</f>
        <v>SUMMARY OF UNDERWRITING PROFITS UNDER GENERAL INSURANCE BUSINESS FOR THE PERIOD ENDED 31.03.2025</v>
      </c>
    </row>
    <row r="28" spans="1:3" x14ac:dyDescent="0.3">
      <c r="A28" s="50"/>
      <c r="B28" s="135" t="s">
        <v>33</v>
      </c>
      <c r="C28" s="48" t="str">
        <f>_xlfn.CONCAT("SUMMARY OF GENERAL INSURANCE BUSINESS REVENUE ACCOUNTS FOR THE PERIOD ENDED"," ",Details!$F$18)</f>
        <v>SUMMARY OF GENERAL INSURANCE BUSINESS REVENUE ACCOUNTS FOR THE PERIOD ENDED 31.03.2025</v>
      </c>
    </row>
    <row r="29" spans="1:3" x14ac:dyDescent="0.3">
      <c r="A29" s="50"/>
      <c r="B29" s="135" t="s">
        <v>34</v>
      </c>
      <c r="C29" s="48" t="str">
        <f>_xlfn.CONCAT("SUMMARY OF MICRO INSURANCE BUSINESS REVENUE ACCOUNT RESULTS FOR THE PERIOD ENDED"," ",Details!$F$18)</f>
        <v>SUMMARY OF MICRO INSURANCE BUSINESS REVENUE ACCOUNT RESULTS FOR THE PERIOD ENDED 31.03.2025</v>
      </c>
    </row>
    <row r="30" spans="1:3" hidden="1" x14ac:dyDescent="0.3">
      <c r="A30" s="50"/>
      <c r="B30" s="135" t="s">
        <v>279</v>
      </c>
      <c r="C30" s="48" t="str">
        <f>_xlfn.CONCAT("SUMMARY OF MICRO INSURANCE BUSINESS MARKET SHARE PER CLASS FOR THE PERIOD ENDED"," ",Details!$F$18)</f>
        <v>SUMMARY OF MICRO INSURANCE BUSINESS MARKET SHARE PER CLASS FOR THE PERIOD ENDED 31.03.2025</v>
      </c>
    </row>
    <row r="31" spans="1:3" hidden="1" x14ac:dyDescent="0.3">
      <c r="A31" s="50"/>
      <c r="B31" s="135" t="s">
        <v>280</v>
      </c>
      <c r="C31" s="48" t="str">
        <f>_xlfn.CONCAT("SUMMARY OF CLAIMS PAID UNDER MICRO INSURANCE BUSINESS FOR THE PERIOD ENDED"," ",Details!$F$18)</f>
        <v>SUMMARY OF CLAIMS PAID UNDER MICRO INSURANCE BUSINESS FOR THE PERIOD ENDED 31.03.2025</v>
      </c>
    </row>
    <row r="32" spans="1:3" hidden="1" x14ac:dyDescent="0.3">
      <c r="A32" s="50"/>
      <c r="B32" s="135" t="s">
        <v>281</v>
      </c>
      <c r="C32" s="48" t="str">
        <f>_xlfn.CONCAT("SUMMARY OF CLAIMS INCURRED UNDER MICRO INSURANCE BUSINESS FOR THE PERIOD ENDED"," ",Details!$F$18)</f>
        <v>SUMMARY OF CLAIMS INCURRED UNDER MICRO INSURANCE BUSINESS FOR THE PERIOD ENDED 31.03.2025</v>
      </c>
    </row>
    <row r="33" spans="1:3" hidden="1" x14ac:dyDescent="0.3">
      <c r="A33" s="50"/>
      <c r="B33" s="135" t="s">
        <v>282</v>
      </c>
      <c r="C33" s="48" t="str">
        <f>_xlfn.CONCAT("SUMMARY OF INCURRED CLAIMS RATIOS UNDER MICRO INSURANCE BUSINESS FOR THE PERIOD ENDED"," ",Details!$F$18)</f>
        <v>SUMMARY OF INCURRED CLAIMS RATIOS UNDER MICRO INSURANCE BUSINESS FOR THE PERIOD ENDED 31.03.2025</v>
      </c>
    </row>
    <row r="34" spans="1:3" hidden="1" x14ac:dyDescent="0.3">
      <c r="A34" s="50"/>
      <c r="B34" s="135" t="s">
        <v>283</v>
      </c>
      <c r="C34" s="48" t="str">
        <f>_xlfn.CONCAT("SUMMARY OF UNDERWRITING PROFITS UNDER MICRO INSURANCE BUSINESS FOR THE PERIOD ENDED"," ",Details!$F$18)</f>
        <v>SUMMARY OF UNDERWRITING PROFITS UNDER MICRO INSURANCE BUSINESS FOR THE PERIOD ENDED 31.03.2025</v>
      </c>
    </row>
    <row r="35" spans="1:3" x14ac:dyDescent="0.3">
      <c r="B35" s="135" t="s">
        <v>35</v>
      </c>
      <c r="C35" s="48" t="str">
        <f>_xlfn.CONCAT("SUMMARY OF COMBINED MICRO INSURANCE BUSINESS REVENUE ACCOUNTS FOR THE PERIOD ENDED"," ",Details!F18)</f>
        <v>SUMMARY OF COMBINED MICRO INSURANCE BUSINESS REVENUE ACCOUNTS FOR THE PERIOD ENDED 31.03.2025</v>
      </c>
    </row>
    <row r="36" spans="1:3" x14ac:dyDescent="0.3">
      <c r="B36" s="135" t="s">
        <v>284</v>
      </c>
      <c r="C36" s="48" t="str">
        <f>_xlfn.CONCAT("SUMMARY OF LONG TERM INSURANCE BUSINESS BALANCE SHEETS AS AT"," ",Details!F18)</f>
        <v>SUMMARY OF LONG TERM INSURANCE BUSINESS BALANCE SHEETS AS AT 31.03.2025</v>
      </c>
    </row>
    <row r="37" spans="1:3" x14ac:dyDescent="0.3">
      <c r="B37" s="135" t="s">
        <v>285</v>
      </c>
      <c r="C37" s="48" t="str">
        <f>_xlfn.CONCAT("SUMMARY OF LONG TERM INSURANCE BUSINESS BALANCE SHEETS AS AT"," ",Details!F18)</f>
        <v>SUMMARY OF LONG TERM INSURANCE BUSINESS BALANCE SHEETS AS AT 31.03.2025</v>
      </c>
    </row>
    <row r="38" spans="1:3" x14ac:dyDescent="0.3">
      <c r="B38" s="135" t="s">
        <v>286</v>
      </c>
      <c r="C38" s="48" t="str">
        <f>_xlfn.CONCAT("SUMMARY OF LONG TERM INSURANCE BUSINESS BALANCE SHEETS AS AT"," ",Details!F18)</f>
        <v>SUMMARY OF LONG TERM INSURANCE BUSINESS BALANCE SHEETS AS AT 31.03.2025</v>
      </c>
    </row>
    <row r="39" spans="1:3" x14ac:dyDescent="0.3">
      <c r="B39" s="135" t="s">
        <v>287</v>
      </c>
      <c r="C39" s="48" t="str">
        <f>_xlfn.CONCAT("SUMMARY OF GENERAL INSURANCE BUSINESS BALANCE SHEETS AS AT"," ",Details!F18)</f>
        <v>SUMMARY OF GENERAL INSURANCE BUSINESS BALANCE SHEETS AS AT 31.03.2025</v>
      </c>
    </row>
    <row r="40" spans="1:3" x14ac:dyDescent="0.3">
      <c r="B40" s="135" t="s">
        <v>288</v>
      </c>
      <c r="C40" s="48" t="str">
        <f>_xlfn.CONCAT("SUMMARY OF GENERAL INSURANCE BUSINESS BALANCE SHEETS AS AT"," ",Details!F18)</f>
        <v>SUMMARY OF GENERAL INSURANCE BUSINESS BALANCE SHEETS AS AT 31.03.2025</v>
      </c>
    </row>
    <row r="41" spans="1:3" x14ac:dyDescent="0.3">
      <c r="B41" s="135" t="s">
        <v>289</v>
      </c>
      <c r="C41" s="48" t="str">
        <f>_xlfn.CONCAT("SUMMARY OF GENERAL INSURANCE BUSINESS BALANCE SHEETS AS AT"," ",Details!F18)</f>
        <v>SUMMARY OF GENERAL INSURANCE BUSINESS BALANCE SHEETS AS AT 31.03.2025</v>
      </c>
    </row>
    <row r="42" spans="1:3" x14ac:dyDescent="0.3">
      <c r="B42" s="135" t="s">
        <v>290</v>
      </c>
      <c r="C42" s="48" t="str">
        <f>_xlfn.CONCAT("SUMMARY OF GENERAL INSURANCE BUSINESS BALANCE SHEETS AS AT"," ",Details!F18)</f>
        <v>SUMMARY OF GENERAL INSURANCE BUSINESS BALANCE SHEETS AS AT 31.03.2025</v>
      </c>
    </row>
    <row r="43" spans="1:3" ht="14.5" customHeight="1" thickBot="1" x14ac:dyDescent="0.35">
      <c r="B43" s="135" t="s">
        <v>291</v>
      </c>
      <c r="C43" s="49" t="str">
        <f>_xlfn.CONCAT("SUMMARY OF MICRO INSURANCE BUSINESS BALANCE SHEETS AS AT"," ",Details!F18)</f>
        <v>SUMMARY OF MICRO INSURANCE BUSINESS BALANCE SHEETS AS AT 31.03.2025</v>
      </c>
    </row>
    <row r="44" spans="1:3" ht="14.5" customHeight="1" thickTop="1" x14ac:dyDescent="0.3">
      <c r="B44" s="133"/>
    </row>
  </sheetData>
  <sheetProtection algorithmName="SHA-512" hashValue="3aAb4QM1K9wE2eQL7zc2x8KQiLWsGinWfOYZ5/EdpPvvhq8LW9wl0HiRHm6I5i2hyrPNY4mqyWcfkyUzyu7a3Q==" saltValue="Yuk9weg5E/JwkAuDuachSw==" spinCount="100000" sheet="1" objects="1" scenarios="1"/>
  <mergeCells count="3">
    <mergeCell ref="B6:C6"/>
    <mergeCell ref="B5:C5"/>
    <mergeCell ref="B3:C4"/>
  </mergeCells>
  <hyperlinks>
    <hyperlink ref="B8" location="'APPENDIX 1'!A1" display="APPENDIX 1'" xr:uid="{00000000-0004-0000-0200-000000000000}"/>
    <hyperlink ref="B9" location="'APPENDIX 2'!A1" display="'APPENDIX 2'" xr:uid="{00000000-0004-0000-0200-000001000000}"/>
    <hyperlink ref="B10" location="'APPENDIX 3'!A1" display="'APPENDIX 3'" xr:uid="{00000000-0004-0000-0200-000002000000}"/>
    <hyperlink ref="B11" location="'APPENDIX 4'!A1" display="'APPENDIX 4'" xr:uid="{00000000-0004-0000-0200-000003000000}"/>
    <hyperlink ref="B12" location="'APPENDIX 5'!A1" display="'APPENDIX 5'" xr:uid="{00000000-0004-0000-0200-000004000000}"/>
    <hyperlink ref="B13" location="'APPENDIX 6'!A1" display="'APPENDIX 6'" xr:uid="{00000000-0004-0000-0200-000005000000}"/>
    <hyperlink ref="B14" location="'APPENDIX 7'!A1" display="'APPENDIX 7'" xr:uid="{00000000-0004-0000-0200-000006000000}"/>
    <hyperlink ref="B15" location="'APPENDIX 8'!A1" display="'APPENDIX 8'" xr:uid="{00000000-0004-0000-0200-000007000000}"/>
    <hyperlink ref="B16" location="'APPENDIX 9'!A1" display="'APPENDIX 9'" xr:uid="{00000000-0004-0000-0200-000008000000}"/>
    <hyperlink ref="B17" location="'APPENDIX 10'!A1" display="'APPENDIX 10'" xr:uid="{00000000-0004-0000-0200-000009000000}"/>
    <hyperlink ref="B18" location="'APPENDIX 11'!A1" display="'APPENDIX 11'" xr:uid="{00000000-0004-0000-0200-00000A000000}"/>
    <hyperlink ref="B19" location="'APPENDIX 12'!A1" display="APPENDIX 12'" xr:uid="{00000000-0004-0000-0200-00000B000000}"/>
    <hyperlink ref="B20" location="'APPENDIX 13'!A1" display="APPENDIX 13'" xr:uid="{00000000-0004-0000-0200-00000C000000}"/>
    <hyperlink ref="B21" location="'APPENDIX 14'!A1" display="APPENDIX 14'" xr:uid="{00000000-0004-0000-0200-00000D000000}"/>
    <hyperlink ref="B22" location="'APPENDIX 15'!A1" display="APPENDIX 15'" xr:uid="{00000000-0004-0000-0200-00000E000000}"/>
    <hyperlink ref="B23" location="'APPENDIX 16'!A1" display="APPENDIX 16'" xr:uid="{00000000-0004-0000-0200-00000F000000}"/>
    <hyperlink ref="B24" location="'APPENDIX 17'!A1" display="APPENDIX 17'" xr:uid="{00000000-0004-0000-0200-000010000000}"/>
    <hyperlink ref="B25" location="'APPENDIX 18'!A1" display="APPENDIX 18'" xr:uid="{00000000-0004-0000-0200-000011000000}"/>
    <hyperlink ref="B26" location="'APPENDIX 19'!A1" display="APPENDIX 19'" xr:uid="{00000000-0004-0000-0200-000012000000}"/>
    <hyperlink ref="B27" location="'APPENDIX 20'!A1" display="APPENDIX 20'" xr:uid="{00000000-0004-0000-0200-000013000000}"/>
    <hyperlink ref="B28" location="'APPENDIX 21'!A1" display="APPENDIX 21" xr:uid="{00000000-0004-0000-0200-000014000000}"/>
    <hyperlink ref="B29" location="'APPENDIX 21'!A1" display="APPENDIX 21" xr:uid="{00000000-0004-0000-0200-000015000000}"/>
    <hyperlink ref="B30" location="'APPENDIX 21'!A1" display="APPENDIX 21" xr:uid="{00000000-0004-0000-0200-000016000000}"/>
    <hyperlink ref="B31" location="'APPENDIX 21'!A1" display="APPENDIX 21" xr:uid="{00000000-0004-0000-0200-000017000000}"/>
    <hyperlink ref="B32" location="'APPENDIX 21'!A1" display="APPENDIX 21" xr:uid="{00000000-0004-0000-0200-000018000000}"/>
    <hyperlink ref="B33" location="'APPENDIX 21'!A1" display="APPENDIX 21" xr:uid="{00000000-0004-0000-0200-000019000000}"/>
    <hyperlink ref="B34" location="'APPENDIX 21'!A1" display="APPENDIX 21" xr:uid="{00000000-0004-0000-0200-00001A000000}"/>
    <hyperlink ref="B35" location="'APPENDIX 22 i'!A1" display="APPENDIX 22 i'" xr:uid="{00000000-0004-0000-0200-00001B000000}"/>
    <hyperlink ref="B36" location="'APPENDIX 22 ii'!A1" display="APPENDIX 22 ii'" xr:uid="{00000000-0004-0000-0200-00001C000000}"/>
    <hyperlink ref="B37" location="'APPENDIX 22 iii'!A1" display="APPENDIX 22 iii'" xr:uid="{00000000-0004-0000-0200-00001D000000}"/>
    <hyperlink ref="B42" location="'APPENDIX  22 iv'!A1" display="APPENDIX  22 iv'" xr:uid="{00000000-0004-0000-0200-00001E000000}"/>
    <hyperlink ref="B43" location="'APPENDIX  22 iv'!A1" display="APPENDIX  22 iv'" xr:uid="{00000000-0004-0000-0200-00001F000000}"/>
  </hyperlinks>
  <pageMargins left="0.7" right="0.7" top="0.75" bottom="0.75" header="0.3" footer="0.3"/>
  <pageSetup paperSize="9" scale="53"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92D050"/>
  </sheetPr>
  <dimension ref="B2:S51"/>
  <sheetViews>
    <sheetView zoomScale="70" zoomScaleNormal="85" workbookViewId="0">
      <pane xSplit="2" ySplit="5" topLeftCell="C6" activePane="bottomRight" state="frozen"/>
      <selection pane="topRight" activeCell="C1" sqref="C1"/>
      <selection pane="bottomLeft" activeCell="A6" sqref="A6"/>
      <selection pane="bottomRight" activeCell="B51" sqref="B51:R51"/>
    </sheetView>
  </sheetViews>
  <sheetFormatPr defaultColWidth="9.453125" defaultRowHeight="19.5" customHeight="1" x14ac:dyDescent="0.3"/>
  <cols>
    <col min="1" max="1" width="15.54296875" style="2" customWidth="1"/>
    <col min="2" max="2" width="46.26953125" style="2" customWidth="1"/>
    <col min="3" max="3" width="22.54296875" style="2" customWidth="1"/>
    <col min="4" max="4" width="19.1796875" style="2" customWidth="1"/>
    <col min="5" max="5" width="19.90625" style="2" customWidth="1"/>
    <col min="6" max="6" width="19.81640625" style="2" customWidth="1"/>
    <col min="7" max="7" width="20.453125" style="2" customWidth="1"/>
    <col min="8" max="8" width="16.54296875" style="2" customWidth="1"/>
    <col min="9" max="9" width="16" style="2" customWidth="1"/>
    <col min="10" max="10" width="22.54296875" style="2" customWidth="1"/>
    <col min="11" max="11" width="16.54296875" style="2" customWidth="1"/>
    <col min="12" max="12" width="17.54296875" style="2" customWidth="1"/>
    <col min="13" max="13" width="17.453125" style="2" customWidth="1"/>
    <col min="14" max="14" width="18.453125" style="2" customWidth="1"/>
    <col min="15" max="15" width="18" style="2" customWidth="1"/>
    <col min="16" max="16" width="15.453125" style="2" customWidth="1"/>
    <col min="17" max="17" width="20.453125" style="2" customWidth="1"/>
    <col min="18" max="18" width="13.6328125" style="2" customWidth="1"/>
    <col min="19" max="68" width="9.453125" style="2" customWidth="1"/>
    <col min="69" max="16384" width="9.453125" style="2"/>
  </cols>
  <sheetData>
    <row r="2" spans="2:19" ht="13" customHeight="1" x14ac:dyDescent="0.3"/>
    <row r="3" spans="2:19" ht="20.25" customHeight="1" x14ac:dyDescent="0.35">
      <c r="B3" s="257" t="str">
        <f>_xlfn.CONCAT('Table of Contents'!B8,": ",'Table of Contents'!C8)</f>
        <v>APPENDIX 1: SUMMARY OF GENERAL INSURANCE BUSINESS PROFIT &amp; LOSS ACCOUNTS FOR THE PERIOD ENDED 31.03.2025</v>
      </c>
      <c r="C3" s="252"/>
      <c r="D3" s="252"/>
      <c r="E3" s="252"/>
      <c r="F3" s="252"/>
      <c r="G3" s="252"/>
      <c r="H3" s="252"/>
      <c r="I3" s="252"/>
      <c r="J3" s="252"/>
      <c r="K3" s="252"/>
      <c r="L3" s="252"/>
      <c r="M3" s="252"/>
      <c r="N3" s="252"/>
      <c r="O3" s="252"/>
      <c r="P3" s="252"/>
      <c r="Q3" s="252"/>
      <c r="R3" s="253"/>
    </row>
    <row r="4" spans="2:19" s="7" customFormat="1" ht="98" customHeight="1" x14ac:dyDescent="0.35">
      <c r="B4" s="157" t="s">
        <v>36</v>
      </c>
      <c r="C4" s="158" t="s">
        <v>37</v>
      </c>
      <c r="D4" s="158" t="s">
        <v>38</v>
      </c>
      <c r="E4" s="158" t="s">
        <v>39</v>
      </c>
      <c r="F4" s="158" t="s">
        <v>40</v>
      </c>
      <c r="G4" s="159" t="s">
        <v>41</v>
      </c>
      <c r="H4" s="159" t="s">
        <v>42</v>
      </c>
      <c r="I4" s="159" t="s">
        <v>43</v>
      </c>
      <c r="J4" s="159" t="s">
        <v>44</v>
      </c>
      <c r="K4" s="156" t="s">
        <v>45</v>
      </c>
      <c r="L4" s="156" t="s">
        <v>46</v>
      </c>
      <c r="M4" s="156" t="s">
        <v>47</v>
      </c>
      <c r="N4" s="156" t="s">
        <v>48</v>
      </c>
      <c r="O4" s="156" t="s">
        <v>49</v>
      </c>
      <c r="P4" s="156" t="s">
        <v>50</v>
      </c>
      <c r="Q4" s="156" t="s">
        <v>51</v>
      </c>
      <c r="R4" s="156" t="s">
        <v>52</v>
      </c>
    </row>
    <row r="5" spans="2:19" ht="24.75" customHeight="1" x14ac:dyDescent="0.35">
      <c r="B5" s="251" t="s">
        <v>53</v>
      </c>
      <c r="C5" s="252"/>
      <c r="D5" s="252"/>
      <c r="E5" s="252"/>
      <c r="F5" s="252"/>
      <c r="G5" s="252"/>
      <c r="H5" s="252"/>
      <c r="I5" s="252"/>
      <c r="J5" s="252"/>
      <c r="K5" s="252"/>
      <c r="L5" s="252"/>
      <c r="M5" s="252"/>
      <c r="N5" s="252"/>
      <c r="O5" s="252"/>
      <c r="P5" s="252"/>
      <c r="Q5" s="252"/>
      <c r="R5" s="253"/>
    </row>
    <row r="6" spans="2:19" ht="24.75" customHeight="1" x14ac:dyDescent="0.35">
      <c r="B6" s="160" t="s">
        <v>54</v>
      </c>
      <c r="C6" s="13">
        <v>2767249.9980221381</v>
      </c>
      <c r="D6" s="13">
        <v>2590990.4582331148</v>
      </c>
      <c r="E6" s="13">
        <v>46409.727219999957</v>
      </c>
      <c r="F6" s="13">
        <v>129849.81256902371</v>
      </c>
      <c r="G6" s="13">
        <v>202123.64746000001</v>
      </c>
      <c r="H6" s="13">
        <v>0</v>
      </c>
      <c r="I6" s="13">
        <v>0</v>
      </c>
      <c r="J6" s="13">
        <v>202123.64746000001</v>
      </c>
      <c r="K6" s="161">
        <v>0</v>
      </c>
      <c r="L6" s="161">
        <v>-1758.96543</v>
      </c>
      <c r="M6" s="161">
        <v>8583.016480000002</v>
      </c>
      <c r="N6" s="161">
        <v>148456.1770802</v>
      </c>
      <c r="O6" s="161">
        <v>0</v>
      </c>
      <c r="P6" s="161">
        <v>173175.3010388237</v>
      </c>
      <c r="Q6" s="161">
        <v>0</v>
      </c>
      <c r="R6" s="162">
        <v>173175.3010388237</v>
      </c>
      <c r="S6"/>
    </row>
    <row r="7" spans="2:19" ht="24.75" customHeight="1" x14ac:dyDescent="0.35">
      <c r="B7" s="160" t="s">
        <v>55</v>
      </c>
      <c r="C7" s="13">
        <v>1079878.645756861</v>
      </c>
      <c r="D7" s="13">
        <v>869225.06022955081</v>
      </c>
      <c r="E7" s="13">
        <v>-11322.62704287099</v>
      </c>
      <c r="F7" s="13">
        <v>221976.212570181</v>
      </c>
      <c r="G7" s="13">
        <v>31980</v>
      </c>
      <c r="H7" s="13">
        <v>62997.283045461001</v>
      </c>
      <c r="I7" s="13">
        <v>7811.7526600300007</v>
      </c>
      <c r="J7" s="13">
        <v>-23205.53038543099</v>
      </c>
      <c r="K7" s="161">
        <v>0</v>
      </c>
      <c r="L7" s="161">
        <v>0</v>
      </c>
      <c r="M7" s="161">
        <v>0</v>
      </c>
      <c r="N7" s="161">
        <v>130182.428</v>
      </c>
      <c r="O7" s="161">
        <v>0</v>
      </c>
      <c r="P7" s="161">
        <v>68588.254184750054</v>
      </c>
      <c r="Q7" s="161">
        <v>0</v>
      </c>
      <c r="R7" s="162">
        <v>68588.254184750025</v>
      </c>
      <c r="S7"/>
    </row>
    <row r="8" spans="2:19" ht="24.75" customHeight="1" x14ac:dyDescent="0.35">
      <c r="B8" s="160" t="s">
        <v>56</v>
      </c>
      <c r="C8" s="13">
        <v>4372412.9079999998</v>
      </c>
      <c r="D8" s="13">
        <v>3692799.7248603329</v>
      </c>
      <c r="E8" s="13">
        <v>485219.69821450108</v>
      </c>
      <c r="F8" s="13">
        <v>194393.48492516551</v>
      </c>
      <c r="G8" s="13">
        <v>479526.0506047993</v>
      </c>
      <c r="H8" s="13">
        <v>531144.70959681692</v>
      </c>
      <c r="I8" s="13">
        <v>289726.86962679977</v>
      </c>
      <c r="J8" s="13">
        <v>238108.21063478221</v>
      </c>
      <c r="K8" s="161">
        <v>0</v>
      </c>
      <c r="L8" s="161">
        <v>0</v>
      </c>
      <c r="M8" s="161">
        <v>7261.4703006403797</v>
      </c>
      <c r="N8" s="161">
        <v>88669.939664358404</v>
      </c>
      <c r="O8" s="161">
        <v>0</v>
      </c>
      <c r="P8" s="161">
        <v>336570.28559494892</v>
      </c>
      <c r="Q8" s="161">
        <v>-17596.638808759501</v>
      </c>
      <c r="R8" s="162">
        <v>354166.92440370849</v>
      </c>
      <c r="S8"/>
    </row>
    <row r="9" spans="2:19" ht="24.75" customHeight="1" x14ac:dyDescent="0.35">
      <c r="B9" s="160" t="s">
        <v>57</v>
      </c>
      <c r="C9" s="13">
        <v>3951116.34709075</v>
      </c>
      <c r="D9" s="13">
        <v>3033554.1895320769</v>
      </c>
      <c r="E9" s="13">
        <v>814691.46186472219</v>
      </c>
      <c r="F9" s="13">
        <v>102870.6956939498</v>
      </c>
      <c r="G9" s="13">
        <v>508908.72650297411</v>
      </c>
      <c r="H9" s="13">
        <v>445718.97992608882</v>
      </c>
      <c r="I9" s="13">
        <v>219527.92790344049</v>
      </c>
      <c r="J9" s="13">
        <v>282717.67448032578</v>
      </c>
      <c r="K9" s="161">
        <v>0</v>
      </c>
      <c r="L9" s="161">
        <v>8308.3264002208125</v>
      </c>
      <c r="M9" s="161">
        <v>8704.1131589763118</v>
      </c>
      <c r="N9" s="161">
        <v>93579.844310207467</v>
      </c>
      <c r="O9" s="161">
        <v>0</v>
      </c>
      <c r="P9" s="161">
        <v>291612.73910531262</v>
      </c>
      <c r="Q9" s="161">
        <v>0</v>
      </c>
      <c r="R9" s="162">
        <v>291612.73910531262</v>
      </c>
      <c r="S9"/>
    </row>
    <row r="10" spans="2:19" ht="24.75" customHeight="1" x14ac:dyDescent="0.35">
      <c r="B10" s="160" t="s">
        <v>58</v>
      </c>
      <c r="C10" s="13">
        <v>514448.91886852001</v>
      </c>
      <c r="D10" s="13">
        <v>484901.29757289938</v>
      </c>
      <c r="E10" s="13">
        <v>41414.30846355977</v>
      </c>
      <c r="F10" s="13">
        <v>-11866.68716793929</v>
      </c>
      <c r="G10" s="13">
        <v>26549.271000000001</v>
      </c>
      <c r="H10" s="13">
        <v>111612.1026307759</v>
      </c>
      <c r="I10" s="13">
        <v>66305.028710000101</v>
      </c>
      <c r="J10" s="13">
        <v>-18757.802920775761</v>
      </c>
      <c r="K10" s="161">
        <v>0</v>
      </c>
      <c r="L10" s="161">
        <v>0</v>
      </c>
      <c r="M10" s="161">
        <v>0</v>
      </c>
      <c r="N10" s="161">
        <v>47179.337334925367</v>
      </c>
      <c r="O10" s="161">
        <v>0</v>
      </c>
      <c r="P10" s="161">
        <v>-77803.827423640425</v>
      </c>
      <c r="Q10" s="161">
        <v>0</v>
      </c>
      <c r="R10" s="162">
        <v>-77803.82742364041</v>
      </c>
      <c r="S10"/>
    </row>
    <row r="11" spans="2:19" ht="24.75" customHeight="1" x14ac:dyDescent="0.35">
      <c r="B11" s="141" t="s">
        <v>59</v>
      </c>
      <c r="C11" s="163">
        <v>4394571.8770012008</v>
      </c>
      <c r="D11" s="163">
        <v>3823921.156518531</v>
      </c>
      <c r="E11" s="163">
        <v>506033.60643548111</v>
      </c>
      <c r="F11" s="163">
        <v>64617.114047189061</v>
      </c>
      <c r="G11" s="163">
        <v>280735.30251000001</v>
      </c>
      <c r="H11" s="163">
        <v>201066.7251602418</v>
      </c>
      <c r="I11" s="163">
        <v>53258.674375177448</v>
      </c>
      <c r="J11" s="163">
        <v>132927.2517249356</v>
      </c>
      <c r="K11" s="163">
        <v>0</v>
      </c>
      <c r="L11" s="163">
        <v>64678.522239999991</v>
      </c>
      <c r="M11" s="163">
        <v>0</v>
      </c>
      <c r="N11" s="163">
        <v>91658.723740000016</v>
      </c>
      <c r="O11" s="163">
        <v>0</v>
      </c>
      <c r="P11" s="163">
        <v>170564.16427212459</v>
      </c>
      <c r="Q11" s="163">
        <v>51169.249281637371</v>
      </c>
      <c r="R11" s="164">
        <v>119394.9149904872</v>
      </c>
      <c r="S11"/>
    </row>
    <row r="12" spans="2:19" ht="24.75" customHeight="1" x14ac:dyDescent="0.35">
      <c r="B12" s="160" t="s">
        <v>60</v>
      </c>
      <c r="C12" s="163">
        <v>42952.313557630448</v>
      </c>
      <c r="D12" s="163">
        <v>-33854.017216096589</v>
      </c>
      <c r="E12" s="163">
        <v>16177.31765070013</v>
      </c>
      <c r="F12" s="163">
        <v>60629.013123026903</v>
      </c>
      <c r="G12" s="163">
        <v>5746.4530000000004</v>
      </c>
      <c r="H12" s="13">
        <v>76899.082999999999</v>
      </c>
      <c r="I12" s="13">
        <v>27687.468000000001</v>
      </c>
      <c r="J12" s="13">
        <v>-43465.161999999997</v>
      </c>
      <c r="K12" s="161">
        <v>0</v>
      </c>
      <c r="L12" s="161">
        <v>0</v>
      </c>
      <c r="M12" s="161">
        <v>0</v>
      </c>
      <c r="N12" s="161">
        <v>25755.381000000001</v>
      </c>
      <c r="O12" s="161">
        <v>0</v>
      </c>
      <c r="P12" s="161">
        <v>-8591.5298769730962</v>
      </c>
      <c r="Q12" s="161">
        <v>0</v>
      </c>
      <c r="R12" s="162">
        <v>-8591.5298769730871</v>
      </c>
      <c r="S12"/>
    </row>
    <row r="13" spans="2:19" ht="24.75" customHeight="1" x14ac:dyDescent="0.35">
      <c r="B13" s="160" t="s">
        <v>61</v>
      </c>
      <c r="C13" s="13">
        <v>25256.267237495638</v>
      </c>
      <c r="D13" s="13">
        <v>21152.995020709961</v>
      </c>
      <c r="E13" s="13">
        <v>477.41786642484618</v>
      </c>
      <c r="F13" s="13">
        <v>3625.8543503608298</v>
      </c>
      <c r="G13" s="13">
        <v>0</v>
      </c>
      <c r="H13" s="13">
        <v>0</v>
      </c>
      <c r="I13" s="13">
        <v>0</v>
      </c>
      <c r="J13" s="13">
        <v>0</v>
      </c>
      <c r="K13" s="161">
        <v>0</v>
      </c>
      <c r="L13" s="161">
        <v>0</v>
      </c>
      <c r="M13" s="161">
        <v>0</v>
      </c>
      <c r="N13" s="161">
        <v>0</v>
      </c>
      <c r="O13" s="161">
        <v>0</v>
      </c>
      <c r="P13" s="161">
        <v>3625.8543503608298</v>
      </c>
      <c r="Q13" s="161">
        <v>0</v>
      </c>
      <c r="R13" s="162">
        <v>3625.8543503608298</v>
      </c>
      <c r="S13"/>
    </row>
    <row r="14" spans="2:19" ht="24.75" customHeight="1" x14ac:dyDescent="0.35">
      <c r="B14" s="160" t="s">
        <v>62</v>
      </c>
      <c r="C14" s="13">
        <v>717147.63269729994</v>
      </c>
      <c r="D14" s="13">
        <v>761039.07799665735</v>
      </c>
      <c r="E14" s="13">
        <v>15745.424999999999</v>
      </c>
      <c r="F14" s="13">
        <v>-59636.870299357441</v>
      </c>
      <c r="G14" s="13">
        <v>71430.840519999998</v>
      </c>
      <c r="H14" s="13">
        <v>762416.40580264712</v>
      </c>
      <c r="I14" s="13">
        <v>0</v>
      </c>
      <c r="J14" s="13">
        <v>-690985.56528264715</v>
      </c>
      <c r="K14" s="161">
        <v>0</v>
      </c>
      <c r="L14" s="161">
        <v>0</v>
      </c>
      <c r="M14" s="161">
        <v>0</v>
      </c>
      <c r="N14" s="161">
        <v>7500.808</v>
      </c>
      <c r="O14" s="161">
        <v>0</v>
      </c>
      <c r="P14" s="161">
        <v>-758123.24358200456</v>
      </c>
      <c r="Q14" s="161">
        <v>0</v>
      </c>
      <c r="R14" s="162">
        <v>-758123.24358200456</v>
      </c>
      <c r="S14"/>
    </row>
    <row r="15" spans="2:19" ht="24.75" customHeight="1" x14ac:dyDescent="0.35">
      <c r="B15" s="160" t="s">
        <v>63</v>
      </c>
      <c r="C15" s="163">
        <v>280504.69235577958</v>
      </c>
      <c r="D15" s="163">
        <v>319216.1556643552</v>
      </c>
      <c r="E15" s="163">
        <v>19295.150462068861</v>
      </c>
      <c r="F15" s="163">
        <v>-58006.613770644479</v>
      </c>
      <c r="G15" s="163">
        <v>29819.79974931218</v>
      </c>
      <c r="H15" s="13">
        <v>0</v>
      </c>
      <c r="I15" s="13">
        <v>0</v>
      </c>
      <c r="J15" s="13">
        <v>29819.79974931218</v>
      </c>
      <c r="K15" s="161">
        <v>0</v>
      </c>
      <c r="L15" s="161">
        <v>0</v>
      </c>
      <c r="M15" s="161">
        <v>0</v>
      </c>
      <c r="N15" s="161">
        <v>0</v>
      </c>
      <c r="O15" s="161">
        <v>0</v>
      </c>
      <c r="P15" s="161">
        <v>-28186.814021332299</v>
      </c>
      <c r="Q15" s="161">
        <v>-8456.0441576133617</v>
      </c>
      <c r="R15" s="162">
        <v>-19730.769863718939</v>
      </c>
      <c r="S15"/>
    </row>
    <row r="16" spans="2:19" ht="24.75" customHeight="1" x14ac:dyDescent="0.35">
      <c r="B16" s="160" t="s">
        <v>64</v>
      </c>
      <c r="C16" s="13">
        <v>1074606.7209699999</v>
      </c>
      <c r="D16" s="13">
        <v>929812.60963585915</v>
      </c>
      <c r="E16" s="13">
        <v>193359.02797949981</v>
      </c>
      <c r="F16" s="13">
        <v>-48564.916645358957</v>
      </c>
      <c r="G16" s="13">
        <v>128890.20495</v>
      </c>
      <c r="H16" s="13">
        <v>46838.872389678283</v>
      </c>
      <c r="I16" s="13">
        <v>8079.5036998673186</v>
      </c>
      <c r="J16" s="13">
        <v>90130.836260189011</v>
      </c>
      <c r="K16" s="161">
        <v>0</v>
      </c>
      <c r="L16" s="161">
        <v>14707.18111</v>
      </c>
      <c r="M16" s="161">
        <v>0</v>
      </c>
      <c r="N16" s="161">
        <v>46489.122830499997</v>
      </c>
      <c r="O16" s="161">
        <v>0</v>
      </c>
      <c r="P16" s="161">
        <v>9783.9778943300462</v>
      </c>
      <c r="Q16" s="161">
        <v>0</v>
      </c>
      <c r="R16" s="162">
        <v>9783.9778943300516</v>
      </c>
      <c r="S16"/>
    </row>
    <row r="17" spans="2:19" ht="24.75" customHeight="1" x14ac:dyDescent="0.35">
      <c r="B17" s="160" t="s">
        <v>65</v>
      </c>
      <c r="C17" s="13">
        <v>1679272.8390899999</v>
      </c>
      <c r="D17" s="13">
        <v>1558410.15056</v>
      </c>
      <c r="E17" s="13">
        <v>107490.28864</v>
      </c>
      <c r="F17" s="13">
        <v>13372.399890000121</v>
      </c>
      <c r="G17" s="13">
        <v>89512.95659999999</v>
      </c>
      <c r="H17" s="13">
        <v>-89215.97</v>
      </c>
      <c r="I17" s="13">
        <v>-35054.097000000002</v>
      </c>
      <c r="J17" s="13">
        <v>143674.8296</v>
      </c>
      <c r="K17" s="161">
        <v>0</v>
      </c>
      <c r="L17" s="161">
        <v>0</v>
      </c>
      <c r="M17" s="161">
        <v>0</v>
      </c>
      <c r="N17" s="161">
        <v>87023.789999999964</v>
      </c>
      <c r="O17" s="161">
        <v>0</v>
      </c>
      <c r="P17" s="161">
        <v>70023.439490000135</v>
      </c>
      <c r="Q17" s="161">
        <v>21216</v>
      </c>
      <c r="R17" s="162">
        <v>48807.43949000015</v>
      </c>
      <c r="S17"/>
    </row>
    <row r="18" spans="2:19" ht="24.75" customHeight="1" x14ac:dyDescent="0.35">
      <c r="B18" s="160" t="s">
        <v>66</v>
      </c>
      <c r="C18" s="13">
        <v>4653523.2589999996</v>
      </c>
      <c r="D18" s="13">
        <v>3400061.085</v>
      </c>
      <c r="E18" s="13">
        <v>1018248.58454733</v>
      </c>
      <c r="F18" s="13">
        <v>235213.58945267019</v>
      </c>
      <c r="G18" s="13">
        <v>290508.05499999999</v>
      </c>
      <c r="H18" s="13">
        <v>0</v>
      </c>
      <c r="I18" s="13">
        <v>0</v>
      </c>
      <c r="J18" s="13">
        <v>290508.05499999999</v>
      </c>
      <c r="K18" s="161">
        <v>0</v>
      </c>
      <c r="L18" s="161">
        <v>56260.982000000004</v>
      </c>
      <c r="M18" s="161">
        <v>0</v>
      </c>
      <c r="N18" s="161">
        <v>30222.703000000001</v>
      </c>
      <c r="O18" s="161">
        <v>0</v>
      </c>
      <c r="P18" s="161">
        <v>551759.9234526701</v>
      </c>
      <c r="Q18" s="161">
        <v>137939.981</v>
      </c>
      <c r="R18" s="162">
        <v>413819.94245267007</v>
      </c>
      <c r="S18"/>
    </row>
    <row r="19" spans="2:19" ht="24.75" customHeight="1" x14ac:dyDescent="0.35">
      <c r="B19" s="141" t="s">
        <v>67</v>
      </c>
      <c r="C19" s="163">
        <v>1454317.318</v>
      </c>
      <c r="D19" s="163">
        <v>2006901.071</v>
      </c>
      <c r="E19" s="163">
        <v>-139374.842</v>
      </c>
      <c r="F19" s="163">
        <v>-413208.91100000002</v>
      </c>
      <c r="G19" s="163">
        <v>84547.985000000001</v>
      </c>
      <c r="H19" s="163">
        <v>128298.31200000001</v>
      </c>
      <c r="I19" s="163">
        <v>36146.413999999997</v>
      </c>
      <c r="J19" s="163">
        <v>-7603.9129999999996</v>
      </c>
      <c r="K19" s="163">
        <v>0</v>
      </c>
      <c r="L19" s="163">
        <v>159.65700000000001</v>
      </c>
      <c r="M19" s="163">
        <v>335.47399999999999</v>
      </c>
      <c r="N19" s="163">
        <v>132212.22500000001</v>
      </c>
      <c r="O19" s="163">
        <v>0</v>
      </c>
      <c r="P19" s="163">
        <v>-553200.86600000004</v>
      </c>
      <c r="Q19" s="163">
        <v>0</v>
      </c>
      <c r="R19" s="164">
        <v>-553200.86600000004</v>
      </c>
      <c r="S19"/>
    </row>
    <row r="20" spans="2:19" ht="24.75" customHeight="1" x14ac:dyDescent="0.35">
      <c r="B20" s="160" t="s">
        <v>68</v>
      </c>
      <c r="C20" s="13">
        <v>2111198.09</v>
      </c>
      <c r="D20" s="13">
        <v>1457118.5</v>
      </c>
      <c r="E20" s="13">
        <v>641295.07499999995</v>
      </c>
      <c r="F20" s="13">
        <v>12784.514999999999</v>
      </c>
      <c r="G20" s="13">
        <v>332888.304</v>
      </c>
      <c r="H20" s="13">
        <v>303093.02600000001</v>
      </c>
      <c r="I20" s="13">
        <v>117839.67999999999</v>
      </c>
      <c r="J20" s="13">
        <v>147634.95800000001</v>
      </c>
      <c r="K20" s="161">
        <v>0</v>
      </c>
      <c r="L20" s="161">
        <v>0</v>
      </c>
      <c r="M20" s="161">
        <v>0</v>
      </c>
      <c r="N20" s="161">
        <v>14497.871999999999</v>
      </c>
      <c r="O20" s="161">
        <v>0</v>
      </c>
      <c r="P20" s="161">
        <v>145921.601</v>
      </c>
      <c r="Q20" s="161">
        <v>47424.521000000001</v>
      </c>
      <c r="R20" s="162">
        <v>98497.08</v>
      </c>
      <c r="S20"/>
    </row>
    <row r="21" spans="2:19" ht="24.75" customHeight="1" x14ac:dyDescent="0.35">
      <c r="B21" s="160" t="s">
        <v>69</v>
      </c>
      <c r="C21" s="13">
        <v>715429.81325399992</v>
      </c>
      <c r="D21" s="13">
        <v>624278.09320027998</v>
      </c>
      <c r="E21" s="13">
        <v>36006.761785275921</v>
      </c>
      <c r="F21" s="13">
        <v>55144.958268444228</v>
      </c>
      <c r="G21" s="13">
        <v>32424.373200000002</v>
      </c>
      <c r="H21" s="13">
        <v>28593.014171805</v>
      </c>
      <c r="I21" s="13">
        <v>6557.2805085090004</v>
      </c>
      <c r="J21" s="13">
        <v>10388.639536704</v>
      </c>
      <c r="K21" s="161">
        <v>0</v>
      </c>
      <c r="L21" s="161">
        <v>0</v>
      </c>
      <c r="M21" s="161">
        <v>786.21199999999999</v>
      </c>
      <c r="N21" s="161">
        <v>47687.535000000003</v>
      </c>
      <c r="O21" s="161">
        <v>0</v>
      </c>
      <c r="P21" s="161">
        <v>17059.850805148231</v>
      </c>
      <c r="Q21" s="161">
        <v>5117.9549999999999</v>
      </c>
      <c r="R21" s="162">
        <v>11941.89580514822</v>
      </c>
      <c r="S21"/>
    </row>
    <row r="22" spans="2:19" ht="24.75" customHeight="1" x14ac:dyDescent="0.35">
      <c r="B22" s="160" t="s">
        <v>70</v>
      </c>
      <c r="C22" s="13">
        <v>0</v>
      </c>
      <c r="D22" s="13">
        <v>0</v>
      </c>
      <c r="E22" s="13">
        <v>0</v>
      </c>
      <c r="F22" s="13">
        <v>0</v>
      </c>
      <c r="G22" s="13">
        <v>0</v>
      </c>
      <c r="H22" s="13">
        <v>0</v>
      </c>
      <c r="I22" s="13">
        <v>0</v>
      </c>
      <c r="J22" s="13">
        <v>0</v>
      </c>
      <c r="K22" s="161">
        <v>0</v>
      </c>
      <c r="L22" s="161">
        <v>0</v>
      </c>
      <c r="M22" s="161">
        <v>0</v>
      </c>
      <c r="N22" s="161">
        <v>0</v>
      </c>
      <c r="O22" s="161">
        <v>0</v>
      </c>
      <c r="P22" s="161">
        <v>0</v>
      </c>
      <c r="Q22" s="161">
        <v>0</v>
      </c>
      <c r="R22" s="162">
        <v>0</v>
      </c>
      <c r="S22"/>
    </row>
    <row r="23" spans="2:19" ht="24.75" customHeight="1" x14ac:dyDescent="0.35">
      <c r="B23" s="160" t="s">
        <v>71</v>
      </c>
      <c r="C23" s="13">
        <v>3989227.0318826409</v>
      </c>
      <c r="D23" s="13">
        <v>3822389.7582611758</v>
      </c>
      <c r="E23" s="13">
        <v>29837.210079998182</v>
      </c>
      <c r="F23" s="13">
        <v>137000.06354146649</v>
      </c>
      <c r="G23" s="13">
        <v>228973</v>
      </c>
      <c r="H23" s="13">
        <v>0</v>
      </c>
      <c r="I23" s="13">
        <v>0</v>
      </c>
      <c r="J23" s="13">
        <v>228973</v>
      </c>
      <c r="K23" s="161">
        <v>0</v>
      </c>
      <c r="L23" s="161">
        <v>0</v>
      </c>
      <c r="M23" s="161">
        <v>0</v>
      </c>
      <c r="N23" s="161">
        <v>100574.36049465449</v>
      </c>
      <c r="O23" s="161">
        <v>23899.789919999999</v>
      </c>
      <c r="P23" s="161">
        <v>289298.49296681199</v>
      </c>
      <c r="Q23" s="161">
        <v>0</v>
      </c>
      <c r="R23" s="162">
        <v>289298.49296681199</v>
      </c>
      <c r="S23"/>
    </row>
    <row r="24" spans="2:19" ht="24.75" customHeight="1" x14ac:dyDescent="0.35">
      <c r="B24" s="160" t="s">
        <v>72</v>
      </c>
      <c r="C24" s="13">
        <v>615245.75398393092</v>
      </c>
      <c r="D24" s="13">
        <v>281839.32036010799</v>
      </c>
      <c r="E24" s="13">
        <v>221672.90335502799</v>
      </c>
      <c r="F24" s="13">
        <v>111733.530268795</v>
      </c>
      <c r="G24" s="13">
        <v>177706.92600588599</v>
      </c>
      <c r="H24" s="13">
        <v>449370.27807896101</v>
      </c>
      <c r="I24" s="13">
        <v>161967.32711132299</v>
      </c>
      <c r="J24" s="13">
        <v>-109696.024961752</v>
      </c>
      <c r="K24" s="161">
        <v>0</v>
      </c>
      <c r="L24" s="161">
        <v>-236.96600000000001</v>
      </c>
      <c r="M24" s="161">
        <v>0</v>
      </c>
      <c r="N24" s="161">
        <v>8562.5789999999997</v>
      </c>
      <c r="O24" s="161">
        <v>0</v>
      </c>
      <c r="P24" s="161">
        <v>-6762.0396929569988</v>
      </c>
      <c r="Q24" s="161">
        <v>0</v>
      </c>
      <c r="R24" s="162">
        <v>-6762.0396929569843</v>
      </c>
      <c r="S24"/>
    </row>
    <row r="25" spans="2:19" ht="24.75" customHeight="1" x14ac:dyDescent="0.35">
      <c r="B25" s="160" t="s">
        <v>73</v>
      </c>
      <c r="C25" s="13">
        <v>0</v>
      </c>
      <c r="D25" s="13">
        <v>0</v>
      </c>
      <c r="E25" s="13">
        <v>0</v>
      </c>
      <c r="F25" s="13">
        <v>0</v>
      </c>
      <c r="G25" s="13">
        <v>0</v>
      </c>
      <c r="H25" s="13">
        <v>0</v>
      </c>
      <c r="I25" s="13">
        <v>0</v>
      </c>
      <c r="J25" s="165">
        <v>0</v>
      </c>
      <c r="K25" s="166">
        <v>0</v>
      </c>
      <c r="L25" s="161">
        <v>0</v>
      </c>
      <c r="M25" s="161">
        <v>0</v>
      </c>
      <c r="N25" s="161">
        <v>0</v>
      </c>
      <c r="O25" s="161">
        <v>0</v>
      </c>
      <c r="P25" s="161">
        <v>0</v>
      </c>
      <c r="Q25" s="161">
        <v>0</v>
      </c>
      <c r="R25" s="162">
        <v>0</v>
      </c>
      <c r="S25"/>
    </row>
    <row r="26" spans="2:19" ht="24.75" customHeight="1" x14ac:dyDescent="0.35">
      <c r="B26" s="160" t="s">
        <v>74</v>
      </c>
      <c r="C26" s="13">
        <v>2542515.70937309</v>
      </c>
      <c r="D26" s="13">
        <v>1977619.870453842</v>
      </c>
      <c r="E26" s="13">
        <v>160469.15279421661</v>
      </c>
      <c r="F26" s="13">
        <v>404426.68612503138</v>
      </c>
      <c r="G26" s="13">
        <v>81520.529859999995</v>
      </c>
      <c r="H26" s="13">
        <v>194996.42181044299</v>
      </c>
      <c r="I26" s="13">
        <v>50808.438365424459</v>
      </c>
      <c r="J26" s="13">
        <v>-62667.453585018571</v>
      </c>
      <c r="K26" s="161">
        <v>0</v>
      </c>
      <c r="L26" s="161">
        <v>0</v>
      </c>
      <c r="M26" s="161">
        <v>0</v>
      </c>
      <c r="N26" s="161">
        <v>0</v>
      </c>
      <c r="O26" s="161">
        <v>0</v>
      </c>
      <c r="P26" s="161">
        <v>341759.23254001292</v>
      </c>
      <c r="Q26" s="161">
        <v>0</v>
      </c>
      <c r="R26" s="162">
        <v>341759.23254001292</v>
      </c>
      <c r="S26"/>
    </row>
    <row r="27" spans="2:19" ht="24.75" customHeight="1" x14ac:dyDescent="0.35">
      <c r="B27" s="160" t="s">
        <v>75</v>
      </c>
      <c r="C27" s="13">
        <v>1960622.68</v>
      </c>
      <c r="D27" s="13">
        <v>865898.26399999997</v>
      </c>
      <c r="E27" s="13">
        <v>541353.34499999997</v>
      </c>
      <c r="F27" s="13">
        <v>553371.071</v>
      </c>
      <c r="G27" s="13">
        <v>212543.26500000001</v>
      </c>
      <c r="H27" s="13">
        <v>0</v>
      </c>
      <c r="I27" s="13">
        <v>0</v>
      </c>
      <c r="J27" s="13">
        <v>212543.26500000001</v>
      </c>
      <c r="K27" s="161">
        <v>0</v>
      </c>
      <c r="L27" s="161">
        <v>3288.0360000000001</v>
      </c>
      <c r="M27" s="161">
        <v>-1848.2529999999999</v>
      </c>
      <c r="N27" s="161">
        <v>251107.61900000001</v>
      </c>
      <c r="O27" s="161">
        <v>0</v>
      </c>
      <c r="P27" s="161">
        <v>519943.00599999999</v>
      </c>
      <c r="Q27" s="161">
        <v>155982.902</v>
      </c>
      <c r="R27" s="162">
        <v>363960.10399999999</v>
      </c>
      <c r="S27"/>
    </row>
    <row r="28" spans="2:19" ht="24.75" customHeight="1" x14ac:dyDescent="0.35">
      <c r="B28" s="160" t="s">
        <v>76</v>
      </c>
      <c r="C28" s="13">
        <v>550554.24342375575</v>
      </c>
      <c r="D28" s="13">
        <v>359831.538</v>
      </c>
      <c r="E28" s="13">
        <v>178066.26500000001</v>
      </c>
      <c r="F28" s="13">
        <v>12656.44042375569</v>
      </c>
      <c r="G28" s="13">
        <v>43784.440580000002</v>
      </c>
      <c r="H28" s="13">
        <v>76757.985000000001</v>
      </c>
      <c r="I28" s="13">
        <v>17435.661</v>
      </c>
      <c r="J28" s="13">
        <v>-15537.88342</v>
      </c>
      <c r="K28" s="161">
        <v>0</v>
      </c>
      <c r="L28" s="161">
        <v>-2736.8746300000039</v>
      </c>
      <c r="M28" s="161">
        <v>534.75516307260989</v>
      </c>
      <c r="N28" s="161">
        <v>77607.069836927374</v>
      </c>
      <c r="O28" s="161">
        <v>0</v>
      </c>
      <c r="P28" s="161">
        <v>-83760.142626244298</v>
      </c>
      <c r="Q28" s="161">
        <v>0</v>
      </c>
      <c r="R28" s="162">
        <v>-83760.142626244313</v>
      </c>
      <c r="S28"/>
    </row>
    <row r="29" spans="2:19" ht="27" customHeight="1" x14ac:dyDescent="0.35">
      <c r="B29" s="160" t="s">
        <v>77</v>
      </c>
      <c r="C29" s="13">
        <v>823110.09806963196</v>
      </c>
      <c r="D29" s="13">
        <v>421060.95669493673</v>
      </c>
      <c r="E29" s="13">
        <v>290915.72364233271</v>
      </c>
      <c r="F29" s="13">
        <v>111133.41773236269</v>
      </c>
      <c r="G29" s="13">
        <v>74373.373794767103</v>
      </c>
      <c r="H29" s="13">
        <v>70732.540802949326</v>
      </c>
      <c r="I29" s="13">
        <v>47314.500622891763</v>
      </c>
      <c r="J29" s="13">
        <v>50955.333614709532</v>
      </c>
      <c r="K29" s="161">
        <v>0</v>
      </c>
      <c r="L29" s="161">
        <v>0</v>
      </c>
      <c r="M29" s="161">
        <v>0</v>
      </c>
      <c r="N29" s="161">
        <v>78306.69828545372</v>
      </c>
      <c r="O29" s="161">
        <v>0</v>
      </c>
      <c r="P29" s="161">
        <v>83782.053061618499</v>
      </c>
      <c r="Q29" s="161">
        <v>20884.793000000001</v>
      </c>
      <c r="R29" s="162">
        <v>62897.260061618501</v>
      </c>
      <c r="S29"/>
    </row>
    <row r="30" spans="2:19" ht="27" customHeight="1" x14ac:dyDescent="0.35">
      <c r="B30" s="160" t="s">
        <v>78</v>
      </c>
      <c r="C30" s="13">
        <v>462462.56099547702</v>
      </c>
      <c r="D30" s="13">
        <v>643898.73765896133</v>
      </c>
      <c r="E30" s="13">
        <v>-328257.38495976402</v>
      </c>
      <c r="F30" s="13">
        <v>146821.2082962798</v>
      </c>
      <c r="G30" s="13">
        <v>33325.42</v>
      </c>
      <c r="H30" s="13">
        <v>71117.501999848013</v>
      </c>
      <c r="I30" s="13">
        <v>0</v>
      </c>
      <c r="J30" s="13">
        <v>-37792.081999848007</v>
      </c>
      <c r="K30" s="161">
        <v>0</v>
      </c>
      <c r="L30" s="161">
        <v>201.022156</v>
      </c>
      <c r="M30" s="161">
        <v>16628.409368615401</v>
      </c>
      <c r="N30" s="161">
        <v>66741.376898750008</v>
      </c>
      <c r="O30" s="161">
        <v>0</v>
      </c>
      <c r="P30" s="161">
        <v>25860.36218506634</v>
      </c>
      <c r="Q30" s="161">
        <v>0</v>
      </c>
      <c r="R30" s="162">
        <v>25860.362185066351</v>
      </c>
      <c r="S30"/>
    </row>
    <row r="31" spans="2:19" ht="27" customHeight="1" x14ac:dyDescent="0.35">
      <c r="B31" s="141" t="s">
        <v>79</v>
      </c>
      <c r="C31" s="13">
        <v>4406497.0308367442</v>
      </c>
      <c r="D31" s="13">
        <v>4229296.3363426207</v>
      </c>
      <c r="E31" s="13">
        <v>363071.37953033292</v>
      </c>
      <c r="F31" s="13">
        <v>-185870.68503620921</v>
      </c>
      <c r="G31" s="13">
        <v>413767.92465000012</v>
      </c>
      <c r="H31" s="13">
        <v>139859.33772666511</v>
      </c>
      <c r="I31" s="13">
        <v>32752.25883734642</v>
      </c>
      <c r="J31" s="13">
        <v>306660.84576068132</v>
      </c>
      <c r="K31" s="161">
        <v>0</v>
      </c>
      <c r="L31" s="161">
        <v>13238.185455782301</v>
      </c>
      <c r="M31" s="161">
        <v>0</v>
      </c>
      <c r="N31" s="161">
        <v>6520.7364901368837</v>
      </c>
      <c r="O31" s="161">
        <v>0</v>
      </c>
      <c r="P31" s="161">
        <v>127507.60969011761</v>
      </c>
      <c r="Q31" s="161">
        <v>38268.646331409967</v>
      </c>
      <c r="R31" s="162">
        <v>89238.96335870761</v>
      </c>
      <c r="S31"/>
    </row>
    <row r="32" spans="2:19" ht="27" customHeight="1" x14ac:dyDescent="0.35">
      <c r="B32" s="160" t="s">
        <v>80</v>
      </c>
      <c r="C32" s="163">
        <v>805216.16999494843</v>
      </c>
      <c r="D32" s="163">
        <v>594156.66392197378</v>
      </c>
      <c r="E32" s="163">
        <v>143747.27819028639</v>
      </c>
      <c r="F32" s="163">
        <v>67312.227882688123</v>
      </c>
      <c r="G32" s="163">
        <v>40623.596139999987</v>
      </c>
      <c r="H32" s="163">
        <v>132243.79915799439</v>
      </c>
      <c r="I32" s="163">
        <v>52515.756090002258</v>
      </c>
      <c r="J32" s="163">
        <v>-39104.44692799214</v>
      </c>
      <c r="K32" s="163">
        <v>0</v>
      </c>
      <c r="L32" s="163">
        <v>0</v>
      </c>
      <c r="M32" s="163">
        <v>1610.0050000000001</v>
      </c>
      <c r="N32" s="163">
        <v>0</v>
      </c>
      <c r="O32" s="163">
        <v>0</v>
      </c>
      <c r="P32" s="163">
        <v>26597.775954695979</v>
      </c>
      <c r="Q32" s="163">
        <v>0</v>
      </c>
      <c r="R32" s="164">
        <v>26597.77595469595</v>
      </c>
      <c r="S32"/>
    </row>
    <row r="33" spans="2:19" ht="24.75" customHeight="1" x14ac:dyDescent="0.35">
      <c r="B33" s="141" t="s">
        <v>81</v>
      </c>
      <c r="C33" s="13">
        <v>551766.13295123784</v>
      </c>
      <c r="D33" s="13">
        <v>540283.48352321691</v>
      </c>
      <c r="E33" s="13">
        <v>45327.251404524897</v>
      </c>
      <c r="F33" s="13">
        <v>-33844.60197650396</v>
      </c>
      <c r="G33" s="13">
        <v>80430.615000000005</v>
      </c>
      <c r="H33" s="13">
        <v>29581.920219551739</v>
      </c>
      <c r="I33" s="13">
        <v>2996.2297491762611</v>
      </c>
      <c r="J33" s="13">
        <v>53844.924529624543</v>
      </c>
      <c r="K33" s="161">
        <v>0</v>
      </c>
      <c r="L33" s="161">
        <v>0</v>
      </c>
      <c r="M33" s="161">
        <v>0</v>
      </c>
      <c r="N33" s="161">
        <v>0</v>
      </c>
      <c r="O33" s="161">
        <v>0</v>
      </c>
      <c r="P33" s="161">
        <v>20000.322553120579</v>
      </c>
      <c r="Q33" s="161">
        <v>6000.0947659361746</v>
      </c>
      <c r="R33" s="162">
        <v>14000.227787184411</v>
      </c>
      <c r="S33"/>
    </row>
    <row r="34" spans="2:19" ht="24.75" customHeight="1" x14ac:dyDescent="0.35">
      <c r="B34" s="160" t="s">
        <v>82</v>
      </c>
      <c r="C34" s="13">
        <v>758180.90711576759</v>
      </c>
      <c r="D34" s="13">
        <v>543043.69858695194</v>
      </c>
      <c r="E34" s="13">
        <v>127342.57994436361</v>
      </c>
      <c r="F34" s="13">
        <v>87794.628584451915</v>
      </c>
      <c r="G34" s="13">
        <v>112156.67968571431</v>
      </c>
      <c r="H34" s="13">
        <v>0</v>
      </c>
      <c r="I34" s="13">
        <v>0</v>
      </c>
      <c r="J34" s="13">
        <v>112156.67968571431</v>
      </c>
      <c r="K34" s="161">
        <v>0</v>
      </c>
      <c r="L34" s="161">
        <v>0</v>
      </c>
      <c r="M34" s="161">
        <v>8591.2956699999995</v>
      </c>
      <c r="N34" s="161">
        <v>235319.60304350001</v>
      </c>
      <c r="O34" s="161">
        <v>0</v>
      </c>
      <c r="P34" s="161">
        <v>-43959.590443333807</v>
      </c>
      <c r="Q34" s="161">
        <v>-27302.652353891121</v>
      </c>
      <c r="R34" s="162">
        <v>-16656.938089442701</v>
      </c>
      <c r="S34"/>
    </row>
    <row r="35" spans="2:19" ht="24.75" customHeight="1" x14ac:dyDescent="0.35">
      <c r="B35" s="160" t="s">
        <v>83</v>
      </c>
      <c r="C35" s="13">
        <v>341773.94303159998</v>
      </c>
      <c r="D35" s="13">
        <v>345338.55241733219</v>
      </c>
      <c r="E35" s="13">
        <v>52309.914325971513</v>
      </c>
      <c r="F35" s="13">
        <v>-55874.523711703638</v>
      </c>
      <c r="G35" s="13">
        <v>0</v>
      </c>
      <c r="H35" s="13">
        <v>17993.304677277651</v>
      </c>
      <c r="I35" s="13">
        <v>9649.1267491759936</v>
      </c>
      <c r="J35" s="13">
        <v>-8344.1779281016516</v>
      </c>
      <c r="K35" s="161">
        <v>0</v>
      </c>
      <c r="L35" s="161">
        <v>24941.527167862499</v>
      </c>
      <c r="M35" s="161">
        <v>0</v>
      </c>
      <c r="N35" s="161">
        <v>0</v>
      </c>
      <c r="O35" s="161">
        <v>0</v>
      </c>
      <c r="P35" s="161">
        <v>-39277.174471942788</v>
      </c>
      <c r="Q35" s="161">
        <v>0</v>
      </c>
      <c r="R35" s="162">
        <v>-39277.174471942802</v>
      </c>
      <c r="S35"/>
    </row>
    <row r="36" spans="2:19" ht="24.75" customHeight="1" x14ac:dyDescent="0.35">
      <c r="B36" s="160" t="s">
        <v>84</v>
      </c>
      <c r="C36" s="13">
        <v>246223.08803327399</v>
      </c>
      <c r="D36" s="13">
        <v>285513.27855645312</v>
      </c>
      <c r="E36" s="13">
        <v>-7218.2368961869033</v>
      </c>
      <c r="F36" s="13">
        <v>-32071.95362699221</v>
      </c>
      <c r="G36" s="13">
        <v>19220.976007318641</v>
      </c>
      <c r="H36" s="13">
        <v>14033.068827720999</v>
      </c>
      <c r="I36" s="13">
        <v>1754.068811421</v>
      </c>
      <c r="J36" s="13">
        <v>6941.975991018644</v>
      </c>
      <c r="K36" s="161">
        <v>0</v>
      </c>
      <c r="L36" s="161">
        <v>2113.7777500000002</v>
      </c>
      <c r="M36" s="161">
        <v>0</v>
      </c>
      <c r="N36" s="161">
        <v>34564.64933901</v>
      </c>
      <c r="O36" s="161">
        <v>0</v>
      </c>
      <c r="P36" s="161">
        <v>-57580.849224983569</v>
      </c>
      <c r="Q36" s="161">
        <v>0</v>
      </c>
      <c r="R36" s="162">
        <v>-57580.849224983584</v>
      </c>
      <c r="S36"/>
    </row>
    <row r="37" spans="2:19" ht="24.75" customHeight="1" x14ac:dyDescent="0.35">
      <c r="B37" s="160" t="s">
        <v>85</v>
      </c>
      <c r="C37" s="13">
        <v>563338.02805699641</v>
      </c>
      <c r="D37" s="13">
        <v>333891.90815328597</v>
      </c>
      <c r="E37" s="13">
        <v>163726.2130095321</v>
      </c>
      <c r="F37" s="13">
        <v>65719.906894178566</v>
      </c>
      <c r="G37" s="13">
        <v>101176.1306228254</v>
      </c>
      <c r="H37" s="13">
        <v>92957.935155029074</v>
      </c>
      <c r="I37" s="13">
        <v>35476.990084296653</v>
      </c>
      <c r="J37" s="13">
        <v>43695.185552092931</v>
      </c>
      <c r="K37" s="161">
        <v>0</v>
      </c>
      <c r="L37" s="161">
        <v>0</v>
      </c>
      <c r="M37" s="161">
        <v>0</v>
      </c>
      <c r="N37" s="161">
        <v>3953.9403699999998</v>
      </c>
      <c r="O37" s="161">
        <v>0</v>
      </c>
      <c r="P37" s="161">
        <v>105461.15207627149</v>
      </c>
      <c r="Q37" s="161">
        <v>6639.2100000000019</v>
      </c>
      <c r="R37" s="162">
        <v>98821.942076271473</v>
      </c>
      <c r="S37"/>
    </row>
    <row r="38" spans="2:19" ht="24.75" customHeight="1" x14ac:dyDescent="0.35">
      <c r="B38" s="160" t="s">
        <v>86</v>
      </c>
      <c r="C38" s="13">
        <v>2097393.7629999998</v>
      </c>
      <c r="D38" s="13">
        <v>1536426.0049999999</v>
      </c>
      <c r="E38" s="13">
        <v>357860.04399999999</v>
      </c>
      <c r="F38" s="13">
        <v>203107.71400000001</v>
      </c>
      <c r="G38" s="13">
        <v>353460.864</v>
      </c>
      <c r="H38" s="13">
        <v>51318.065238924522</v>
      </c>
      <c r="I38" s="13">
        <v>11804.461408877571</v>
      </c>
      <c r="J38" s="13">
        <v>313947.26016995299</v>
      </c>
      <c r="K38" s="161">
        <v>0</v>
      </c>
      <c r="L38" s="161">
        <v>0</v>
      </c>
      <c r="M38" s="161">
        <v>0</v>
      </c>
      <c r="N38" s="161">
        <v>112366.125</v>
      </c>
      <c r="O38" s="161">
        <v>-25448.092000000001</v>
      </c>
      <c r="P38" s="161">
        <v>379240.75716995302</v>
      </c>
      <c r="Q38" s="161">
        <v>119471.1956097574</v>
      </c>
      <c r="R38" s="162">
        <v>259769.56156019561</v>
      </c>
      <c r="S38"/>
    </row>
    <row r="39" spans="2:19" ht="24.75" customHeight="1" x14ac:dyDescent="0.35">
      <c r="B39" s="160" t="s">
        <v>87</v>
      </c>
      <c r="C39" s="13">
        <v>568064.98600000003</v>
      </c>
      <c r="D39" s="13">
        <v>465102.50805574388</v>
      </c>
      <c r="E39" s="13">
        <v>31055.4565079436</v>
      </c>
      <c r="F39" s="13">
        <v>71907.021436312527</v>
      </c>
      <c r="G39" s="13">
        <v>10374.1369791449</v>
      </c>
      <c r="H39" s="13">
        <v>18042.165000000001</v>
      </c>
      <c r="I39" s="13">
        <v>23006.062000000002</v>
      </c>
      <c r="J39" s="13">
        <v>15338.033979144901</v>
      </c>
      <c r="K39" s="161">
        <v>0</v>
      </c>
      <c r="L39" s="161">
        <v>0</v>
      </c>
      <c r="M39" s="161">
        <v>17354.62111056396</v>
      </c>
      <c r="N39" s="161">
        <v>14713.59488721275</v>
      </c>
      <c r="O39" s="161">
        <v>0</v>
      </c>
      <c r="P39" s="161">
        <v>55176.83941768072</v>
      </c>
      <c r="Q39" s="161">
        <v>0</v>
      </c>
      <c r="R39" s="162">
        <v>55176.839417680691</v>
      </c>
      <c r="S39"/>
    </row>
    <row r="40" spans="2:19" ht="24.75" customHeight="1" x14ac:dyDescent="0.35">
      <c r="B40" s="160" t="s">
        <v>88</v>
      </c>
      <c r="C40" s="13">
        <v>478152.94500000001</v>
      </c>
      <c r="D40" s="13">
        <v>136827.21900000001</v>
      </c>
      <c r="E40" s="13">
        <v>-175256.61300000001</v>
      </c>
      <c r="F40" s="13">
        <v>516582.33899999998</v>
      </c>
      <c r="G40" s="13">
        <v>0</v>
      </c>
      <c r="H40" s="13">
        <v>246150.71299999999</v>
      </c>
      <c r="I40" s="13">
        <v>32013.798999999999</v>
      </c>
      <c r="J40" s="13">
        <v>-214136.91399999999</v>
      </c>
      <c r="K40" s="161">
        <v>0</v>
      </c>
      <c r="L40" s="161">
        <v>0</v>
      </c>
      <c r="M40" s="161">
        <v>0</v>
      </c>
      <c r="N40" s="161">
        <v>91611.974000000002</v>
      </c>
      <c r="O40" s="161">
        <v>0</v>
      </c>
      <c r="P40" s="161">
        <v>210833.451</v>
      </c>
      <c r="Q40" s="161">
        <v>0</v>
      </c>
      <c r="R40" s="162">
        <v>210833.451</v>
      </c>
      <c r="S40"/>
    </row>
    <row r="41" spans="2:19" ht="24.75" customHeight="1" x14ac:dyDescent="0.35">
      <c r="B41" s="160" t="s">
        <v>89</v>
      </c>
      <c r="C41" s="13">
        <v>0</v>
      </c>
      <c r="D41" s="13">
        <v>0</v>
      </c>
      <c r="E41" s="13">
        <v>0</v>
      </c>
      <c r="F41" s="13">
        <v>0</v>
      </c>
      <c r="G41" s="13">
        <v>0</v>
      </c>
      <c r="H41" s="13">
        <v>0</v>
      </c>
      <c r="I41" s="13">
        <v>0</v>
      </c>
      <c r="J41" s="13">
        <v>0</v>
      </c>
      <c r="K41" s="161">
        <v>0</v>
      </c>
      <c r="L41" s="161">
        <v>0</v>
      </c>
      <c r="M41" s="161">
        <v>0</v>
      </c>
      <c r="N41" s="161">
        <v>0</v>
      </c>
      <c r="O41" s="161">
        <v>0</v>
      </c>
      <c r="P41" s="161">
        <v>0</v>
      </c>
      <c r="Q41" s="161">
        <v>0</v>
      </c>
      <c r="R41" s="162">
        <v>0</v>
      </c>
      <c r="S41"/>
    </row>
    <row r="42" spans="2:19" ht="24.75" customHeight="1" x14ac:dyDescent="0.3">
      <c r="B42" s="138" t="s">
        <v>90</v>
      </c>
      <c r="C42" s="167">
        <f t="shared" ref="C42:R42" si="0">SUM(C6:C41)</f>
        <v>51594232.712650754</v>
      </c>
      <c r="D42" s="167">
        <f t="shared" si="0"/>
        <v>42921945.70679488</v>
      </c>
      <c r="E42" s="167">
        <f t="shared" si="0"/>
        <v>5987188.8640152719</v>
      </c>
      <c r="F42" s="167">
        <f t="shared" si="0"/>
        <v>2685098.1418406246</v>
      </c>
      <c r="G42" s="167">
        <f t="shared" si="0"/>
        <v>4579029.8484227424</v>
      </c>
      <c r="H42" s="167">
        <f t="shared" si="0"/>
        <v>4214617.5804188801</v>
      </c>
      <c r="I42" s="167">
        <f t="shared" si="0"/>
        <v>1277381.1823137593</v>
      </c>
      <c r="J42" s="167">
        <f t="shared" si="0"/>
        <v>1641793.4503176217</v>
      </c>
      <c r="K42" s="167">
        <f t="shared" si="0"/>
        <v>0</v>
      </c>
      <c r="L42" s="167">
        <f t="shared" si="0"/>
        <v>183164.41121986561</v>
      </c>
      <c r="M42" s="167">
        <f t="shared" si="0"/>
        <v>68541.119251868658</v>
      </c>
      <c r="N42" s="167">
        <f t="shared" si="0"/>
        <v>2073066.2136058363</v>
      </c>
      <c r="O42" s="167">
        <f t="shared" si="0"/>
        <v>-1548.3020800000013</v>
      </c>
      <c r="P42" s="167">
        <f t="shared" si="0"/>
        <v>2366900.3684404064</v>
      </c>
      <c r="Q42" s="167">
        <f t="shared" si="0"/>
        <v>556759.21266847698</v>
      </c>
      <c r="R42" s="167">
        <f t="shared" si="0"/>
        <v>1810141.1557719288</v>
      </c>
    </row>
    <row r="43" spans="2:19" ht="24.75" customHeight="1" x14ac:dyDescent="0.35">
      <c r="B43" s="256" t="s">
        <v>91</v>
      </c>
      <c r="C43" s="252"/>
      <c r="D43" s="252"/>
      <c r="E43" s="252"/>
      <c r="F43" s="252"/>
      <c r="G43" s="252"/>
      <c r="H43" s="252"/>
      <c r="I43" s="252"/>
      <c r="J43" s="252"/>
      <c r="K43" s="252"/>
      <c r="L43" s="252"/>
      <c r="M43" s="252"/>
      <c r="N43" s="252"/>
      <c r="O43" s="252"/>
      <c r="P43" s="252"/>
      <c r="Q43" s="252"/>
      <c r="R43" s="253"/>
    </row>
    <row r="44" spans="2:19" ht="24.75" customHeight="1" x14ac:dyDescent="0.35">
      <c r="B44" s="160" t="s">
        <v>92</v>
      </c>
      <c r="C44" s="168">
        <v>1498541.04</v>
      </c>
      <c r="D44" s="168">
        <v>1460000.4893640371</v>
      </c>
      <c r="E44" s="168">
        <v>-80030.11323260497</v>
      </c>
      <c r="F44" s="168">
        <v>118570.6638685682</v>
      </c>
      <c r="G44" s="168">
        <v>61370.512999999999</v>
      </c>
      <c r="H44" s="168">
        <v>155208.27299999999</v>
      </c>
      <c r="I44" s="168">
        <v>62790.038999999997</v>
      </c>
      <c r="J44" s="168">
        <v>-31047.721000000001</v>
      </c>
      <c r="K44" s="168">
        <v>0</v>
      </c>
      <c r="L44" s="168">
        <v>11022.148999999999</v>
      </c>
      <c r="M44" s="168">
        <v>810.18100000000004</v>
      </c>
      <c r="N44" s="168">
        <v>6633.2120000000004</v>
      </c>
      <c r="O44" s="168">
        <v>0</v>
      </c>
      <c r="P44" s="168">
        <v>91101.698868568157</v>
      </c>
      <c r="Q44" s="168">
        <v>27330.508999999998</v>
      </c>
      <c r="R44" s="169">
        <v>63771.189868568152</v>
      </c>
      <c r="S44"/>
    </row>
    <row r="45" spans="2:19" ht="24.75" customHeight="1" x14ac:dyDescent="0.35">
      <c r="B45" s="160" t="s">
        <v>93</v>
      </c>
      <c r="C45" s="168">
        <v>1513009.7137104941</v>
      </c>
      <c r="D45" s="168">
        <v>1297891.5262313939</v>
      </c>
      <c r="E45" s="168">
        <v>123540.0063457358</v>
      </c>
      <c r="F45" s="168">
        <v>91578.181133363934</v>
      </c>
      <c r="G45" s="168">
        <v>169797.45879</v>
      </c>
      <c r="H45" s="168">
        <v>42543.379867694901</v>
      </c>
      <c r="I45" s="168">
        <v>8144.1956299488038</v>
      </c>
      <c r="J45" s="168">
        <v>135398.27455225389</v>
      </c>
      <c r="K45" s="168">
        <v>0</v>
      </c>
      <c r="L45" s="168">
        <v>0</v>
      </c>
      <c r="M45" s="168">
        <v>0</v>
      </c>
      <c r="N45" s="168">
        <v>3488.565000000001</v>
      </c>
      <c r="O45" s="168">
        <v>0</v>
      </c>
      <c r="P45" s="168">
        <v>223487.89068561781</v>
      </c>
      <c r="Q45" s="168">
        <v>55871.971445545852</v>
      </c>
      <c r="R45" s="169">
        <v>167615.91924007199</v>
      </c>
      <c r="S45"/>
    </row>
    <row r="46" spans="2:19" ht="24.75" customHeight="1" x14ac:dyDescent="0.35">
      <c r="B46" s="160" t="s">
        <v>94</v>
      </c>
      <c r="C46" s="168">
        <v>915568.13609770581</v>
      </c>
      <c r="D46" s="168">
        <v>798999.16721833276</v>
      </c>
      <c r="E46" s="168">
        <v>73348.868871082464</v>
      </c>
      <c r="F46" s="168">
        <v>43220.100008290749</v>
      </c>
      <c r="G46" s="168">
        <v>59297.679502257917</v>
      </c>
      <c r="H46" s="168">
        <v>44096.781256441638</v>
      </c>
      <c r="I46" s="168">
        <v>9334.2694880677464</v>
      </c>
      <c r="J46" s="168">
        <v>24535.167733884042</v>
      </c>
      <c r="K46" s="168">
        <v>0</v>
      </c>
      <c r="L46" s="168">
        <v>0</v>
      </c>
      <c r="M46" s="168">
        <v>-6444.1882803081708</v>
      </c>
      <c r="N46" s="168">
        <v>51366.221052686051</v>
      </c>
      <c r="O46" s="168">
        <v>0</v>
      </c>
      <c r="P46" s="168">
        <v>22833.234969796911</v>
      </c>
      <c r="Q46" s="168">
        <v>0</v>
      </c>
      <c r="R46" s="169">
        <v>22833.234969796911</v>
      </c>
      <c r="S46"/>
    </row>
    <row r="47" spans="2:19" ht="24.75" customHeight="1" x14ac:dyDescent="0.35">
      <c r="B47" s="160" t="s">
        <v>95</v>
      </c>
      <c r="C47" s="168">
        <v>2634223.2440000712</v>
      </c>
      <c r="D47" s="168">
        <v>2837322.2152517098</v>
      </c>
      <c r="E47" s="168">
        <v>173645.8844066906</v>
      </c>
      <c r="F47" s="168">
        <v>-376744.85565832991</v>
      </c>
      <c r="G47" s="168">
        <v>1133012.18</v>
      </c>
      <c r="H47" s="168">
        <v>-82747.898000000001</v>
      </c>
      <c r="I47" s="168">
        <v>12356.060967183559</v>
      </c>
      <c r="J47" s="168">
        <v>1228116.1389671839</v>
      </c>
      <c r="K47" s="168">
        <v>0</v>
      </c>
      <c r="L47" s="168">
        <v>9605.0239999999994</v>
      </c>
      <c r="M47" s="168">
        <v>-1895.489</v>
      </c>
      <c r="N47" s="168">
        <v>403490.64</v>
      </c>
      <c r="O47" s="168">
        <v>0</v>
      </c>
      <c r="P47" s="168">
        <v>459381.15630885371</v>
      </c>
      <c r="Q47" s="168">
        <v>137814.34689265609</v>
      </c>
      <c r="R47" s="169">
        <v>321566.80941619759</v>
      </c>
      <c r="S47"/>
    </row>
    <row r="48" spans="2:19" ht="24.75" customHeight="1" x14ac:dyDescent="0.35">
      <c r="B48" s="160" t="s">
        <v>96</v>
      </c>
      <c r="C48" s="168">
        <v>1635403.3154336929</v>
      </c>
      <c r="D48" s="168">
        <v>1008390.037552844</v>
      </c>
      <c r="E48" s="168">
        <v>271727.441520817</v>
      </c>
      <c r="F48" s="168">
        <v>355285.83636003261</v>
      </c>
      <c r="G48" s="168">
        <v>89004.179780000006</v>
      </c>
      <c r="H48" s="168">
        <v>122950.69761531</v>
      </c>
      <c r="I48" s="168">
        <v>13091.24974407242</v>
      </c>
      <c r="J48" s="168">
        <v>-20855.26809123762</v>
      </c>
      <c r="K48" s="168">
        <v>0</v>
      </c>
      <c r="L48" s="168">
        <v>2070.5998199999958</v>
      </c>
      <c r="M48" s="168">
        <v>0</v>
      </c>
      <c r="N48" s="168">
        <v>154865.23856</v>
      </c>
      <c r="O48" s="168">
        <v>0</v>
      </c>
      <c r="P48" s="168">
        <v>181635.92952879489</v>
      </c>
      <c r="Q48" s="168">
        <v>54490.778823000102</v>
      </c>
      <c r="R48" s="169">
        <v>127145.1507057948</v>
      </c>
      <c r="S48"/>
    </row>
    <row r="49" spans="2:18" ht="24.75" customHeight="1" x14ac:dyDescent="0.3">
      <c r="B49" s="138" t="s">
        <v>90</v>
      </c>
      <c r="C49" s="170">
        <f t="shared" ref="C49:R49" si="1">SUM(C44:C48)</f>
        <v>8196745.4492419651</v>
      </c>
      <c r="D49" s="170">
        <f t="shared" si="1"/>
        <v>7402603.4356183177</v>
      </c>
      <c r="E49" s="170">
        <f t="shared" si="1"/>
        <v>562232.08791172085</v>
      </c>
      <c r="F49" s="170">
        <f t="shared" si="1"/>
        <v>231909.92571192558</v>
      </c>
      <c r="G49" s="170">
        <f t="shared" si="1"/>
        <v>1512482.011072258</v>
      </c>
      <c r="H49" s="170">
        <f t="shared" si="1"/>
        <v>282051.2337394465</v>
      </c>
      <c r="I49" s="170">
        <f t="shared" si="1"/>
        <v>105715.81482927252</v>
      </c>
      <c r="J49" s="170">
        <f t="shared" si="1"/>
        <v>1336146.5921620841</v>
      </c>
      <c r="K49" s="170">
        <f t="shared" si="1"/>
        <v>0</v>
      </c>
      <c r="L49" s="170">
        <f t="shared" si="1"/>
        <v>22697.772819999995</v>
      </c>
      <c r="M49" s="170">
        <f t="shared" si="1"/>
        <v>-7529.4962803081708</v>
      </c>
      <c r="N49" s="170">
        <f t="shared" si="1"/>
        <v>619843.87661268609</v>
      </c>
      <c r="O49" s="170">
        <f t="shared" si="1"/>
        <v>0</v>
      </c>
      <c r="P49" s="170">
        <f t="shared" si="1"/>
        <v>978439.91036163154</v>
      </c>
      <c r="Q49" s="170">
        <f t="shared" si="1"/>
        <v>275507.60616120201</v>
      </c>
      <c r="R49" s="170">
        <f t="shared" si="1"/>
        <v>702932.30420042947</v>
      </c>
    </row>
    <row r="50" spans="2:18" ht="19.5" customHeight="1" x14ac:dyDescent="0.3">
      <c r="B50" s="138" t="s">
        <v>97</v>
      </c>
      <c r="C50" s="170">
        <f t="shared" ref="C50:R50" si="2">C42+C49</f>
        <v>59790978.16189272</v>
      </c>
      <c r="D50" s="170">
        <f t="shared" si="2"/>
        <v>50324549.142413199</v>
      </c>
      <c r="E50" s="170">
        <f t="shared" si="2"/>
        <v>6549420.9519269932</v>
      </c>
      <c r="F50" s="170">
        <f t="shared" si="2"/>
        <v>2917008.0675525502</v>
      </c>
      <c r="G50" s="170">
        <f t="shared" si="2"/>
        <v>6091511.8594950009</v>
      </c>
      <c r="H50" s="170">
        <f t="shared" si="2"/>
        <v>4496668.8141583269</v>
      </c>
      <c r="I50" s="170">
        <f t="shared" si="2"/>
        <v>1383096.9971430318</v>
      </c>
      <c r="J50" s="170">
        <f t="shared" si="2"/>
        <v>2977940.042479706</v>
      </c>
      <c r="K50" s="170">
        <f t="shared" si="2"/>
        <v>0</v>
      </c>
      <c r="L50" s="170">
        <f t="shared" si="2"/>
        <v>205862.18403986559</v>
      </c>
      <c r="M50" s="170">
        <f t="shared" si="2"/>
        <v>61011.622971560486</v>
      </c>
      <c r="N50" s="170">
        <f t="shared" si="2"/>
        <v>2692910.0902185226</v>
      </c>
      <c r="O50" s="170">
        <f t="shared" si="2"/>
        <v>-1548.3020800000013</v>
      </c>
      <c r="P50" s="170">
        <f t="shared" si="2"/>
        <v>3345340.2788020382</v>
      </c>
      <c r="Q50" s="170">
        <f t="shared" si="2"/>
        <v>832266.81882967893</v>
      </c>
      <c r="R50" s="170">
        <f t="shared" si="2"/>
        <v>2513073.4599723583</v>
      </c>
    </row>
    <row r="51" spans="2:18" ht="19.5" customHeight="1" x14ac:dyDescent="0.35">
      <c r="B51" s="254" t="s">
        <v>98</v>
      </c>
      <c r="C51" s="255"/>
      <c r="D51" s="255"/>
      <c r="E51" s="255"/>
      <c r="F51" s="255"/>
      <c r="G51" s="255"/>
      <c r="H51" s="255"/>
      <c r="I51" s="255"/>
      <c r="J51" s="255"/>
      <c r="K51" s="255"/>
      <c r="L51" s="255"/>
      <c r="M51" s="255"/>
      <c r="N51" s="255"/>
      <c r="O51" s="255"/>
      <c r="P51" s="255"/>
      <c r="Q51" s="255"/>
      <c r="R51" s="255"/>
    </row>
  </sheetData>
  <sheetProtection algorithmName="SHA-512" hashValue="15o/ZRjCrMMT2tiNT99R74x9t9B5Sfj3+EnUC/EV0PvihKl8s8EKF2DVXceXSjhya2jbxhg28TVyK/Iygb3AYw==" saltValue="wskbrRs0iXaMXz504WFXfA==" spinCount="100000" sheet="1" objects="1" scenarios="1"/>
  <mergeCells count="4">
    <mergeCell ref="B5:R5"/>
    <mergeCell ref="B51:R51"/>
    <mergeCell ref="B43:R43"/>
    <mergeCell ref="B3:R3"/>
  </mergeCells>
  <pageMargins left="0.7" right="0.7" top="0.75" bottom="0.75" header="0.3" footer="0.3"/>
  <pageSetup paperSize="9" scale="4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92D050"/>
    <pageSetUpPr fitToPage="1"/>
  </sheetPr>
  <dimension ref="B3:R51"/>
  <sheetViews>
    <sheetView zoomScale="70" zoomScaleNormal="70" workbookViewId="0">
      <pane xSplit="2" ySplit="5" topLeftCell="C6" activePane="bottomRight" state="frozen"/>
      <selection pane="topRight" activeCell="C1" sqref="C1"/>
      <selection pane="bottomLeft" activeCell="A6" sqref="A6"/>
      <selection pane="bottomRight" activeCell="I43" sqref="I43"/>
    </sheetView>
  </sheetViews>
  <sheetFormatPr defaultColWidth="13.54296875" defaultRowHeight="14" x14ac:dyDescent="0.3"/>
  <cols>
    <col min="1" max="1" width="15.453125" style="2" customWidth="1"/>
    <col min="2" max="2" width="46.54296875" style="2" customWidth="1"/>
    <col min="3" max="3" width="24" style="2" customWidth="1"/>
    <col min="4" max="9" width="19.453125" style="2" customWidth="1"/>
    <col min="10" max="12" width="17.54296875" style="2" customWidth="1"/>
    <col min="13" max="13" width="19.453125" style="2" customWidth="1"/>
    <col min="14" max="14" width="17.54296875" style="2" customWidth="1"/>
    <col min="15" max="15" width="18.54296875" style="2" customWidth="1"/>
    <col min="16" max="16" width="17.54296875" style="2" customWidth="1"/>
    <col min="17" max="17" width="22.453125" style="2" customWidth="1"/>
    <col min="18" max="18" width="17.54296875" style="2" customWidth="1"/>
    <col min="19" max="68" width="13.54296875" style="2" customWidth="1"/>
    <col min="69" max="16384" width="13.54296875" style="2"/>
  </cols>
  <sheetData>
    <row r="3" spans="2:18" s="35" customFormat="1" ht="23.25" customHeight="1" x14ac:dyDescent="0.35">
      <c r="B3" s="259" t="str">
        <f>_xlfn.CONCAT('Table of Contents'!B9,": ",'Table of Contents'!C9)</f>
        <v>APPENDIX 2: SUMMARY OF LONG TERM INSURANCE BUSINESS PROFIT &amp; LOSS ACCOUNTS  FOR THE PERIOD ENDED 31.03.2025</v>
      </c>
      <c r="C3" s="252"/>
      <c r="D3" s="252"/>
      <c r="E3" s="252"/>
      <c r="F3" s="252"/>
      <c r="G3" s="252"/>
      <c r="H3" s="252"/>
      <c r="I3" s="252"/>
      <c r="J3" s="252"/>
      <c r="K3" s="252"/>
      <c r="L3" s="252"/>
      <c r="M3" s="252"/>
      <c r="N3" s="252"/>
      <c r="O3" s="252"/>
      <c r="P3" s="252"/>
      <c r="Q3" s="252"/>
      <c r="R3" s="253"/>
    </row>
    <row r="4" spans="2:18" s="35" customFormat="1" ht="78" customHeight="1" x14ac:dyDescent="0.25">
      <c r="B4" s="171" t="s">
        <v>36</v>
      </c>
      <c r="C4" s="172" t="s">
        <v>37</v>
      </c>
      <c r="D4" s="172" t="s">
        <v>38</v>
      </c>
      <c r="E4" s="172" t="s">
        <v>39</v>
      </c>
      <c r="F4" s="172" t="s">
        <v>40</v>
      </c>
      <c r="G4" s="173" t="s">
        <v>41</v>
      </c>
      <c r="H4" s="173" t="s">
        <v>42</v>
      </c>
      <c r="I4" s="173" t="s">
        <v>43</v>
      </c>
      <c r="J4" s="173" t="s">
        <v>44</v>
      </c>
      <c r="K4" s="174" t="s">
        <v>45</v>
      </c>
      <c r="L4" s="174" t="s">
        <v>46</v>
      </c>
      <c r="M4" s="174" t="s">
        <v>47</v>
      </c>
      <c r="N4" s="174" t="s">
        <v>48</v>
      </c>
      <c r="O4" s="174" t="s">
        <v>49</v>
      </c>
      <c r="P4" s="174" t="s">
        <v>50</v>
      </c>
      <c r="Q4" s="174" t="s">
        <v>51</v>
      </c>
      <c r="R4" s="174" t="s">
        <v>52</v>
      </c>
    </row>
    <row r="5" spans="2:18" s="35" customFormat="1" ht="21.75" customHeight="1" x14ac:dyDescent="0.35">
      <c r="B5" s="256" t="s">
        <v>53</v>
      </c>
      <c r="C5" s="252"/>
      <c r="D5" s="252"/>
      <c r="E5" s="252"/>
      <c r="F5" s="252"/>
      <c r="G5" s="252"/>
      <c r="H5" s="252"/>
      <c r="I5" s="252"/>
      <c r="J5" s="252"/>
      <c r="K5" s="252"/>
      <c r="L5" s="252"/>
      <c r="M5" s="252"/>
      <c r="N5" s="252"/>
      <c r="O5" s="252"/>
      <c r="P5" s="252"/>
      <c r="Q5" s="252"/>
      <c r="R5" s="253"/>
    </row>
    <row r="6" spans="2:18" ht="21.75" customHeight="1" x14ac:dyDescent="0.3">
      <c r="B6" s="137" t="s">
        <v>99</v>
      </c>
      <c r="C6" s="175">
        <v>2086213.281545368</v>
      </c>
      <c r="D6" s="175">
        <v>1665485.3168541649</v>
      </c>
      <c r="E6" s="175">
        <v>119654.65184781481</v>
      </c>
      <c r="F6" s="175">
        <v>301073.3128433883</v>
      </c>
      <c r="G6" s="175">
        <v>459692.36735999997</v>
      </c>
      <c r="H6" s="175">
        <v>1162010.6230068</v>
      </c>
      <c r="I6" s="175">
        <v>14883.599995799999</v>
      </c>
      <c r="J6" s="175">
        <v>-687434.65565099986</v>
      </c>
      <c r="K6" s="176">
        <v>0</v>
      </c>
      <c r="L6" s="176">
        <v>0</v>
      </c>
      <c r="M6" s="176">
        <v>0</v>
      </c>
      <c r="N6" s="176">
        <v>44993.901240000007</v>
      </c>
      <c r="O6" s="176">
        <v>0</v>
      </c>
      <c r="P6" s="176">
        <v>-431355.2440476116</v>
      </c>
      <c r="Q6" s="176">
        <v>45466.18199999995</v>
      </c>
      <c r="R6" s="177">
        <v>-476821.42604761152</v>
      </c>
    </row>
    <row r="7" spans="2:18" ht="21.75" customHeight="1" x14ac:dyDescent="0.3">
      <c r="B7" s="137" t="s">
        <v>100</v>
      </c>
      <c r="C7" s="175">
        <v>1345408.7331609819</v>
      </c>
      <c r="D7" s="175">
        <v>868201.32620982127</v>
      </c>
      <c r="E7" s="175">
        <v>476738.86378791672</v>
      </c>
      <c r="F7" s="175">
        <v>468.54316324363651</v>
      </c>
      <c r="G7" s="175">
        <v>596632.6108382782</v>
      </c>
      <c r="H7" s="175">
        <v>476681.9186156739</v>
      </c>
      <c r="I7" s="175">
        <v>5473.9033435831689</v>
      </c>
      <c r="J7" s="175">
        <v>125424.5955661874</v>
      </c>
      <c r="K7" s="176">
        <v>0</v>
      </c>
      <c r="L7" s="176">
        <v>0</v>
      </c>
      <c r="M7" s="176">
        <v>7388.6409999999996</v>
      </c>
      <c r="N7" s="176">
        <v>25123.075058771152</v>
      </c>
      <c r="O7" s="176">
        <v>0</v>
      </c>
      <c r="P7" s="176">
        <v>93381.422670659958</v>
      </c>
      <c r="Q7" s="176">
        <v>19511.079660901451</v>
      </c>
      <c r="R7" s="177">
        <v>73870.343009758508</v>
      </c>
    </row>
    <row r="8" spans="2:18" ht="21.75" customHeight="1" x14ac:dyDescent="0.3">
      <c r="B8" s="137" t="s">
        <v>101</v>
      </c>
      <c r="C8" s="175">
        <v>3480057.9730000002</v>
      </c>
      <c r="D8" s="175">
        <v>2554301.781</v>
      </c>
      <c r="E8" s="175">
        <v>201473.48496981981</v>
      </c>
      <c r="F8" s="175">
        <v>724282.70703018026</v>
      </c>
      <c r="G8" s="175">
        <v>9804614.3629999999</v>
      </c>
      <c r="H8" s="175">
        <v>9955073.9010000005</v>
      </c>
      <c r="I8" s="175">
        <v>38503.529000000002</v>
      </c>
      <c r="J8" s="175">
        <v>-111956.00900000001</v>
      </c>
      <c r="K8" s="176">
        <v>0</v>
      </c>
      <c r="L8" s="176">
        <v>-15078.870999999999</v>
      </c>
      <c r="M8" s="176">
        <v>10471.147000000001</v>
      </c>
      <c r="N8" s="176">
        <v>128343.447</v>
      </c>
      <c r="O8" s="176">
        <v>149927.77799999999</v>
      </c>
      <c r="P8" s="176">
        <v>608361.01103018026</v>
      </c>
      <c r="Q8" s="176">
        <v>182508.30300000001</v>
      </c>
      <c r="R8" s="177">
        <v>425852.70803018019</v>
      </c>
    </row>
    <row r="9" spans="2:18" ht="21.75" customHeight="1" x14ac:dyDescent="0.3">
      <c r="B9" s="137" t="s">
        <v>102</v>
      </c>
      <c r="C9" s="175">
        <v>121787.1124083382</v>
      </c>
      <c r="D9" s="175">
        <v>147480.24092212829</v>
      </c>
      <c r="E9" s="175">
        <v>5100.4170449571538</v>
      </c>
      <c r="F9" s="175">
        <v>-30793.545558747159</v>
      </c>
      <c r="G9" s="175">
        <v>40307.388316300006</v>
      </c>
      <c r="H9" s="175">
        <v>32676.434398689558</v>
      </c>
      <c r="I9" s="175">
        <v>755.22343038934446</v>
      </c>
      <c r="J9" s="175">
        <v>8386.1773479997846</v>
      </c>
      <c r="K9" s="176">
        <v>0</v>
      </c>
      <c r="L9" s="176">
        <v>3743.4</v>
      </c>
      <c r="M9" s="176">
        <v>0</v>
      </c>
      <c r="N9" s="176">
        <v>1885.30234</v>
      </c>
      <c r="O9" s="176">
        <v>0</v>
      </c>
      <c r="P9" s="176">
        <v>-20549.270550747369</v>
      </c>
      <c r="Q9" s="176">
        <v>1806.8820000000001</v>
      </c>
      <c r="R9" s="177">
        <v>-22356.152550747371</v>
      </c>
    </row>
    <row r="10" spans="2:18" ht="21.75" customHeight="1" x14ac:dyDescent="0.3">
      <c r="B10" s="137" t="s">
        <v>103</v>
      </c>
      <c r="C10" s="175">
        <v>398941.74563450011</v>
      </c>
      <c r="D10" s="175">
        <v>408018.17641374038</v>
      </c>
      <c r="E10" s="175">
        <v>-8977.3870206665724</v>
      </c>
      <c r="F10" s="175">
        <v>-99.043758573871102</v>
      </c>
      <c r="G10" s="175">
        <v>13332.822</v>
      </c>
      <c r="H10" s="175">
        <v>11087.15</v>
      </c>
      <c r="I10" s="175">
        <v>8161.0320000000002</v>
      </c>
      <c r="J10" s="175">
        <v>10406.704</v>
      </c>
      <c r="K10" s="176">
        <v>0</v>
      </c>
      <c r="L10" s="176">
        <v>0</v>
      </c>
      <c r="M10" s="176">
        <v>0</v>
      </c>
      <c r="N10" s="176">
        <v>5100.12</v>
      </c>
      <c r="O10" s="176">
        <v>0</v>
      </c>
      <c r="P10" s="176">
        <v>5207.5402414261252</v>
      </c>
      <c r="Q10" s="176">
        <v>0</v>
      </c>
      <c r="R10" s="177">
        <v>5207.5402414261252</v>
      </c>
    </row>
    <row r="11" spans="2:18" ht="21.75" customHeight="1" x14ac:dyDescent="0.3">
      <c r="B11" s="137" t="s">
        <v>104</v>
      </c>
      <c r="C11" s="175">
        <v>1592770.198614557</v>
      </c>
      <c r="D11" s="175">
        <v>1517857.014983678</v>
      </c>
      <c r="E11" s="175">
        <v>90103.488242301362</v>
      </c>
      <c r="F11" s="175">
        <v>-15190.30461142274</v>
      </c>
      <c r="G11" s="175">
        <v>501325.40549442999</v>
      </c>
      <c r="H11" s="175">
        <v>464442.55720840569</v>
      </c>
      <c r="I11" s="175">
        <v>20488.98637053413</v>
      </c>
      <c r="J11" s="175">
        <v>57371.834656558392</v>
      </c>
      <c r="K11" s="176">
        <v>0</v>
      </c>
      <c r="L11" s="176">
        <v>146827.75349999999</v>
      </c>
      <c r="M11" s="176">
        <v>0</v>
      </c>
      <c r="N11" s="176">
        <v>60543.563413044001</v>
      </c>
      <c r="O11" s="176">
        <v>0</v>
      </c>
      <c r="P11" s="176">
        <v>128465.72013209161</v>
      </c>
      <c r="Q11" s="176">
        <v>38539.715798543621</v>
      </c>
      <c r="R11" s="177">
        <v>89926.004333548044</v>
      </c>
    </row>
    <row r="12" spans="2:18" ht="21.75" customHeight="1" x14ac:dyDescent="0.3">
      <c r="B12" s="137" t="s">
        <v>60</v>
      </c>
      <c r="C12" s="175">
        <v>59706.503304920217</v>
      </c>
      <c r="D12" s="175">
        <v>54129.933758151848</v>
      </c>
      <c r="E12" s="175">
        <v>4750.5172260764202</v>
      </c>
      <c r="F12" s="175">
        <v>826.05232069195438</v>
      </c>
      <c r="G12" s="175">
        <v>4813.3980000000001</v>
      </c>
      <c r="H12" s="175">
        <v>35647.353563919001</v>
      </c>
      <c r="I12" s="175">
        <v>0</v>
      </c>
      <c r="J12" s="175">
        <v>-30833.955563919</v>
      </c>
      <c r="K12" s="176">
        <v>0</v>
      </c>
      <c r="L12" s="176">
        <v>0</v>
      </c>
      <c r="M12" s="176">
        <v>0</v>
      </c>
      <c r="N12" s="176">
        <v>190.07583</v>
      </c>
      <c r="O12" s="176">
        <v>0</v>
      </c>
      <c r="P12" s="176">
        <v>-30197.979073227041</v>
      </c>
      <c r="Q12" s="176">
        <v>0</v>
      </c>
      <c r="R12" s="177">
        <v>-30197.979073227041</v>
      </c>
    </row>
    <row r="13" spans="2:18" ht="21.75" customHeight="1" x14ac:dyDescent="0.3">
      <c r="B13" s="137" t="s">
        <v>105</v>
      </c>
      <c r="C13" s="175">
        <v>448608.62886976212</v>
      </c>
      <c r="D13" s="175">
        <v>366370.21612569707</v>
      </c>
      <c r="E13" s="175">
        <v>-75098.176077356606</v>
      </c>
      <c r="F13" s="175">
        <v>157336.58882142161</v>
      </c>
      <c r="G13" s="175">
        <v>767664.7397796656</v>
      </c>
      <c r="H13" s="175">
        <v>474933.82749234309</v>
      </c>
      <c r="I13" s="175">
        <v>15980.040854476239</v>
      </c>
      <c r="J13" s="175">
        <v>308710.95314179867</v>
      </c>
      <c r="K13" s="176">
        <v>0</v>
      </c>
      <c r="L13" s="176">
        <v>47172.97638739807</v>
      </c>
      <c r="M13" s="176">
        <v>0</v>
      </c>
      <c r="N13" s="176">
        <v>70550.568336501601</v>
      </c>
      <c r="O13" s="176">
        <v>0</v>
      </c>
      <c r="P13" s="176">
        <v>442669.95001411682</v>
      </c>
      <c r="Q13" s="176">
        <v>132800.985004235</v>
      </c>
      <c r="R13" s="177">
        <v>309868.96500988182</v>
      </c>
    </row>
    <row r="14" spans="2:18" ht="21.75" customHeight="1" x14ac:dyDescent="0.3">
      <c r="B14" s="137" t="s">
        <v>106</v>
      </c>
      <c r="C14" s="175">
        <v>22123.436000000002</v>
      </c>
      <c r="D14" s="175">
        <v>9977.4012053398474</v>
      </c>
      <c r="E14" s="175">
        <v>-6663.9139999999998</v>
      </c>
      <c r="F14" s="175">
        <v>18809.948794660151</v>
      </c>
      <c r="G14" s="175">
        <v>1615731.899</v>
      </c>
      <c r="H14" s="175">
        <v>0</v>
      </c>
      <c r="I14" s="175">
        <v>0</v>
      </c>
      <c r="J14" s="175">
        <v>1615731.899</v>
      </c>
      <c r="K14" s="176">
        <v>0</v>
      </c>
      <c r="L14" s="176">
        <v>331877.66899999999</v>
      </c>
      <c r="M14" s="176">
        <v>0</v>
      </c>
      <c r="N14" s="176">
        <v>67946.850999999995</v>
      </c>
      <c r="O14" s="176">
        <v>0</v>
      </c>
      <c r="P14" s="176">
        <v>1898472.6657946601</v>
      </c>
      <c r="Q14" s="176">
        <v>5248.1989999999996</v>
      </c>
      <c r="R14" s="177">
        <v>1893224.4667946601</v>
      </c>
    </row>
    <row r="15" spans="2:18" ht="21.75" customHeight="1" x14ac:dyDescent="0.3">
      <c r="B15" s="137" t="s">
        <v>107</v>
      </c>
      <c r="C15" s="175">
        <v>310433.82500000001</v>
      </c>
      <c r="D15" s="175">
        <v>147421.10699999999</v>
      </c>
      <c r="E15" s="175">
        <v>5642.7839999999997</v>
      </c>
      <c r="F15" s="175">
        <v>157369.93400000001</v>
      </c>
      <c r="G15" s="175">
        <v>6146.8950000000004</v>
      </c>
      <c r="H15" s="175">
        <v>0</v>
      </c>
      <c r="I15" s="175">
        <v>0</v>
      </c>
      <c r="J15" s="175">
        <v>6146.8950000000004</v>
      </c>
      <c r="K15" s="176">
        <v>0</v>
      </c>
      <c r="L15" s="176">
        <v>0</v>
      </c>
      <c r="M15" s="176">
        <v>0</v>
      </c>
      <c r="N15" s="176">
        <v>29267.578000000001</v>
      </c>
      <c r="O15" s="176">
        <v>0</v>
      </c>
      <c r="P15" s="176">
        <v>134249.25099999999</v>
      </c>
      <c r="Q15" s="176">
        <v>0</v>
      </c>
      <c r="R15" s="177">
        <v>134249.25099999999</v>
      </c>
    </row>
    <row r="16" spans="2:18" ht="21.75" customHeight="1" x14ac:dyDescent="0.3">
      <c r="B16" s="137" t="s">
        <v>108</v>
      </c>
      <c r="C16" s="175">
        <v>1389953.8778479609</v>
      </c>
      <c r="D16" s="175">
        <v>1179225.3179025969</v>
      </c>
      <c r="E16" s="175">
        <v>-96901.207846256002</v>
      </c>
      <c r="F16" s="175">
        <v>307629.76779162057</v>
      </c>
      <c r="G16" s="175">
        <v>7974626.6497689057</v>
      </c>
      <c r="H16" s="175">
        <v>7862984.6781032216</v>
      </c>
      <c r="I16" s="175">
        <v>0</v>
      </c>
      <c r="J16" s="175">
        <v>111641.971665684</v>
      </c>
      <c r="K16" s="176">
        <v>0</v>
      </c>
      <c r="L16" s="176">
        <v>63249.4974</v>
      </c>
      <c r="M16" s="176">
        <v>0</v>
      </c>
      <c r="N16" s="176">
        <v>275626.67</v>
      </c>
      <c r="O16" s="176">
        <v>0</v>
      </c>
      <c r="P16" s="176">
        <v>206894.56685730509</v>
      </c>
      <c r="Q16" s="176">
        <v>46564.349000000002</v>
      </c>
      <c r="R16" s="177">
        <v>160330.21785730499</v>
      </c>
    </row>
    <row r="17" spans="2:18" ht="21.75" customHeight="1" x14ac:dyDescent="0.3">
      <c r="B17" s="137" t="s">
        <v>109</v>
      </c>
      <c r="C17" s="175">
        <v>1097635.6271195849</v>
      </c>
      <c r="D17" s="175">
        <v>999433.19309126807</v>
      </c>
      <c r="E17" s="175">
        <v>177540.6133511166</v>
      </c>
      <c r="F17" s="175">
        <v>-79338.17932279926</v>
      </c>
      <c r="G17" s="175">
        <v>6223309.2884280356</v>
      </c>
      <c r="H17" s="175">
        <v>5534370.5412233286</v>
      </c>
      <c r="I17" s="175">
        <v>0</v>
      </c>
      <c r="J17" s="175">
        <v>688938.74720470747</v>
      </c>
      <c r="K17" s="176">
        <v>0</v>
      </c>
      <c r="L17" s="176">
        <v>0</v>
      </c>
      <c r="M17" s="176">
        <v>0</v>
      </c>
      <c r="N17" s="176">
        <v>259888.09128945501</v>
      </c>
      <c r="O17" s="176">
        <v>15332.818746957009</v>
      </c>
      <c r="P17" s="176">
        <v>365045.29533941031</v>
      </c>
      <c r="Q17" s="176">
        <v>86090.687509903204</v>
      </c>
      <c r="R17" s="177">
        <v>278954.60782950697</v>
      </c>
    </row>
    <row r="18" spans="2:18" ht="21.75" customHeight="1" x14ac:dyDescent="0.3">
      <c r="B18" s="137" t="s">
        <v>110</v>
      </c>
      <c r="C18" s="175">
        <v>415802.16193632799</v>
      </c>
      <c r="D18" s="175">
        <v>603445.93799999997</v>
      </c>
      <c r="E18" s="175">
        <v>31260.999504550731</v>
      </c>
      <c r="F18" s="175">
        <v>-218904.77556822271</v>
      </c>
      <c r="G18" s="175">
        <v>3217197.883301904</v>
      </c>
      <c r="H18" s="175">
        <v>2507081.7239858708</v>
      </c>
      <c r="I18" s="175">
        <v>0</v>
      </c>
      <c r="J18" s="175">
        <v>710116.15931603278</v>
      </c>
      <c r="K18" s="176">
        <v>0</v>
      </c>
      <c r="L18" s="176">
        <v>0</v>
      </c>
      <c r="M18" s="176">
        <v>0</v>
      </c>
      <c r="N18" s="176">
        <v>0</v>
      </c>
      <c r="O18" s="176">
        <v>0</v>
      </c>
      <c r="P18" s="176">
        <v>491211.38374781009</v>
      </c>
      <c r="Q18" s="176">
        <v>0</v>
      </c>
      <c r="R18" s="177">
        <v>491211.38374781009</v>
      </c>
    </row>
    <row r="19" spans="2:18" ht="21.75" customHeight="1" x14ac:dyDescent="0.3">
      <c r="B19" s="137" t="s">
        <v>111</v>
      </c>
      <c r="C19" s="175">
        <v>284073.12505840592</v>
      </c>
      <c r="D19" s="175">
        <v>239670.9873907057</v>
      </c>
      <c r="E19" s="175">
        <v>12574.95527620653</v>
      </c>
      <c r="F19" s="175">
        <v>31827.18239149365</v>
      </c>
      <c r="G19" s="175">
        <v>125649.943199</v>
      </c>
      <c r="H19" s="175">
        <v>95407.325783914741</v>
      </c>
      <c r="I19" s="175">
        <v>91.533722247426596</v>
      </c>
      <c r="J19" s="175">
        <v>30334.151137332679</v>
      </c>
      <c r="K19" s="176">
        <v>0</v>
      </c>
      <c r="L19" s="176">
        <v>8074.6326509999999</v>
      </c>
      <c r="M19" s="176">
        <v>0</v>
      </c>
      <c r="N19" s="176">
        <v>8770.1103053200004</v>
      </c>
      <c r="O19" s="176">
        <v>0</v>
      </c>
      <c r="P19" s="176">
        <v>61465.855874506327</v>
      </c>
      <c r="Q19" s="176">
        <v>18306.665767021899</v>
      </c>
      <c r="R19" s="177">
        <v>43159.190107484421</v>
      </c>
    </row>
    <row r="20" spans="2:18" ht="21.75" customHeight="1" x14ac:dyDescent="0.3">
      <c r="B20" s="137" t="s">
        <v>112</v>
      </c>
      <c r="C20" s="175">
        <v>565762.37002104241</v>
      </c>
      <c r="D20" s="175">
        <v>573226.91200000001</v>
      </c>
      <c r="E20" s="175">
        <v>0</v>
      </c>
      <c r="F20" s="175">
        <v>-7464.5419789574971</v>
      </c>
      <c r="G20" s="175">
        <v>0</v>
      </c>
      <c r="H20" s="175">
        <v>6138.3180000000002</v>
      </c>
      <c r="I20" s="175">
        <v>0</v>
      </c>
      <c r="J20" s="175">
        <v>-6138.3180000000002</v>
      </c>
      <c r="K20" s="176">
        <v>0</v>
      </c>
      <c r="L20" s="176">
        <v>298.09100000000001</v>
      </c>
      <c r="M20" s="176">
        <v>0</v>
      </c>
      <c r="N20" s="176">
        <v>0</v>
      </c>
      <c r="O20" s="176">
        <v>0</v>
      </c>
      <c r="P20" s="176">
        <v>-13304.7689789575</v>
      </c>
      <c r="Q20" s="176">
        <v>0</v>
      </c>
      <c r="R20" s="177">
        <v>-13304.7689789575</v>
      </c>
    </row>
    <row r="21" spans="2:18" ht="21.75" customHeight="1" x14ac:dyDescent="0.3">
      <c r="B21" s="137" t="s">
        <v>113</v>
      </c>
      <c r="C21" s="175">
        <v>755979.16000512219</v>
      </c>
      <c r="D21" s="175">
        <v>696601.17857691529</v>
      </c>
      <c r="E21" s="175">
        <v>47102.222440864287</v>
      </c>
      <c r="F21" s="175">
        <v>12275.7589873426</v>
      </c>
      <c r="G21" s="175">
        <v>782515.56799999997</v>
      </c>
      <c r="H21" s="175">
        <v>644733.37203193025</v>
      </c>
      <c r="I21" s="175">
        <v>4114.4881413818102</v>
      </c>
      <c r="J21" s="175">
        <v>141896.68410945169</v>
      </c>
      <c r="K21" s="176">
        <v>185823.42413</v>
      </c>
      <c r="L21" s="176">
        <v>0</v>
      </c>
      <c r="M21" s="176">
        <v>1412.586</v>
      </c>
      <c r="N21" s="176">
        <v>224663.45138300001</v>
      </c>
      <c r="O21" s="176">
        <v>-28802.781999999999</v>
      </c>
      <c r="P21" s="176">
        <v>85117.047843794251</v>
      </c>
      <c r="Q21" s="176">
        <v>39914.977073299997</v>
      </c>
      <c r="R21" s="177">
        <v>45202.07077049424</v>
      </c>
    </row>
    <row r="22" spans="2:18" ht="21.75" customHeight="1" x14ac:dyDescent="0.3">
      <c r="B22" s="137" t="s">
        <v>74</v>
      </c>
      <c r="C22" s="175">
        <v>648246.79700000002</v>
      </c>
      <c r="D22" s="175">
        <v>912734.21400000004</v>
      </c>
      <c r="E22" s="175">
        <v>77841.217000000004</v>
      </c>
      <c r="F22" s="175">
        <v>-342328.63400000002</v>
      </c>
      <c r="G22" s="175">
        <v>223277.89499999999</v>
      </c>
      <c r="H22" s="175">
        <v>983005.96699999995</v>
      </c>
      <c r="I22" s="175">
        <v>7112.5879999999997</v>
      </c>
      <c r="J22" s="175">
        <v>-752615.48400000005</v>
      </c>
      <c r="K22" s="176">
        <v>0</v>
      </c>
      <c r="L22" s="176">
        <v>0</v>
      </c>
      <c r="M22" s="176">
        <v>0</v>
      </c>
      <c r="N22" s="176">
        <v>92017.881999999998</v>
      </c>
      <c r="O22" s="176">
        <v>0</v>
      </c>
      <c r="P22" s="176">
        <v>-1186962</v>
      </c>
      <c r="Q22" s="176">
        <v>-356089</v>
      </c>
      <c r="R22" s="177">
        <v>-830873</v>
      </c>
    </row>
    <row r="23" spans="2:18" ht="21.75" customHeight="1" x14ac:dyDescent="0.3">
      <c r="B23" s="137" t="s">
        <v>114</v>
      </c>
      <c r="C23" s="175">
        <v>177270.95641684899</v>
      </c>
      <c r="D23" s="175">
        <v>76558.456000000006</v>
      </c>
      <c r="E23" s="175">
        <v>13295.106</v>
      </c>
      <c r="F23" s="175">
        <v>87417.394416848998</v>
      </c>
      <c r="G23" s="175">
        <v>713484.23765217967</v>
      </c>
      <c r="H23" s="175">
        <v>525914.19003124</v>
      </c>
      <c r="I23" s="175">
        <v>0</v>
      </c>
      <c r="J23" s="175">
        <v>187570.04762093959</v>
      </c>
      <c r="K23" s="176">
        <v>0</v>
      </c>
      <c r="L23" s="176">
        <v>11536.942326328101</v>
      </c>
      <c r="M23" s="176">
        <v>0</v>
      </c>
      <c r="N23" s="176">
        <v>3948.4599949305812</v>
      </c>
      <c r="O23" s="176">
        <v>0</v>
      </c>
      <c r="P23" s="176">
        <v>282575.92436918622</v>
      </c>
      <c r="Q23" s="176">
        <v>1600.16695</v>
      </c>
      <c r="R23" s="177">
        <v>280975.75741918618</v>
      </c>
    </row>
    <row r="24" spans="2:18" ht="21.75" customHeight="1" x14ac:dyDescent="0.3">
      <c r="B24" s="178" t="s">
        <v>115</v>
      </c>
      <c r="C24" s="175">
        <v>972842.55606489314</v>
      </c>
      <c r="D24" s="175">
        <v>982728.56499999994</v>
      </c>
      <c r="E24" s="175">
        <v>62470.387999999999</v>
      </c>
      <c r="F24" s="175">
        <v>-72356.396935106939</v>
      </c>
      <c r="G24" s="175">
        <v>990417.36754241853</v>
      </c>
      <c r="H24" s="175">
        <v>857959.26755865593</v>
      </c>
      <c r="I24" s="175">
        <v>0</v>
      </c>
      <c r="J24" s="175">
        <v>132458.0999837624</v>
      </c>
      <c r="K24" s="176">
        <v>0</v>
      </c>
      <c r="L24" s="176">
        <v>7262.3977400517169</v>
      </c>
      <c r="M24" s="176">
        <v>0</v>
      </c>
      <c r="N24" s="176">
        <v>20710.788016554099</v>
      </c>
      <c r="O24" s="176">
        <v>0</v>
      </c>
      <c r="P24" s="176">
        <v>46653.312772153069</v>
      </c>
      <c r="Q24" s="176">
        <v>16937.398000000001</v>
      </c>
      <c r="R24" s="177">
        <v>29715.914772153072</v>
      </c>
    </row>
    <row r="25" spans="2:18" ht="21.75" customHeight="1" x14ac:dyDescent="0.3">
      <c r="B25" s="137" t="s">
        <v>116</v>
      </c>
      <c r="C25" s="175">
        <v>416476.9439186136</v>
      </c>
      <c r="D25" s="175">
        <v>604227.09245546476</v>
      </c>
      <c r="E25" s="175">
        <v>-88485.324789145976</v>
      </c>
      <c r="F25" s="175">
        <v>-99264.823747705072</v>
      </c>
      <c r="G25" s="175">
        <v>308138.75199999998</v>
      </c>
      <c r="H25" s="175">
        <v>177427.80232810951</v>
      </c>
      <c r="I25" s="175">
        <v>6680.5579586195527</v>
      </c>
      <c r="J25" s="175">
        <v>137391.50763050999</v>
      </c>
      <c r="K25" s="176">
        <v>0</v>
      </c>
      <c r="L25" s="176">
        <v>0</v>
      </c>
      <c r="M25" s="176">
        <v>0</v>
      </c>
      <c r="N25" s="176">
        <v>0</v>
      </c>
      <c r="O25" s="176">
        <v>0</v>
      </c>
      <c r="P25" s="176">
        <v>38126.683882804937</v>
      </c>
      <c r="Q25" s="176">
        <v>0</v>
      </c>
      <c r="R25" s="177">
        <v>38126.683882804937</v>
      </c>
    </row>
    <row r="26" spans="2:18" ht="21.75" customHeight="1" x14ac:dyDescent="0.3">
      <c r="B26" s="137" t="s">
        <v>117</v>
      </c>
      <c r="C26" s="175">
        <v>511976.65568055771</v>
      </c>
      <c r="D26" s="175">
        <v>500746.44132865308</v>
      </c>
      <c r="E26" s="175">
        <v>65177.634492268196</v>
      </c>
      <c r="F26" s="175">
        <v>-53947.420140363633</v>
      </c>
      <c r="G26" s="175">
        <v>181370.03099999999</v>
      </c>
      <c r="H26" s="175">
        <v>124737.639897161</v>
      </c>
      <c r="I26" s="175">
        <v>0</v>
      </c>
      <c r="J26" s="175">
        <v>56632.391102839021</v>
      </c>
      <c r="K26" s="176">
        <v>0</v>
      </c>
      <c r="L26" s="176">
        <v>3765.6959999999999</v>
      </c>
      <c r="M26" s="176">
        <v>0</v>
      </c>
      <c r="N26" s="176">
        <v>32908.269999999997</v>
      </c>
      <c r="O26" s="176">
        <v>0</v>
      </c>
      <c r="P26" s="176">
        <v>-26457.603037524608</v>
      </c>
      <c r="Q26" s="176">
        <v>10147.433999999999</v>
      </c>
      <c r="R26" s="177">
        <v>-36605.037037524613</v>
      </c>
    </row>
    <row r="27" spans="2:18" ht="21.75" customHeight="1" x14ac:dyDescent="0.3">
      <c r="B27" s="137" t="s">
        <v>118</v>
      </c>
      <c r="C27" s="175">
        <v>1113051.504914426</v>
      </c>
      <c r="D27" s="175">
        <v>889094.3688933762</v>
      </c>
      <c r="E27" s="175">
        <v>76356.067910000012</v>
      </c>
      <c r="F27" s="175">
        <v>147601.06811105041</v>
      </c>
      <c r="G27" s="175">
        <v>2389480.13277</v>
      </c>
      <c r="H27" s="175">
        <v>2198103.81764</v>
      </c>
      <c r="I27" s="175">
        <v>-724.20402999999897</v>
      </c>
      <c r="J27" s="175">
        <v>190652.11109999981</v>
      </c>
      <c r="K27" s="176">
        <v>0</v>
      </c>
      <c r="L27" s="176">
        <v>46250.072549999997</v>
      </c>
      <c r="M27" s="176">
        <v>0</v>
      </c>
      <c r="N27" s="176">
        <v>0</v>
      </c>
      <c r="O27" s="176">
        <v>0</v>
      </c>
      <c r="P27" s="176">
        <v>384503.2517610502</v>
      </c>
      <c r="Q27" s="176">
        <v>122461.20948872549</v>
      </c>
      <c r="R27" s="177">
        <v>262042.0422723247</v>
      </c>
    </row>
    <row r="28" spans="2:18" ht="21.75" customHeight="1" x14ac:dyDescent="0.3">
      <c r="B28" s="137" t="s">
        <v>119</v>
      </c>
      <c r="C28" s="175">
        <v>81995.477530000004</v>
      </c>
      <c r="D28" s="175">
        <v>53747.825861972997</v>
      </c>
      <c r="E28" s="175">
        <v>171.28395795002831</v>
      </c>
      <c r="F28" s="175">
        <v>28076.367710076971</v>
      </c>
      <c r="G28" s="175">
        <v>0</v>
      </c>
      <c r="H28" s="175">
        <v>918.53825049474892</v>
      </c>
      <c r="I28" s="175">
        <v>4.0614011493453486</v>
      </c>
      <c r="J28" s="175">
        <v>-914.47684934540359</v>
      </c>
      <c r="K28" s="176">
        <v>0</v>
      </c>
      <c r="L28" s="176">
        <v>824.29802009999992</v>
      </c>
      <c r="M28" s="176">
        <v>0</v>
      </c>
      <c r="N28" s="176">
        <v>0</v>
      </c>
      <c r="O28" s="176">
        <v>0</v>
      </c>
      <c r="P28" s="176">
        <v>27986.188880831571</v>
      </c>
      <c r="Q28" s="176">
        <v>0</v>
      </c>
      <c r="R28" s="177">
        <v>27986.188880831571</v>
      </c>
    </row>
    <row r="29" spans="2:18" ht="21.75" customHeight="1" x14ac:dyDescent="0.3">
      <c r="B29" s="137" t="s">
        <v>120</v>
      </c>
      <c r="C29" s="175">
        <v>64323.309500000003</v>
      </c>
      <c r="D29" s="175">
        <v>81315.128207200003</v>
      </c>
      <c r="E29" s="175">
        <v>12322.014209999999</v>
      </c>
      <c r="F29" s="175">
        <v>-29313.832917200001</v>
      </c>
      <c r="G29" s="175">
        <v>36243.137999999999</v>
      </c>
      <c r="H29" s="175">
        <v>25208.285</v>
      </c>
      <c r="I29" s="175">
        <v>-14476.242</v>
      </c>
      <c r="J29" s="175">
        <v>-3441.3890000000201</v>
      </c>
      <c r="K29" s="176">
        <v>0</v>
      </c>
      <c r="L29" s="176">
        <v>0</v>
      </c>
      <c r="M29" s="176">
        <v>0</v>
      </c>
      <c r="N29" s="176">
        <v>19438.133999999998</v>
      </c>
      <c r="O29" s="176">
        <v>0</v>
      </c>
      <c r="P29" s="176">
        <v>-52193.355917200097</v>
      </c>
      <c r="Q29" s="176">
        <v>0</v>
      </c>
      <c r="R29" s="177">
        <v>-52193.355917200097</v>
      </c>
    </row>
    <row r="30" spans="2:18" ht="21.75" customHeight="1" x14ac:dyDescent="0.3">
      <c r="B30" s="137" t="s">
        <v>121</v>
      </c>
      <c r="C30" s="175">
        <v>0</v>
      </c>
      <c r="D30" s="175">
        <v>0</v>
      </c>
      <c r="E30" s="175">
        <v>0</v>
      </c>
      <c r="F30" s="175">
        <v>0</v>
      </c>
      <c r="G30" s="175">
        <v>0</v>
      </c>
      <c r="H30" s="175">
        <v>0</v>
      </c>
      <c r="I30" s="175">
        <v>0</v>
      </c>
      <c r="J30" s="175">
        <v>0</v>
      </c>
      <c r="K30" s="176">
        <v>0</v>
      </c>
      <c r="L30" s="176">
        <v>0</v>
      </c>
      <c r="M30" s="176">
        <v>0</v>
      </c>
      <c r="N30" s="176">
        <v>0</v>
      </c>
      <c r="O30" s="176">
        <v>0</v>
      </c>
      <c r="P30" s="176">
        <v>0</v>
      </c>
      <c r="Q30" s="176">
        <v>0</v>
      </c>
      <c r="R30" s="177">
        <v>0</v>
      </c>
    </row>
    <row r="31" spans="2:18" s="36" customFormat="1" ht="21.75" customHeight="1" x14ac:dyDescent="0.3">
      <c r="B31" s="136" t="s">
        <v>90</v>
      </c>
      <c r="C31" s="179">
        <f t="shared" ref="C31:R31" si="0">SUM(C6:C30)</f>
        <v>18361441.960552212</v>
      </c>
      <c r="D31" s="179">
        <f t="shared" si="0"/>
        <v>16131998.133180872</v>
      </c>
      <c r="E31" s="179">
        <f t="shared" si="0"/>
        <v>1203450.6995284173</v>
      </c>
      <c r="F31" s="179">
        <f t="shared" si="0"/>
        <v>1025993.12784292</v>
      </c>
      <c r="G31" s="179">
        <f t="shared" si="0"/>
        <v>36975972.775451116</v>
      </c>
      <c r="H31" s="179">
        <f t="shared" si="0"/>
        <v>34156545.232119769</v>
      </c>
      <c r="I31" s="179">
        <f t="shared" si="0"/>
        <v>107049.09818818103</v>
      </c>
      <c r="J31" s="179">
        <f t="shared" si="0"/>
        <v>2926476.6415195386</v>
      </c>
      <c r="K31" s="179">
        <f t="shared" si="0"/>
        <v>185823.42413</v>
      </c>
      <c r="L31" s="179">
        <f t="shared" si="0"/>
        <v>655804.555574878</v>
      </c>
      <c r="M31" s="179">
        <f t="shared" si="0"/>
        <v>19272.374</v>
      </c>
      <c r="N31" s="179">
        <f t="shared" si="0"/>
        <v>1371916.3392075766</v>
      </c>
      <c r="O31" s="179">
        <f t="shared" si="0"/>
        <v>136457.81474695698</v>
      </c>
      <c r="P31" s="179">
        <f t="shared" si="0"/>
        <v>3539366.8506067181</v>
      </c>
      <c r="Q31" s="179">
        <f t="shared" si="0"/>
        <v>411815.23425263073</v>
      </c>
      <c r="R31" s="179">
        <f t="shared" si="0"/>
        <v>3127551.6163540878</v>
      </c>
    </row>
    <row r="32" spans="2:18" s="36" customFormat="1" ht="21.75" customHeight="1" x14ac:dyDescent="0.35">
      <c r="B32" s="256" t="s">
        <v>91</v>
      </c>
      <c r="C32" s="252"/>
      <c r="D32" s="252"/>
      <c r="E32" s="252"/>
      <c r="F32" s="252"/>
      <c r="G32" s="252"/>
      <c r="H32" s="252"/>
      <c r="I32" s="252"/>
      <c r="J32" s="252"/>
      <c r="K32" s="252"/>
      <c r="L32" s="252"/>
      <c r="M32" s="252"/>
      <c r="N32" s="252"/>
      <c r="O32" s="252"/>
      <c r="P32" s="252"/>
      <c r="Q32" s="252"/>
      <c r="R32" s="253"/>
    </row>
    <row r="33" spans="2:18" s="35" customFormat="1" ht="21.75" customHeight="1" x14ac:dyDescent="0.3">
      <c r="B33" s="137" t="s">
        <v>92</v>
      </c>
      <c r="C33" s="175">
        <v>22961.78</v>
      </c>
      <c r="D33" s="175">
        <v>24268.421586271452</v>
      </c>
      <c r="E33" s="175">
        <v>31.048999999999999</v>
      </c>
      <c r="F33" s="175">
        <v>-1337.69058627145</v>
      </c>
      <c r="G33" s="175">
        <v>16974.277999999998</v>
      </c>
      <c r="H33" s="175">
        <v>1324.463</v>
      </c>
      <c r="I33" s="175">
        <v>74</v>
      </c>
      <c r="J33" s="175">
        <v>15723.815000000001</v>
      </c>
      <c r="K33" s="175">
        <v>0</v>
      </c>
      <c r="L33" s="175">
        <v>0</v>
      </c>
      <c r="M33" s="175">
        <v>43.997999999999998</v>
      </c>
      <c r="N33" s="175">
        <v>677</v>
      </c>
      <c r="O33" s="175">
        <v>0</v>
      </c>
      <c r="P33" s="175">
        <v>13753.05241372855</v>
      </c>
      <c r="Q33" s="175">
        <v>-4125.9160000000002</v>
      </c>
      <c r="R33" s="180">
        <v>9627.1364137285509</v>
      </c>
    </row>
    <row r="34" spans="2:18" s="35" customFormat="1" ht="21.75" customHeight="1" x14ac:dyDescent="0.3">
      <c r="B34" s="137" t="s">
        <v>93</v>
      </c>
      <c r="C34" s="175">
        <v>361178.94578523329</v>
      </c>
      <c r="D34" s="175">
        <v>252517.47020982439</v>
      </c>
      <c r="E34" s="175">
        <v>51013.290063430592</v>
      </c>
      <c r="F34" s="175">
        <v>57648.185511978263</v>
      </c>
      <c r="G34" s="175">
        <v>65895.279569999999</v>
      </c>
      <c r="H34" s="175">
        <v>7098.4549812769646</v>
      </c>
      <c r="I34" s="175">
        <v>1468.167361816576</v>
      </c>
      <c r="J34" s="175">
        <v>60264.991950539603</v>
      </c>
      <c r="K34" s="175">
        <v>0</v>
      </c>
      <c r="L34" s="175">
        <v>0</v>
      </c>
      <c r="M34" s="175">
        <v>0</v>
      </c>
      <c r="N34" s="175">
        <v>4741</v>
      </c>
      <c r="O34" s="175">
        <v>0</v>
      </c>
      <c r="P34" s="175">
        <v>113171.7025705179</v>
      </c>
      <c r="Q34" s="175">
        <v>-33951.511032881303</v>
      </c>
      <c r="R34" s="180">
        <v>79220.191537636565</v>
      </c>
    </row>
    <row r="35" spans="2:18" s="35" customFormat="1" ht="21.75" customHeight="1" x14ac:dyDescent="0.3">
      <c r="B35" s="137" t="s">
        <v>95</v>
      </c>
      <c r="C35" s="175">
        <v>688924.37963701028</v>
      </c>
      <c r="D35" s="175">
        <v>840979.29542512621</v>
      </c>
      <c r="E35" s="175">
        <v>8998.136818799132</v>
      </c>
      <c r="F35" s="175">
        <v>-161053.05260691509</v>
      </c>
      <c r="G35" s="175">
        <v>205888.07</v>
      </c>
      <c r="H35" s="175">
        <v>94599.292573158978</v>
      </c>
      <c r="I35" s="175">
        <v>952.43523544615505</v>
      </c>
      <c r="J35" s="175">
        <v>112241.2126622872</v>
      </c>
      <c r="K35" s="175">
        <v>0</v>
      </c>
      <c r="L35" s="175">
        <v>0</v>
      </c>
      <c r="M35" s="175">
        <v>0</v>
      </c>
      <c r="N35" s="175">
        <v>131088</v>
      </c>
      <c r="O35" s="175">
        <v>0</v>
      </c>
      <c r="P35" s="175">
        <v>-179900.01994462789</v>
      </c>
      <c r="Q35" s="175">
        <v>53970.005983388357</v>
      </c>
      <c r="R35" s="180">
        <v>-125930.0139612395</v>
      </c>
    </row>
    <row r="36" spans="2:18" s="36" customFormat="1" ht="21.75" customHeight="1" x14ac:dyDescent="0.3">
      <c r="B36" s="136" t="s">
        <v>90</v>
      </c>
      <c r="C36" s="179">
        <f t="shared" ref="C36:R36" si="1">SUM(C33:C35)</f>
        <v>1073065.1054222435</v>
      </c>
      <c r="D36" s="179">
        <f t="shared" si="1"/>
        <v>1117765.1872212221</v>
      </c>
      <c r="E36" s="179">
        <f t="shared" si="1"/>
        <v>60042.475882229723</v>
      </c>
      <c r="F36" s="179">
        <f t="shared" si="1"/>
        <v>-104742.55768120827</v>
      </c>
      <c r="G36" s="179">
        <f t="shared" si="1"/>
        <v>288757.62757000001</v>
      </c>
      <c r="H36" s="179">
        <f t="shared" si="1"/>
        <v>103022.21055443594</v>
      </c>
      <c r="I36" s="179">
        <f t="shared" si="1"/>
        <v>2494.6025972627313</v>
      </c>
      <c r="J36" s="179">
        <f t="shared" si="1"/>
        <v>188230.01961282681</v>
      </c>
      <c r="K36" s="179">
        <f t="shared" si="1"/>
        <v>0</v>
      </c>
      <c r="L36" s="179">
        <f t="shared" si="1"/>
        <v>0</v>
      </c>
      <c r="M36" s="179">
        <f t="shared" si="1"/>
        <v>43.997999999999998</v>
      </c>
      <c r="N36" s="179">
        <f t="shared" si="1"/>
        <v>136506</v>
      </c>
      <c r="O36" s="179">
        <f t="shared" si="1"/>
        <v>0</v>
      </c>
      <c r="P36" s="179">
        <f t="shared" si="1"/>
        <v>-52975.264960381435</v>
      </c>
      <c r="Q36" s="179">
        <f t="shared" si="1"/>
        <v>15892.578950507057</v>
      </c>
      <c r="R36" s="179">
        <f t="shared" si="1"/>
        <v>-37082.686009874378</v>
      </c>
    </row>
    <row r="37" spans="2:18" s="35" customFormat="1" ht="21.75" customHeight="1" x14ac:dyDescent="0.3">
      <c r="B37" s="136" t="s">
        <v>97</v>
      </c>
      <c r="C37" s="181">
        <f t="shared" ref="C37:R37" si="2">C36+C31</f>
        <v>19434507.065974455</v>
      </c>
      <c r="D37" s="181">
        <f t="shared" si="2"/>
        <v>17249763.320402093</v>
      </c>
      <c r="E37" s="181">
        <f t="shared" si="2"/>
        <v>1263493.1754106469</v>
      </c>
      <c r="F37" s="181">
        <f t="shared" si="2"/>
        <v>921250.57016171177</v>
      </c>
      <c r="G37" s="181">
        <f t="shared" si="2"/>
        <v>37264730.40302112</v>
      </c>
      <c r="H37" s="181">
        <f t="shared" si="2"/>
        <v>34259567.442674205</v>
      </c>
      <c r="I37" s="181">
        <f t="shared" si="2"/>
        <v>109543.70078544375</v>
      </c>
      <c r="J37" s="181">
        <f t="shared" si="2"/>
        <v>3114706.6611323655</v>
      </c>
      <c r="K37" s="181">
        <f t="shared" si="2"/>
        <v>185823.42413</v>
      </c>
      <c r="L37" s="181">
        <f t="shared" si="2"/>
        <v>655804.555574878</v>
      </c>
      <c r="M37" s="181">
        <f t="shared" si="2"/>
        <v>19316.371999999999</v>
      </c>
      <c r="N37" s="181">
        <f t="shared" si="2"/>
        <v>1508422.3392075766</v>
      </c>
      <c r="O37" s="181">
        <f t="shared" si="2"/>
        <v>136457.81474695698</v>
      </c>
      <c r="P37" s="181">
        <f t="shared" si="2"/>
        <v>3486391.5856463369</v>
      </c>
      <c r="Q37" s="181">
        <f t="shared" si="2"/>
        <v>427707.81320313778</v>
      </c>
      <c r="R37" s="181">
        <f t="shared" si="2"/>
        <v>3090468.9303442133</v>
      </c>
    </row>
    <row r="38" spans="2:18" ht="19.5" customHeight="1" x14ac:dyDescent="0.3">
      <c r="B38" s="258" t="s">
        <v>98</v>
      </c>
      <c r="C38" s="238"/>
      <c r="D38" s="238"/>
      <c r="E38" s="238"/>
      <c r="F38" s="238"/>
      <c r="G38" s="238"/>
      <c r="H38" s="238"/>
      <c r="I38" s="238"/>
      <c r="J38" s="238"/>
      <c r="K38" s="238"/>
      <c r="L38" s="238"/>
      <c r="M38" s="238"/>
      <c r="N38" s="238"/>
      <c r="O38" s="238"/>
      <c r="P38" s="238"/>
      <c r="Q38" s="238"/>
      <c r="R38" s="238"/>
    </row>
    <row r="39" spans="2:18" x14ac:dyDescent="0.3">
      <c r="I39" s="206"/>
    </row>
    <row r="40" spans="2:18" x14ac:dyDescent="0.3">
      <c r="I40" s="206"/>
    </row>
    <row r="41" spans="2:18" x14ac:dyDescent="0.3">
      <c r="I41" s="206"/>
    </row>
    <row r="42" spans="2:18" x14ac:dyDescent="0.3">
      <c r="I42" s="206"/>
    </row>
    <row r="43" spans="2:18" x14ac:dyDescent="0.3">
      <c r="I43" s="206"/>
    </row>
    <row r="44" spans="2:18" x14ac:dyDescent="0.3">
      <c r="I44" s="206"/>
    </row>
    <row r="45" spans="2:18" x14ac:dyDescent="0.3">
      <c r="I45" s="206"/>
    </row>
    <row r="46" spans="2:18" x14ac:dyDescent="0.3">
      <c r="I46" s="206"/>
    </row>
    <row r="47" spans="2:18" x14ac:dyDescent="0.3">
      <c r="I47" s="206"/>
    </row>
    <row r="48" spans="2:18" x14ac:dyDescent="0.3">
      <c r="I48" s="206"/>
    </row>
    <row r="49" spans="9:9" x14ac:dyDescent="0.3">
      <c r="I49" s="206"/>
    </row>
    <row r="50" spans="9:9" x14ac:dyDescent="0.3">
      <c r="I50" s="206"/>
    </row>
    <row r="51" spans="9:9" x14ac:dyDescent="0.3">
      <c r="I51" s="206"/>
    </row>
  </sheetData>
  <sheetProtection algorithmName="SHA-512" hashValue="iDAUW2BefFpBBbkvD7cUwQMp+puh3jZA0EHh1HdHok/3xi3A9mA6pGeHJdv4khSJDPR29ZmjOKXxdvablMq8aQ==" saltValue="EoFERYv/5mkCzDIFW16KPA==" spinCount="100000" sheet="1" objects="1" scenarios="1"/>
  <mergeCells count="4">
    <mergeCell ref="B5:R5"/>
    <mergeCell ref="B32:R32"/>
    <mergeCell ref="B38:R38"/>
    <mergeCell ref="B3:R3"/>
  </mergeCells>
  <pageMargins left="0.7" right="0.7" top="0.75" bottom="0.75" header="0.3" footer="0.3"/>
  <pageSetup paperSize="9" scale="37"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8">
    <tabColor rgb="FF92D050"/>
  </sheetPr>
  <dimension ref="B3:R13"/>
  <sheetViews>
    <sheetView zoomScale="57" zoomScaleNormal="70" workbookViewId="0">
      <pane xSplit="2" ySplit="5" topLeftCell="D8" activePane="bottomRight" state="frozen"/>
      <selection pane="topRight" activeCell="C1" sqref="C1"/>
      <selection pane="bottomLeft" activeCell="A6" sqref="A6"/>
      <selection pane="bottomRight" activeCell="B13" sqref="B13:R13"/>
    </sheetView>
  </sheetViews>
  <sheetFormatPr defaultRowHeight="14.5" x14ac:dyDescent="0.35"/>
  <cols>
    <col min="2" max="2" width="46.26953125" bestFit="1" customWidth="1"/>
    <col min="3" max="18" width="20.36328125" customWidth="1"/>
  </cols>
  <sheetData>
    <row r="3" spans="2:18" x14ac:dyDescent="0.35">
      <c r="B3" s="257" t="str">
        <f>_xlfn.CONCAT('Table of Contents'!B10,": ",'Table of Contents'!C10)</f>
        <v>APPENDIX 3: SUMMARY OF MICRO INSURANCE BUSINESS PROFIT &amp; LOSS ACCOUNTS  FOR THE PERIOD ENDED 31.03.2025</v>
      </c>
      <c r="C3" s="252"/>
      <c r="D3" s="252"/>
      <c r="E3" s="252"/>
      <c r="F3" s="252"/>
      <c r="G3" s="252"/>
      <c r="H3" s="252"/>
      <c r="I3" s="252"/>
      <c r="J3" s="252"/>
      <c r="K3" s="252"/>
      <c r="L3" s="252"/>
      <c r="M3" s="252"/>
      <c r="N3" s="252"/>
      <c r="O3" s="252"/>
      <c r="P3" s="252"/>
      <c r="Q3" s="252"/>
      <c r="R3" s="253"/>
    </row>
    <row r="4" spans="2:18" ht="84" customHeight="1" x14ac:dyDescent="0.35">
      <c r="B4" s="157" t="s">
        <v>36</v>
      </c>
      <c r="C4" s="158" t="s">
        <v>37</v>
      </c>
      <c r="D4" s="158" t="s">
        <v>38</v>
      </c>
      <c r="E4" s="158" t="s">
        <v>39</v>
      </c>
      <c r="F4" s="158" t="s">
        <v>40</v>
      </c>
      <c r="G4" s="159" t="s">
        <v>41</v>
      </c>
      <c r="H4" s="159" t="s">
        <v>42</v>
      </c>
      <c r="I4" s="159" t="s">
        <v>43</v>
      </c>
      <c r="J4" s="159" t="s">
        <v>44</v>
      </c>
      <c r="K4" s="156" t="s">
        <v>45</v>
      </c>
      <c r="L4" s="156" t="s">
        <v>46</v>
      </c>
      <c r="M4" s="156" t="s">
        <v>47</v>
      </c>
      <c r="N4" s="156" t="s">
        <v>48</v>
      </c>
      <c r="O4" s="156" t="s">
        <v>49</v>
      </c>
      <c r="P4" s="156" t="s">
        <v>50</v>
      </c>
      <c r="Q4" s="156" t="s">
        <v>51</v>
      </c>
      <c r="R4" s="156" t="s">
        <v>52</v>
      </c>
    </row>
    <row r="5" spans="2:18" x14ac:dyDescent="0.35">
      <c r="B5" s="251" t="s">
        <v>53</v>
      </c>
      <c r="C5" s="252"/>
      <c r="D5" s="252"/>
      <c r="E5" s="252"/>
      <c r="F5" s="252"/>
      <c r="G5" s="252"/>
      <c r="H5" s="252"/>
      <c r="I5" s="252"/>
      <c r="J5" s="252"/>
      <c r="K5" s="252"/>
      <c r="L5" s="252"/>
      <c r="M5" s="252"/>
      <c r="N5" s="252"/>
      <c r="O5" s="252"/>
      <c r="P5" s="252"/>
      <c r="Q5" s="252"/>
      <c r="R5" s="253"/>
    </row>
    <row r="6" spans="2:18" x14ac:dyDescent="0.35">
      <c r="B6" s="160" t="s">
        <v>122</v>
      </c>
      <c r="C6" s="13">
        <v>0</v>
      </c>
      <c r="D6" s="13">
        <v>0</v>
      </c>
      <c r="E6" s="13">
        <v>0</v>
      </c>
      <c r="F6" s="13">
        <v>0</v>
      </c>
      <c r="G6" s="13">
        <v>0</v>
      </c>
      <c r="H6" s="13">
        <v>0</v>
      </c>
      <c r="I6" s="13">
        <v>0</v>
      </c>
      <c r="J6" s="13">
        <v>0</v>
      </c>
      <c r="K6" s="161">
        <v>0</v>
      </c>
      <c r="L6" s="161">
        <v>0</v>
      </c>
      <c r="M6" s="161">
        <v>0</v>
      </c>
      <c r="N6" s="161">
        <v>0</v>
      </c>
      <c r="O6" s="161">
        <v>0</v>
      </c>
      <c r="P6" s="161">
        <v>0</v>
      </c>
      <c r="Q6" s="161">
        <v>0</v>
      </c>
      <c r="R6" s="162">
        <v>0</v>
      </c>
    </row>
    <row r="7" spans="2:18" x14ac:dyDescent="0.35">
      <c r="B7" s="160" t="s">
        <v>123</v>
      </c>
      <c r="C7" s="13">
        <v>0</v>
      </c>
      <c r="D7" s="13">
        <v>0</v>
      </c>
      <c r="E7" s="13">
        <v>0</v>
      </c>
      <c r="F7" s="13">
        <v>0</v>
      </c>
      <c r="G7" s="13">
        <v>0</v>
      </c>
      <c r="H7" s="13">
        <v>0</v>
      </c>
      <c r="I7" s="13">
        <v>0</v>
      </c>
      <c r="J7" s="13">
        <v>0</v>
      </c>
      <c r="K7" s="161">
        <v>0</v>
      </c>
      <c r="L7" s="161">
        <v>0</v>
      </c>
      <c r="M7" s="161">
        <v>0</v>
      </c>
      <c r="N7" s="161">
        <v>0</v>
      </c>
      <c r="O7" s="161">
        <v>0</v>
      </c>
      <c r="P7" s="161">
        <v>0</v>
      </c>
      <c r="Q7" s="161">
        <v>0</v>
      </c>
      <c r="R7" s="162">
        <v>0</v>
      </c>
    </row>
    <row r="8" spans="2:18" x14ac:dyDescent="0.35">
      <c r="B8" s="160" t="s">
        <v>124</v>
      </c>
      <c r="C8" s="13">
        <v>151301.26746527301</v>
      </c>
      <c r="D8" s="13">
        <v>137594.630028207</v>
      </c>
      <c r="E8" s="13">
        <v>17581.793544342519</v>
      </c>
      <c r="F8" s="13">
        <v>-3875.156107276503</v>
      </c>
      <c r="G8" s="13">
        <v>11352.201499999999</v>
      </c>
      <c r="H8" s="13">
        <v>3904.0244614114349</v>
      </c>
      <c r="I8" s="13">
        <v>28.893162888209631</v>
      </c>
      <c r="J8" s="13">
        <v>7477.0702014767739</v>
      </c>
      <c r="K8" s="161">
        <v>0</v>
      </c>
      <c r="L8" s="161">
        <v>246.72707</v>
      </c>
      <c r="M8" s="161">
        <v>1295.79475</v>
      </c>
      <c r="N8" s="161">
        <v>5099.7643799999996</v>
      </c>
      <c r="O8" s="161">
        <v>0</v>
      </c>
      <c r="P8" s="161">
        <v>-2546.9179657997288</v>
      </c>
      <c r="Q8" s="161">
        <v>0</v>
      </c>
      <c r="R8" s="162">
        <v>-2546.9179657997288</v>
      </c>
    </row>
    <row r="9" spans="2:18" x14ac:dyDescent="0.35">
      <c r="B9" s="160" t="s">
        <v>125</v>
      </c>
      <c r="C9" s="13">
        <v>0</v>
      </c>
      <c r="D9" s="13">
        <v>0</v>
      </c>
      <c r="E9" s="13">
        <v>0</v>
      </c>
      <c r="F9" s="13">
        <v>0</v>
      </c>
      <c r="G9" s="13">
        <v>0</v>
      </c>
      <c r="H9" s="13">
        <v>0</v>
      </c>
      <c r="I9" s="13">
        <v>0</v>
      </c>
      <c r="J9" s="13">
        <v>0</v>
      </c>
      <c r="K9" s="161">
        <v>0</v>
      </c>
      <c r="L9" s="161">
        <v>0</v>
      </c>
      <c r="M9" s="161">
        <v>0</v>
      </c>
      <c r="N9" s="161">
        <v>0</v>
      </c>
      <c r="O9" s="161">
        <v>0</v>
      </c>
      <c r="P9" s="161">
        <v>0</v>
      </c>
      <c r="Q9" s="161">
        <v>0</v>
      </c>
      <c r="R9" s="162">
        <v>0</v>
      </c>
    </row>
    <row r="10" spans="2:18" x14ac:dyDescent="0.35">
      <c r="B10" s="160" t="s">
        <v>126</v>
      </c>
      <c r="C10" s="13">
        <v>23728.542429000001</v>
      </c>
      <c r="D10" s="13">
        <v>30528.193697016952</v>
      </c>
      <c r="E10" s="13">
        <v>10240.628181169601</v>
      </c>
      <c r="F10" s="13">
        <v>-17040.279449186561</v>
      </c>
      <c r="G10" s="13">
        <v>0</v>
      </c>
      <c r="H10" s="13">
        <v>214.64969083490621</v>
      </c>
      <c r="I10" s="13">
        <v>122.15403958172109</v>
      </c>
      <c r="J10" s="13">
        <v>-92.495651253185159</v>
      </c>
      <c r="K10" s="161">
        <v>0</v>
      </c>
      <c r="L10" s="161">
        <v>272.55400004000001</v>
      </c>
      <c r="M10" s="161">
        <v>0</v>
      </c>
      <c r="N10" s="161">
        <v>0</v>
      </c>
      <c r="O10" s="161">
        <v>0</v>
      </c>
      <c r="P10" s="161">
        <v>-16860.22110039974</v>
      </c>
      <c r="Q10" s="161">
        <v>0</v>
      </c>
      <c r="R10" s="162">
        <v>-16860.22110039974</v>
      </c>
    </row>
    <row r="11" spans="2:18" x14ac:dyDescent="0.35">
      <c r="B11" s="160" t="s">
        <v>127</v>
      </c>
      <c r="C11" s="13">
        <v>98546.435459999993</v>
      </c>
      <c r="D11" s="13">
        <v>87976.47997430859</v>
      </c>
      <c r="E11" s="13">
        <v>7905.9751553335609</v>
      </c>
      <c r="F11" s="13">
        <v>2663.9803303578301</v>
      </c>
      <c r="G11" s="13">
        <v>1052.0547999999999</v>
      </c>
      <c r="H11" s="13">
        <v>39.096736743400228</v>
      </c>
      <c r="I11" s="13">
        <v>7.2545134079600393</v>
      </c>
      <c r="J11" s="13">
        <v>1020.2125766645599</v>
      </c>
      <c r="K11" s="161">
        <v>0</v>
      </c>
      <c r="L11" s="161">
        <v>0</v>
      </c>
      <c r="M11" s="161">
        <v>0</v>
      </c>
      <c r="N11" s="161">
        <v>0</v>
      </c>
      <c r="O11" s="161">
        <v>0</v>
      </c>
      <c r="P11" s="161">
        <v>3684.19290702239</v>
      </c>
      <c r="Q11" s="161">
        <v>1105.2578721067171</v>
      </c>
      <c r="R11" s="162">
        <v>2578.935034915673</v>
      </c>
    </row>
    <row r="12" spans="2:18" x14ac:dyDescent="0.35">
      <c r="B12" s="138" t="s">
        <v>90</v>
      </c>
      <c r="C12" s="167">
        <f t="shared" ref="C12:R12" si="0">SUM(C6:C11)</f>
        <v>273576.24535427301</v>
      </c>
      <c r="D12" s="167">
        <f t="shared" si="0"/>
        <v>256099.30369953252</v>
      </c>
      <c r="E12" s="167">
        <f t="shared" si="0"/>
        <v>35728.396880845678</v>
      </c>
      <c r="F12" s="167">
        <f t="shared" si="0"/>
        <v>-18251.455226105234</v>
      </c>
      <c r="G12" s="167">
        <f t="shared" si="0"/>
        <v>12404.256299999999</v>
      </c>
      <c r="H12" s="167">
        <f t="shared" si="0"/>
        <v>4157.7708889897413</v>
      </c>
      <c r="I12" s="167">
        <f t="shared" si="0"/>
        <v>158.30171587789076</v>
      </c>
      <c r="J12" s="167">
        <f t="shared" si="0"/>
        <v>8404.7871268881481</v>
      </c>
      <c r="K12" s="167">
        <f t="shared" si="0"/>
        <v>0</v>
      </c>
      <c r="L12" s="167">
        <f t="shared" si="0"/>
        <v>519.28107004000003</v>
      </c>
      <c r="M12" s="167">
        <f t="shared" si="0"/>
        <v>1295.79475</v>
      </c>
      <c r="N12" s="167">
        <f t="shared" si="0"/>
        <v>5099.7643799999996</v>
      </c>
      <c r="O12" s="167">
        <f t="shared" si="0"/>
        <v>0</v>
      </c>
      <c r="P12" s="167">
        <f t="shared" si="0"/>
        <v>-15722.94615917708</v>
      </c>
      <c r="Q12" s="167">
        <f t="shared" si="0"/>
        <v>1105.2578721067171</v>
      </c>
      <c r="R12" s="167">
        <f t="shared" si="0"/>
        <v>-16828.204031283796</v>
      </c>
    </row>
    <row r="13" spans="2:18" x14ac:dyDescent="0.35">
      <c r="B13" s="258" t="s">
        <v>98</v>
      </c>
      <c r="C13" s="260"/>
      <c r="D13" s="260"/>
      <c r="E13" s="260"/>
      <c r="F13" s="260"/>
      <c r="G13" s="260"/>
      <c r="H13" s="260"/>
      <c r="I13" s="260"/>
      <c r="J13" s="260"/>
      <c r="K13" s="260"/>
      <c r="L13" s="260"/>
      <c r="M13" s="260"/>
      <c r="N13" s="260"/>
      <c r="O13" s="260"/>
      <c r="P13" s="260"/>
      <c r="Q13" s="260"/>
      <c r="R13" s="260"/>
    </row>
  </sheetData>
  <sheetProtection algorithmName="SHA-512" hashValue="MToUGlIvZxoyF7hBGk3ZtQJT44uYtG0nSfirxGN/WjvAzXLdyTMW58IggfLpvgi04xwcsPoArHGKfGz+rLgv/w==" saltValue="ocZYwsYpKD+6yq7OMARybQ==" spinCount="100000" sheet="1" objects="1" scenarios="1"/>
  <mergeCells count="3">
    <mergeCell ref="B5:R5"/>
    <mergeCell ref="B13:R13"/>
    <mergeCell ref="B3:R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92D050"/>
    <pageSetUpPr fitToPage="1"/>
  </sheetPr>
  <dimension ref="B3:L37"/>
  <sheetViews>
    <sheetView zoomScale="70" zoomScaleNormal="70" workbookViewId="0">
      <pane xSplit="2" ySplit="5" topLeftCell="C6" activePane="bottomRight" state="frozen"/>
      <selection pane="topRight" activeCell="C1" sqref="C1"/>
      <selection pane="bottomLeft" activeCell="A6" sqref="A6"/>
      <selection pane="bottomRight" activeCell="D9" sqref="D9"/>
    </sheetView>
  </sheetViews>
  <sheetFormatPr defaultColWidth="9.453125" defaultRowHeight="18" customHeight="1" x14ac:dyDescent="0.3"/>
  <cols>
    <col min="1" max="1" width="14.453125" style="2" customWidth="1"/>
    <col min="2" max="2" width="50" style="2" customWidth="1"/>
    <col min="3" max="3" width="25.453125" style="2" customWidth="1"/>
    <col min="4" max="4" width="15.54296875" style="2" customWidth="1"/>
    <col min="5" max="12" width="25.453125" style="2" customWidth="1"/>
    <col min="13" max="13" width="17.453125" style="2" bestFit="1" customWidth="1"/>
    <col min="14" max="14" width="13.54296875" style="2" bestFit="1" customWidth="1"/>
    <col min="15" max="65" width="9.453125" style="2" customWidth="1"/>
    <col min="66" max="16384" width="9.453125" style="2"/>
  </cols>
  <sheetData>
    <row r="3" spans="2:12" ht="21" customHeight="1" x14ac:dyDescent="0.35">
      <c r="B3" s="264" t="str">
        <f>_xlfn.CONCAT('Table of Contents'!B11,": ",'Table of Contents'!C11)</f>
        <v>APPENDIX 4: SUMMARY OF LONG TERM INSURANCE BUSINESS GROSS PREMIUM INCOME FOR THE PERIOD ENDED 31.03.2025</v>
      </c>
      <c r="C3" s="252"/>
      <c r="D3" s="252"/>
      <c r="E3" s="252"/>
      <c r="F3" s="252"/>
      <c r="G3" s="252"/>
      <c r="H3" s="252"/>
      <c r="I3" s="252"/>
      <c r="J3" s="252"/>
      <c r="K3" s="252"/>
      <c r="L3" s="253"/>
    </row>
    <row r="4" spans="2:12" s="5" customFormat="1" ht="39" customHeight="1" x14ac:dyDescent="0.3">
      <c r="B4" s="39" t="s">
        <v>36</v>
      </c>
      <c r="C4" s="45" t="s">
        <v>128</v>
      </c>
      <c r="D4" s="45" t="s">
        <v>129</v>
      </c>
      <c r="E4" s="45" t="s">
        <v>130</v>
      </c>
      <c r="F4" s="45" t="s">
        <v>131</v>
      </c>
      <c r="G4" s="45" t="s">
        <v>132</v>
      </c>
      <c r="H4" s="45" t="s">
        <v>133</v>
      </c>
      <c r="I4" s="45" t="s">
        <v>134</v>
      </c>
      <c r="J4" s="45" t="s">
        <v>135</v>
      </c>
      <c r="K4" s="45" t="s">
        <v>136</v>
      </c>
      <c r="L4" s="45" t="s">
        <v>137</v>
      </c>
    </row>
    <row r="5" spans="2:12" ht="29.25" customHeight="1" x14ac:dyDescent="0.35">
      <c r="B5" s="261" t="s">
        <v>53</v>
      </c>
      <c r="C5" s="252"/>
      <c r="D5" s="252"/>
      <c r="E5" s="252"/>
      <c r="F5" s="252"/>
      <c r="G5" s="252"/>
      <c r="H5" s="252"/>
      <c r="I5" s="252"/>
      <c r="J5" s="252"/>
      <c r="K5" s="252"/>
      <c r="L5" s="253"/>
    </row>
    <row r="6" spans="2:12" ht="29.25" customHeight="1" x14ac:dyDescent="0.3">
      <c r="B6" s="6" t="str">
        <f>'APPENDIX 6'!B6</f>
        <v>ABSA LIFE ASSURANCE</v>
      </c>
      <c r="C6" s="175">
        <f>'APPENDIX 6'!D6</f>
        <v>1419720.2771775001</v>
      </c>
      <c r="D6" s="175">
        <f>'APPENDIX 7'!D6</f>
        <v>0</v>
      </c>
      <c r="E6" s="175">
        <f>'APPENDIX 12'!D6</f>
        <v>0</v>
      </c>
      <c r="F6" s="175">
        <f>'APPENDIX 13'!D6</f>
        <v>0</v>
      </c>
      <c r="G6" s="175">
        <f>'APPENDIX 8'!D6</f>
        <v>1397419.625</v>
      </c>
      <c r="H6" s="175">
        <f>'APPENDIX 9'!D6</f>
        <v>155932.11300000001</v>
      </c>
      <c r="I6" s="175">
        <f>'APPENDIX 11'!D6</f>
        <v>0</v>
      </c>
      <c r="J6" s="175">
        <f>'APPENDIX 10'!D6</f>
        <v>0</v>
      </c>
      <c r="K6" s="77">
        <f t="shared" ref="K6:K30" si="0">SUM(C6:J6)</f>
        <v>2973072.0151775</v>
      </c>
      <c r="L6" s="9">
        <f t="shared" ref="L6:L30" si="1">IFERROR(K6/$K$31,0)*100</f>
        <v>5.5632576762785133</v>
      </c>
    </row>
    <row r="7" spans="2:12" ht="29.25" customHeight="1" x14ac:dyDescent="0.3">
      <c r="B7" s="6" t="str">
        <f>'APPENDIX 6'!B7</f>
        <v xml:space="preserve">APA LIFE ASSURANCE COMPANY </v>
      </c>
      <c r="C7" s="175">
        <f>'APPENDIX 6'!D7</f>
        <v>140563.62267999991</v>
      </c>
      <c r="D7" s="175">
        <f>'APPENDIX 7'!D7</f>
        <v>18694.998</v>
      </c>
      <c r="E7" s="175">
        <f>'APPENDIX 12'!D7</f>
        <v>51601.347000000002</v>
      </c>
      <c r="F7" s="175">
        <f>'APPENDIX 13'!D7</f>
        <v>253912.34400000001</v>
      </c>
      <c r="G7" s="175">
        <f>'APPENDIX 8'!D7</f>
        <v>750660.00800000003</v>
      </c>
      <c r="H7" s="175">
        <f>'APPENDIX 9'!D7</f>
        <v>190625.79300000001</v>
      </c>
      <c r="I7" s="175">
        <f>'APPENDIX 11'!D7</f>
        <v>0</v>
      </c>
      <c r="J7" s="175">
        <f>'APPENDIX 10'!D7</f>
        <v>1093378.652</v>
      </c>
      <c r="K7" s="77">
        <f t="shared" si="0"/>
        <v>2499436.76468</v>
      </c>
      <c r="L7" s="9">
        <f t="shared" si="1"/>
        <v>4.6769841754568393</v>
      </c>
    </row>
    <row r="8" spans="2:12" ht="29.25" customHeight="1" x14ac:dyDescent="0.3">
      <c r="B8" s="6" t="str">
        <f>'APPENDIX 6'!B8</f>
        <v>BRITAM LIFE ASSURANCE</v>
      </c>
      <c r="C8" s="175">
        <f>'APPENDIX 6'!D8</f>
        <v>2845010.9633900011</v>
      </c>
      <c r="D8" s="175">
        <f>'APPENDIX 7'!D8</f>
        <v>1516175.60307</v>
      </c>
      <c r="E8" s="175">
        <f>'APPENDIX 12'!D8</f>
        <v>979427.71889999998</v>
      </c>
      <c r="F8" s="175">
        <f>'APPENDIX 13'!D8</f>
        <v>1291968.0301900001</v>
      </c>
      <c r="G8" s="175">
        <f>'APPENDIX 8'!D8</f>
        <v>500832.26896000002</v>
      </c>
      <c r="H8" s="175">
        <f>'APPENDIX 9'!D8</f>
        <v>120684.12122</v>
      </c>
      <c r="I8" s="175">
        <f>'APPENDIX 11'!D8</f>
        <v>0</v>
      </c>
      <c r="J8" s="175">
        <f>'APPENDIX 10'!D8</f>
        <v>2404279.9645899991</v>
      </c>
      <c r="K8" s="77">
        <f t="shared" si="0"/>
        <v>9658378.6703200005</v>
      </c>
      <c r="L8" s="9">
        <f t="shared" si="1"/>
        <v>18.072905400125151</v>
      </c>
    </row>
    <row r="9" spans="2:12" ht="29.25" customHeight="1" x14ac:dyDescent="0.3">
      <c r="B9" s="6" t="str">
        <f>'APPENDIX 6'!B9</f>
        <v>CANNON LIFE ASSURANCE (K) LIMITED</v>
      </c>
      <c r="C9" s="175">
        <f>'APPENDIX 6'!D9</f>
        <v>6556.598</v>
      </c>
      <c r="D9" s="175">
        <f>'APPENDIX 7'!D9</f>
        <v>0</v>
      </c>
      <c r="E9" s="175">
        <f>'APPENDIX 12'!D9</f>
        <v>0</v>
      </c>
      <c r="F9" s="175">
        <f>'APPENDIX 13'!D9</f>
        <v>0</v>
      </c>
      <c r="G9" s="175">
        <f>'APPENDIX 8'!D9</f>
        <v>226335.43918999989</v>
      </c>
      <c r="H9" s="175">
        <f>'APPENDIX 9'!D9</f>
        <v>4106.174</v>
      </c>
      <c r="I9" s="175">
        <f>'APPENDIX 11'!D9</f>
        <v>0</v>
      </c>
      <c r="J9" s="175">
        <f>'APPENDIX 10'!D9</f>
        <v>0</v>
      </c>
      <c r="K9" s="77">
        <f t="shared" si="0"/>
        <v>236998.21118999989</v>
      </c>
      <c r="L9" s="9">
        <f t="shared" si="1"/>
        <v>0.44347466557695425</v>
      </c>
    </row>
    <row r="10" spans="2:12" ht="29.25" customHeight="1" x14ac:dyDescent="0.3">
      <c r="B10" s="6" t="str">
        <f>'APPENDIX 6'!B10</f>
        <v>CAPEX LIFE ASSURANCE COMPANY</v>
      </c>
      <c r="C10" s="175">
        <f>'APPENDIX 6'!D10</f>
        <v>7679.9690000000001</v>
      </c>
      <c r="D10" s="175">
        <f>'APPENDIX 7'!D10</f>
        <v>127646.798</v>
      </c>
      <c r="E10" s="175">
        <f>'APPENDIX 12'!D10</f>
        <v>0</v>
      </c>
      <c r="F10" s="175">
        <f>'APPENDIX 13'!D10</f>
        <v>0</v>
      </c>
      <c r="G10" s="175">
        <f>'APPENDIX 8'!D10</f>
        <v>200062.21599999999</v>
      </c>
      <c r="H10" s="175">
        <f>'APPENDIX 9'!D10</f>
        <v>43060.997000000003</v>
      </c>
      <c r="I10" s="175">
        <f>'APPENDIX 11'!D10</f>
        <v>0</v>
      </c>
      <c r="J10" s="175">
        <f>'APPENDIX 10'!D10</f>
        <v>0</v>
      </c>
      <c r="K10" s="77">
        <f t="shared" si="0"/>
        <v>378449.98</v>
      </c>
      <c r="L10" s="9">
        <f t="shared" si="1"/>
        <v>0.70816137166349513</v>
      </c>
    </row>
    <row r="11" spans="2:12" ht="29.25" customHeight="1" x14ac:dyDescent="0.3">
      <c r="B11" s="6" t="str">
        <f>'APPENDIX 6'!B11</f>
        <v>CIC LIFE ASSURANCE COMPANY</v>
      </c>
      <c r="C11" s="175">
        <f>'APPENDIX 6'!D11</f>
        <v>325786.31523000001</v>
      </c>
      <c r="D11" s="175">
        <f>'APPENDIX 7'!D11</f>
        <v>119075.01226</v>
      </c>
      <c r="E11" s="175">
        <f>'APPENDIX 12'!D11</f>
        <v>0</v>
      </c>
      <c r="F11" s="175">
        <f>'APPENDIX 13'!D11</f>
        <v>863483.15692999994</v>
      </c>
      <c r="G11" s="175">
        <f>'APPENDIX 8'!D11</f>
        <v>388787.88299999997</v>
      </c>
      <c r="H11" s="175">
        <f>'APPENDIX 9'!D11</f>
        <v>2352717.4269999992</v>
      </c>
      <c r="I11" s="175">
        <f>'APPENDIX 11'!D11</f>
        <v>0</v>
      </c>
      <c r="J11" s="175">
        <f>'APPENDIX 10'!D11</f>
        <v>0</v>
      </c>
      <c r="K11" s="77">
        <f t="shared" si="0"/>
        <v>4049849.7944199992</v>
      </c>
      <c r="L11" s="9">
        <f t="shared" si="1"/>
        <v>7.5781406711861647</v>
      </c>
    </row>
    <row r="12" spans="2:12" ht="29.25" customHeight="1" x14ac:dyDescent="0.3">
      <c r="B12" s="6" t="str">
        <f>'APPENDIX 6'!B12</f>
        <v>CORPORATE INSURANCE COMPANY</v>
      </c>
      <c r="C12" s="175">
        <f>'APPENDIX 6'!D12</f>
        <v>8452.4385000000002</v>
      </c>
      <c r="D12" s="175">
        <f>'APPENDIX 7'!D12</f>
        <v>0</v>
      </c>
      <c r="E12" s="175">
        <f>'APPENDIX 12'!D12</f>
        <v>0</v>
      </c>
      <c r="F12" s="175">
        <f>'APPENDIX 13'!D12</f>
        <v>0</v>
      </c>
      <c r="G12" s="175">
        <f>'APPENDIX 8'!D12</f>
        <v>0</v>
      </c>
      <c r="H12" s="175">
        <f>'APPENDIX 9'!D12</f>
        <v>0</v>
      </c>
      <c r="I12" s="175">
        <f>'APPENDIX 11'!D12</f>
        <v>0</v>
      </c>
      <c r="J12" s="175">
        <f>'APPENDIX 10'!D12</f>
        <v>0</v>
      </c>
      <c r="K12" s="77">
        <f t="shared" si="0"/>
        <v>8452.4385000000002</v>
      </c>
      <c r="L12" s="9">
        <f t="shared" si="1"/>
        <v>1.581633177008316E-2</v>
      </c>
    </row>
    <row r="13" spans="2:12" ht="29.25" customHeight="1" x14ac:dyDescent="0.3">
      <c r="B13" s="6" t="str">
        <f>'APPENDIX 6'!B13</f>
        <v xml:space="preserve">EQUITY LIFE ASSURANCE </v>
      </c>
      <c r="C13" s="175">
        <f>'APPENDIX 6'!D13</f>
        <v>0</v>
      </c>
      <c r="D13" s="175">
        <f>'APPENDIX 7'!D13</f>
        <v>0</v>
      </c>
      <c r="E13" s="175">
        <f>'APPENDIX 12'!D13</f>
        <v>59723.999000000003</v>
      </c>
      <c r="F13" s="175">
        <f>'APPENDIX 13'!D13</f>
        <v>633735.15</v>
      </c>
      <c r="G13" s="175">
        <f>'APPENDIX 8'!D13</f>
        <v>574687.98300000001</v>
      </c>
      <c r="H13" s="175">
        <f>'APPENDIX 9'!D13</f>
        <v>652617.50899999996</v>
      </c>
      <c r="I13" s="175">
        <f>'APPENDIX 11'!D13</f>
        <v>0</v>
      </c>
      <c r="J13" s="175">
        <f>'APPENDIX 10'!D13</f>
        <v>155652.821</v>
      </c>
      <c r="K13" s="77">
        <f t="shared" si="0"/>
        <v>2076417.4619999998</v>
      </c>
      <c r="L13" s="9">
        <f t="shared" si="1"/>
        <v>3.8854240077802444</v>
      </c>
    </row>
    <row r="14" spans="2:12" ht="29.25" customHeight="1" x14ac:dyDescent="0.3">
      <c r="B14" s="6" t="str">
        <f>'APPENDIX 6'!B14</f>
        <v xml:space="preserve">GA LIFE ASSURANCE COMPANY </v>
      </c>
      <c r="C14" s="175">
        <f>'APPENDIX 6'!D14</f>
        <v>18244.757000000001</v>
      </c>
      <c r="D14" s="175">
        <f>'APPENDIX 7'!D14</f>
        <v>0</v>
      </c>
      <c r="E14" s="175">
        <f>'APPENDIX 12'!D14</f>
        <v>310066.09220999997</v>
      </c>
      <c r="F14" s="175">
        <f>'APPENDIX 13'!D14</f>
        <v>5040249.0165799996</v>
      </c>
      <c r="G14" s="175">
        <f>'APPENDIX 8'!D14</f>
        <v>34320.525999999998</v>
      </c>
      <c r="H14" s="175">
        <f>'APPENDIX 9'!D14</f>
        <v>896.95847880299254</v>
      </c>
      <c r="I14" s="175">
        <f>'APPENDIX 11'!D14</f>
        <v>0</v>
      </c>
      <c r="J14" s="175">
        <f>'APPENDIX 10'!D14</f>
        <v>0</v>
      </c>
      <c r="K14" s="77">
        <f t="shared" si="0"/>
        <v>5403777.3502688017</v>
      </c>
      <c r="L14" s="9">
        <f t="shared" si="1"/>
        <v>10.111630552947796</v>
      </c>
    </row>
    <row r="15" spans="2:12" ht="29.25" customHeight="1" x14ac:dyDescent="0.3">
      <c r="B15" s="6" t="str">
        <f>'APPENDIX 6'!B15</f>
        <v>GEMINIA LIFE INSURANCE COMPANY</v>
      </c>
      <c r="C15" s="175">
        <f>'APPENDIX 6'!D15</f>
        <v>17232.77636</v>
      </c>
      <c r="D15" s="175">
        <f>'APPENDIX 7'!D15</f>
        <v>0</v>
      </c>
      <c r="E15" s="175">
        <f>'APPENDIX 12'!D15</f>
        <v>164999.69166932799</v>
      </c>
      <c r="F15" s="175">
        <f>'APPENDIX 13'!D15</f>
        <v>598310.40787057695</v>
      </c>
      <c r="G15" s="175">
        <f>'APPENDIX 8'!D15</f>
        <v>122624.96261</v>
      </c>
      <c r="H15" s="175">
        <f>'APPENDIX 9'!D15</f>
        <v>80579.255249999944</v>
      </c>
      <c r="I15" s="175">
        <f>'APPENDIX 11'!D15</f>
        <v>0</v>
      </c>
      <c r="J15" s="175">
        <f>'APPENDIX 10'!D15</f>
        <v>168430.38227</v>
      </c>
      <c r="K15" s="77">
        <f t="shared" si="0"/>
        <v>1152177.4760299048</v>
      </c>
      <c r="L15" s="9">
        <f t="shared" si="1"/>
        <v>2.1559720569284244</v>
      </c>
    </row>
    <row r="16" spans="2:12" ht="29.25" customHeight="1" x14ac:dyDescent="0.3">
      <c r="B16" s="6" t="str">
        <f>'APPENDIX 6'!B16</f>
        <v xml:space="preserve">ICEA LION LIFE ASSURANCE </v>
      </c>
      <c r="C16" s="175">
        <f>'APPENDIX 6'!D16</f>
        <v>1863890.63252</v>
      </c>
      <c r="D16" s="175">
        <f>'APPENDIX 7'!D16</f>
        <v>518127.28916999989</v>
      </c>
      <c r="E16" s="175">
        <f>'APPENDIX 12'!D16</f>
        <v>1903461.8055054841</v>
      </c>
      <c r="F16" s="175">
        <f>'APPENDIX 13'!D16</f>
        <v>2474247.934475794</v>
      </c>
      <c r="G16" s="175">
        <f>'APPENDIX 8'!D16</f>
        <v>186560.46557</v>
      </c>
      <c r="H16" s="175">
        <f>'APPENDIX 9'!D16</f>
        <v>35161.350659999996</v>
      </c>
      <c r="I16" s="175">
        <f>'APPENDIX 11'!D16</f>
        <v>0</v>
      </c>
      <c r="J16" s="175">
        <f>'APPENDIX 10'!D16</f>
        <v>1312.69091</v>
      </c>
      <c r="K16" s="77">
        <f t="shared" si="0"/>
        <v>6982762.1688112775</v>
      </c>
      <c r="L16" s="9">
        <f t="shared" si="1"/>
        <v>13.066251015432362</v>
      </c>
    </row>
    <row r="17" spans="2:12" ht="29.25" customHeight="1" x14ac:dyDescent="0.3">
      <c r="B17" s="6" t="str">
        <f>'APPENDIX 6'!B17</f>
        <v>JUBILEE LIFE INSURANCE</v>
      </c>
      <c r="C17" s="175">
        <f>'APPENDIX 6'!D17</f>
        <v>1698033.269640001</v>
      </c>
      <c r="D17" s="175">
        <f>'APPENDIX 7'!D17</f>
        <v>577366.39929999993</v>
      </c>
      <c r="E17" s="175">
        <f>'APPENDIX 12'!D17</f>
        <v>670804.02655999991</v>
      </c>
      <c r="F17" s="175">
        <f>'APPENDIX 13'!D17</f>
        <v>3614808.5039300001</v>
      </c>
      <c r="G17" s="175">
        <f>'APPENDIX 8'!D17</f>
        <v>420477.76121000003</v>
      </c>
      <c r="H17" s="175">
        <f>'APPENDIX 9'!D17</f>
        <v>93087.808710000012</v>
      </c>
      <c r="I17" s="175">
        <f>'APPENDIX 11'!D17</f>
        <v>0</v>
      </c>
      <c r="J17" s="175">
        <f>'APPENDIX 10'!D17</f>
        <v>0</v>
      </c>
      <c r="K17" s="77">
        <f t="shared" si="0"/>
        <v>7074577.7693500016</v>
      </c>
      <c r="L17" s="9">
        <f t="shared" si="1"/>
        <v>13.238057766796466</v>
      </c>
    </row>
    <row r="18" spans="2:12" ht="29.25" customHeight="1" x14ac:dyDescent="0.3">
      <c r="B18" s="6" t="str">
        <f>'APPENDIX 6'!B18</f>
        <v>KENINDIA ASSURANCE COMPANY</v>
      </c>
      <c r="C18" s="175">
        <f>'APPENDIX 6'!D18</f>
        <v>680421.15099999995</v>
      </c>
      <c r="D18" s="175">
        <f>'APPENDIX 7'!D18</f>
        <v>97040.074999999997</v>
      </c>
      <c r="E18" s="175">
        <f>'APPENDIX 12'!D18</f>
        <v>337442.00900000002</v>
      </c>
      <c r="F18" s="175">
        <f>'APPENDIX 13'!D18</f>
        <v>793582.28493000008</v>
      </c>
      <c r="G18" s="175">
        <f>'APPENDIX 8'!D18</f>
        <v>24310.375100000001</v>
      </c>
      <c r="H18" s="175">
        <f>'APPENDIX 9'!D18</f>
        <v>30.225000000000001</v>
      </c>
      <c r="I18" s="175">
        <f>'APPENDIX 11'!D18</f>
        <v>0</v>
      </c>
      <c r="J18" s="175">
        <f>'APPENDIX 10'!D18</f>
        <v>0</v>
      </c>
      <c r="K18" s="77">
        <f t="shared" si="0"/>
        <v>1932826.1200300001</v>
      </c>
      <c r="L18" s="9">
        <f t="shared" si="1"/>
        <v>3.6167336997810815</v>
      </c>
    </row>
    <row r="19" spans="2:12" ht="29.25" customHeight="1" x14ac:dyDescent="0.3">
      <c r="B19" s="6" t="str">
        <f>'APPENDIX 6'!B19</f>
        <v>KENYA ORIENT LIFE ASSURANCE</v>
      </c>
      <c r="C19" s="175">
        <f>'APPENDIX 6'!D19</f>
        <v>17028.659</v>
      </c>
      <c r="D19" s="175">
        <f>'APPENDIX 7'!D19</f>
        <v>105883.072</v>
      </c>
      <c r="E19" s="175">
        <f>'APPENDIX 12'!D19</f>
        <v>14559.57172</v>
      </c>
      <c r="F19" s="175">
        <f>'APPENDIX 13'!D19</f>
        <v>51180.959000000003</v>
      </c>
      <c r="G19" s="175">
        <f>'APPENDIX 8'!D19</f>
        <v>40126.148000000001</v>
      </c>
      <c r="H19" s="175">
        <f>'APPENDIX 9'!D19</f>
        <v>136509.43614000001</v>
      </c>
      <c r="I19" s="175">
        <f>'APPENDIX 11'!D19</f>
        <v>0</v>
      </c>
      <c r="J19" s="175">
        <f>'APPENDIX 10'!D19</f>
        <v>0</v>
      </c>
      <c r="K19" s="77">
        <f t="shared" si="0"/>
        <v>365287.84586</v>
      </c>
      <c r="L19" s="9">
        <f t="shared" si="1"/>
        <v>0.68353218561729345</v>
      </c>
    </row>
    <row r="20" spans="2:12" ht="29.25" customHeight="1" x14ac:dyDescent="0.3">
      <c r="B20" s="6" t="str">
        <f>'APPENDIX 6'!B20</f>
        <v>KUSCCO MUTUAL ASSURANCE LIMITED</v>
      </c>
      <c r="C20" s="175">
        <f>'APPENDIX 6'!D20</f>
        <v>4877.9250000000002</v>
      </c>
      <c r="D20" s="175">
        <f>'APPENDIX 7'!D20</f>
        <v>57011.247900000002</v>
      </c>
      <c r="E20" s="175">
        <f>'APPENDIX 12'!D20</f>
        <v>0</v>
      </c>
      <c r="F20" s="175">
        <f>'APPENDIX 13'!D20</f>
        <v>0</v>
      </c>
      <c r="G20" s="175">
        <f>'APPENDIX 8'!D20</f>
        <v>9479.44</v>
      </c>
      <c r="H20" s="175">
        <f>'APPENDIX 9'!D20</f>
        <v>365631.34299999999</v>
      </c>
      <c r="I20" s="175">
        <f>'APPENDIX 11'!D20</f>
        <v>0</v>
      </c>
      <c r="J20" s="175">
        <f>'APPENDIX 10'!D20</f>
        <v>0</v>
      </c>
      <c r="K20" s="77">
        <f t="shared" si="0"/>
        <v>436999.9559</v>
      </c>
      <c r="L20" s="9">
        <f t="shared" si="1"/>
        <v>0.81772097910278907</v>
      </c>
    </row>
    <row r="21" spans="2:12" ht="29.25" customHeight="1" x14ac:dyDescent="0.3">
      <c r="B21" s="6" t="str">
        <f>'APPENDIX 6'!B21</f>
        <v>LIBERTY LIFE ASSURANCE COMPANY</v>
      </c>
      <c r="C21" s="175">
        <f>'APPENDIX 6'!D21</f>
        <v>399146.97807000013</v>
      </c>
      <c r="D21" s="175">
        <f>'APPENDIX 7'!D21</f>
        <v>0</v>
      </c>
      <c r="E21" s="175">
        <f>'APPENDIX 12'!D21</f>
        <v>296115.37862999999</v>
      </c>
      <c r="F21" s="175">
        <f>'APPENDIX 13'!D21</f>
        <v>59850.889179999998</v>
      </c>
      <c r="G21" s="175">
        <f>'APPENDIX 8'!D21</f>
        <v>311804.54119999998</v>
      </c>
      <c r="H21" s="175">
        <f>'APPENDIX 9'!D21</f>
        <v>227057.39416</v>
      </c>
      <c r="I21" s="175">
        <f>'APPENDIX 11'!D21</f>
        <v>0</v>
      </c>
      <c r="J21" s="175">
        <f>'APPENDIX 10'!D21</f>
        <v>148581.30134000001</v>
      </c>
      <c r="K21" s="77">
        <f t="shared" si="0"/>
        <v>1442556.4825800001</v>
      </c>
      <c r="L21" s="9">
        <f t="shared" si="1"/>
        <v>2.6993336805194699</v>
      </c>
    </row>
    <row r="22" spans="2:12" ht="29.25" customHeight="1" x14ac:dyDescent="0.3">
      <c r="B22" s="6" t="str">
        <f>'APPENDIX 6'!B22</f>
        <v>MADISON INSURANCE COMPANY</v>
      </c>
      <c r="C22" s="175">
        <f>'APPENDIX 6'!D22</f>
        <v>616863</v>
      </c>
      <c r="D22" s="175">
        <f>'APPENDIX 7'!D22</f>
        <v>0</v>
      </c>
      <c r="E22" s="175">
        <f>'APPENDIX 12'!D22</f>
        <v>32984</v>
      </c>
      <c r="F22" s="175">
        <f>'APPENDIX 13'!D22</f>
        <v>126138</v>
      </c>
      <c r="G22" s="175">
        <f>'APPENDIX 8'!D22</f>
        <v>313392</v>
      </c>
      <c r="H22" s="175">
        <f>'APPENDIX 9'!D22</f>
        <v>190317</v>
      </c>
      <c r="I22" s="175">
        <f>'APPENDIX 11'!D22</f>
        <v>0</v>
      </c>
      <c r="J22" s="175">
        <f>'APPENDIX 10'!D22</f>
        <v>246</v>
      </c>
      <c r="K22" s="77">
        <f t="shared" si="0"/>
        <v>1279940</v>
      </c>
      <c r="L22" s="9">
        <f t="shared" si="1"/>
        <v>2.3950432393918319</v>
      </c>
    </row>
    <row r="23" spans="2:12" ht="29.25" customHeight="1" x14ac:dyDescent="0.3">
      <c r="B23" s="6" t="str">
        <f>'APPENDIX 6'!B23</f>
        <v>OLD MUTUAL ASSURANCE COMPANY</v>
      </c>
      <c r="C23" s="175">
        <f>'APPENDIX 6'!D23</f>
        <v>177081.80684</v>
      </c>
      <c r="D23" s="175">
        <f>'APPENDIX 7'!D23</f>
        <v>0</v>
      </c>
      <c r="E23" s="175">
        <f>'APPENDIX 12'!D23</f>
        <v>0</v>
      </c>
      <c r="F23" s="175">
        <f>'APPENDIX 13'!D23</f>
        <v>0</v>
      </c>
      <c r="G23" s="175">
        <f>'APPENDIX 8'!D23</f>
        <v>0</v>
      </c>
      <c r="H23" s="175">
        <f>'APPENDIX 9'!D23</f>
        <v>0</v>
      </c>
      <c r="I23" s="175">
        <f>'APPENDIX 11'!D23</f>
        <v>0</v>
      </c>
      <c r="J23" s="175">
        <f>'APPENDIX 10'!D23</f>
        <v>52833.337699999996</v>
      </c>
      <c r="K23" s="77">
        <f t="shared" si="0"/>
        <v>229915.14454000001</v>
      </c>
      <c r="L23" s="9">
        <f t="shared" si="1"/>
        <v>0.43022072328728134</v>
      </c>
    </row>
    <row r="24" spans="2:12" ht="29.25" customHeight="1" x14ac:dyDescent="0.3">
      <c r="B24" s="6" t="str">
        <f>'APPENDIX 6'!B24</f>
        <v>OLD MUTUAL LIFE ASSURANCE KENYA</v>
      </c>
      <c r="C24" s="175">
        <f>'APPENDIX 6'!D24</f>
        <v>242841.65526000009</v>
      </c>
      <c r="D24" s="175">
        <f>'APPENDIX 7'!D24</f>
        <v>0</v>
      </c>
      <c r="E24" s="175">
        <f>'APPENDIX 12'!D24</f>
        <v>0</v>
      </c>
      <c r="F24" s="175">
        <f>'APPENDIX 13'!D24</f>
        <v>134244.3701</v>
      </c>
      <c r="G24" s="175">
        <f>'APPENDIX 8'!D24</f>
        <v>803789.68164342467</v>
      </c>
      <c r="H24" s="175">
        <f>'APPENDIX 9'!D24</f>
        <v>362876.1158865756</v>
      </c>
      <c r="I24" s="175">
        <f>'APPENDIX 11'!D24</f>
        <v>0</v>
      </c>
      <c r="J24" s="175">
        <f>'APPENDIX 10'!D24</f>
        <v>2579.65101</v>
      </c>
      <c r="K24" s="77">
        <f t="shared" si="0"/>
        <v>1546331.4739000003</v>
      </c>
      <c r="L24" s="9">
        <f t="shared" si="1"/>
        <v>2.8935190262223252</v>
      </c>
    </row>
    <row r="25" spans="2:12" ht="29.25" customHeight="1" x14ac:dyDescent="0.3">
      <c r="B25" s="6" t="str">
        <f>'APPENDIX 6'!B25</f>
        <v xml:space="preserve">PIONEER ASSURANCE COMPANY </v>
      </c>
      <c r="C25" s="175">
        <f>'APPENDIX 6'!D25</f>
        <v>299778.603</v>
      </c>
      <c r="D25" s="175">
        <f>'APPENDIX 7'!D25</f>
        <v>0</v>
      </c>
      <c r="E25" s="175">
        <f>'APPENDIX 12'!D25</f>
        <v>47513.101000000002</v>
      </c>
      <c r="F25" s="175">
        <f>'APPENDIX 13'!D25</f>
        <v>117174.05499999999</v>
      </c>
      <c r="G25" s="175">
        <f>'APPENDIX 8'!D25</f>
        <v>188360.905</v>
      </c>
      <c r="H25" s="175">
        <f>'APPENDIX 9'!D25</f>
        <v>144124.15700000001</v>
      </c>
      <c r="I25" s="175">
        <f>'APPENDIX 11'!D25</f>
        <v>0</v>
      </c>
      <c r="J25" s="175">
        <f>'APPENDIX 10'!D25</f>
        <v>36966.690999999999</v>
      </c>
      <c r="K25" s="77">
        <f t="shared" si="0"/>
        <v>833917.51199999999</v>
      </c>
      <c r="L25" s="9">
        <f t="shared" si="1"/>
        <v>1.560439160684139</v>
      </c>
    </row>
    <row r="26" spans="2:12" ht="29.25" customHeight="1" x14ac:dyDescent="0.3">
      <c r="B26" s="6" t="str">
        <f>'APPENDIX 6'!B26</f>
        <v>PRUDENTIAL LIFE ASSURANCE</v>
      </c>
      <c r="C26" s="175">
        <f>'APPENDIX 6'!D26</f>
        <v>234459.33412000001</v>
      </c>
      <c r="D26" s="175">
        <f>'APPENDIX 7'!D26</f>
        <v>0</v>
      </c>
      <c r="E26" s="175">
        <f>'APPENDIX 12'!D26</f>
        <v>0</v>
      </c>
      <c r="F26" s="175">
        <f>'APPENDIX 13'!D26</f>
        <v>348446.7668000001</v>
      </c>
      <c r="G26" s="175">
        <f>'APPENDIX 8'!D26</f>
        <v>254878.30147999999</v>
      </c>
      <c r="H26" s="175">
        <f>'APPENDIX 9'!D26</f>
        <v>254876.51947999999</v>
      </c>
      <c r="I26" s="175">
        <f>'APPENDIX 11'!D26</f>
        <v>0</v>
      </c>
      <c r="J26" s="175">
        <f>'APPENDIX 10'!D26</f>
        <v>0</v>
      </c>
      <c r="K26" s="77">
        <f t="shared" si="0"/>
        <v>1092660.92188</v>
      </c>
      <c r="L26" s="9">
        <f t="shared" si="1"/>
        <v>2.0446037735334004</v>
      </c>
    </row>
    <row r="27" spans="2:12" ht="29.25" customHeight="1" x14ac:dyDescent="0.3">
      <c r="B27" s="6" t="str">
        <f>'APPENDIX 6'!B27</f>
        <v>SANLAM LIFE ASSURANCE</v>
      </c>
      <c r="C27" s="175">
        <f>'APPENDIX 6'!D27</f>
        <v>768593.55414999998</v>
      </c>
      <c r="D27" s="175">
        <f>'APPENDIX 7'!D27</f>
        <v>155651.86420000001</v>
      </c>
      <c r="E27" s="175">
        <f>'APPENDIX 12'!D27</f>
        <v>95916.567162942622</v>
      </c>
      <c r="F27" s="175">
        <f>'APPENDIX 13'!D27</f>
        <v>15512.392750000001</v>
      </c>
      <c r="G27" s="175">
        <f>'APPENDIX 8'!D27</f>
        <v>363802.94608489599</v>
      </c>
      <c r="H27" s="175">
        <f>'APPENDIX 9'!D27</f>
        <v>126912.8415844659</v>
      </c>
      <c r="I27" s="175">
        <f>'APPENDIX 11'!D27</f>
        <v>0</v>
      </c>
      <c r="J27" s="175">
        <f>'APPENDIX 10'!D27</f>
        <v>40503.538789999999</v>
      </c>
      <c r="K27" s="77">
        <f t="shared" si="0"/>
        <v>1566893.7047223044</v>
      </c>
      <c r="L27" s="9">
        <f t="shared" si="1"/>
        <v>2.9319953859874497</v>
      </c>
    </row>
    <row r="28" spans="2:12" ht="29.25" customHeight="1" x14ac:dyDescent="0.3">
      <c r="B28" s="6" t="str">
        <f>'APPENDIX 6'!B28</f>
        <v>STAR DISCOVER LIFE INSURANCE</v>
      </c>
      <c r="C28" s="175">
        <f>'APPENDIX 6'!D28</f>
        <v>0</v>
      </c>
      <c r="D28" s="175">
        <f>'APPENDIX 7'!D28</f>
        <v>0</v>
      </c>
      <c r="E28" s="175">
        <f>'APPENDIX 12'!D28</f>
        <v>0</v>
      </c>
      <c r="F28" s="175">
        <f>'APPENDIX 13'!D28</f>
        <v>0</v>
      </c>
      <c r="G28" s="175">
        <f>'APPENDIX 8'!D28</f>
        <v>1260.808</v>
      </c>
      <c r="H28" s="175">
        <f>'APPENDIX 9'!D28</f>
        <v>188.49600000000001</v>
      </c>
      <c r="I28" s="175">
        <f>'APPENDIX 11'!D28</f>
        <v>0</v>
      </c>
      <c r="J28" s="175">
        <f>'APPENDIX 10'!D28</f>
        <v>0</v>
      </c>
      <c r="K28" s="77">
        <f t="shared" si="0"/>
        <v>1449.3040000000001</v>
      </c>
      <c r="L28" s="9">
        <f t="shared" si="1"/>
        <v>2.7119597379748578E-3</v>
      </c>
    </row>
    <row r="29" spans="2:12" ht="29.25" customHeight="1" x14ac:dyDescent="0.3">
      <c r="B29" s="6" t="str">
        <f>'APPENDIX 6'!B29</f>
        <v>THE KENYAN ALLIANCE INSURANCE</v>
      </c>
      <c r="C29" s="175">
        <f>'APPENDIX 6'!D29</f>
        <v>4008.1495</v>
      </c>
      <c r="D29" s="175">
        <f>'APPENDIX 7'!D29</f>
        <v>0</v>
      </c>
      <c r="E29" s="175">
        <f>'APPENDIX 12'!D29</f>
        <v>78831.294020000001</v>
      </c>
      <c r="F29" s="175">
        <f>'APPENDIX 13'!D29</f>
        <v>73464.725879999998</v>
      </c>
      <c r="G29" s="175">
        <f>'APPENDIX 8'!D29</f>
        <v>49529.059000000001</v>
      </c>
      <c r="H29" s="175">
        <f>'APPENDIX 9'!D29</f>
        <v>10847.848</v>
      </c>
      <c r="I29" s="175">
        <f>'APPENDIX 11'!D29</f>
        <v>0</v>
      </c>
      <c r="J29" s="175">
        <f>'APPENDIX 10'!D29</f>
        <v>1396.7184999999999</v>
      </c>
      <c r="K29" s="77">
        <f t="shared" si="0"/>
        <v>218077.79490000001</v>
      </c>
      <c r="L29" s="9">
        <f t="shared" si="1"/>
        <v>0.40807049419248054</v>
      </c>
    </row>
    <row r="30" spans="2:12" ht="29.25" customHeight="1" x14ac:dyDescent="0.3">
      <c r="B30" s="6" t="str">
        <f>'APPENDIX 6'!B30</f>
        <v>THE MONARCH INSURANCE</v>
      </c>
      <c r="C30" s="175">
        <f>'APPENDIX 6'!D30</f>
        <v>0</v>
      </c>
      <c r="D30" s="175">
        <f>'APPENDIX 7'!D30</f>
        <v>0</v>
      </c>
      <c r="E30" s="175">
        <f>'APPENDIX 12'!D30</f>
        <v>0</v>
      </c>
      <c r="F30" s="175">
        <f>'APPENDIX 13'!D30</f>
        <v>0</v>
      </c>
      <c r="G30" s="175">
        <f>'APPENDIX 8'!D30</f>
        <v>0</v>
      </c>
      <c r="H30" s="175">
        <f>'APPENDIX 9'!D30</f>
        <v>0</v>
      </c>
      <c r="I30" s="175">
        <f>'APPENDIX 11'!D30</f>
        <v>0</v>
      </c>
      <c r="J30" s="175">
        <f>'APPENDIX 10'!D30</f>
        <v>0</v>
      </c>
      <c r="K30" s="77">
        <f t="shared" si="0"/>
        <v>0</v>
      </c>
      <c r="L30" s="9">
        <f t="shared" si="1"/>
        <v>0</v>
      </c>
    </row>
    <row r="31" spans="2:12" s="5" customFormat="1" ht="29.25" customHeight="1" x14ac:dyDescent="0.3">
      <c r="B31" s="37" t="s">
        <v>90</v>
      </c>
      <c r="C31" s="78">
        <f t="shared" ref="C31:L31" si="2">SUM(C6:C30)</f>
        <v>11796272.435437502</v>
      </c>
      <c r="D31" s="78">
        <f t="shared" si="2"/>
        <v>3292672.3589000003</v>
      </c>
      <c r="E31" s="78">
        <f t="shared" si="2"/>
        <v>5043446.6023777546</v>
      </c>
      <c r="F31" s="78">
        <f t="shared" si="2"/>
        <v>16490308.987616375</v>
      </c>
      <c r="G31" s="78">
        <f t="shared" si="2"/>
        <v>7163503.3440483212</v>
      </c>
      <c r="H31" s="78">
        <f t="shared" si="2"/>
        <v>5548840.8835698431</v>
      </c>
      <c r="I31" s="78">
        <f t="shared" si="2"/>
        <v>0</v>
      </c>
      <c r="J31" s="78">
        <f t="shared" si="2"/>
        <v>4106161.7491099988</v>
      </c>
      <c r="K31" s="78">
        <f t="shared" si="2"/>
        <v>53441206.361059785</v>
      </c>
      <c r="L31" s="207">
        <f t="shared" si="2"/>
        <v>100.00000000000001</v>
      </c>
    </row>
    <row r="32" spans="2:12" s="5" customFormat="1" ht="29.25" customHeight="1" x14ac:dyDescent="0.35">
      <c r="B32" s="263" t="s">
        <v>91</v>
      </c>
      <c r="C32" s="252"/>
      <c r="D32" s="252"/>
      <c r="E32" s="252"/>
      <c r="F32" s="252"/>
      <c r="G32" s="252"/>
      <c r="H32" s="252"/>
      <c r="I32" s="252"/>
      <c r="J32" s="252"/>
      <c r="K32" s="252"/>
      <c r="L32" s="253"/>
    </row>
    <row r="33" spans="2:12" ht="29.25" customHeight="1" x14ac:dyDescent="0.3">
      <c r="B33" s="6" t="str">
        <f>'APPENDIX 6'!B33</f>
        <v>CONTINENTAL REINSURANCE</v>
      </c>
      <c r="C33" s="175">
        <f>'APPENDIX 6'!D33</f>
        <v>0</v>
      </c>
      <c r="D33" s="175">
        <f>'APPENDIX 7'!D33</f>
        <v>0</v>
      </c>
      <c r="E33" s="175">
        <f>'APPENDIX 12'!D33</f>
        <v>0</v>
      </c>
      <c r="F33" s="175">
        <f>'APPENDIX 13'!F33</f>
        <v>0</v>
      </c>
      <c r="G33" s="175">
        <f>'APPENDIX 8'!D33</f>
        <v>22961.78</v>
      </c>
      <c r="H33" s="175">
        <f>'APPENDIX 9'!D33</f>
        <v>0</v>
      </c>
      <c r="I33" s="175">
        <f>'APPENDIX 11'!D33</f>
        <v>0</v>
      </c>
      <c r="J33" s="175">
        <f>'APPENDIX 10'!D33</f>
        <v>0</v>
      </c>
      <c r="K33" s="77">
        <f>SUM(C33:J33)</f>
        <v>22961.78</v>
      </c>
      <c r="L33" s="9">
        <f>IFERROR(K33/$K$36,0)*100</f>
        <v>1.951153236183192</v>
      </c>
    </row>
    <row r="34" spans="2:12" ht="29.25" customHeight="1" x14ac:dyDescent="0.3">
      <c r="B34" s="6" t="str">
        <f>'APPENDIX 6'!B34</f>
        <v xml:space="preserve">EAST AFRICA REINSURANCE </v>
      </c>
      <c r="C34" s="175">
        <f>'APPENDIX 6'!D34</f>
        <v>34147.042739364973</v>
      </c>
      <c r="D34" s="175">
        <f>'APPENDIX 7'!D34</f>
        <v>0</v>
      </c>
      <c r="E34" s="175">
        <f>'APPENDIX 12'!D34</f>
        <v>0</v>
      </c>
      <c r="F34" s="175">
        <f>'APPENDIX 13'!F34</f>
        <v>0</v>
      </c>
      <c r="G34" s="175">
        <f>'APPENDIX 8'!D34</f>
        <v>327031.90304586821</v>
      </c>
      <c r="H34" s="175">
        <f>'APPENDIX 9'!D34</f>
        <v>0</v>
      </c>
      <c r="I34" s="175">
        <f>'APPENDIX 11'!D34</f>
        <v>0</v>
      </c>
      <c r="J34" s="175">
        <f>'APPENDIX 10'!D34</f>
        <v>0</v>
      </c>
      <c r="K34" s="77">
        <f>SUM(C34:J34)</f>
        <v>361178.94578523317</v>
      </c>
      <c r="L34" s="9">
        <f>IFERROR(K34/$K$36,0)*100</f>
        <v>30.690803104554238</v>
      </c>
    </row>
    <row r="35" spans="2:12" ht="29.25" customHeight="1" x14ac:dyDescent="0.3">
      <c r="B35" s="6" t="str">
        <f>'APPENDIX 6'!B35</f>
        <v>KENYA REINSURANCE CORPORATION</v>
      </c>
      <c r="C35" s="175">
        <f>'APPENDIX 6'!D35</f>
        <v>36014.078000000001</v>
      </c>
      <c r="D35" s="175">
        <f>'APPENDIX 7'!D35</f>
        <v>0</v>
      </c>
      <c r="E35" s="175">
        <f>'APPENDIX 12'!D35</f>
        <v>0</v>
      </c>
      <c r="F35" s="175">
        <f>'APPENDIX 13'!F35</f>
        <v>0</v>
      </c>
      <c r="G35" s="175">
        <f>'APPENDIX 8'!D35</f>
        <v>756676.39399999997</v>
      </c>
      <c r="H35" s="175">
        <f>'APPENDIX 9'!D35</f>
        <v>0</v>
      </c>
      <c r="I35" s="175">
        <f>'APPENDIX 11'!D35</f>
        <v>0</v>
      </c>
      <c r="J35" s="175">
        <f>'APPENDIX 10'!D35</f>
        <v>0</v>
      </c>
      <c r="K35" s="77">
        <f>SUM(C35:J35)</f>
        <v>792690.47199999995</v>
      </c>
      <c r="L35" s="9">
        <f>IFERROR(K35/$K$36,0)*100</f>
        <v>67.358043659262563</v>
      </c>
    </row>
    <row r="36" spans="2:12" s="5" customFormat="1" ht="29.25" customHeight="1" x14ac:dyDescent="0.3">
      <c r="B36" s="37" t="s">
        <v>90</v>
      </c>
      <c r="C36" s="79">
        <f t="shared" ref="C36:L36" si="3">SUM(C33:C35)</f>
        <v>70161.120739364967</v>
      </c>
      <c r="D36" s="72">
        <f t="shared" si="3"/>
        <v>0</v>
      </c>
      <c r="E36" s="72">
        <f t="shared" si="3"/>
        <v>0</v>
      </c>
      <c r="F36" s="72">
        <f t="shared" si="3"/>
        <v>0</v>
      </c>
      <c r="G36" s="72">
        <f t="shared" si="3"/>
        <v>1106670.0770458682</v>
      </c>
      <c r="H36" s="72">
        <f t="shared" si="3"/>
        <v>0</v>
      </c>
      <c r="I36" s="72">
        <f t="shared" si="3"/>
        <v>0</v>
      </c>
      <c r="J36" s="72">
        <f t="shared" si="3"/>
        <v>0</v>
      </c>
      <c r="K36" s="72">
        <f t="shared" si="3"/>
        <v>1176831.1977852331</v>
      </c>
      <c r="L36" s="80">
        <f t="shared" si="3"/>
        <v>100</v>
      </c>
    </row>
    <row r="37" spans="2:12" ht="18" customHeight="1" x14ac:dyDescent="0.3">
      <c r="B37" s="262" t="s">
        <v>98</v>
      </c>
      <c r="C37" s="238"/>
      <c r="D37" s="238"/>
      <c r="E37" s="238"/>
      <c r="F37" s="238"/>
      <c r="G37" s="238"/>
      <c r="H37" s="238"/>
      <c r="I37" s="238"/>
      <c r="J37" s="238"/>
      <c r="K37" s="238"/>
      <c r="L37" s="238"/>
    </row>
  </sheetData>
  <sheetProtection algorithmName="SHA-512" hashValue="68If93Y+QHq0OtRg53zyKVU4a8e7PJqY0jDBVRA7OMHPR0Ct75n5qblfvMGc4rVGHlhMBFCwNQ3or/5GpO8S7w==" saltValue="9qAP0hl93Bva5Rb1Bnowog==" spinCount="100000" sheet="1" objects="1" scenarios="1"/>
  <mergeCells count="4">
    <mergeCell ref="B5:L5"/>
    <mergeCell ref="B37:L37"/>
    <mergeCell ref="B32:L32"/>
    <mergeCell ref="B3:L3"/>
  </mergeCells>
  <pageMargins left="0.7" right="0.7" top="0.75" bottom="0.75" header="0.3" footer="0.3"/>
  <pageSetup paperSize="9" scale="45"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rgb="FF92D050"/>
    <pageSetUpPr fitToPage="1"/>
  </sheetPr>
  <dimension ref="A2:M37"/>
  <sheetViews>
    <sheetView zoomScale="70" zoomScaleNormal="70" workbookViewId="0">
      <pane xSplit="2" ySplit="5" topLeftCell="C6" activePane="bottomRight" state="frozen"/>
      <selection pane="topRight" activeCell="C1" sqref="C1"/>
      <selection pane="bottomLeft" activeCell="A6" sqref="A6"/>
      <selection pane="bottomRight" activeCell="C6" sqref="C6"/>
    </sheetView>
  </sheetViews>
  <sheetFormatPr defaultColWidth="9.453125" defaultRowHeight="14" x14ac:dyDescent="0.3"/>
  <cols>
    <col min="1" max="1" width="16.54296875" style="2" customWidth="1"/>
    <col min="2" max="2" width="56.54296875" style="2" customWidth="1"/>
    <col min="3" max="11" width="25.453125" style="2" customWidth="1"/>
    <col min="12" max="12" width="11.54296875" style="2" hidden="1" customWidth="1"/>
    <col min="13" max="13" width="9.453125" style="2" hidden="1" customWidth="1"/>
    <col min="14" max="63" width="9.453125" style="2" customWidth="1"/>
    <col min="64" max="16384" width="9.453125" style="2"/>
  </cols>
  <sheetData>
    <row r="2" spans="2:13" ht="24" customHeight="1" x14ac:dyDescent="0.3"/>
    <row r="3" spans="2:13" ht="21" customHeight="1" x14ac:dyDescent="0.35">
      <c r="B3" s="264" t="str">
        <f>_xlfn.CONCAT('Table of Contents'!B12,": ",'Table of Contents'!C12)</f>
        <v>APPENDIX 5: SUMMARY OF LONG TERM INSURANCE BUSINESS MARKET SHARE PER CLASS FOR THE PERIOD ENDED 31.03.2025</v>
      </c>
      <c r="C3" s="252"/>
      <c r="D3" s="252"/>
      <c r="E3" s="252"/>
      <c r="F3" s="252"/>
      <c r="G3" s="252"/>
      <c r="H3" s="252"/>
      <c r="I3" s="252"/>
      <c r="J3" s="252"/>
      <c r="K3" s="253"/>
    </row>
    <row r="4" spans="2:13" ht="39" customHeight="1" x14ac:dyDescent="0.3">
      <c r="B4" s="39" t="s">
        <v>36</v>
      </c>
      <c r="C4" s="45" t="s">
        <v>128</v>
      </c>
      <c r="D4" s="45" t="s">
        <v>129</v>
      </c>
      <c r="E4" s="45" t="s">
        <v>138</v>
      </c>
      <c r="F4" s="45" t="s">
        <v>131</v>
      </c>
      <c r="G4" s="45" t="s">
        <v>132</v>
      </c>
      <c r="H4" s="45" t="s">
        <v>133</v>
      </c>
      <c r="I4" s="45" t="s">
        <v>134</v>
      </c>
      <c r="J4" s="45" t="s">
        <v>135</v>
      </c>
      <c r="K4" s="45" t="s">
        <v>136</v>
      </c>
    </row>
    <row r="5" spans="2:13" ht="27.75" customHeight="1" x14ac:dyDescent="0.35">
      <c r="B5" s="261" t="s">
        <v>53</v>
      </c>
      <c r="C5" s="252"/>
      <c r="D5" s="252"/>
      <c r="E5" s="252"/>
      <c r="F5" s="252"/>
      <c r="G5" s="252"/>
      <c r="H5" s="252"/>
      <c r="I5" s="252"/>
      <c r="J5" s="252"/>
      <c r="K5" s="253"/>
    </row>
    <row r="6" spans="2:13" ht="27.75" customHeight="1" x14ac:dyDescent="0.3">
      <c r="B6" s="60" t="str">
        <f>'APPENDIX 6'!B6</f>
        <v>ABSA LIFE ASSURANCE</v>
      </c>
      <c r="C6" s="74">
        <f>IFERROR(('APPENDIX 4'!C6/'APPENDIX 4'!C$31)*100,0)</f>
        <v>12.035329676792474</v>
      </c>
      <c r="D6" s="74">
        <f>IFERROR(('APPENDIX 4'!D6/'APPENDIX 4'!D$31)*100,0)</f>
        <v>0</v>
      </c>
      <c r="E6" s="74">
        <f>IFERROR(('APPENDIX 4'!E6/'APPENDIX 4'!E$31)*100,0)</f>
        <v>0</v>
      </c>
      <c r="F6" s="74">
        <f>IFERROR(('APPENDIX 4'!F6/'APPENDIX 4'!F$31)*100,0)</f>
        <v>0</v>
      </c>
      <c r="G6" s="74">
        <f>IFERROR(('APPENDIX 4'!G6/'APPENDIX 4'!G$31)*100,0)</f>
        <v>19.507488974106828</v>
      </c>
      <c r="H6" s="74">
        <f>IFERROR(('APPENDIX 4'!H6/'APPENDIX 4'!H$31)*100,0)</f>
        <v>2.8101745260296811</v>
      </c>
      <c r="I6" s="74">
        <f>IFERROR(('APPENDIX 4'!I6/'APPENDIX 4'!I$31)*100,0)</f>
        <v>0</v>
      </c>
      <c r="J6" s="74">
        <f>IFERROR(('APPENDIX 4'!J6/'APPENDIX 4'!J$31)*100,0)</f>
        <v>0</v>
      </c>
      <c r="K6" s="75">
        <f>IFERROR(('APPENDIX 4'!K6/'APPENDIX 4'!K$31)*100,0)</f>
        <v>5.5632576762785133</v>
      </c>
      <c r="L6" s="2">
        <f t="shared" ref="L6:L30" si="0">RANK(K6,$K$6:$K$30)</f>
        <v>6</v>
      </c>
      <c r="M6" s="2">
        <f>COUNTIF(K6:K30,"&gt;5")</f>
        <v>6</v>
      </c>
    </row>
    <row r="7" spans="2:13" ht="27.75" customHeight="1" x14ac:dyDescent="0.3">
      <c r="B7" s="8" t="str">
        <f>'APPENDIX 6'!B7</f>
        <v xml:space="preserve">APA LIFE ASSURANCE COMPANY </v>
      </c>
      <c r="C7" s="74">
        <f>IFERROR(('APPENDIX 4'!C7/'APPENDIX 4'!C$31)*100,0)</f>
        <v>1.1915935601633691</v>
      </c>
      <c r="D7" s="74">
        <f>IFERROR(('APPENDIX 4'!D7/'APPENDIX 4'!D$31)*100,0)</f>
        <v>0.56777583562081257</v>
      </c>
      <c r="E7" s="74">
        <f>IFERROR(('APPENDIX 4'!E7/'APPENDIX 4'!E$31)*100,0)</f>
        <v>1.0231365783801958</v>
      </c>
      <c r="F7" s="74">
        <f>IFERROR(('APPENDIX 4'!F7/'APPENDIX 4'!F$31)*100,0)</f>
        <v>1.5397670485779191</v>
      </c>
      <c r="G7" s="74">
        <f>IFERROR(('APPENDIX 4'!G7/'APPENDIX 4'!G$31)*100,0)</f>
        <v>10.478951037604716</v>
      </c>
      <c r="H7" s="74">
        <f>IFERROR(('APPENDIX 4'!H7/'APPENDIX 4'!H$31)*100,0)</f>
        <v>3.4354164590382168</v>
      </c>
      <c r="I7" s="74">
        <f>IFERROR(('APPENDIX 4'!I7/'APPENDIX 4'!I$31)*100,0)</f>
        <v>0</v>
      </c>
      <c r="J7" s="74">
        <f>IFERROR(('APPENDIX 4'!J7/'APPENDIX 4'!J$31)*100,0)</f>
        <v>26.627754063438619</v>
      </c>
      <c r="K7" s="75">
        <f>IFERROR(('APPENDIX 4'!K7/'APPENDIX 4'!K$31)*100,0)</f>
        <v>4.6769841754568393</v>
      </c>
      <c r="L7" s="2">
        <f t="shared" si="0"/>
        <v>7</v>
      </c>
    </row>
    <row r="8" spans="2:13" ht="27.75" customHeight="1" x14ac:dyDescent="0.3">
      <c r="B8" s="8" t="str">
        <f>'APPENDIX 6'!B8</f>
        <v>BRITAM LIFE ASSURANCE</v>
      </c>
      <c r="C8" s="74">
        <f>IFERROR(('APPENDIX 4'!C8/'APPENDIX 4'!C$31)*100,0)</f>
        <v>24.117881126950124</v>
      </c>
      <c r="D8" s="74">
        <f>IFERROR(('APPENDIX 4'!D8/'APPENDIX 4'!D$31)*100,0)</f>
        <v>46.046962400368201</v>
      </c>
      <c r="E8" s="74">
        <f>IFERROR(('APPENDIX 4'!E8/'APPENDIX 4'!E$31)*100,0)</f>
        <v>19.419809430286115</v>
      </c>
      <c r="F8" s="74">
        <f>IFERROR(('APPENDIX 4'!F8/'APPENDIX 4'!F$31)*100,0)</f>
        <v>7.8347108666079048</v>
      </c>
      <c r="G8" s="74">
        <f>IFERROR(('APPENDIX 4'!G8/'APPENDIX 4'!G$31)*100,0)</f>
        <v>6.9914432213688888</v>
      </c>
      <c r="H8" s="74">
        <f>IFERROR(('APPENDIX 4'!H8/'APPENDIX 4'!H$31)*100,0)</f>
        <v>2.1749429070375137</v>
      </c>
      <c r="I8" s="74">
        <f>IFERROR(('APPENDIX 4'!I8/'APPENDIX 4'!I$31)*100,0)</f>
        <v>0</v>
      </c>
      <c r="J8" s="74">
        <f>IFERROR(('APPENDIX 4'!J8/'APPENDIX 4'!J$31)*100,0)</f>
        <v>58.552977488310617</v>
      </c>
      <c r="K8" s="75">
        <f>IFERROR(('APPENDIX 4'!K8/'APPENDIX 4'!K$31)*100,0)</f>
        <v>18.072905400125151</v>
      </c>
      <c r="L8" s="2">
        <f t="shared" si="0"/>
        <v>1</v>
      </c>
    </row>
    <row r="9" spans="2:13" ht="27.75" customHeight="1" x14ac:dyDescent="0.3">
      <c r="B9" s="8" t="str">
        <f>'APPENDIX 6'!B9</f>
        <v>CANNON LIFE ASSURANCE (K) LIMITED</v>
      </c>
      <c r="C9" s="74">
        <f>IFERROR(('APPENDIX 4'!C9/'APPENDIX 4'!C$31)*100,0)</f>
        <v>5.5581947906723023E-2</v>
      </c>
      <c r="D9" s="74">
        <f>IFERROR(('APPENDIX 4'!D9/'APPENDIX 4'!D$31)*100,0)</f>
        <v>0</v>
      </c>
      <c r="E9" s="74">
        <f>IFERROR(('APPENDIX 4'!E9/'APPENDIX 4'!E$31)*100,0)</f>
        <v>0</v>
      </c>
      <c r="F9" s="74">
        <f>IFERROR(('APPENDIX 4'!F9/'APPENDIX 4'!F$31)*100,0)</f>
        <v>0</v>
      </c>
      <c r="G9" s="74">
        <f>IFERROR(('APPENDIX 4'!G9/'APPENDIX 4'!G$31)*100,0)</f>
        <v>3.1595635308531955</v>
      </c>
      <c r="H9" s="74">
        <f>IFERROR(('APPENDIX 4'!H9/'APPENDIX 4'!H$31)*100,0)</f>
        <v>7.400057212234018E-2</v>
      </c>
      <c r="I9" s="74">
        <f>IFERROR(('APPENDIX 4'!I9/'APPENDIX 4'!I$31)*100,0)</f>
        <v>0</v>
      </c>
      <c r="J9" s="74">
        <f>IFERROR(('APPENDIX 4'!J9/'APPENDIX 4'!J$31)*100,0)</f>
        <v>0</v>
      </c>
      <c r="K9" s="75">
        <f>IFERROR(('APPENDIX 4'!K9/'APPENDIX 4'!K$31)*100,0)</f>
        <v>0.44347466557695425</v>
      </c>
      <c r="L9" s="2">
        <f t="shared" si="0"/>
        <v>20</v>
      </c>
    </row>
    <row r="10" spans="2:13" ht="27.75" customHeight="1" x14ac:dyDescent="0.3">
      <c r="B10" s="8" t="str">
        <f>'APPENDIX 6'!B10</f>
        <v>CAPEX LIFE ASSURANCE COMPANY</v>
      </c>
      <c r="C10" s="74">
        <f>IFERROR(('APPENDIX 4'!C10/'APPENDIX 4'!C$31)*100,0)</f>
        <v>6.5105049430092821E-2</v>
      </c>
      <c r="D10" s="74">
        <f>IFERROR(('APPENDIX 4'!D10/'APPENDIX 4'!D$31)*100,0)</f>
        <v>3.8766929741726144</v>
      </c>
      <c r="E10" s="74">
        <f>IFERROR(('APPENDIX 4'!E10/'APPENDIX 4'!E$31)*100,0)</f>
        <v>0</v>
      </c>
      <c r="F10" s="74">
        <f>IFERROR(('APPENDIX 4'!F10/'APPENDIX 4'!F$31)*100,0)</f>
        <v>0</v>
      </c>
      <c r="G10" s="74">
        <f>IFERROR(('APPENDIX 4'!G10/'APPENDIX 4'!G$31)*100,0)</f>
        <v>2.7927985287564412</v>
      </c>
      <c r="H10" s="74">
        <f>IFERROR(('APPENDIX 4'!H10/'APPENDIX 4'!H$31)*100,0)</f>
        <v>0.77603589476684975</v>
      </c>
      <c r="I10" s="74">
        <f>IFERROR(('APPENDIX 4'!I10/'APPENDIX 4'!I$31)*100,0)</f>
        <v>0</v>
      </c>
      <c r="J10" s="74">
        <f>IFERROR(('APPENDIX 4'!J10/'APPENDIX 4'!J$31)*100,0)</f>
        <v>0</v>
      </c>
      <c r="K10" s="75">
        <f>IFERROR(('APPENDIX 4'!K10/'APPENDIX 4'!K$31)*100,0)</f>
        <v>0.70816137166349513</v>
      </c>
      <c r="L10" s="2">
        <f t="shared" si="0"/>
        <v>18</v>
      </c>
    </row>
    <row r="11" spans="2:13" ht="27.75" customHeight="1" x14ac:dyDescent="0.3">
      <c r="B11" s="8" t="str">
        <f>'APPENDIX 6'!B11</f>
        <v>CIC LIFE ASSURANCE COMPANY</v>
      </c>
      <c r="C11" s="74">
        <f>IFERROR(('APPENDIX 4'!C11/'APPENDIX 4'!C$31)*100,0)</f>
        <v>2.7617734077698688</v>
      </c>
      <c r="D11" s="74">
        <f>IFERROR(('APPENDIX 4'!D11/'APPENDIX 4'!D$31)*100,0)</f>
        <v>3.6163638309819564</v>
      </c>
      <c r="E11" s="74">
        <f>IFERROR(('APPENDIX 4'!E11/'APPENDIX 4'!E$31)*100,0)</f>
        <v>0</v>
      </c>
      <c r="F11" s="74">
        <f>IFERROR(('APPENDIX 4'!F11/'APPENDIX 4'!F$31)*100,0)</f>
        <v>5.2363067155287668</v>
      </c>
      <c r="G11" s="74">
        <f>IFERROR(('APPENDIX 4'!G11/'APPENDIX 4'!G$31)*100,0)</f>
        <v>5.4273428004053068</v>
      </c>
      <c r="H11" s="74">
        <f>IFERROR(('APPENDIX 4'!H11/'APPENDIX 4'!H$31)*100,0)</f>
        <v>42.400160256287258</v>
      </c>
      <c r="I11" s="74">
        <f>IFERROR(('APPENDIX 4'!I11/'APPENDIX 4'!I$31)*100,0)</f>
        <v>0</v>
      </c>
      <c r="J11" s="74">
        <f>IFERROR(('APPENDIX 4'!J11/'APPENDIX 4'!J$31)*100,0)</f>
        <v>0</v>
      </c>
      <c r="K11" s="75">
        <f>IFERROR(('APPENDIX 4'!K11/'APPENDIX 4'!K$31)*100,0)</f>
        <v>7.5781406711861647</v>
      </c>
      <c r="L11" s="2">
        <f t="shared" si="0"/>
        <v>5</v>
      </c>
    </row>
    <row r="12" spans="2:13" ht="27.75" customHeight="1" x14ac:dyDescent="0.3">
      <c r="B12" s="8" t="str">
        <f>'APPENDIX 6'!B12</f>
        <v>CORPORATE INSURANCE COMPANY</v>
      </c>
      <c r="C12" s="74">
        <f>IFERROR(('APPENDIX 4'!C12/'APPENDIX 4'!C$31)*100,0)</f>
        <v>7.1653469740218953E-2</v>
      </c>
      <c r="D12" s="74">
        <f>IFERROR(('APPENDIX 4'!D12/'APPENDIX 4'!D$31)*100,0)</f>
        <v>0</v>
      </c>
      <c r="E12" s="74">
        <f>IFERROR(('APPENDIX 4'!E12/'APPENDIX 4'!E$31)*100,0)</f>
        <v>0</v>
      </c>
      <c r="F12" s="74">
        <f>IFERROR(('APPENDIX 4'!F12/'APPENDIX 4'!F$31)*100,0)</f>
        <v>0</v>
      </c>
      <c r="G12" s="74">
        <f>IFERROR(('APPENDIX 4'!G12/'APPENDIX 4'!G$31)*100,0)</f>
        <v>0</v>
      </c>
      <c r="H12" s="74">
        <f>IFERROR(('APPENDIX 4'!H12/'APPENDIX 4'!H$31)*100,0)</f>
        <v>0</v>
      </c>
      <c r="I12" s="74">
        <f>IFERROR(('APPENDIX 4'!I12/'APPENDIX 4'!I$31)*100,0)</f>
        <v>0</v>
      </c>
      <c r="J12" s="74">
        <f>IFERROR(('APPENDIX 4'!J12/'APPENDIX 4'!J$31)*100,0)</f>
        <v>0</v>
      </c>
      <c r="K12" s="75">
        <f>IFERROR(('APPENDIX 4'!K12/'APPENDIX 4'!K$31)*100,0)</f>
        <v>1.581633177008316E-2</v>
      </c>
      <c r="L12" s="2">
        <f t="shared" si="0"/>
        <v>23</v>
      </c>
    </row>
    <row r="13" spans="2:13" ht="27.75" customHeight="1" x14ac:dyDescent="0.3">
      <c r="B13" s="8" t="str">
        <f>'APPENDIX 6'!B13</f>
        <v xml:space="preserve">EQUITY LIFE ASSURANCE </v>
      </c>
      <c r="C13" s="74">
        <f>IFERROR(('APPENDIX 4'!C13/'APPENDIX 4'!C$31)*100,0)</f>
        <v>0</v>
      </c>
      <c r="D13" s="74">
        <f>IFERROR(('APPENDIX 4'!D13/'APPENDIX 4'!D$31)*100,0)</f>
        <v>0</v>
      </c>
      <c r="E13" s="74">
        <f>IFERROR(('APPENDIX 4'!E13/'APPENDIX 4'!E$31)*100,0)</f>
        <v>1.1841901720907062</v>
      </c>
      <c r="F13" s="74">
        <f>IFERROR(('APPENDIX 4'!F13/'APPENDIX 4'!F$31)*100,0)</f>
        <v>3.84307626058379</v>
      </c>
      <c r="G13" s="74">
        <f>IFERROR(('APPENDIX 4'!G13/'APPENDIX 4'!G$31)*100,0)</f>
        <v>8.0224431454683423</v>
      </c>
      <c r="H13" s="74">
        <f>IFERROR(('APPENDIX 4'!H13/'APPENDIX 4'!H$31)*100,0)</f>
        <v>11.761330387620323</v>
      </c>
      <c r="I13" s="74">
        <f>IFERROR(('APPENDIX 4'!I13/'APPENDIX 4'!I$31)*100,0)</f>
        <v>0</v>
      </c>
      <c r="J13" s="74">
        <f>IFERROR(('APPENDIX 4'!J13/'APPENDIX 4'!J$31)*100,0)</f>
        <v>3.7907133354826414</v>
      </c>
      <c r="K13" s="75">
        <f>IFERROR(('APPENDIX 4'!K13/'APPENDIX 4'!K$31)*100,0)</f>
        <v>3.8854240077802444</v>
      </c>
      <c r="L13" s="2">
        <f t="shared" si="0"/>
        <v>8</v>
      </c>
    </row>
    <row r="14" spans="2:13" ht="27.75" customHeight="1" x14ac:dyDescent="0.3">
      <c r="B14" s="60" t="str">
        <f>'APPENDIX 6'!B14</f>
        <v xml:space="preserve">GA LIFE ASSURANCE COMPANY </v>
      </c>
      <c r="C14" s="74">
        <f>IFERROR(('APPENDIX 4'!C14/'APPENDIX 4'!C$31)*100,0)</f>
        <v>0.15466544283252082</v>
      </c>
      <c r="D14" s="74">
        <f>IFERROR(('APPENDIX 4'!D14/'APPENDIX 4'!D$31)*100,0)</f>
        <v>0</v>
      </c>
      <c r="E14" s="74">
        <f>IFERROR(('APPENDIX 4'!E14/'APPENDIX 4'!E$31)*100,0)</f>
        <v>6.147900764207912</v>
      </c>
      <c r="F14" s="74">
        <f>IFERROR(('APPENDIX 4'!F14/'APPENDIX 4'!F$31)*100,0)</f>
        <v>30.564915553523246</v>
      </c>
      <c r="G14" s="74">
        <f>IFERROR(('APPENDIX 4'!G14/'APPENDIX 4'!G$31)*100,0)</f>
        <v>0.47910253337865255</v>
      </c>
      <c r="H14" s="74">
        <f>IFERROR(('APPENDIX 4'!H14/'APPENDIX 4'!H$31)*100,0)</f>
        <v>1.6164790045771413E-2</v>
      </c>
      <c r="I14" s="74">
        <f>IFERROR(('APPENDIX 4'!I14/'APPENDIX 4'!I$31)*100,0)</f>
        <v>0</v>
      </c>
      <c r="J14" s="74">
        <f>IFERROR(('APPENDIX 4'!J14/'APPENDIX 4'!J$31)*100,0)</f>
        <v>0</v>
      </c>
      <c r="K14" s="75">
        <f>IFERROR(('APPENDIX 4'!K14/'APPENDIX 4'!K$31)*100,0)</f>
        <v>10.111630552947796</v>
      </c>
      <c r="L14" s="2">
        <f t="shared" si="0"/>
        <v>4</v>
      </c>
    </row>
    <row r="15" spans="2:13" ht="27.75" customHeight="1" x14ac:dyDescent="0.3">
      <c r="B15" s="8" t="str">
        <f>'APPENDIX 6'!B15</f>
        <v>GEMINIA LIFE INSURANCE COMPANY</v>
      </c>
      <c r="C15" s="74">
        <f>IFERROR(('APPENDIX 4'!C15/'APPENDIX 4'!C$31)*100,0)</f>
        <v>0.14608662570585051</v>
      </c>
      <c r="D15" s="74">
        <f>IFERROR(('APPENDIX 4'!D15/'APPENDIX 4'!D$31)*100,0)</f>
        <v>0</v>
      </c>
      <c r="E15" s="74">
        <f>IFERROR(('APPENDIX 4'!E15/'APPENDIX 4'!E$31)*100,0)</f>
        <v>3.2715661466810846</v>
      </c>
      <c r="F15" s="74">
        <f>IFERROR(('APPENDIX 4'!F15/'APPENDIX 4'!F$31)*100,0)</f>
        <v>3.6282546817035777</v>
      </c>
      <c r="G15" s="74">
        <f>IFERROR(('APPENDIX 4'!G15/'APPENDIX 4'!G$31)*100,0)</f>
        <v>1.7118015685981487</v>
      </c>
      <c r="H15" s="74">
        <f>IFERROR(('APPENDIX 4'!H15/'APPENDIX 4'!H$31)*100,0)</f>
        <v>1.452181760853797</v>
      </c>
      <c r="I15" s="74">
        <f>IFERROR(('APPENDIX 4'!I15/'APPENDIX 4'!I$31)*100,0)</f>
        <v>0</v>
      </c>
      <c r="J15" s="74">
        <f>IFERROR(('APPENDIX 4'!J15/'APPENDIX 4'!J$31)*100,0)</f>
        <v>4.1018935093462137</v>
      </c>
      <c r="K15" s="75">
        <f>IFERROR(('APPENDIX 4'!K15/'APPENDIX 4'!K$31)*100,0)</f>
        <v>2.1559720569284244</v>
      </c>
      <c r="L15" s="2">
        <f t="shared" si="0"/>
        <v>14</v>
      </c>
    </row>
    <row r="16" spans="2:13" ht="27.75" customHeight="1" x14ac:dyDescent="0.3">
      <c r="B16" s="8" t="str">
        <f>'APPENDIX 6'!B16</f>
        <v xml:space="preserve">ICEA LION LIFE ASSURANCE </v>
      </c>
      <c r="C16" s="74">
        <f>IFERROR(('APPENDIX 4'!C16/'APPENDIX 4'!C$31)*100,0)</f>
        <v>15.800674685340732</v>
      </c>
      <c r="D16" s="74">
        <f>IFERROR(('APPENDIX 4'!D16/'APPENDIX 4'!D$31)*100,0)</f>
        <v>15.735768175339901</v>
      </c>
      <c r="E16" s="74">
        <f>IFERROR(('APPENDIX 4'!E16/'APPENDIX 4'!E$31)*100,0)</f>
        <v>37.741289946602961</v>
      </c>
      <c r="F16" s="74">
        <f>IFERROR(('APPENDIX 4'!F16/'APPENDIX 4'!F$31)*100,0)</f>
        <v>15.004254537218584</v>
      </c>
      <c r="G16" s="74">
        <f>IFERROR(('APPENDIX 4'!G16/'APPENDIX 4'!G$31)*100,0)</f>
        <v>2.604318817342365</v>
      </c>
      <c r="H16" s="74">
        <f>IFERROR(('APPENDIX 4'!H16/'APPENDIX 4'!H$31)*100,0)</f>
        <v>0.63367019162710181</v>
      </c>
      <c r="I16" s="74">
        <f>IFERROR(('APPENDIX 4'!I16/'APPENDIX 4'!I$31)*100,0)</f>
        <v>0</v>
      </c>
      <c r="J16" s="74">
        <f>IFERROR(('APPENDIX 4'!J16/'APPENDIX 4'!J$31)*100,0)</f>
        <v>3.1968806642469032E-2</v>
      </c>
      <c r="K16" s="75">
        <f>IFERROR(('APPENDIX 4'!K16/'APPENDIX 4'!K$31)*100,0)</f>
        <v>13.066251015432362</v>
      </c>
      <c r="L16" s="2">
        <f t="shared" si="0"/>
        <v>3</v>
      </c>
    </row>
    <row r="17" spans="2:12" ht="27.75" customHeight="1" x14ac:dyDescent="0.3">
      <c r="B17" s="3" t="str">
        <f>'APPENDIX 6'!B17</f>
        <v>JUBILEE LIFE INSURANCE</v>
      </c>
      <c r="C17" s="74">
        <f>IFERROR(('APPENDIX 4'!C17/'APPENDIX 4'!C$31)*100,0)</f>
        <v>14.394659659935396</v>
      </c>
      <c r="D17" s="74">
        <f>IFERROR(('APPENDIX 4'!D17/'APPENDIX 4'!D$31)*100,0)</f>
        <v>17.534887664707814</v>
      </c>
      <c r="E17" s="74">
        <f>IFERROR(('APPENDIX 4'!E17/'APPENDIX 4'!E$31)*100,0)</f>
        <v>13.300508153367707</v>
      </c>
      <c r="F17" s="74">
        <f>IFERROR(('APPENDIX 4'!F17/'APPENDIX 4'!F$31)*100,0)</f>
        <v>21.920805162866206</v>
      </c>
      <c r="G17" s="74">
        <f>IFERROR(('APPENDIX 4'!G17/'APPENDIX 4'!G$31)*100,0)</f>
        <v>5.8697224111627877</v>
      </c>
      <c r="H17" s="74">
        <f>IFERROR(('APPENDIX 4'!H17/'APPENDIX 4'!H$31)*100,0)</f>
        <v>1.6776081827401768</v>
      </c>
      <c r="I17" s="74">
        <f>IFERROR(('APPENDIX 4'!I17/'APPENDIX 4'!I$31)*100,0)</f>
        <v>0</v>
      </c>
      <c r="J17" s="74">
        <f>IFERROR(('APPENDIX 4'!J17/'APPENDIX 4'!J$31)*100,0)</f>
        <v>0</v>
      </c>
      <c r="K17" s="75">
        <f>IFERROR(('APPENDIX 4'!K17/'APPENDIX 4'!K$31)*100,0)</f>
        <v>13.238057766796466</v>
      </c>
      <c r="L17" s="2">
        <f t="shared" si="0"/>
        <v>2</v>
      </c>
    </row>
    <row r="18" spans="2:12" ht="27.75" customHeight="1" x14ac:dyDescent="0.3">
      <c r="B18" s="8" t="str">
        <f>'APPENDIX 6'!B18</f>
        <v>KENINDIA ASSURANCE COMPANY</v>
      </c>
      <c r="C18" s="74">
        <f>IFERROR(('APPENDIX 4'!C18/'APPENDIX 4'!C$31)*100,0)</f>
        <v>5.7681030573346908</v>
      </c>
      <c r="D18" s="74">
        <f>IFERROR(('APPENDIX 4'!D18/'APPENDIX 4'!D$31)*100,0)</f>
        <v>2.9471524774611546</v>
      </c>
      <c r="E18" s="74">
        <f>IFERROR(('APPENDIX 4'!E18/'APPENDIX 4'!E$31)*100,0)</f>
        <v>6.6907025215833862</v>
      </c>
      <c r="F18" s="74">
        <f>IFERROR(('APPENDIX 4'!F18/'APPENDIX 4'!F$31)*100,0)</f>
        <v>4.8124161016385543</v>
      </c>
      <c r="G18" s="74">
        <f>IFERROR(('APPENDIX 4'!G18/'APPENDIX 4'!G$31)*100,0)</f>
        <v>0.33936432960833157</v>
      </c>
      <c r="H18" s="74">
        <f>IFERROR(('APPENDIX 4'!H18/'APPENDIX 4'!H$31)*100,0)</f>
        <v>5.4470835682991813E-4</v>
      </c>
      <c r="I18" s="74">
        <f>IFERROR(('APPENDIX 4'!I18/'APPENDIX 4'!I$31)*100,0)</f>
        <v>0</v>
      </c>
      <c r="J18" s="74">
        <f>IFERROR(('APPENDIX 4'!J18/'APPENDIX 4'!J$31)*100,0)</f>
        <v>0</v>
      </c>
      <c r="K18" s="75">
        <f>IFERROR(('APPENDIX 4'!K18/'APPENDIX 4'!K$31)*100,0)</f>
        <v>3.6167336997810815</v>
      </c>
      <c r="L18" s="2">
        <f t="shared" si="0"/>
        <v>9</v>
      </c>
    </row>
    <row r="19" spans="2:12" ht="27.75" customHeight="1" x14ac:dyDescent="0.3">
      <c r="B19" s="8" t="str">
        <f>'APPENDIX 6'!B19</f>
        <v>KENYA ORIENT LIFE ASSURANCE</v>
      </c>
      <c r="C19" s="74">
        <f>IFERROR(('APPENDIX 4'!C19/'APPENDIX 4'!C$31)*100,0)</f>
        <v>0.14435627095932224</v>
      </c>
      <c r="D19" s="74">
        <f>IFERROR(('APPENDIX 4'!D19/'APPENDIX 4'!D$31)*100,0)</f>
        <v>3.215718433502837</v>
      </c>
      <c r="E19" s="74">
        <f>IFERROR(('APPENDIX 4'!E19/'APPENDIX 4'!E$31)*100,0)</f>
        <v>0.28868297550995836</v>
      </c>
      <c r="F19" s="74">
        <f>IFERROR(('APPENDIX 4'!F19/'APPENDIX 4'!F$31)*100,0)</f>
        <v>0.31036992113631739</v>
      </c>
      <c r="G19" s="74">
        <f>IFERROR(('APPENDIX 4'!G19/'APPENDIX 4'!G$31)*100,0)</f>
        <v>0.56014698497123128</v>
      </c>
      <c r="H19" s="74">
        <f>IFERROR(('APPENDIX 4'!H19/'APPENDIX 4'!H$31)*100,0)</f>
        <v>2.4601432804498935</v>
      </c>
      <c r="I19" s="74">
        <f>IFERROR(('APPENDIX 4'!I19/'APPENDIX 4'!I$31)*100,0)</f>
        <v>0</v>
      </c>
      <c r="J19" s="74">
        <f>IFERROR(('APPENDIX 4'!J19/'APPENDIX 4'!J$31)*100,0)</f>
        <v>0</v>
      </c>
      <c r="K19" s="75">
        <f>IFERROR(('APPENDIX 4'!K19/'APPENDIX 4'!K$31)*100,0)</f>
        <v>0.68353218561729345</v>
      </c>
      <c r="L19" s="2">
        <f t="shared" si="0"/>
        <v>19</v>
      </c>
    </row>
    <row r="20" spans="2:12" ht="27.75" customHeight="1" x14ac:dyDescent="0.3">
      <c r="B20" s="8" t="str">
        <f>'APPENDIX 6'!B20</f>
        <v>KUSCCO MUTUAL ASSURANCE LIMITED</v>
      </c>
      <c r="C20" s="74">
        <f>IFERROR(('APPENDIX 4'!C20/'APPENDIX 4'!C$31)*100,0)</f>
        <v>4.1351410173828242E-2</v>
      </c>
      <c r="D20" s="74">
        <f>IFERROR(('APPENDIX 4'!D20/'APPENDIX 4'!D$31)*100,0)</f>
        <v>1.7314582711486677</v>
      </c>
      <c r="E20" s="74">
        <f>IFERROR(('APPENDIX 4'!E20/'APPENDIX 4'!E$31)*100,0)</f>
        <v>0</v>
      </c>
      <c r="F20" s="74">
        <f>IFERROR(('APPENDIX 4'!F20/'APPENDIX 4'!F$31)*100,0)</f>
        <v>0</v>
      </c>
      <c r="G20" s="74">
        <f>IFERROR(('APPENDIX 4'!G20/'APPENDIX 4'!G$31)*100,0)</f>
        <v>0.13232966531488866</v>
      </c>
      <c r="H20" s="74">
        <f>IFERROR(('APPENDIX 4'!H20/'APPENDIX 4'!H$31)*100,0)</f>
        <v>6.5893283060726597</v>
      </c>
      <c r="I20" s="74">
        <f>IFERROR(('APPENDIX 4'!I20/'APPENDIX 4'!I$31)*100,0)</f>
        <v>0</v>
      </c>
      <c r="J20" s="74">
        <f>IFERROR(('APPENDIX 4'!J20/'APPENDIX 4'!J$31)*100,0)</f>
        <v>0</v>
      </c>
      <c r="K20" s="75">
        <f>IFERROR(('APPENDIX 4'!K20/'APPENDIX 4'!K$31)*100,0)</f>
        <v>0.81772097910278907</v>
      </c>
      <c r="L20" s="2">
        <f t="shared" si="0"/>
        <v>17</v>
      </c>
    </row>
    <row r="21" spans="2:12" ht="27.75" customHeight="1" x14ac:dyDescent="0.3">
      <c r="B21" s="8" t="str">
        <f>'APPENDIX 6'!B21</f>
        <v>LIBERTY LIFE ASSURANCE COMPANY</v>
      </c>
      <c r="C21" s="74">
        <f>IFERROR(('APPENDIX 4'!C21/'APPENDIX 4'!C$31)*100,0)</f>
        <v>3.3836703946486675</v>
      </c>
      <c r="D21" s="74">
        <f>IFERROR(('APPENDIX 4'!D21/'APPENDIX 4'!D$31)*100,0)</f>
        <v>0</v>
      </c>
      <c r="E21" s="74">
        <f>IFERROR(('APPENDIX 4'!E21/'APPENDIX 4'!E$31)*100,0)</f>
        <v>5.8712900517355564</v>
      </c>
      <c r="F21" s="74">
        <f>IFERROR(('APPENDIX 4'!F21/'APPENDIX 4'!F$31)*100,0)</f>
        <v>0.36294583215478765</v>
      </c>
      <c r="G21" s="74">
        <f>IFERROR(('APPENDIX 4'!G21/'APPENDIX 4'!G$31)*100,0)</f>
        <v>4.3526822872087809</v>
      </c>
      <c r="H21" s="74">
        <f>IFERROR(('APPENDIX 4'!H21/'APPENDIX 4'!H$31)*100,0)</f>
        <v>4.091978828088557</v>
      </c>
      <c r="I21" s="74">
        <f>IFERROR(('APPENDIX 4'!I21/'APPENDIX 4'!I$31)*100,0)</f>
        <v>0</v>
      </c>
      <c r="J21" s="74">
        <f>IFERROR(('APPENDIX 4'!J21/'APPENDIX 4'!J$31)*100,0)</f>
        <v>3.6184960656312346</v>
      </c>
      <c r="K21" s="75">
        <f>IFERROR(('APPENDIX 4'!K21/'APPENDIX 4'!K$31)*100,0)</f>
        <v>2.6993336805194699</v>
      </c>
      <c r="L21" s="2">
        <f t="shared" si="0"/>
        <v>12</v>
      </c>
    </row>
    <row r="22" spans="2:12" ht="27.75" customHeight="1" x14ac:dyDescent="0.3">
      <c r="B22" s="8" t="str">
        <f>'APPENDIX 6'!B22</f>
        <v>MADISON INSURANCE COMPANY</v>
      </c>
      <c r="C22" s="74">
        <f>IFERROR(('APPENDIX 4'!C22/'APPENDIX 4'!C$31)*100,0)</f>
        <v>5.229304455082481</v>
      </c>
      <c r="D22" s="74">
        <f>IFERROR(('APPENDIX 4'!D22/'APPENDIX 4'!D$31)*100,0)</f>
        <v>0</v>
      </c>
      <c r="E22" s="74">
        <f>IFERROR(('APPENDIX 4'!E22/'APPENDIX 4'!E$31)*100,0)</f>
        <v>0.65399720866380451</v>
      </c>
      <c r="F22" s="74">
        <f>IFERROR(('APPENDIX 4'!F22/'APPENDIX 4'!F$31)*100,0)</f>
        <v>0.76492199203013767</v>
      </c>
      <c r="G22" s="74">
        <f>IFERROR(('APPENDIX 4'!G22/'APPENDIX 4'!G$31)*100,0)</f>
        <v>4.3748426565665888</v>
      </c>
      <c r="H22" s="74">
        <f>IFERROR(('APPENDIX 4'!H22/'APPENDIX 4'!H$31)*100,0)</f>
        <v>3.4298514589511839</v>
      </c>
      <c r="I22" s="74">
        <f>IFERROR(('APPENDIX 4'!I22/'APPENDIX 4'!I$31)*100,0)</f>
        <v>0</v>
      </c>
      <c r="J22" s="74">
        <f>IFERROR(('APPENDIX 4'!J22/'APPENDIX 4'!J$31)*100,0)</f>
        <v>5.9909963374755008E-3</v>
      </c>
      <c r="K22" s="75">
        <f>IFERROR(('APPENDIX 4'!K22/'APPENDIX 4'!K$31)*100,0)</f>
        <v>2.3950432393918319</v>
      </c>
      <c r="L22" s="2">
        <f t="shared" si="0"/>
        <v>13</v>
      </c>
    </row>
    <row r="23" spans="2:12" ht="27.75" customHeight="1" x14ac:dyDescent="0.3">
      <c r="B23" s="8" t="str">
        <f>'APPENDIX 6'!B23</f>
        <v>OLD MUTUAL ASSURANCE COMPANY</v>
      </c>
      <c r="C23" s="74">
        <f>IFERROR(('APPENDIX 4'!C23/'APPENDIX 4'!C$31)*100,0)</f>
        <v>1.5011674900625704</v>
      </c>
      <c r="D23" s="74">
        <f>IFERROR(('APPENDIX 4'!D23/'APPENDIX 4'!D$31)*100,0)</f>
        <v>0</v>
      </c>
      <c r="E23" s="74">
        <f>IFERROR(('APPENDIX 4'!E23/'APPENDIX 4'!E$31)*100,0)</f>
        <v>0</v>
      </c>
      <c r="F23" s="74">
        <f>IFERROR(('APPENDIX 4'!F23/'APPENDIX 4'!F$31)*100,0)</f>
        <v>0</v>
      </c>
      <c r="G23" s="74">
        <f>IFERROR(('APPENDIX 4'!G23/'APPENDIX 4'!G$31)*100,0)</f>
        <v>0</v>
      </c>
      <c r="H23" s="74">
        <f>IFERROR(('APPENDIX 4'!H23/'APPENDIX 4'!H$31)*100,0)</f>
        <v>0</v>
      </c>
      <c r="I23" s="74">
        <f>IFERROR(('APPENDIX 4'!I23/'APPENDIX 4'!I$31)*100,0)</f>
        <v>0</v>
      </c>
      <c r="J23" s="74">
        <f>IFERROR(('APPENDIX 4'!J23/'APPENDIX 4'!J$31)*100,0)</f>
        <v>1.286684279094741</v>
      </c>
      <c r="K23" s="75">
        <f>IFERROR(('APPENDIX 4'!K23/'APPENDIX 4'!K$31)*100,0)</f>
        <v>0.43022072328728134</v>
      </c>
      <c r="L23" s="2">
        <f t="shared" si="0"/>
        <v>21</v>
      </c>
    </row>
    <row r="24" spans="2:12" ht="27.75" customHeight="1" x14ac:dyDescent="0.3">
      <c r="B24" s="8" t="str">
        <f>'APPENDIX 6'!B24</f>
        <v>OLD MUTUAL LIFE ASSURANCE KENYA</v>
      </c>
      <c r="C24" s="74">
        <f>IFERROR(('APPENDIX 4'!C24/'APPENDIX 4'!C$31)*100,0)</f>
        <v>2.0586304410067107</v>
      </c>
      <c r="D24" s="74">
        <f>IFERROR(('APPENDIX 4'!D24/'APPENDIX 4'!D$31)*100,0)</f>
        <v>0</v>
      </c>
      <c r="E24" s="74">
        <f>IFERROR(('APPENDIX 4'!E24/'APPENDIX 4'!E$31)*100,0)</f>
        <v>0</v>
      </c>
      <c r="F24" s="74">
        <f>IFERROR(('APPENDIX 4'!F24/'APPENDIX 4'!F$31)*100,0)</f>
        <v>0.81408038018458395</v>
      </c>
      <c r="G24" s="74">
        <f>IFERROR(('APPENDIX 4'!G24/'APPENDIX 4'!G$31)*100,0)</f>
        <v>11.220622690310321</v>
      </c>
      <c r="H24" s="74">
        <f>IFERROR(('APPENDIX 4'!H24/'APPENDIX 4'!H$31)*100,0)</f>
        <v>6.5396742040496116</v>
      </c>
      <c r="I24" s="74">
        <f>IFERROR(('APPENDIX 4'!I24/'APPENDIX 4'!I$31)*100,0)</f>
        <v>0</v>
      </c>
      <c r="J24" s="74">
        <f>IFERROR(('APPENDIX 4'!J24/'APPENDIX 4'!J$31)*100,0)</f>
        <v>6.2823901434451129E-2</v>
      </c>
      <c r="K24" s="75">
        <f>IFERROR(('APPENDIX 4'!K24/'APPENDIX 4'!K$31)*100,0)</f>
        <v>2.8935190262223252</v>
      </c>
      <c r="L24" s="2">
        <f t="shared" si="0"/>
        <v>11</v>
      </c>
    </row>
    <row r="25" spans="2:12" ht="27.75" customHeight="1" x14ac:dyDescent="0.3">
      <c r="B25" s="8" t="str">
        <f>'APPENDIX 6'!B25</f>
        <v xml:space="preserve">PIONEER ASSURANCE COMPANY </v>
      </c>
      <c r="C25" s="74">
        <f>IFERROR(('APPENDIX 4'!C25/'APPENDIX 4'!C$31)*100,0)</f>
        <v>2.5412994201407808</v>
      </c>
      <c r="D25" s="74">
        <f>IFERROR(('APPENDIX 4'!D25/'APPENDIX 4'!D$31)*100,0)</f>
        <v>0</v>
      </c>
      <c r="E25" s="74">
        <f>IFERROR(('APPENDIX 4'!E25/'APPENDIX 4'!E$31)*100,0)</f>
        <v>0.94207601955376596</v>
      </c>
      <c r="F25" s="74">
        <f>IFERROR(('APPENDIX 4'!F25/'APPENDIX 4'!F$31)*100,0)</f>
        <v>0.71056312582131398</v>
      </c>
      <c r="G25" s="74">
        <f>IFERROR(('APPENDIX 4'!G25/'APPENDIX 4'!G$31)*100,0)</f>
        <v>2.6294523217679036</v>
      </c>
      <c r="H25" s="74">
        <f>IFERROR(('APPENDIX 4'!H25/'APPENDIX 4'!H$31)*100,0)</f>
        <v>2.5973741187416755</v>
      </c>
      <c r="I25" s="74">
        <f>IFERROR(('APPENDIX 4'!I25/'APPENDIX 4'!I$31)*100,0)</f>
        <v>0</v>
      </c>
      <c r="J25" s="74">
        <f>IFERROR(('APPENDIX 4'!J25/'APPENDIX 4'!J$31)*100,0)</f>
        <v>0.90027361946987217</v>
      </c>
      <c r="K25" s="75">
        <f>IFERROR(('APPENDIX 4'!K25/'APPENDIX 4'!K$31)*100,0)</f>
        <v>1.560439160684139</v>
      </c>
      <c r="L25" s="2">
        <f t="shared" si="0"/>
        <v>16</v>
      </c>
    </row>
    <row r="26" spans="2:12" ht="27.75" customHeight="1" x14ac:dyDescent="0.3">
      <c r="B26" s="8" t="str">
        <f>'APPENDIX 6'!B26</f>
        <v>PRUDENTIAL LIFE ASSURANCE</v>
      </c>
      <c r="C26" s="74">
        <f>IFERROR(('APPENDIX 4'!C26/'APPENDIX 4'!C$31)*100,0)</f>
        <v>1.9875713739507608</v>
      </c>
      <c r="D26" s="74">
        <f>IFERROR(('APPENDIX 4'!D26/'APPENDIX 4'!D$31)*100,0)</f>
        <v>0</v>
      </c>
      <c r="E26" s="74">
        <f>IFERROR(('APPENDIX 4'!E26/'APPENDIX 4'!E$31)*100,0)</f>
        <v>0</v>
      </c>
      <c r="F26" s="74">
        <f>IFERROR(('APPENDIX 4'!F26/'APPENDIX 4'!F$31)*100,0)</f>
        <v>2.1130396468718144</v>
      </c>
      <c r="G26" s="74">
        <f>IFERROR(('APPENDIX 4'!G26/'APPENDIX 4'!G$31)*100,0)</f>
        <v>3.5580119005843893</v>
      </c>
      <c r="H26" s="74">
        <f>IFERROR(('APPENDIX 4'!H26/'APPENDIX 4'!H$31)*100,0)</f>
        <v>4.5933290362441488</v>
      </c>
      <c r="I26" s="74">
        <f>IFERROR(('APPENDIX 4'!I26/'APPENDIX 4'!I$31)*100,0)</f>
        <v>0</v>
      </c>
      <c r="J26" s="74">
        <f>IFERROR(('APPENDIX 4'!J26/'APPENDIX 4'!J$31)*100,0)</f>
        <v>0</v>
      </c>
      <c r="K26" s="75">
        <f>IFERROR(('APPENDIX 4'!K26/'APPENDIX 4'!K$31)*100,0)</f>
        <v>2.0446037735334004</v>
      </c>
      <c r="L26" s="2">
        <f t="shared" si="0"/>
        <v>15</v>
      </c>
    </row>
    <row r="27" spans="2:12" ht="27.75" customHeight="1" x14ac:dyDescent="0.3">
      <c r="B27" s="8" t="str">
        <f>'APPENDIX 6'!B27</f>
        <v>SANLAM LIFE ASSURANCE</v>
      </c>
      <c r="C27" s="74">
        <f>IFERROR(('APPENDIX 4'!C27/'APPENDIX 4'!C$31)*100,0)</f>
        <v>6.5155629319059063</v>
      </c>
      <c r="D27" s="74">
        <f>IFERROR(('APPENDIX 4'!D27/'APPENDIX 4'!D$31)*100,0)</f>
        <v>4.7272199366960219</v>
      </c>
      <c r="E27" s="74">
        <f>IFERROR(('APPENDIX 4'!E27/'APPENDIX 4'!E$31)*100,0)</f>
        <v>1.9018059419469682</v>
      </c>
      <c r="F27" s="74">
        <f>IFERROR(('APPENDIX 4'!F27/'APPENDIX 4'!F$31)*100,0)</f>
        <v>9.4069751886694461E-2</v>
      </c>
      <c r="G27" s="74">
        <f>IFERROR(('APPENDIX 4'!G27/'APPENDIX 4'!G$31)*100,0)</f>
        <v>5.0785618239036028</v>
      </c>
      <c r="H27" s="74">
        <f>IFERROR(('APPENDIX 4'!H27/'APPENDIX 4'!H$31)*100,0)</f>
        <v>2.2871955467358185</v>
      </c>
      <c r="I27" s="74">
        <f>IFERROR(('APPENDIX 4'!I27/'APPENDIX 4'!I$31)*100,0)</f>
        <v>0</v>
      </c>
      <c r="J27" s="74">
        <f>IFERROR(('APPENDIX 4'!J27/'APPENDIX 4'!J$31)*100,0)</f>
        <v>0.98640875018571905</v>
      </c>
      <c r="K27" s="75">
        <f>IFERROR(('APPENDIX 4'!K27/'APPENDIX 4'!K$31)*100,0)</f>
        <v>2.9319953859874497</v>
      </c>
      <c r="L27" s="2">
        <f t="shared" si="0"/>
        <v>10</v>
      </c>
    </row>
    <row r="28" spans="2:12" ht="27.75" customHeight="1" x14ac:dyDescent="0.3">
      <c r="B28" s="8" t="str">
        <f>'APPENDIX 6'!B28</f>
        <v>STAR DISCOVER LIFE INSURANCE</v>
      </c>
      <c r="C28" s="74">
        <f>IFERROR(('APPENDIX 4'!C28/'APPENDIX 4'!C$31)*100,0)</f>
        <v>0</v>
      </c>
      <c r="D28" s="74">
        <f>IFERROR(('APPENDIX 4'!D28/'APPENDIX 4'!D$31)*100,0)</f>
        <v>0</v>
      </c>
      <c r="E28" s="74">
        <f>IFERROR(('APPENDIX 4'!E28/'APPENDIX 4'!E$31)*100,0)</f>
        <v>0</v>
      </c>
      <c r="F28" s="74">
        <f>IFERROR(('APPENDIX 4'!F28/'APPENDIX 4'!F$31)*100,0)</f>
        <v>0</v>
      </c>
      <c r="G28" s="74">
        <f>IFERROR(('APPENDIX 4'!G28/'APPENDIX 4'!G$31)*100,0)</f>
        <v>1.760043849281541E-2</v>
      </c>
      <c r="H28" s="74">
        <f>IFERROR(('APPENDIX 4'!H28/'APPENDIX 4'!H$31)*100,0)</f>
        <v>3.3970337941774107E-3</v>
      </c>
      <c r="I28" s="74">
        <f>IFERROR(('APPENDIX 4'!I28/'APPENDIX 4'!I$31)*100,0)</f>
        <v>0</v>
      </c>
      <c r="J28" s="74">
        <f>IFERROR(('APPENDIX 4'!J28/'APPENDIX 4'!J$31)*100,0)</f>
        <v>0</v>
      </c>
      <c r="K28" s="75">
        <f>IFERROR(('APPENDIX 4'!K28/'APPENDIX 4'!K$31)*100,0)</f>
        <v>2.7119597379748578E-3</v>
      </c>
      <c r="L28" s="2">
        <f t="shared" si="0"/>
        <v>24</v>
      </c>
    </row>
    <row r="29" spans="2:12" ht="27.75" customHeight="1" x14ac:dyDescent="0.3">
      <c r="B29" s="8" t="str">
        <f>'APPENDIX 6'!B29</f>
        <v>THE KENYAN ALLIANCE INSURANCE</v>
      </c>
      <c r="C29" s="74">
        <f>IFERROR(('APPENDIX 4'!C29/'APPENDIX 4'!C$31)*100,0)</f>
        <v>3.3978102166910024E-2</v>
      </c>
      <c r="D29" s="74">
        <f>IFERROR(('APPENDIX 4'!D29/'APPENDIX 4'!D$31)*100,0)</f>
        <v>0</v>
      </c>
      <c r="E29" s="74">
        <f>IFERROR(('APPENDIX 4'!E29/'APPENDIX 4'!E$31)*100,0)</f>
        <v>1.5630440893898756</v>
      </c>
      <c r="F29" s="74">
        <f>IFERROR(('APPENDIX 4'!F29/'APPENDIX 4'!F$31)*100,0)</f>
        <v>0.44550242166577558</v>
      </c>
      <c r="G29" s="74">
        <f>IFERROR(('APPENDIX 4'!G29/'APPENDIX 4'!G$31)*100,0)</f>
        <v>0.69140833222546627</v>
      </c>
      <c r="H29" s="74">
        <f>IFERROR(('APPENDIX 4'!H29/'APPENDIX 4'!H$31)*100,0)</f>
        <v>0.19549755034642557</v>
      </c>
      <c r="I29" s="74">
        <f>IFERROR(('APPENDIX 4'!I29/'APPENDIX 4'!I$31)*100,0)</f>
        <v>0</v>
      </c>
      <c r="J29" s="74">
        <f>IFERROR(('APPENDIX 4'!J29/'APPENDIX 4'!J$31)*100,0)</f>
        <v>3.4015184625952342E-2</v>
      </c>
      <c r="K29" s="75">
        <f>IFERROR(('APPENDIX 4'!K29/'APPENDIX 4'!K$31)*100,0)</f>
        <v>0.40807049419248054</v>
      </c>
      <c r="L29" s="2">
        <f t="shared" si="0"/>
        <v>22</v>
      </c>
    </row>
    <row r="30" spans="2:12" ht="27.75" customHeight="1" x14ac:dyDescent="0.3">
      <c r="B30" s="3" t="str">
        <f>'APPENDIX 6'!B30</f>
        <v>THE MONARCH INSURANCE</v>
      </c>
      <c r="C30" s="74">
        <f>IFERROR(('APPENDIX 4'!C30/'APPENDIX 4'!C$31)*100,0)</f>
        <v>0</v>
      </c>
      <c r="D30" s="74">
        <f>IFERROR(('APPENDIX 4'!D30/'APPENDIX 4'!D$31)*100,0)</f>
        <v>0</v>
      </c>
      <c r="E30" s="74">
        <f>IFERROR(('APPENDIX 4'!E30/'APPENDIX 4'!E$31)*100,0)</f>
        <v>0</v>
      </c>
      <c r="F30" s="74">
        <f>IFERROR(('APPENDIX 4'!F30/'APPENDIX 4'!F$31)*100,0)</f>
        <v>0</v>
      </c>
      <c r="G30" s="74">
        <f>IFERROR(('APPENDIX 4'!G30/'APPENDIX 4'!G$31)*100,0)</f>
        <v>0</v>
      </c>
      <c r="H30" s="74">
        <f>IFERROR(('APPENDIX 4'!H30/'APPENDIX 4'!H$31)*100,0)</f>
        <v>0</v>
      </c>
      <c r="I30" s="74">
        <f>IFERROR(('APPENDIX 4'!I30/'APPENDIX 4'!I$31)*100,0)</f>
        <v>0</v>
      </c>
      <c r="J30" s="74">
        <f>IFERROR(('APPENDIX 4'!J30/'APPENDIX 4'!J$31)*100,0)</f>
        <v>0</v>
      </c>
      <c r="K30" s="75">
        <f>IFERROR(('APPENDIX 4'!K30/'APPENDIX 4'!K$31)*100,0)</f>
        <v>0</v>
      </c>
      <c r="L30" s="2">
        <f t="shared" si="0"/>
        <v>25</v>
      </c>
    </row>
    <row r="31" spans="2:12" s="5" customFormat="1" ht="27.75" customHeight="1" x14ac:dyDescent="0.3">
      <c r="B31" s="42" t="s">
        <v>90</v>
      </c>
      <c r="C31" s="76">
        <f t="shared" ref="C31:K31" si="1">SUM(C6:C30)</f>
        <v>99.999999999999986</v>
      </c>
      <c r="D31" s="76">
        <f t="shared" si="1"/>
        <v>99.999999999999986</v>
      </c>
      <c r="E31" s="76">
        <f t="shared" si="1"/>
        <v>100</v>
      </c>
      <c r="F31" s="76">
        <f t="shared" si="1"/>
        <v>99.999999999999972</v>
      </c>
      <c r="G31" s="76">
        <f t="shared" si="1"/>
        <v>99.999999999999972</v>
      </c>
      <c r="H31" s="76">
        <f t="shared" si="1"/>
        <v>100</v>
      </c>
      <c r="I31" s="76">
        <f t="shared" si="1"/>
        <v>0</v>
      </c>
      <c r="J31" s="76">
        <f t="shared" si="1"/>
        <v>100</v>
      </c>
      <c r="K31" s="76">
        <f t="shared" si="1"/>
        <v>100.00000000000001</v>
      </c>
    </row>
    <row r="32" spans="2:12" s="5" customFormat="1" ht="27.75" customHeight="1" x14ac:dyDescent="0.35">
      <c r="B32" s="261" t="s">
        <v>91</v>
      </c>
      <c r="C32" s="252"/>
      <c r="D32" s="252"/>
      <c r="E32" s="252"/>
      <c r="F32" s="252"/>
      <c r="G32" s="252"/>
      <c r="H32" s="252"/>
      <c r="I32" s="252"/>
      <c r="J32" s="252"/>
      <c r="K32" s="253"/>
    </row>
    <row r="33" spans="1:11" ht="27.75" customHeight="1" x14ac:dyDescent="0.3">
      <c r="A33" s="5"/>
      <c r="B33" s="3" t="str">
        <f>'APPENDIX 6'!B33</f>
        <v>CONTINENTAL REINSURANCE</v>
      </c>
      <c r="C33" s="74">
        <f>IFERROR(('APPENDIX 4'!C33/'APPENDIX 4'!C$36)*100,0)</f>
        <v>0</v>
      </c>
      <c r="D33" s="74">
        <f>IFERROR(('APPENDIX 4'!D33/'APPENDIX 4'!D$36)*100,0)</f>
        <v>0</v>
      </c>
      <c r="E33" s="74">
        <f>IFERROR(('APPENDIX 4'!E33/'APPENDIX 4'!E$36)*100,0)</f>
        <v>0</v>
      </c>
      <c r="F33" s="74">
        <f>IFERROR(('APPENDIX 4'!F33/'APPENDIX 4'!F$36)*100,0)</f>
        <v>0</v>
      </c>
      <c r="G33" s="74">
        <f>IFERROR(('APPENDIX 4'!G33/'APPENDIX 4'!G$36)*100,0)</f>
        <v>2.0748532445454657</v>
      </c>
      <c r="H33" s="74">
        <f>IFERROR(('APPENDIX 4'!H33/'APPENDIX 4'!H$36)*100,0)</f>
        <v>0</v>
      </c>
      <c r="I33" s="74">
        <f>IFERROR(('APPENDIX 4'!I33/'APPENDIX 4'!I$36)*100,0)</f>
        <v>0</v>
      </c>
      <c r="J33" s="74">
        <f>IFERROR(('APPENDIX 4'!J33/'APPENDIX 4'!J$36)*100,0)</f>
        <v>0</v>
      </c>
      <c r="K33" s="75">
        <f>IFERROR(('APPENDIX 4'!K33/'APPENDIX 4'!K$36)*100,0)</f>
        <v>1.951153236183192</v>
      </c>
    </row>
    <row r="34" spans="1:11" ht="27.75" customHeight="1" x14ac:dyDescent="0.3">
      <c r="A34" s="5"/>
      <c r="B34" s="3" t="str">
        <f>'APPENDIX 6'!B34</f>
        <v xml:space="preserve">EAST AFRICA REINSURANCE </v>
      </c>
      <c r="C34" s="74">
        <f>IFERROR(('APPENDIX 4'!C34/'APPENDIX 4'!C$36)*100,0)</f>
        <v>48.669465908639985</v>
      </c>
      <c r="D34" s="74">
        <f>IFERROR(('APPENDIX 4'!D34/'APPENDIX 4'!D$36)*100,0)</f>
        <v>0</v>
      </c>
      <c r="E34" s="74">
        <f>IFERROR(('APPENDIX 4'!E34/'APPENDIX 4'!E$36)*100,0)</f>
        <v>0</v>
      </c>
      <c r="F34" s="74">
        <f>IFERROR(('APPENDIX 4'!F34/'APPENDIX 4'!F$36)*100,0)</f>
        <v>0</v>
      </c>
      <c r="G34" s="74">
        <f>IFERROR(('APPENDIX 4'!G34/'APPENDIX 4'!G$36)*100,0)</f>
        <v>29.550984510111928</v>
      </c>
      <c r="H34" s="74">
        <f>IFERROR(('APPENDIX 4'!H34/'APPENDIX 4'!H$36)*100,0)</f>
        <v>0</v>
      </c>
      <c r="I34" s="74">
        <f>IFERROR(('APPENDIX 4'!I34/'APPENDIX 4'!I$36)*100,0)</f>
        <v>0</v>
      </c>
      <c r="J34" s="74">
        <f>IFERROR(('APPENDIX 4'!J34/'APPENDIX 4'!J$36)*100,0)</f>
        <v>0</v>
      </c>
      <c r="K34" s="75">
        <f>IFERROR(('APPENDIX 4'!K34/'APPENDIX 4'!K$36)*100,0)</f>
        <v>30.690803104554238</v>
      </c>
    </row>
    <row r="35" spans="1:11" ht="27.75" customHeight="1" x14ac:dyDescent="0.3">
      <c r="A35" s="5"/>
      <c r="B35" s="3" t="str">
        <f>'APPENDIX 6'!B35</f>
        <v>KENYA REINSURANCE CORPORATION</v>
      </c>
      <c r="C35" s="74">
        <f>IFERROR(('APPENDIX 4'!C35/'APPENDIX 4'!C$36)*100,0)</f>
        <v>51.330534091360022</v>
      </c>
      <c r="D35" s="74">
        <f>IFERROR(('APPENDIX 4'!D35/'APPENDIX 4'!D$36)*100,0)</f>
        <v>0</v>
      </c>
      <c r="E35" s="74">
        <f>IFERROR(('APPENDIX 4'!E35/'APPENDIX 4'!E$36)*100,0)</f>
        <v>0</v>
      </c>
      <c r="F35" s="74">
        <f>IFERROR(('APPENDIX 4'!F35/'APPENDIX 4'!F$36)*100,0)</f>
        <v>0</v>
      </c>
      <c r="G35" s="74">
        <f>IFERROR(('APPENDIX 4'!G35/'APPENDIX 4'!G$36)*100,0)</f>
        <v>68.374162245342603</v>
      </c>
      <c r="H35" s="74">
        <f>IFERROR(('APPENDIX 4'!H35/'APPENDIX 4'!H$36)*100,0)</f>
        <v>0</v>
      </c>
      <c r="I35" s="74">
        <f>IFERROR(('APPENDIX 4'!I35/'APPENDIX 4'!I$36)*100,0)</f>
        <v>0</v>
      </c>
      <c r="J35" s="74">
        <f>IFERROR(('APPENDIX 4'!J35/'APPENDIX 4'!J$36)*100,0)</f>
        <v>0</v>
      </c>
      <c r="K35" s="75">
        <f>IFERROR(('APPENDIX 4'!K35/'APPENDIX 4'!K$36)*100,0)</f>
        <v>67.358043659262563</v>
      </c>
    </row>
    <row r="36" spans="1:11" s="5" customFormat="1" ht="27.75" customHeight="1" x14ac:dyDescent="0.3">
      <c r="B36" s="42" t="s">
        <v>90</v>
      </c>
      <c r="C36" s="76">
        <f t="shared" ref="C36:K36" si="2">SUM(C33:C35)</f>
        <v>100</v>
      </c>
      <c r="D36" s="76">
        <f t="shared" si="2"/>
        <v>0</v>
      </c>
      <c r="E36" s="76">
        <f t="shared" si="2"/>
        <v>0</v>
      </c>
      <c r="F36" s="76">
        <f t="shared" si="2"/>
        <v>0</v>
      </c>
      <c r="G36" s="76">
        <f t="shared" si="2"/>
        <v>100</v>
      </c>
      <c r="H36" s="76">
        <f t="shared" si="2"/>
        <v>0</v>
      </c>
      <c r="I36" s="76">
        <f t="shared" si="2"/>
        <v>0</v>
      </c>
      <c r="J36" s="76">
        <f t="shared" si="2"/>
        <v>0</v>
      </c>
      <c r="K36" s="76">
        <f t="shared" si="2"/>
        <v>100</v>
      </c>
    </row>
    <row r="37" spans="1:11" ht="14.5" customHeight="1" x14ac:dyDescent="0.35">
      <c r="B37" s="265" t="s">
        <v>139</v>
      </c>
      <c r="C37" s="255"/>
      <c r="D37" s="255"/>
      <c r="E37" s="255"/>
      <c r="F37" s="255"/>
      <c r="G37" s="255"/>
      <c r="H37" s="255"/>
      <c r="I37" s="255"/>
      <c r="J37" s="255"/>
      <c r="K37" s="255"/>
    </row>
  </sheetData>
  <sheetProtection algorithmName="SHA-512" hashValue="fdVVaEVvjDCmCa74aRUj3oqH4wv+uqRWTcMy3n0bLipx3+iIRF4lOgiLMNVGaWWa+sBUZJzO6j7ny0YDzEpzxg==" saltValue="A3k9m3LLCZCQgEhPun3/Vw==" spinCount="100000" sheet="1" objects="1" scenarios="1"/>
  <mergeCells count="4">
    <mergeCell ref="B32:K32"/>
    <mergeCell ref="B3:K3"/>
    <mergeCell ref="B5:K5"/>
    <mergeCell ref="B37:K37"/>
  </mergeCells>
  <pageMargins left="0.7" right="0.7" top="0.75" bottom="0.75" header="0.3" footer="0.3"/>
  <pageSetup paperSize="9" scale="48"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92D050"/>
    <pageSetUpPr fitToPage="1"/>
  </sheetPr>
  <dimension ref="B3:Q38"/>
  <sheetViews>
    <sheetView zoomScale="70" zoomScaleNormal="70" workbookViewId="0">
      <pane xSplit="2" ySplit="5" topLeftCell="N32" activePane="bottomRight" state="frozen"/>
      <selection pane="topRight" activeCell="C1" sqref="C1"/>
      <selection pane="bottomLeft" activeCell="A6" sqref="A6"/>
      <selection pane="bottomRight" activeCell="B37" sqref="B37:Q37"/>
    </sheetView>
  </sheetViews>
  <sheetFormatPr defaultColWidth="14.453125" defaultRowHeight="21.75" customHeight="1" x14ac:dyDescent="0.3"/>
  <cols>
    <col min="1" max="1" width="15.54296875" style="2" customWidth="1"/>
    <col min="2" max="2" width="43.54296875" style="2" customWidth="1"/>
    <col min="3" max="16" width="17.54296875" style="2" customWidth="1"/>
    <col min="17" max="17" width="17.54296875" style="5" customWidth="1"/>
    <col min="18" max="68" width="14.453125" style="2" customWidth="1"/>
    <col min="69" max="16384" width="14.453125" style="2"/>
  </cols>
  <sheetData>
    <row r="3" spans="2:17" ht="18.75" customHeight="1" x14ac:dyDescent="0.35">
      <c r="B3" s="267" t="str">
        <f>_xlfn.CONCAT('Table of Contents'!B13,": ",'Table of Contents'!C13)</f>
        <v>APPENDIX 6: SUMMARY OF LIFE ASSURANCE BUSINESS REVENUE ACCOUNTS FOR THE PERIOD ENDED 31.03.2025</v>
      </c>
      <c r="C3" s="252"/>
      <c r="D3" s="252"/>
      <c r="E3" s="252"/>
      <c r="F3" s="252"/>
      <c r="G3" s="252"/>
      <c r="H3" s="252"/>
      <c r="I3" s="252"/>
      <c r="J3" s="252"/>
      <c r="K3" s="252"/>
      <c r="L3" s="252"/>
      <c r="M3" s="252"/>
      <c r="N3" s="252"/>
      <c r="O3" s="252"/>
      <c r="P3" s="252"/>
      <c r="Q3" s="253"/>
    </row>
    <row r="4" spans="2:17" s="10" customFormat="1" ht="36.75" customHeight="1" x14ac:dyDescent="0.3">
      <c r="B4" s="43" t="s">
        <v>36</v>
      </c>
      <c r="C4" s="45" t="s">
        <v>140</v>
      </c>
      <c r="D4" s="45" t="s">
        <v>141</v>
      </c>
      <c r="E4" s="45" t="s">
        <v>142</v>
      </c>
      <c r="F4" s="45" t="s">
        <v>143</v>
      </c>
      <c r="G4" s="45" t="s">
        <v>144</v>
      </c>
      <c r="H4" s="45" t="s">
        <v>145</v>
      </c>
      <c r="I4" s="66" t="s">
        <v>146</v>
      </c>
      <c r="J4" s="45" t="s">
        <v>147</v>
      </c>
      <c r="K4" s="45" t="s">
        <v>148</v>
      </c>
      <c r="L4" s="45" t="s">
        <v>149</v>
      </c>
      <c r="M4" s="45" t="s">
        <v>150</v>
      </c>
      <c r="N4" s="45" t="s">
        <v>151</v>
      </c>
      <c r="O4" s="45" t="s">
        <v>152</v>
      </c>
      <c r="P4" s="45" t="s">
        <v>153</v>
      </c>
      <c r="Q4" s="45" t="s">
        <v>154</v>
      </c>
    </row>
    <row r="5" spans="2:17" ht="30.75" customHeight="1" x14ac:dyDescent="0.35">
      <c r="B5" s="266" t="s">
        <v>53</v>
      </c>
      <c r="C5" s="252"/>
      <c r="D5" s="252"/>
      <c r="E5" s="252"/>
      <c r="F5" s="252"/>
      <c r="G5" s="252"/>
      <c r="H5" s="252"/>
      <c r="I5" s="252"/>
      <c r="J5" s="252"/>
      <c r="K5" s="252"/>
      <c r="L5" s="252"/>
      <c r="M5" s="252"/>
      <c r="N5" s="252"/>
      <c r="O5" s="252"/>
      <c r="P5" s="252"/>
      <c r="Q5" s="253"/>
    </row>
    <row r="6" spans="2:17" ht="30.75" customHeight="1" x14ac:dyDescent="0.3">
      <c r="B6" s="6" t="s">
        <v>99</v>
      </c>
      <c r="C6" s="70">
        <v>10636609.096233871</v>
      </c>
      <c r="D6" s="70">
        <v>1419720.2771775001</v>
      </c>
      <c r="E6" s="70">
        <v>1409541.4661775001</v>
      </c>
      <c r="F6" s="70">
        <v>0</v>
      </c>
      <c r="G6" s="70">
        <v>451168.12099999998</v>
      </c>
      <c r="H6" s="70">
        <v>451168.12099999998</v>
      </c>
      <c r="I6" s="70">
        <v>0</v>
      </c>
      <c r="J6" s="70">
        <v>0</v>
      </c>
      <c r="K6" s="70">
        <v>0</v>
      </c>
      <c r="L6" s="70">
        <v>204810.98699999999</v>
      </c>
      <c r="M6" s="70">
        <v>87691.463471700001</v>
      </c>
      <c r="N6" s="70">
        <v>381924.46250997612</v>
      </c>
      <c r="O6" s="70">
        <v>0</v>
      </c>
      <c r="P6" s="70">
        <v>0</v>
      </c>
      <c r="Q6" s="71">
        <v>11684404.45344964</v>
      </c>
    </row>
    <row r="7" spans="2:17" ht="30.75" customHeight="1" x14ac:dyDescent="0.3">
      <c r="B7" s="3" t="s">
        <v>100</v>
      </c>
      <c r="C7" s="70">
        <v>995078.62614197354</v>
      </c>
      <c r="D7" s="70">
        <v>140563.62267999991</v>
      </c>
      <c r="E7" s="70">
        <v>137275.49767999991</v>
      </c>
      <c r="F7" s="70">
        <v>0</v>
      </c>
      <c r="G7" s="70">
        <v>49906.008000000002</v>
      </c>
      <c r="H7" s="70">
        <v>49906.008000000002</v>
      </c>
      <c r="I7" s="70">
        <v>0</v>
      </c>
      <c r="J7" s="70">
        <v>0</v>
      </c>
      <c r="K7" s="70">
        <v>0</v>
      </c>
      <c r="L7" s="70">
        <v>14935.12472</v>
      </c>
      <c r="M7" s="70">
        <v>32405.37749313431</v>
      </c>
      <c r="N7" s="70">
        <v>32414.030594449399</v>
      </c>
      <c r="O7" s="70">
        <v>320.89120604621547</v>
      </c>
      <c r="P7" s="70">
        <v>0</v>
      </c>
      <c r="Q7" s="71">
        <v>1067200.7529972419</v>
      </c>
    </row>
    <row r="8" spans="2:17" ht="30.75" customHeight="1" x14ac:dyDescent="0.3">
      <c r="B8" s="3" t="s">
        <v>101</v>
      </c>
      <c r="C8" s="70">
        <v>43886183.794015303</v>
      </c>
      <c r="D8" s="70">
        <v>2845010.9633900011</v>
      </c>
      <c r="E8" s="70">
        <v>2843523.8349900008</v>
      </c>
      <c r="F8" s="70">
        <v>-15078.8712</v>
      </c>
      <c r="G8" s="70">
        <v>2025235.37577</v>
      </c>
      <c r="H8" s="70">
        <v>2025235.37577</v>
      </c>
      <c r="I8" s="70">
        <v>0</v>
      </c>
      <c r="J8" s="70">
        <v>0</v>
      </c>
      <c r="K8" s="70">
        <v>0</v>
      </c>
      <c r="L8" s="70">
        <v>377857.6200261488</v>
      </c>
      <c r="M8" s="70">
        <v>577779.63</v>
      </c>
      <c r="N8" s="70">
        <v>2646290.54</v>
      </c>
      <c r="O8" s="70">
        <v>35659.441460212947</v>
      </c>
      <c r="P8" s="70">
        <v>108220.341</v>
      </c>
      <c r="Q8" s="71">
        <v>46236166.889548928</v>
      </c>
    </row>
    <row r="9" spans="2:17" ht="30.75" customHeight="1" x14ac:dyDescent="0.3">
      <c r="B9" s="3" t="s">
        <v>102</v>
      </c>
      <c r="C9" s="70">
        <v>527806.78514616773</v>
      </c>
      <c r="D9" s="70">
        <v>6556.598</v>
      </c>
      <c r="E9" s="70">
        <v>6398.732</v>
      </c>
      <c r="F9" s="70">
        <v>0</v>
      </c>
      <c r="G9" s="70">
        <v>19258.763009933489</v>
      </c>
      <c r="H9" s="70">
        <v>19258.763009933489</v>
      </c>
      <c r="I9" s="70">
        <v>0</v>
      </c>
      <c r="J9" s="70">
        <v>0</v>
      </c>
      <c r="K9" s="70">
        <v>0</v>
      </c>
      <c r="L9" s="70">
        <v>-328.95699999999999</v>
      </c>
      <c r="M9" s="70">
        <v>15355.272000000001</v>
      </c>
      <c r="N9" s="70">
        <v>11144.338</v>
      </c>
      <c r="O9" s="70">
        <v>0</v>
      </c>
      <c r="P9" s="70">
        <v>0</v>
      </c>
      <c r="Q9" s="71">
        <v>511064.77713623428</v>
      </c>
    </row>
    <row r="10" spans="2:17" ht="30.75" customHeight="1" x14ac:dyDescent="0.3">
      <c r="B10" s="3" t="s">
        <v>103</v>
      </c>
      <c r="C10" s="70">
        <v>33226.715296243601</v>
      </c>
      <c r="D10" s="70">
        <v>7679.9690000000001</v>
      </c>
      <c r="E10" s="70">
        <v>7679.9690000000001</v>
      </c>
      <c r="F10" s="70">
        <v>0</v>
      </c>
      <c r="G10" s="70">
        <v>1174.08609</v>
      </c>
      <c r="H10" s="70">
        <v>1174.08609</v>
      </c>
      <c r="I10" s="70">
        <v>0</v>
      </c>
      <c r="J10" s="70">
        <v>0</v>
      </c>
      <c r="K10" s="70">
        <v>0</v>
      </c>
      <c r="L10" s="70">
        <v>414.18722000000002</v>
      </c>
      <c r="M10" s="70">
        <v>2069.9568176311718</v>
      </c>
      <c r="N10" s="70">
        <v>270.56586601025009</v>
      </c>
      <c r="O10" s="70">
        <v>0</v>
      </c>
      <c r="P10" s="70">
        <v>0</v>
      </c>
      <c r="Q10" s="71">
        <v>37519.020034622677</v>
      </c>
    </row>
    <row r="11" spans="2:17" ht="30.75" customHeight="1" x14ac:dyDescent="0.3">
      <c r="B11" s="3" t="s">
        <v>104</v>
      </c>
      <c r="C11" s="70">
        <v>5139412.2211300004</v>
      </c>
      <c r="D11" s="70">
        <v>325786.31523000001</v>
      </c>
      <c r="E11" s="70">
        <v>304364.72223000001</v>
      </c>
      <c r="F11" s="70">
        <v>0</v>
      </c>
      <c r="G11" s="70">
        <v>211040.38006000011</v>
      </c>
      <c r="H11" s="70">
        <v>211040.38006000011</v>
      </c>
      <c r="I11" s="70">
        <v>0</v>
      </c>
      <c r="J11" s="70">
        <v>0</v>
      </c>
      <c r="K11" s="70">
        <v>0</v>
      </c>
      <c r="L11" s="70">
        <v>42444.646119999998</v>
      </c>
      <c r="M11" s="70">
        <v>76054.004939999999</v>
      </c>
      <c r="N11" s="70">
        <v>113755.68693</v>
      </c>
      <c r="O11" s="70">
        <v>0</v>
      </c>
      <c r="P11" s="70">
        <v>0</v>
      </c>
      <c r="Q11" s="71">
        <v>5227993.5991700003</v>
      </c>
    </row>
    <row r="12" spans="2:17" ht="30.75" customHeight="1" x14ac:dyDescent="0.3">
      <c r="B12" s="3" t="s">
        <v>60</v>
      </c>
      <c r="C12" s="70">
        <v>73832.620082901572</v>
      </c>
      <c r="D12" s="70">
        <v>8452.4385000000002</v>
      </c>
      <c r="E12" s="70">
        <v>8452.4385000000002</v>
      </c>
      <c r="F12" s="70">
        <v>0</v>
      </c>
      <c r="G12" s="70">
        <v>51459.936845925236</v>
      </c>
      <c r="H12" s="70">
        <v>51459.936845925236</v>
      </c>
      <c r="I12" s="70">
        <v>0</v>
      </c>
      <c r="J12" s="70">
        <v>0</v>
      </c>
      <c r="K12" s="70">
        <v>0</v>
      </c>
      <c r="L12" s="70">
        <v>0</v>
      </c>
      <c r="M12" s="70">
        <v>1795.07583</v>
      </c>
      <c r="N12" s="70">
        <v>0</v>
      </c>
      <c r="O12" s="70">
        <v>0</v>
      </c>
      <c r="P12" s="70">
        <v>0</v>
      </c>
      <c r="Q12" s="71">
        <v>29030.045906976331</v>
      </c>
    </row>
    <row r="13" spans="2:17" ht="30.75" customHeight="1" x14ac:dyDescent="0.3">
      <c r="B13" s="3" t="s">
        <v>105</v>
      </c>
      <c r="C13" s="70">
        <v>0</v>
      </c>
      <c r="D13" s="70">
        <v>0</v>
      </c>
      <c r="E13" s="70">
        <v>0</v>
      </c>
      <c r="F13" s="70">
        <v>0</v>
      </c>
      <c r="G13" s="70">
        <v>0</v>
      </c>
      <c r="H13" s="70">
        <v>0</v>
      </c>
      <c r="I13" s="70">
        <v>0</v>
      </c>
      <c r="J13" s="70">
        <v>0</v>
      </c>
      <c r="K13" s="70">
        <v>0</v>
      </c>
      <c r="L13" s="70">
        <v>0</v>
      </c>
      <c r="M13" s="70">
        <v>0</v>
      </c>
      <c r="N13" s="70">
        <v>0</v>
      </c>
      <c r="O13" s="70">
        <v>0</v>
      </c>
      <c r="P13" s="70">
        <v>0</v>
      </c>
      <c r="Q13" s="71">
        <v>0</v>
      </c>
    </row>
    <row r="14" spans="2:17" ht="30.75" customHeight="1" x14ac:dyDescent="0.3">
      <c r="B14" s="3" t="s">
        <v>106</v>
      </c>
      <c r="C14" s="70">
        <v>4094573.9569999999</v>
      </c>
      <c r="D14" s="70">
        <v>18244.757000000001</v>
      </c>
      <c r="E14" s="70">
        <v>18244.757000000001</v>
      </c>
      <c r="F14" s="70">
        <v>0</v>
      </c>
      <c r="G14" s="70">
        <v>16018.311</v>
      </c>
      <c r="H14" s="70">
        <v>16018.311</v>
      </c>
      <c r="I14" s="70">
        <v>0</v>
      </c>
      <c r="J14" s="70">
        <v>0</v>
      </c>
      <c r="K14" s="70">
        <v>0</v>
      </c>
      <c r="L14" s="70">
        <v>258</v>
      </c>
      <c r="M14" s="70">
        <v>75.186700000000002</v>
      </c>
      <c r="N14" s="70">
        <v>314280.72451999999</v>
      </c>
      <c r="O14" s="70">
        <v>0</v>
      </c>
      <c r="P14" s="70">
        <v>0</v>
      </c>
      <c r="Q14" s="71">
        <v>4410747.9408200001</v>
      </c>
    </row>
    <row r="15" spans="2:17" ht="30.75" customHeight="1" x14ac:dyDescent="0.3">
      <c r="B15" s="3" t="s">
        <v>107</v>
      </c>
      <c r="C15" s="70">
        <v>423624.609</v>
      </c>
      <c r="D15" s="70">
        <v>17232.77636</v>
      </c>
      <c r="E15" s="70">
        <v>17232.77636</v>
      </c>
      <c r="F15" s="70">
        <v>0</v>
      </c>
      <c r="G15" s="70">
        <v>17219.716469999999</v>
      </c>
      <c r="H15" s="70">
        <v>17219.716469999999</v>
      </c>
      <c r="I15" s="70">
        <v>0</v>
      </c>
      <c r="J15" s="70">
        <v>0</v>
      </c>
      <c r="K15" s="70">
        <v>0</v>
      </c>
      <c r="L15" s="70">
        <v>2452.1477100000002</v>
      </c>
      <c r="M15" s="70">
        <v>7178.085584999998</v>
      </c>
      <c r="N15" s="70">
        <v>6146.8950000000004</v>
      </c>
      <c r="O15" s="70">
        <v>0</v>
      </c>
      <c r="P15" s="70">
        <v>0</v>
      </c>
      <c r="Q15" s="71">
        <v>420154.33059500001</v>
      </c>
    </row>
    <row r="16" spans="2:17" ht="30.75" customHeight="1" x14ac:dyDescent="0.3">
      <c r="B16" s="3" t="s">
        <v>108</v>
      </c>
      <c r="C16" s="70">
        <v>22398338.941608861</v>
      </c>
      <c r="D16" s="70">
        <v>1863890.63252</v>
      </c>
      <c r="E16" s="70">
        <v>1844086.2806835871</v>
      </c>
      <c r="F16" s="70">
        <v>0</v>
      </c>
      <c r="G16" s="70">
        <v>950476.65700000001</v>
      </c>
      <c r="H16" s="70">
        <v>766843.56900000002</v>
      </c>
      <c r="I16" s="70">
        <v>183633.08799999999</v>
      </c>
      <c r="J16" s="70">
        <v>0</v>
      </c>
      <c r="K16" s="70">
        <v>0</v>
      </c>
      <c r="L16" s="70">
        <v>361276.97850000003</v>
      </c>
      <c r="M16" s="70">
        <v>341572.81259699992</v>
      </c>
      <c r="N16" s="70">
        <v>777397.73600000003</v>
      </c>
      <c r="O16" s="70">
        <v>0</v>
      </c>
      <c r="P16" s="70">
        <v>0</v>
      </c>
      <c r="Q16" s="71">
        <v>23366496.510195442</v>
      </c>
    </row>
    <row r="17" spans="2:17" ht="30.75" customHeight="1" x14ac:dyDescent="0.3">
      <c r="B17" s="3" t="s">
        <v>109</v>
      </c>
      <c r="C17" s="70">
        <v>13044507.564399211</v>
      </c>
      <c r="D17" s="70">
        <v>1698033.269640001</v>
      </c>
      <c r="E17" s="70">
        <v>1693593.384640001</v>
      </c>
      <c r="F17" s="70">
        <v>0</v>
      </c>
      <c r="G17" s="70">
        <v>1194266.798</v>
      </c>
      <c r="H17" s="70">
        <v>1194266.798</v>
      </c>
      <c r="I17" s="70">
        <v>0</v>
      </c>
      <c r="J17" s="70">
        <v>0</v>
      </c>
      <c r="K17" s="70">
        <v>0</v>
      </c>
      <c r="L17" s="70">
        <v>213878.19099999999</v>
      </c>
      <c r="M17" s="70">
        <v>183235.75973250001</v>
      </c>
      <c r="N17" s="70">
        <v>1091820.489556646</v>
      </c>
      <c r="O17" s="70">
        <v>3952.597741605955</v>
      </c>
      <c r="P17" s="70">
        <v>0</v>
      </c>
      <c r="Q17" s="71">
        <v>14234588.09212175</v>
      </c>
    </row>
    <row r="18" spans="2:17" ht="30.75" customHeight="1" x14ac:dyDescent="0.3">
      <c r="B18" s="3" t="s">
        <v>110</v>
      </c>
      <c r="C18" s="70">
        <v>19801809.057</v>
      </c>
      <c r="D18" s="70">
        <v>680421.15099999995</v>
      </c>
      <c r="E18" s="70">
        <v>680421.15099999995</v>
      </c>
      <c r="F18" s="70">
        <v>0</v>
      </c>
      <c r="G18" s="70">
        <v>570486.68619000004</v>
      </c>
      <c r="H18" s="70">
        <v>570486.68619000004</v>
      </c>
      <c r="I18" s="70">
        <v>0</v>
      </c>
      <c r="J18" s="70">
        <v>0</v>
      </c>
      <c r="K18" s="70">
        <v>0</v>
      </c>
      <c r="L18" s="70">
        <v>32069.523000000001</v>
      </c>
      <c r="M18" s="70">
        <v>111592.96799999999</v>
      </c>
      <c r="N18" s="70">
        <v>814083.92</v>
      </c>
      <c r="O18" s="70">
        <v>2570.0830000000001</v>
      </c>
      <c r="P18" s="70">
        <v>98250</v>
      </c>
      <c r="Q18" s="71">
        <v>20481344.86781</v>
      </c>
    </row>
    <row r="19" spans="2:17" ht="30.75" customHeight="1" x14ac:dyDescent="0.3">
      <c r="B19" s="3" t="s">
        <v>111</v>
      </c>
      <c r="C19" s="70">
        <v>143889.15174119419</v>
      </c>
      <c r="D19" s="70">
        <v>17028.659</v>
      </c>
      <c r="E19" s="70">
        <v>17028.659</v>
      </c>
      <c r="F19" s="70">
        <v>0</v>
      </c>
      <c r="G19" s="70">
        <v>6533.5325000000003</v>
      </c>
      <c r="H19" s="70">
        <v>6533.5325000000003</v>
      </c>
      <c r="I19" s="70">
        <v>0</v>
      </c>
      <c r="J19" s="70">
        <v>0</v>
      </c>
      <c r="K19" s="70">
        <v>0</v>
      </c>
      <c r="L19" s="70">
        <v>2905.1440200000002</v>
      </c>
      <c r="M19" s="70">
        <v>6630.2132608000002</v>
      </c>
      <c r="N19" s="70">
        <v>3363.7982441581221</v>
      </c>
      <c r="O19" s="70">
        <v>0</v>
      </c>
      <c r="P19" s="70">
        <v>0</v>
      </c>
      <c r="Q19" s="71">
        <v>148212.71920455241</v>
      </c>
    </row>
    <row r="20" spans="2:17" ht="30.75" customHeight="1" x14ac:dyDescent="0.3">
      <c r="B20" s="3" t="s">
        <v>112</v>
      </c>
      <c r="C20" s="70">
        <v>9038.1319171450086</v>
      </c>
      <c r="D20" s="70">
        <v>4877.9250000000002</v>
      </c>
      <c r="E20" s="70">
        <v>4877.9250000000002</v>
      </c>
      <c r="F20" s="70">
        <v>0</v>
      </c>
      <c r="G20" s="70">
        <v>0</v>
      </c>
      <c r="H20" s="70">
        <v>0</v>
      </c>
      <c r="I20" s="70">
        <v>0</v>
      </c>
      <c r="J20" s="70">
        <v>0</v>
      </c>
      <c r="K20" s="70">
        <v>0</v>
      </c>
      <c r="L20" s="70">
        <v>504.61399999999998</v>
      </c>
      <c r="M20" s="70">
        <v>169.91365353661749</v>
      </c>
      <c r="N20" s="70">
        <v>0</v>
      </c>
      <c r="O20" s="70">
        <v>0</v>
      </c>
      <c r="P20" s="70">
        <v>0</v>
      </c>
      <c r="Q20" s="71">
        <v>13241.52926360839</v>
      </c>
    </row>
    <row r="21" spans="2:17" ht="30.75" customHeight="1" x14ac:dyDescent="0.3">
      <c r="B21" s="3" t="s">
        <v>113</v>
      </c>
      <c r="C21" s="70">
        <v>9694035.2512448691</v>
      </c>
      <c r="D21" s="70">
        <v>399146.97807000013</v>
      </c>
      <c r="E21" s="70">
        <v>380029.02207000012</v>
      </c>
      <c r="F21" s="70">
        <v>0</v>
      </c>
      <c r="G21" s="70">
        <v>345840.01160999999</v>
      </c>
      <c r="H21" s="70">
        <v>345840.01160999999</v>
      </c>
      <c r="I21" s="70">
        <v>0</v>
      </c>
      <c r="J21" s="70">
        <v>0</v>
      </c>
      <c r="K21" s="70">
        <v>0</v>
      </c>
      <c r="L21" s="70">
        <v>39711.905339999998</v>
      </c>
      <c r="M21" s="70">
        <v>71277.395686642049</v>
      </c>
      <c r="N21" s="70">
        <v>337126.13160000002</v>
      </c>
      <c r="O21" s="70">
        <v>14377.843028128649</v>
      </c>
      <c r="P21" s="70">
        <v>0</v>
      </c>
      <c r="Q21" s="71">
        <v>9939983.2492500991</v>
      </c>
    </row>
    <row r="22" spans="2:17" ht="30.75" customHeight="1" x14ac:dyDescent="0.3">
      <c r="B22" s="64" t="s">
        <v>74</v>
      </c>
      <c r="C22" s="70">
        <v>4549948.71471</v>
      </c>
      <c r="D22" s="70">
        <v>616863</v>
      </c>
      <c r="E22" s="70">
        <v>616863</v>
      </c>
      <c r="F22" s="70">
        <v>0</v>
      </c>
      <c r="G22" s="70">
        <v>428985</v>
      </c>
      <c r="H22" s="70">
        <v>428985</v>
      </c>
      <c r="I22" s="70">
        <v>0</v>
      </c>
      <c r="J22" s="70">
        <v>0</v>
      </c>
      <c r="K22" s="70">
        <v>0</v>
      </c>
      <c r="L22" s="70">
        <v>80174</v>
      </c>
      <c r="M22" s="70">
        <v>204084.535</v>
      </c>
      <c r="N22" s="70">
        <v>67099</v>
      </c>
      <c r="O22" s="70">
        <v>0</v>
      </c>
      <c r="P22" s="70">
        <v>0</v>
      </c>
      <c r="Q22" s="71">
        <v>4520667.1797099998</v>
      </c>
    </row>
    <row r="23" spans="2:17" ht="30.75" customHeight="1" x14ac:dyDescent="0.3">
      <c r="B23" s="64" t="s">
        <v>114</v>
      </c>
      <c r="C23" s="70">
        <v>6484890.8964331029</v>
      </c>
      <c r="D23" s="70">
        <v>177081.80684</v>
      </c>
      <c r="E23" s="70">
        <v>159096.23185000001</v>
      </c>
      <c r="F23" s="70">
        <v>66783.009217249986</v>
      </c>
      <c r="G23" s="70">
        <v>221294.01097</v>
      </c>
      <c r="H23" s="70">
        <v>221294.01097</v>
      </c>
      <c r="I23" s="70">
        <v>0</v>
      </c>
      <c r="J23" s="70">
        <v>0</v>
      </c>
      <c r="K23" s="70">
        <v>0</v>
      </c>
      <c r="L23" s="70">
        <v>-1127.7007400000009</v>
      </c>
      <c r="M23" s="70">
        <v>60715.569400072651</v>
      </c>
      <c r="N23" s="70">
        <v>389386.76055974822</v>
      </c>
      <c r="O23" s="70">
        <v>1701.5389223037689</v>
      </c>
      <c r="P23" s="70">
        <v>0</v>
      </c>
      <c r="Q23" s="71">
        <v>6817573.4795077248</v>
      </c>
    </row>
    <row r="24" spans="2:17" ht="30.75" customHeight="1" x14ac:dyDescent="0.3">
      <c r="B24" s="3" t="s">
        <v>115</v>
      </c>
      <c r="C24" s="70">
        <v>1278769.384622344</v>
      </c>
      <c r="D24" s="70">
        <v>242841.65526000009</v>
      </c>
      <c r="E24" s="70">
        <v>240728.80226000011</v>
      </c>
      <c r="F24" s="70">
        <v>0</v>
      </c>
      <c r="G24" s="70">
        <v>190492.78792</v>
      </c>
      <c r="H24" s="70">
        <v>190492.78792</v>
      </c>
      <c r="I24" s="70">
        <v>0</v>
      </c>
      <c r="J24" s="70">
        <v>0</v>
      </c>
      <c r="K24" s="70">
        <v>0</v>
      </c>
      <c r="L24" s="70">
        <v>17433.898580000001</v>
      </c>
      <c r="M24" s="70">
        <v>163128.27020086299</v>
      </c>
      <c r="N24" s="70">
        <v>265945.65420410119</v>
      </c>
      <c r="O24" s="70">
        <v>0</v>
      </c>
      <c r="P24" s="70">
        <v>0</v>
      </c>
      <c r="Q24" s="71">
        <v>1414388.8843855821</v>
      </c>
    </row>
    <row r="25" spans="2:17" ht="30.75" customHeight="1" x14ac:dyDescent="0.3">
      <c r="B25" s="3" t="s">
        <v>116</v>
      </c>
      <c r="C25" s="70">
        <v>1548399.32895</v>
      </c>
      <c r="D25" s="70">
        <v>299778.603</v>
      </c>
      <c r="E25" s="70">
        <v>298906.34499999997</v>
      </c>
      <c r="F25" s="70">
        <v>0</v>
      </c>
      <c r="G25" s="70">
        <v>242185.307</v>
      </c>
      <c r="H25" s="70">
        <v>242185.307</v>
      </c>
      <c r="I25" s="70">
        <v>0</v>
      </c>
      <c r="J25" s="70">
        <v>0</v>
      </c>
      <c r="K25" s="70">
        <v>0</v>
      </c>
      <c r="L25" s="70">
        <v>70132.849620000008</v>
      </c>
      <c r="M25" s="70">
        <v>54236.05775</v>
      </c>
      <c r="N25" s="70">
        <v>16070.328</v>
      </c>
      <c r="O25" s="70">
        <v>0</v>
      </c>
      <c r="P25" s="70">
        <v>0</v>
      </c>
      <c r="Q25" s="71">
        <v>1496821.78758</v>
      </c>
    </row>
    <row r="26" spans="2:17" ht="30.75" customHeight="1" x14ac:dyDescent="0.3">
      <c r="B26" s="3" t="s">
        <v>117</v>
      </c>
      <c r="C26" s="70">
        <v>766488.2609756646</v>
      </c>
      <c r="D26" s="70">
        <v>234459.33412000001</v>
      </c>
      <c r="E26" s="70">
        <v>234459.33412000001</v>
      </c>
      <c r="F26" s="70">
        <v>0</v>
      </c>
      <c r="G26" s="70">
        <v>56598.865990000013</v>
      </c>
      <c r="H26" s="70">
        <v>56598.865990000013</v>
      </c>
      <c r="I26" s="70">
        <v>0</v>
      </c>
      <c r="J26" s="70">
        <v>0</v>
      </c>
      <c r="K26" s="70">
        <v>0</v>
      </c>
      <c r="L26" s="70">
        <v>44408.349000000002</v>
      </c>
      <c r="M26" s="70">
        <v>76067.928174598521</v>
      </c>
      <c r="N26" s="70">
        <v>93550.309828640471</v>
      </c>
      <c r="O26" s="70">
        <v>0</v>
      </c>
      <c r="P26" s="70">
        <v>0</v>
      </c>
      <c r="Q26" s="71">
        <v>917422.76175970654</v>
      </c>
    </row>
    <row r="27" spans="2:17" ht="30.75" customHeight="1" x14ac:dyDescent="0.3">
      <c r="B27" s="3" t="s">
        <v>118</v>
      </c>
      <c r="C27" s="70">
        <v>8598429.6901269257</v>
      </c>
      <c r="D27" s="70">
        <v>768593.55414999998</v>
      </c>
      <c r="E27" s="70">
        <v>741425.46614999999</v>
      </c>
      <c r="F27" s="70">
        <v>0</v>
      </c>
      <c r="G27" s="70">
        <v>379194.42010999989</v>
      </c>
      <c r="H27" s="70">
        <v>379194.42010999989</v>
      </c>
      <c r="I27" s="70">
        <v>0</v>
      </c>
      <c r="J27" s="70">
        <v>0</v>
      </c>
      <c r="K27" s="70">
        <v>0</v>
      </c>
      <c r="L27" s="70">
        <v>69986.57084</v>
      </c>
      <c r="M27" s="70">
        <v>209615.6389602113</v>
      </c>
      <c r="N27" s="70">
        <v>789962.43377</v>
      </c>
      <c r="O27" s="70">
        <v>0</v>
      </c>
      <c r="P27" s="70">
        <v>1444963</v>
      </c>
      <c r="Q27" s="71">
        <v>8026057.9601367153</v>
      </c>
    </row>
    <row r="28" spans="2:17" ht="30.75" customHeight="1" x14ac:dyDescent="0.3">
      <c r="B28" s="3" t="s">
        <v>119</v>
      </c>
      <c r="C28" s="70">
        <v>0</v>
      </c>
      <c r="D28" s="70">
        <v>0</v>
      </c>
      <c r="E28" s="70">
        <v>0</v>
      </c>
      <c r="F28" s="70">
        <v>0</v>
      </c>
      <c r="G28" s="70">
        <v>0</v>
      </c>
      <c r="H28" s="70">
        <v>0</v>
      </c>
      <c r="I28" s="70">
        <v>0</v>
      </c>
      <c r="J28" s="70">
        <v>0</v>
      </c>
      <c r="K28" s="70">
        <v>0</v>
      </c>
      <c r="L28" s="70">
        <v>0</v>
      </c>
      <c r="M28" s="70">
        <v>0</v>
      </c>
      <c r="N28" s="70">
        <v>0</v>
      </c>
      <c r="O28" s="70">
        <v>0</v>
      </c>
      <c r="P28" s="70">
        <v>0</v>
      </c>
      <c r="Q28" s="71">
        <v>0</v>
      </c>
    </row>
    <row r="29" spans="2:17" ht="30.75" customHeight="1" x14ac:dyDescent="0.3">
      <c r="B29" s="3" t="s">
        <v>120</v>
      </c>
      <c r="C29" s="70">
        <v>33182.885000000002</v>
      </c>
      <c r="D29" s="70">
        <v>4008.1495</v>
      </c>
      <c r="E29" s="70">
        <v>4008.1495</v>
      </c>
      <c r="F29" s="70">
        <v>0</v>
      </c>
      <c r="G29" s="70">
        <v>-15809.507473155099</v>
      </c>
      <c r="H29" s="70">
        <v>1509.211</v>
      </c>
      <c r="I29" s="70">
        <v>0</v>
      </c>
      <c r="J29" s="70">
        <v>-17318.718473155099</v>
      </c>
      <c r="K29" s="70">
        <v>0</v>
      </c>
      <c r="L29" s="70">
        <v>0</v>
      </c>
      <c r="M29" s="70">
        <v>552.57184482560399</v>
      </c>
      <c r="N29" s="70">
        <v>666.12887167051508</v>
      </c>
      <c r="O29" s="70">
        <v>0</v>
      </c>
      <c r="P29" s="70">
        <v>0</v>
      </c>
      <c r="Q29" s="71">
        <v>53114.099000000002</v>
      </c>
    </row>
    <row r="30" spans="2:17" ht="30.75" customHeight="1" x14ac:dyDescent="0.3">
      <c r="B30" s="3" t="s">
        <v>121</v>
      </c>
      <c r="C30" s="70">
        <v>0</v>
      </c>
      <c r="D30" s="70">
        <v>0</v>
      </c>
      <c r="E30" s="70">
        <v>0</v>
      </c>
      <c r="F30" s="70">
        <v>0</v>
      </c>
      <c r="G30" s="70">
        <v>0</v>
      </c>
      <c r="H30" s="70">
        <v>0</v>
      </c>
      <c r="I30" s="70">
        <v>0</v>
      </c>
      <c r="J30" s="70">
        <v>0</v>
      </c>
      <c r="K30" s="70">
        <v>0</v>
      </c>
      <c r="L30" s="70">
        <v>0</v>
      </c>
      <c r="M30" s="70">
        <v>0</v>
      </c>
      <c r="N30" s="70">
        <v>0</v>
      </c>
      <c r="O30" s="70">
        <v>0</v>
      </c>
      <c r="P30" s="70">
        <v>0</v>
      </c>
      <c r="Q30" s="71">
        <v>0</v>
      </c>
    </row>
    <row r="31" spans="2:17" ht="30.75" customHeight="1" x14ac:dyDescent="0.3">
      <c r="B31" s="37" t="s">
        <v>90</v>
      </c>
      <c r="C31" s="73">
        <f t="shared" ref="C31:Q31" si="0">SUM(C6:C30)</f>
        <v>154162075.68277577</v>
      </c>
      <c r="D31" s="73">
        <f t="shared" si="0"/>
        <v>11796272.435437502</v>
      </c>
      <c r="E31" s="73">
        <f t="shared" si="0"/>
        <v>11668237.94521109</v>
      </c>
      <c r="F31" s="73">
        <f t="shared" si="0"/>
        <v>51704.138017249985</v>
      </c>
      <c r="G31" s="73">
        <f t="shared" si="0"/>
        <v>7413025.2680627042</v>
      </c>
      <c r="H31" s="73">
        <f t="shared" si="0"/>
        <v>7246710.8985358588</v>
      </c>
      <c r="I31" s="73">
        <f t="shared" si="0"/>
        <v>183633.08799999999</v>
      </c>
      <c r="J31" s="73">
        <f t="shared" si="0"/>
        <v>-17318.718473155099</v>
      </c>
      <c r="K31" s="73">
        <f t="shared" si="0"/>
        <v>0</v>
      </c>
      <c r="L31" s="73">
        <f t="shared" si="0"/>
        <v>1574198.0789561488</v>
      </c>
      <c r="M31" s="73">
        <f t="shared" si="0"/>
        <v>2283283.6870985152</v>
      </c>
      <c r="N31" s="73">
        <f t="shared" si="0"/>
        <v>8152699.9340554001</v>
      </c>
      <c r="O31" s="73">
        <f t="shared" si="0"/>
        <v>58582.395358297537</v>
      </c>
      <c r="P31" s="73">
        <f t="shared" si="0"/>
        <v>1651433.341</v>
      </c>
      <c r="Q31" s="73">
        <f t="shared" si="0"/>
        <v>161054194.92958382</v>
      </c>
    </row>
    <row r="32" spans="2:17" ht="30.75" customHeight="1" x14ac:dyDescent="0.35">
      <c r="B32" s="266" t="s">
        <v>91</v>
      </c>
      <c r="C32" s="252"/>
      <c r="D32" s="252"/>
      <c r="E32" s="252"/>
      <c r="F32" s="252"/>
      <c r="G32" s="252"/>
      <c r="H32" s="252"/>
      <c r="I32" s="252"/>
      <c r="J32" s="252"/>
      <c r="K32" s="252"/>
      <c r="L32" s="252"/>
      <c r="M32" s="252"/>
      <c r="N32" s="252"/>
      <c r="O32" s="252"/>
      <c r="P32" s="252"/>
      <c r="Q32" s="253"/>
    </row>
    <row r="33" spans="2:17" ht="30.75" customHeight="1" x14ac:dyDescent="0.3">
      <c r="B33" s="3" t="s">
        <v>92</v>
      </c>
      <c r="C33" s="70">
        <v>0</v>
      </c>
      <c r="D33" s="70">
        <v>0</v>
      </c>
      <c r="E33" s="70">
        <v>0</v>
      </c>
      <c r="F33" s="70">
        <v>0</v>
      </c>
      <c r="G33" s="70">
        <v>0</v>
      </c>
      <c r="H33" s="70">
        <v>0</v>
      </c>
      <c r="I33" s="70">
        <v>0</v>
      </c>
      <c r="J33" s="70">
        <v>0</v>
      </c>
      <c r="K33" s="70">
        <v>0</v>
      </c>
      <c r="L33" s="70">
        <v>0</v>
      </c>
      <c r="M33" s="70">
        <v>0</v>
      </c>
      <c r="N33" s="70">
        <v>0</v>
      </c>
      <c r="O33" s="70">
        <v>0</v>
      </c>
      <c r="P33" s="70">
        <v>0</v>
      </c>
      <c r="Q33" s="71">
        <v>0</v>
      </c>
    </row>
    <row r="34" spans="2:17" ht="30.75" customHeight="1" x14ac:dyDescent="0.3">
      <c r="B34" s="3" t="s">
        <v>93</v>
      </c>
      <c r="C34" s="70">
        <v>139860.33425500081</v>
      </c>
      <c r="D34" s="70">
        <v>34147.042739364973</v>
      </c>
      <c r="E34" s="70">
        <v>28491.053754037861</v>
      </c>
      <c r="F34" s="70">
        <v>0</v>
      </c>
      <c r="G34" s="70">
        <v>7061.0910722174567</v>
      </c>
      <c r="H34" s="70">
        <v>7061.0910722174567</v>
      </c>
      <c r="I34" s="70">
        <v>0</v>
      </c>
      <c r="J34" s="70">
        <v>0</v>
      </c>
      <c r="K34" s="70">
        <v>0</v>
      </c>
      <c r="L34" s="70">
        <v>7359.1424805853867</v>
      </c>
      <c r="M34" s="70">
        <v>1989.7898377274021</v>
      </c>
      <c r="N34" s="70">
        <v>6229.9559651995369</v>
      </c>
      <c r="O34" s="70">
        <v>279.72185368114532</v>
      </c>
      <c r="P34" s="70">
        <v>0</v>
      </c>
      <c r="Q34" s="71">
        <v>157891.59873002669</v>
      </c>
    </row>
    <row r="35" spans="2:17" ht="30.75" customHeight="1" x14ac:dyDescent="0.3">
      <c r="B35" s="3" t="s">
        <v>95</v>
      </c>
      <c r="C35" s="70">
        <v>430383.32993000001</v>
      </c>
      <c r="D35" s="70">
        <v>36014.078000000001</v>
      </c>
      <c r="E35" s="70">
        <v>36014.078000000001</v>
      </c>
      <c r="F35" s="70">
        <v>0</v>
      </c>
      <c r="G35" s="70">
        <v>607.11400000000003</v>
      </c>
      <c r="H35" s="70">
        <v>607.11400000000003</v>
      </c>
      <c r="I35" s="70">
        <v>0</v>
      </c>
      <c r="J35" s="70">
        <v>0</v>
      </c>
      <c r="K35" s="70">
        <v>0</v>
      </c>
      <c r="L35" s="70">
        <v>17610.705999999998</v>
      </c>
      <c r="M35" s="70">
        <v>13108.819</v>
      </c>
      <c r="N35" s="70">
        <v>9357.0490000000009</v>
      </c>
      <c r="O35" s="70">
        <v>0</v>
      </c>
      <c r="P35" s="70">
        <v>0</v>
      </c>
      <c r="Q35" s="71">
        <v>444427.81793000002</v>
      </c>
    </row>
    <row r="36" spans="2:17" ht="30.75" customHeight="1" x14ac:dyDescent="0.3">
      <c r="B36" s="37" t="s">
        <v>90</v>
      </c>
      <c r="C36" s="73">
        <f t="shared" ref="C36:Q36" si="1">SUM(C33:C35)</f>
        <v>570243.66418500082</v>
      </c>
      <c r="D36" s="73">
        <f t="shared" si="1"/>
        <v>70161.120739364967</v>
      </c>
      <c r="E36" s="73">
        <f t="shared" si="1"/>
        <v>64505.131754037866</v>
      </c>
      <c r="F36" s="73">
        <f t="shared" si="1"/>
        <v>0</v>
      </c>
      <c r="G36" s="73">
        <f t="shared" si="1"/>
        <v>7668.2050722174572</v>
      </c>
      <c r="H36" s="73">
        <f t="shared" si="1"/>
        <v>7668.2050722174572</v>
      </c>
      <c r="I36" s="73">
        <f t="shared" si="1"/>
        <v>0</v>
      </c>
      <c r="J36" s="73">
        <f t="shared" si="1"/>
        <v>0</v>
      </c>
      <c r="K36" s="73">
        <f t="shared" si="1"/>
        <v>0</v>
      </c>
      <c r="L36" s="73">
        <f t="shared" si="1"/>
        <v>24969.848480585384</v>
      </c>
      <c r="M36" s="73">
        <f t="shared" si="1"/>
        <v>15098.608837727401</v>
      </c>
      <c r="N36" s="73">
        <f t="shared" si="1"/>
        <v>15587.004965199538</v>
      </c>
      <c r="O36" s="73">
        <f t="shared" si="1"/>
        <v>279.72185368114532</v>
      </c>
      <c r="P36" s="73">
        <f t="shared" si="1"/>
        <v>0</v>
      </c>
      <c r="Q36" s="73">
        <f t="shared" si="1"/>
        <v>602319.41666002665</v>
      </c>
    </row>
    <row r="37" spans="2:17" ht="21.75" customHeight="1" x14ac:dyDescent="0.35">
      <c r="B37" s="265" t="s">
        <v>98</v>
      </c>
      <c r="C37" s="255"/>
      <c r="D37" s="255"/>
      <c r="E37" s="255"/>
      <c r="F37" s="255"/>
      <c r="G37" s="255"/>
      <c r="H37" s="255"/>
      <c r="I37" s="255"/>
      <c r="J37" s="255"/>
      <c r="K37" s="255"/>
      <c r="L37" s="255"/>
      <c r="M37" s="255"/>
      <c r="N37" s="255"/>
      <c r="O37" s="255"/>
      <c r="P37" s="255"/>
      <c r="Q37" s="255"/>
    </row>
    <row r="38" spans="2:17" ht="21.75" hidden="1" customHeight="1" x14ac:dyDescent="0.3">
      <c r="C38" s="11">
        <f t="shared" ref="C38:Q38" si="2">C36+C31</f>
        <v>154732319.34696075</v>
      </c>
      <c r="D38" s="11">
        <f t="shared" si="2"/>
        <v>11866433.556176867</v>
      </c>
      <c r="E38" s="11">
        <f t="shared" si="2"/>
        <v>11732743.076965127</v>
      </c>
      <c r="F38" s="11">
        <f t="shared" si="2"/>
        <v>51704.138017249985</v>
      </c>
      <c r="G38" s="11">
        <f t="shared" si="2"/>
        <v>7420693.4731349219</v>
      </c>
      <c r="H38" s="11">
        <f t="shared" si="2"/>
        <v>7254379.1036080765</v>
      </c>
      <c r="I38" s="11">
        <f t="shared" si="2"/>
        <v>183633.08799999999</v>
      </c>
      <c r="J38" s="11">
        <f t="shared" si="2"/>
        <v>-17318.718473155099</v>
      </c>
      <c r="K38" s="11">
        <f t="shared" si="2"/>
        <v>0</v>
      </c>
      <c r="L38" s="11">
        <f t="shared" si="2"/>
        <v>1599167.9274367343</v>
      </c>
      <c r="M38" s="11">
        <f t="shared" si="2"/>
        <v>2298382.2959362427</v>
      </c>
      <c r="N38" s="11">
        <f t="shared" si="2"/>
        <v>8168286.9390205992</v>
      </c>
      <c r="O38" s="11">
        <f t="shared" si="2"/>
        <v>58862.117211978686</v>
      </c>
      <c r="P38" s="11">
        <f t="shared" si="2"/>
        <v>1651433.341</v>
      </c>
      <c r="Q38" s="11">
        <f t="shared" si="2"/>
        <v>161656514.34624386</v>
      </c>
    </row>
  </sheetData>
  <sheetProtection algorithmName="SHA-512" hashValue="2dh5S5eCdbws7Etjpx0Sn/LBi60nRsRJZ8wizygbzyWnnKE/8/BfQ/v6wxt/yPFh1BLDikDHji86j1qijLC5+g==" saltValue="LuoFzDaSf+2treJJRTljnw==" spinCount="100000" sheet="1" objects="1" scenarios="1"/>
  <mergeCells count="4">
    <mergeCell ref="B32:Q32"/>
    <mergeCell ref="B37:Q37"/>
    <mergeCell ref="B3:Q3"/>
    <mergeCell ref="B5:Q5"/>
  </mergeCells>
  <pageMargins left="0.7" right="0.7" top="0.75" bottom="0.75" header="0.3" footer="0.3"/>
  <pageSetup paperSize="9" scale="4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tabColor rgb="FF92D050"/>
    <pageSetUpPr fitToPage="1"/>
  </sheetPr>
  <dimension ref="B3:Q37"/>
  <sheetViews>
    <sheetView zoomScale="55" zoomScaleNormal="55" workbookViewId="0">
      <pane xSplit="2" ySplit="5" topLeftCell="C6" activePane="bottomRight" state="frozen"/>
      <selection pane="topRight" activeCell="C1" sqref="C1"/>
      <selection pane="bottomLeft" activeCell="A6" sqref="A6"/>
      <selection pane="bottomRight" activeCell="B35" sqref="B35"/>
    </sheetView>
  </sheetViews>
  <sheetFormatPr defaultColWidth="14.453125" defaultRowHeight="21.75" customHeight="1" x14ac:dyDescent="0.3"/>
  <cols>
    <col min="1" max="1" width="16.453125" style="2" customWidth="1"/>
    <col min="2" max="2" width="46" style="2" customWidth="1"/>
    <col min="3" max="16" width="17.54296875" style="2" customWidth="1"/>
    <col min="17" max="17" width="17.54296875" style="5" customWidth="1"/>
    <col min="18" max="68" width="14.453125" style="2" customWidth="1"/>
    <col min="69" max="16384" width="14.453125" style="2"/>
  </cols>
  <sheetData>
    <row r="3" spans="2:17" ht="18.75" customHeight="1" x14ac:dyDescent="0.35">
      <c r="B3" s="267" t="str">
        <f>_xlfn.CONCAT('Table of Contents'!B14,": ",'Table of Contents'!C14)</f>
        <v>APPENDIX 7: SUMMARY OF ANNUITIES BUSINESS REVENUE ACCOUNTS FOR THE PERIOD ENDED 31.03.2025</v>
      </c>
      <c r="C3" s="252"/>
      <c r="D3" s="252"/>
      <c r="E3" s="252"/>
      <c r="F3" s="252"/>
      <c r="G3" s="252"/>
      <c r="H3" s="252"/>
      <c r="I3" s="252"/>
      <c r="J3" s="252"/>
      <c r="K3" s="252"/>
      <c r="L3" s="252"/>
      <c r="M3" s="252"/>
      <c r="N3" s="252"/>
      <c r="O3" s="252"/>
      <c r="P3" s="252"/>
      <c r="Q3" s="253"/>
    </row>
    <row r="4" spans="2:17" s="10" customFormat="1" ht="36.75" customHeight="1" x14ac:dyDescent="0.3">
      <c r="B4" s="43" t="s">
        <v>36</v>
      </c>
      <c r="C4" s="45" t="s">
        <v>140</v>
      </c>
      <c r="D4" s="45" t="s">
        <v>141</v>
      </c>
      <c r="E4" s="45" t="s">
        <v>142</v>
      </c>
      <c r="F4" s="45" t="s">
        <v>143</v>
      </c>
      <c r="G4" s="45" t="s">
        <v>144</v>
      </c>
      <c r="H4" s="45" t="s">
        <v>145</v>
      </c>
      <c r="I4" s="66" t="s">
        <v>146</v>
      </c>
      <c r="J4" s="45" t="s">
        <v>147</v>
      </c>
      <c r="K4" s="45" t="s">
        <v>148</v>
      </c>
      <c r="L4" s="45" t="s">
        <v>149</v>
      </c>
      <c r="M4" s="45" t="s">
        <v>150</v>
      </c>
      <c r="N4" s="45" t="s">
        <v>151</v>
      </c>
      <c r="O4" s="45" t="s">
        <v>152</v>
      </c>
      <c r="P4" s="45" t="s">
        <v>153</v>
      </c>
      <c r="Q4" s="45" t="s">
        <v>154</v>
      </c>
    </row>
    <row r="5" spans="2:17" ht="31.5" customHeight="1" x14ac:dyDescent="0.35">
      <c r="B5" s="266" t="s">
        <v>53</v>
      </c>
      <c r="C5" s="252"/>
      <c r="D5" s="252"/>
      <c r="E5" s="252"/>
      <c r="F5" s="252"/>
      <c r="G5" s="252"/>
      <c r="H5" s="252"/>
      <c r="I5" s="252"/>
      <c r="J5" s="252"/>
      <c r="K5" s="252"/>
      <c r="L5" s="252"/>
      <c r="M5" s="252"/>
      <c r="N5" s="252"/>
      <c r="O5" s="252"/>
      <c r="P5" s="252"/>
      <c r="Q5" s="253"/>
    </row>
    <row r="6" spans="2:17" ht="31.5" customHeight="1" x14ac:dyDescent="0.3">
      <c r="B6" s="6" t="s">
        <v>99</v>
      </c>
      <c r="C6" s="70">
        <v>0</v>
      </c>
      <c r="D6" s="70">
        <v>0</v>
      </c>
      <c r="E6" s="70">
        <v>0</v>
      </c>
      <c r="F6" s="70">
        <v>0</v>
      </c>
      <c r="G6" s="70">
        <v>0</v>
      </c>
      <c r="H6" s="70">
        <v>0</v>
      </c>
      <c r="I6" s="70">
        <v>0</v>
      </c>
      <c r="J6" s="70">
        <v>0</v>
      </c>
      <c r="K6" s="70">
        <v>0</v>
      </c>
      <c r="L6" s="70">
        <v>0</v>
      </c>
      <c r="M6" s="70">
        <v>0</v>
      </c>
      <c r="N6" s="70">
        <v>0</v>
      </c>
      <c r="O6" s="70">
        <v>0</v>
      </c>
      <c r="P6" s="70">
        <v>0</v>
      </c>
      <c r="Q6" s="71">
        <v>0</v>
      </c>
    </row>
    <row r="7" spans="2:17" ht="31.5" customHeight="1" x14ac:dyDescent="0.3">
      <c r="B7" s="3" t="s">
        <v>100</v>
      </c>
      <c r="C7" s="70">
        <v>1015040.069169114</v>
      </c>
      <c r="D7" s="70">
        <v>18694.998</v>
      </c>
      <c r="E7" s="70">
        <v>18694.998</v>
      </c>
      <c r="F7" s="70">
        <v>0</v>
      </c>
      <c r="G7" s="70">
        <v>40603.680999999997</v>
      </c>
      <c r="H7" s="70">
        <v>40603.680999999997</v>
      </c>
      <c r="I7" s="70">
        <v>0</v>
      </c>
      <c r="J7" s="70">
        <v>0</v>
      </c>
      <c r="K7" s="70">
        <v>0</v>
      </c>
      <c r="L7" s="70">
        <v>0</v>
      </c>
      <c r="M7" s="70">
        <v>2218.2518834451771</v>
      </c>
      <c r="N7" s="70">
        <v>14052.19124053604</v>
      </c>
      <c r="O7" s="70">
        <v>55.754073870236432</v>
      </c>
      <c r="P7" s="70">
        <v>0</v>
      </c>
      <c r="Q7" s="71">
        <v>1004909.571452335</v>
      </c>
    </row>
    <row r="8" spans="2:17" ht="31.5" customHeight="1" x14ac:dyDescent="0.3">
      <c r="B8" s="3" t="s">
        <v>101</v>
      </c>
      <c r="C8" s="70">
        <v>24059616.465735141</v>
      </c>
      <c r="D8" s="70">
        <v>1516175.60307</v>
      </c>
      <c r="E8" s="70">
        <v>1516175.60307</v>
      </c>
      <c r="F8" s="70">
        <v>0</v>
      </c>
      <c r="G8" s="70">
        <v>787650.56978000014</v>
      </c>
      <c r="H8" s="70">
        <v>787650.56978000014</v>
      </c>
      <c r="I8" s="70">
        <v>0</v>
      </c>
      <c r="J8" s="70">
        <v>0</v>
      </c>
      <c r="K8" s="70">
        <v>0</v>
      </c>
      <c r="L8" s="70">
        <v>30046.70867</v>
      </c>
      <c r="M8" s="70">
        <v>20486.332999999999</v>
      </c>
      <c r="N8" s="70">
        <v>2987463.270877948</v>
      </c>
      <c r="O8" s="70">
        <v>9066.6003796193399</v>
      </c>
      <c r="P8" s="70">
        <v>22856.322</v>
      </c>
      <c r="Q8" s="71">
        <v>27693148.805853471</v>
      </c>
    </row>
    <row r="9" spans="2:17" ht="31.5" customHeight="1" x14ac:dyDescent="0.3">
      <c r="B9" s="3" t="s">
        <v>102</v>
      </c>
      <c r="C9" s="70">
        <v>11532.723</v>
      </c>
      <c r="D9" s="70">
        <v>0</v>
      </c>
      <c r="E9" s="70">
        <v>0</v>
      </c>
      <c r="F9" s="70">
        <v>0</v>
      </c>
      <c r="G9" s="70">
        <v>327.37725</v>
      </c>
      <c r="H9" s="70">
        <v>327.37725</v>
      </c>
      <c r="I9" s="70">
        <v>0</v>
      </c>
      <c r="J9" s="70">
        <v>0</v>
      </c>
      <c r="K9" s="70">
        <v>0</v>
      </c>
      <c r="L9" s="70">
        <v>0</v>
      </c>
      <c r="M9" s="70">
        <v>0</v>
      </c>
      <c r="N9" s="70">
        <v>0</v>
      </c>
      <c r="O9" s="70">
        <v>0</v>
      </c>
      <c r="P9" s="70">
        <v>0</v>
      </c>
      <c r="Q9" s="71">
        <v>11205.34575</v>
      </c>
    </row>
    <row r="10" spans="2:17" ht="31.5" customHeight="1" x14ac:dyDescent="0.3">
      <c r="B10" s="3" t="s">
        <v>103</v>
      </c>
      <c r="C10" s="70">
        <v>862965.62729397917</v>
      </c>
      <c r="D10" s="70">
        <v>127646.798</v>
      </c>
      <c r="E10" s="70">
        <v>127646.798</v>
      </c>
      <c r="F10" s="70">
        <v>0</v>
      </c>
      <c r="G10" s="70">
        <v>106748.06174616</v>
      </c>
      <c r="H10" s="70">
        <v>106748.06174616</v>
      </c>
      <c r="I10" s="70">
        <v>0</v>
      </c>
      <c r="J10" s="70">
        <v>0</v>
      </c>
      <c r="K10" s="70">
        <v>0</v>
      </c>
      <c r="L10" s="70">
        <v>6400.2924144999997</v>
      </c>
      <c r="M10" s="70">
        <v>34404.226654185157</v>
      </c>
      <c r="N10" s="70">
        <v>4497.0065557962571</v>
      </c>
      <c r="O10" s="70">
        <v>0</v>
      </c>
      <c r="P10" s="70">
        <v>0</v>
      </c>
      <c r="Q10" s="71">
        <v>847556.85103493033</v>
      </c>
    </row>
    <row r="11" spans="2:17" ht="31.5" customHeight="1" x14ac:dyDescent="0.3">
      <c r="B11" s="3" t="s">
        <v>104</v>
      </c>
      <c r="C11" s="70">
        <v>1829277.5301099999</v>
      </c>
      <c r="D11" s="70">
        <v>119075.01226</v>
      </c>
      <c r="E11" s="70">
        <v>119075.01226</v>
      </c>
      <c r="F11" s="70">
        <v>0</v>
      </c>
      <c r="G11" s="70">
        <v>85608.61838</v>
      </c>
      <c r="H11" s="70">
        <v>85608.61838</v>
      </c>
      <c r="I11" s="70">
        <v>0</v>
      </c>
      <c r="J11" s="70">
        <v>0</v>
      </c>
      <c r="K11" s="70">
        <v>0</v>
      </c>
      <c r="L11" s="70">
        <v>2115.1209600000011</v>
      </c>
      <c r="M11" s="70">
        <v>5963.6512700000003</v>
      </c>
      <c r="N11" s="70">
        <v>69925.73341000003</v>
      </c>
      <c r="O11" s="70">
        <v>0</v>
      </c>
      <c r="P11" s="70">
        <v>0</v>
      </c>
      <c r="Q11" s="71">
        <v>1924590.8851699999</v>
      </c>
    </row>
    <row r="12" spans="2:17" ht="31.5" customHeight="1" x14ac:dyDescent="0.3">
      <c r="B12" s="3" t="s">
        <v>60</v>
      </c>
      <c r="C12" s="70">
        <v>0</v>
      </c>
      <c r="D12" s="70">
        <v>0</v>
      </c>
      <c r="E12" s="70">
        <v>0</v>
      </c>
      <c r="F12" s="70">
        <v>0</v>
      </c>
      <c r="G12" s="70">
        <v>0</v>
      </c>
      <c r="H12" s="70">
        <v>0</v>
      </c>
      <c r="I12" s="70">
        <v>0</v>
      </c>
      <c r="J12" s="70">
        <v>0</v>
      </c>
      <c r="K12" s="70">
        <v>0</v>
      </c>
      <c r="L12" s="70">
        <v>0</v>
      </c>
      <c r="M12" s="70">
        <v>0</v>
      </c>
      <c r="N12" s="70">
        <v>0</v>
      </c>
      <c r="O12" s="70">
        <v>0</v>
      </c>
      <c r="P12" s="70">
        <v>0</v>
      </c>
      <c r="Q12" s="71">
        <v>0</v>
      </c>
    </row>
    <row r="13" spans="2:17" ht="31.5" customHeight="1" x14ac:dyDescent="0.3">
      <c r="B13" s="3" t="s">
        <v>105</v>
      </c>
      <c r="C13" s="70">
        <v>0</v>
      </c>
      <c r="D13" s="70">
        <v>0</v>
      </c>
      <c r="E13" s="70">
        <v>0</v>
      </c>
      <c r="F13" s="70">
        <v>0</v>
      </c>
      <c r="G13" s="70">
        <v>0</v>
      </c>
      <c r="H13" s="70">
        <v>0</v>
      </c>
      <c r="I13" s="70">
        <v>0</v>
      </c>
      <c r="J13" s="70">
        <v>0</v>
      </c>
      <c r="K13" s="70">
        <v>0</v>
      </c>
      <c r="L13" s="70">
        <v>0</v>
      </c>
      <c r="M13" s="70">
        <v>0</v>
      </c>
      <c r="N13" s="70">
        <v>0</v>
      </c>
      <c r="O13" s="70">
        <v>0</v>
      </c>
      <c r="P13" s="70">
        <v>0</v>
      </c>
      <c r="Q13" s="71">
        <v>0</v>
      </c>
    </row>
    <row r="14" spans="2:17" ht="31.5" customHeight="1" x14ac:dyDescent="0.3">
      <c r="B14" s="3" t="s">
        <v>106</v>
      </c>
      <c r="C14" s="70">
        <v>0</v>
      </c>
      <c r="D14" s="70">
        <v>0</v>
      </c>
      <c r="E14" s="70">
        <v>0</v>
      </c>
      <c r="F14" s="70">
        <v>0</v>
      </c>
      <c r="G14" s="70">
        <v>0</v>
      </c>
      <c r="H14" s="70">
        <v>0</v>
      </c>
      <c r="I14" s="70">
        <v>0</v>
      </c>
      <c r="J14" s="70">
        <v>0</v>
      </c>
      <c r="K14" s="70">
        <v>0</v>
      </c>
      <c r="L14" s="70">
        <v>0</v>
      </c>
      <c r="M14" s="70">
        <v>0</v>
      </c>
      <c r="N14" s="70">
        <v>0</v>
      </c>
      <c r="O14" s="70">
        <v>0</v>
      </c>
      <c r="P14" s="70">
        <v>0</v>
      </c>
      <c r="Q14" s="71">
        <v>0</v>
      </c>
    </row>
    <row r="15" spans="2:17" ht="31.5" customHeight="1" x14ac:dyDescent="0.3">
      <c r="B15" s="3" t="s">
        <v>107</v>
      </c>
      <c r="C15" s="70">
        <v>0</v>
      </c>
      <c r="D15" s="70">
        <v>0</v>
      </c>
      <c r="E15" s="70">
        <v>0</v>
      </c>
      <c r="F15" s="70">
        <v>0</v>
      </c>
      <c r="G15" s="70">
        <v>0</v>
      </c>
      <c r="H15" s="70">
        <v>0</v>
      </c>
      <c r="I15" s="70">
        <v>0</v>
      </c>
      <c r="J15" s="70">
        <v>0</v>
      </c>
      <c r="K15" s="70">
        <v>0</v>
      </c>
      <c r="L15" s="70">
        <v>0</v>
      </c>
      <c r="M15" s="70">
        <v>0</v>
      </c>
      <c r="N15" s="70">
        <v>0</v>
      </c>
      <c r="O15" s="70">
        <v>0</v>
      </c>
      <c r="P15" s="70">
        <v>0</v>
      </c>
      <c r="Q15" s="71">
        <v>0</v>
      </c>
    </row>
    <row r="16" spans="2:17" ht="31.5" customHeight="1" x14ac:dyDescent="0.3">
      <c r="B16" s="3" t="s">
        <v>108</v>
      </c>
      <c r="C16" s="70">
        <v>22651301.784996729</v>
      </c>
      <c r="D16" s="70">
        <v>518127.28916999989</v>
      </c>
      <c r="E16" s="70">
        <v>518127.28916999989</v>
      </c>
      <c r="F16" s="70">
        <v>0</v>
      </c>
      <c r="G16" s="70">
        <v>644708.92284999997</v>
      </c>
      <c r="H16" s="70">
        <v>20312.705849999998</v>
      </c>
      <c r="I16" s="70">
        <v>0</v>
      </c>
      <c r="J16" s="70">
        <v>0</v>
      </c>
      <c r="K16" s="70">
        <v>624396.21699999995</v>
      </c>
      <c r="L16" s="70">
        <v>8225.4072899999992</v>
      </c>
      <c r="M16" s="70">
        <v>11418.053828157141</v>
      </c>
      <c r="N16" s="70">
        <v>2275980.0690000001</v>
      </c>
      <c r="O16" s="70">
        <v>0</v>
      </c>
      <c r="P16" s="70">
        <v>0</v>
      </c>
      <c r="Q16" s="71">
        <v>24781056.75919858</v>
      </c>
    </row>
    <row r="17" spans="2:17" ht="31.5" customHeight="1" x14ac:dyDescent="0.3">
      <c r="B17" s="3" t="s">
        <v>109</v>
      </c>
      <c r="C17" s="70">
        <v>12997600.15421252</v>
      </c>
      <c r="D17" s="70">
        <v>577366.39929999993</v>
      </c>
      <c r="E17" s="70">
        <v>577366.39929999993</v>
      </c>
      <c r="F17" s="70">
        <v>0</v>
      </c>
      <c r="G17" s="70">
        <v>414386.21799999999</v>
      </c>
      <c r="H17" s="70">
        <v>414386.21799999999</v>
      </c>
      <c r="I17" s="70">
        <v>0</v>
      </c>
      <c r="J17" s="70">
        <v>0</v>
      </c>
      <c r="K17" s="70">
        <v>0</v>
      </c>
      <c r="L17" s="70">
        <v>9784.6119999999992</v>
      </c>
      <c r="M17" s="70">
        <v>2854.4939999999979</v>
      </c>
      <c r="N17" s="70">
        <v>1327119.3829999999</v>
      </c>
      <c r="O17" s="70">
        <v>3646.73</v>
      </c>
      <c r="P17" s="70">
        <v>0</v>
      </c>
      <c r="Q17" s="71">
        <v>14471413.88251251</v>
      </c>
    </row>
    <row r="18" spans="2:17" ht="31.5" customHeight="1" x14ac:dyDescent="0.3">
      <c r="B18" s="3" t="s">
        <v>110</v>
      </c>
      <c r="C18" s="70">
        <v>5687826.3329999996</v>
      </c>
      <c r="D18" s="70">
        <v>97040.074999999997</v>
      </c>
      <c r="E18" s="70">
        <v>97040.074999999997</v>
      </c>
      <c r="F18" s="70">
        <v>0</v>
      </c>
      <c r="G18" s="70">
        <v>175535.21679000001</v>
      </c>
      <c r="H18" s="70">
        <v>175535.21679000001</v>
      </c>
      <c r="I18" s="70">
        <v>0</v>
      </c>
      <c r="J18" s="70">
        <v>0</v>
      </c>
      <c r="K18" s="70">
        <v>0</v>
      </c>
      <c r="L18" s="70">
        <v>2436.6680000000001</v>
      </c>
      <c r="M18" s="70">
        <v>0</v>
      </c>
      <c r="N18" s="70">
        <v>198300.13699999999</v>
      </c>
      <c r="O18" s="70">
        <v>0</v>
      </c>
      <c r="P18" s="70">
        <v>0</v>
      </c>
      <c r="Q18" s="71">
        <v>5805194.6602100004</v>
      </c>
    </row>
    <row r="19" spans="2:17" ht="31.5" customHeight="1" x14ac:dyDescent="0.3">
      <c r="B19" s="3" t="s">
        <v>111</v>
      </c>
      <c r="C19" s="70">
        <v>1032734.576577722</v>
      </c>
      <c r="D19" s="70">
        <v>105883.072</v>
      </c>
      <c r="E19" s="70">
        <v>105883.072</v>
      </c>
      <c r="F19" s="70">
        <v>0</v>
      </c>
      <c r="G19" s="70">
        <v>50336.29623</v>
      </c>
      <c r="H19" s="70">
        <v>50336.29623</v>
      </c>
      <c r="I19" s="70">
        <v>0</v>
      </c>
      <c r="J19" s="70">
        <v>0</v>
      </c>
      <c r="K19" s="70">
        <v>0</v>
      </c>
      <c r="L19" s="70">
        <v>3705.9079999999999</v>
      </c>
      <c r="M19" s="70">
        <v>2409.3753084999998</v>
      </c>
      <c r="N19" s="70">
        <v>30019.190549492741</v>
      </c>
      <c r="O19" s="70">
        <v>0</v>
      </c>
      <c r="P19" s="70">
        <v>0</v>
      </c>
      <c r="Q19" s="71">
        <v>1112185.259588714</v>
      </c>
    </row>
    <row r="20" spans="2:17" ht="31.5" customHeight="1" x14ac:dyDescent="0.3">
      <c r="B20" s="3" t="s">
        <v>112</v>
      </c>
      <c r="C20" s="70">
        <v>0</v>
      </c>
      <c r="D20" s="70">
        <v>57011.247900000002</v>
      </c>
      <c r="E20" s="70">
        <v>57011.247900000002</v>
      </c>
      <c r="F20" s="70">
        <v>0</v>
      </c>
      <c r="G20" s="70">
        <v>2577.6410000000001</v>
      </c>
      <c r="H20" s="70">
        <v>2577.6410000000001</v>
      </c>
      <c r="I20" s="70">
        <v>0</v>
      </c>
      <c r="J20" s="70">
        <v>0</v>
      </c>
      <c r="K20" s="70">
        <v>0</v>
      </c>
      <c r="L20" s="70">
        <v>0</v>
      </c>
      <c r="M20" s="70">
        <v>0</v>
      </c>
      <c r="N20" s="70">
        <v>0</v>
      </c>
      <c r="O20" s="70">
        <v>0</v>
      </c>
      <c r="P20" s="70">
        <v>0</v>
      </c>
      <c r="Q20" s="71">
        <v>54433.606899999999</v>
      </c>
    </row>
    <row r="21" spans="2:17" ht="31.5" customHeight="1" x14ac:dyDescent="0.3">
      <c r="B21" s="3" t="s">
        <v>113</v>
      </c>
      <c r="C21" s="70">
        <v>977051.34164999996</v>
      </c>
      <c r="D21" s="70">
        <v>0</v>
      </c>
      <c r="E21" s="70">
        <v>0</v>
      </c>
      <c r="F21" s="70">
        <v>0</v>
      </c>
      <c r="G21" s="70">
        <v>28540.69829</v>
      </c>
      <c r="H21" s="70">
        <v>28540.69829</v>
      </c>
      <c r="I21" s="70">
        <v>0</v>
      </c>
      <c r="J21" s="70">
        <v>0</v>
      </c>
      <c r="K21" s="70">
        <v>0</v>
      </c>
      <c r="L21" s="70">
        <v>0</v>
      </c>
      <c r="M21" s="70">
        <v>0</v>
      </c>
      <c r="N21" s="70">
        <v>0</v>
      </c>
      <c r="O21" s="70">
        <v>0</v>
      </c>
      <c r="P21" s="70">
        <v>0</v>
      </c>
      <c r="Q21" s="71">
        <v>948510.64335999999</v>
      </c>
    </row>
    <row r="22" spans="2:17" ht="31.5" customHeight="1" x14ac:dyDescent="0.3">
      <c r="B22" s="64" t="s">
        <v>74</v>
      </c>
      <c r="C22" s="70">
        <v>5261400.1260000002</v>
      </c>
      <c r="D22" s="70">
        <v>0</v>
      </c>
      <c r="E22" s="70">
        <v>0</v>
      </c>
      <c r="F22" s="70">
        <v>0</v>
      </c>
      <c r="G22" s="70">
        <v>269766</v>
      </c>
      <c r="H22" s="70">
        <v>269766</v>
      </c>
      <c r="I22" s="70">
        <v>0</v>
      </c>
      <c r="J22" s="70">
        <v>0</v>
      </c>
      <c r="K22" s="70">
        <v>0</v>
      </c>
      <c r="L22" s="70">
        <v>0</v>
      </c>
      <c r="M22" s="70">
        <v>5275.6040000000003</v>
      </c>
      <c r="N22" s="70">
        <v>50248</v>
      </c>
      <c r="O22" s="70">
        <v>0</v>
      </c>
      <c r="P22" s="70">
        <v>0</v>
      </c>
      <c r="Q22" s="71">
        <v>5036606.5219999999</v>
      </c>
    </row>
    <row r="23" spans="2:17" ht="31.5" customHeight="1" x14ac:dyDescent="0.3">
      <c r="B23" s="64" t="s">
        <v>114</v>
      </c>
      <c r="C23" s="70">
        <v>2864.7762066528148</v>
      </c>
      <c r="D23" s="70">
        <v>0</v>
      </c>
      <c r="E23" s="70">
        <v>0</v>
      </c>
      <c r="F23" s="70">
        <v>0</v>
      </c>
      <c r="G23" s="70">
        <v>210.05455000000001</v>
      </c>
      <c r="H23" s="70">
        <v>210.05455000000001</v>
      </c>
      <c r="I23" s="70">
        <v>0</v>
      </c>
      <c r="J23" s="70">
        <v>0</v>
      </c>
      <c r="K23" s="70">
        <v>0</v>
      </c>
      <c r="L23" s="70">
        <v>0</v>
      </c>
      <c r="M23" s="70">
        <v>0</v>
      </c>
      <c r="N23" s="70">
        <v>57.616895136509278</v>
      </c>
      <c r="O23" s="70">
        <v>0.35856786295481541</v>
      </c>
      <c r="P23" s="70">
        <v>0</v>
      </c>
      <c r="Q23" s="71">
        <v>2711.9799839263692</v>
      </c>
    </row>
    <row r="24" spans="2:17" ht="31.5" customHeight="1" x14ac:dyDescent="0.3">
      <c r="B24" s="3" t="s">
        <v>115</v>
      </c>
      <c r="C24" s="70">
        <v>1506667.0605846711</v>
      </c>
      <c r="D24" s="70">
        <v>0</v>
      </c>
      <c r="E24" s="70">
        <v>0</v>
      </c>
      <c r="F24" s="70">
        <v>0</v>
      </c>
      <c r="G24" s="70">
        <v>32456.720000000001</v>
      </c>
      <c r="H24" s="70">
        <v>32456.720000000001</v>
      </c>
      <c r="I24" s="70">
        <v>0</v>
      </c>
      <c r="J24" s="70">
        <v>0</v>
      </c>
      <c r="K24" s="70">
        <v>0</v>
      </c>
      <c r="L24" s="70">
        <v>0</v>
      </c>
      <c r="M24" s="70">
        <v>2137.8976262273468</v>
      </c>
      <c r="N24" s="70">
        <v>101991.6459564853</v>
      </c>
      <c r="O24" s="70">
        <v>0</v>
      </c>
      <c r="P24" s="70">
        <v>0</v>
      </c>
      <c r="Q24" s="71">
        <v>1574064.088914929</v>
      </c>
    </row>
    <row r="25" spans="2:17" ht="31.5" customHeight="1" x14ac:dyDescent="0.3">
      <c r="B25" s="3" t="s">
        <v>116</v>
      </c>
      <c r="C25" s="70">
        <v>246189.06912</v>
      </c>
      <c r="D25" s="70">
        <v>0</v>
      </c>
      <c r="E25" s="70">
        <v>0</v>
      </c>
      <c r="F25" s="70">
        <v>0</v>
      </c>
      <c r="G25" s="70">
        <v>12100.307000000001</v>
      </c>
      <c r="H25" s="70">
        <v>12100.307000000001</v>
      </c>
      <c r="I25" s="70">
        <v>0</v>
      </c>
      <c r="J25" s="70">
        <v>0</v>
      </c>
      <c r="K25" s="70">
        <v>0</v>
      </c>
      <c r="L25" s="70">
        <v>0</v>
      </c>
      <c r="M25" s="70">
        <v>1549.6016500000001</v>
      </c>
      <c r="N25" s="70">
        <v>163.61099999999999</v>
      </c>
      <c r="O25" s="70">
        <v>0</v>
      </c>
      <c r="P25" s="70">
        <v>0</v>
      </c>
      <c r="Q25" s="71">
        <v>232702.77147000001</v>
      </c>
    </row>
    <row r="26" spans="2:17" ht="31.5" customHeight="1" x14ac:dyDescent="0.3">
      <c r="B26" s="3" t="s">
        <v>117</v>
      </c>
      <c r="C26" s="70">
        <v>0</v>
      </c>
      <c r="D26" s="70">
        <v>0</v>
      </c>
      <c r="E26" s="70">
        <v>0</v>
      </c>
      <c r="F26" s="70">
        <v>0</v>
      </c>
      <c r="G26" s="70">
        <v>0</v>
      </c>
      <c r="H26" s="70">
        <v>0</v>
      </c>
      <c r="I26" s="70">
        <v>0</v>
      </c>
      <c r="J26" s="70">
        <v>0</v>
      </c>
      <c r="K26" s="70">
        <v>0</v>
      </c>
      <c r="L26" s="70">
        <v>0</v>
      </c>
      <c r="M26" s="70">
        <v>0</v>
      </c>
      <c r="N26" s="70">
        <v>0</v>
      </c>
      <c r="O26" s="70">
        <v>0</v>
      </c>
      <c r="P26" s="70">
        <v>0</v>
      </c>
      <c r="Q26" s="71">
        <v>0</v>
      </c>
    </row>
    <row r="27" spans="2:17" ht="31.5" customHeight="1" x14ac:dyDescent="0.3">
      <c r="B27" s="3" t="s">
        <v>118</v>
      </c>
      <c r="C27" s="70">
        <v>16778251.17792828</v>
      </c>
      <c r="D27" s="70">
        <v>155651.86420000001</v>
      </c>
      <c r="E27" s="70">
        <v>155651.86420000001</v>
      </c>
      <c r="F27" s="70">
        <v>0</v>
      </c>
      <c r="G27" s="70">
        <v>461635.58100000001</v>
      </c>
      <c r="H27" s="70">
        <v>461635.58100000001</v>
      </c>
      <c r="I27" s="70">
        <v>0</v>
      </c>
      <c r="J27" s="70">
        <v>0</v>
      </c>
      <c r="K27" s="70">
        <v>0</v>
      </c>
      <c r="L27" s="70">
        <v>4620.7460000000001</v>
      </c>
      <c r="M27" s="70">
        <v>10070.223642407949</v>
      </c>
      <c r="N27" s="70">
        <v>1893636.30152</v>
      </c>
      <c r="O27" s="70">
        <v>0</v>
      </c>
      <c r="P27" s="70">
        <v>0</v>
      </c>
      <c r="Q27" s="71">
        <v>18351212.79300588</v>
      </c>
    </row>
    <row r="28" spans="2:17" ht="31.5" customHeight="1" x14ac:dyDescent="0.3">
      <c r="B28" s="3" t="s">
        <v>119</v>
      </c>
      <c r="C28" s="70">
        <v>0</v>
      </c>
      <c r="D28" s="70">
        <v>0</v>
      </c>
      <c r="E28" s="70">
        <v>0</v>
      </c>
      <c r="F28" s="70">
        <v>0</v>
      </c>
      <c r="G28" s="70">
        <v>0</v>
      </c>
      <c r="H28" s="70">
        <v>0</v>
      </c>
      <c r="I28" s="70">
        <v>0</v>
      </c>
      <c r="J28" s="70">
        <v>0</v>
      </c>
      <c r="K28" s="70">
        <v>0</v>
      </c>
      <c r="L28" s="70">
        <v>0</v>
      </c>
      <c r="M28" s="70">
        <v>0</v>
      </c>
      <c r="N28" s="70">
        <v>0</v>
      </c>
      <c r="O28" s="70">
        <v>0</v>
      </c>
      <c r="P28" s="70">
        <v>0</v>
      </c>
      <c r="Q28" s="71">
        <v>0</v>
      </c>
    </row>
    <row r="29" spans="2:17" ht="31.5" customHeight="1" x14ac:dyDescent="0.3">
      <c r="B29" s="3" t="s">
        <v>120</v>
      </c>
      <c r="C29" s="70">
        <v>836801.39599999995</v>
      </c>
      <c r="D29" s="70">
        <v>0</v>
      </c>
      <c r="E29" s="70">
        <v>0</v>
      </c>
      <c r="F29" s="70">
        <v>0</v>
      </c>
      <c r="G29" s="70">
        <v>44021.487999999998</v>
      </c>
      <c r="H29" s="70">
        <v>37276.778769999997</v>
      </c>
      <c r="I29" s="70">
        <v>0</v>
      </c>
      <c r="J29" s="70">
        <v>6744.7092300000204</v>
      </c>
      <c r="K29" s="70">
        <v>0</v>
      </c>
      <c r="L29" s="70">
        <v>0</v>
      </c>
      <c r="M29" s="70">
        <v>0</v>
      </c>
      <c r="N29" s="70">
        <v>0</v>
      </c>
      <c r="O29" s="70">
        <v>0</v>
      </c>
      <c r="P29" s="70">
        <v>0</v>
      </c>
      <c r="Q29" s="71">
        <v>792779.90800000005</v>
      </c>
    </row>
    <row r="30" spans="2:17" ht="31.5" customHeight="1" x14ac:dyDescent="0.3">
      <c r="B30" s="3" t="s">
        <v>121</v>
      </c>
      <c r="C30" s="70">
        <v>0</v>
      </c>
      <c r="D30" s="70">
        <v>0</v>
      </c>
      <c r="E30" s="70">
        <v>0</v>
      </c>
      <c r="F30" s="70">
        <v>0</v>
      </c>
      <c r="G30" s="70">
        <v>0</v>
      </c>
      <c r="H30" s="70">
        <v>0</v>
      </c>
      <c r="I30" s="70">
        <v>0</v>
      </c>
      <c r="J30" s="70">
        <v>0</v>
      </c>
      <c r="K30" s="70">
        <v>0</v>
      </c>
      <c r="L30" s="70">
        <v>0</v>
      </c>
      <c r="M30" s="70">
        <v>0</v>
      </c>
      <c r="N30" s="70">
        <v>0</v>
      </c>
      <c r="O30" s="70">
        <v>0</v>
      </c>
      <c r="P30" s="70">
        <v>0</v>
      </c>
      <c r="Q30" s="71">
        <v>0</v>
      </c>
    </row>
    <row r="31" spans="2:17" ht="31.5" customHeight="1" x14ac:dyDescent="0.3">
      <c r="B31" s="37" t="s">
        <v>90</v>
      </c>
      <c r="C31" s="73">
        <f t="shared" ref="C31:Q31" si="0">SUM(C6:C30)</f>
        <v>95757120.211584821</v>
      </c>
      <c r="D31" s="73">
        <f t="shared" si="0"/>
        <v>3292672.3589000003</v>
      </c>
      <c r="E31" s="73">
        <f t="shared" si="0"/>
        <v>3292672.3589000003</v>
      </c>
      <c r="F31" s="73">
        <f t="shared" si="0"/>
        <v>0</v>
      </c>
      <c r="G31" s="73">
        <f t="shared" si="0"/>
        <v>3157213.4518661601</v>
      </c>
      <c r="H31" s="73">
        <f t="shared" si="0"/>
        <v>2526072.5256361603</v>
      </c>
      <c r="I31" s="73">
        <f t="shared" si="0"/>
        <v>0</v>
      </c>
      <c r="J31" s="73">
        <f t="shared" si="0"/>
        <v>6744.7092300000204</v>
      </c>
      <c r="K31" s="73">
        <f t="shared" si="0"/>
        <v>624396.21699999995</v>
      </c>
      <c r="L31" s="73">
        <f t="shared" si="0"/>
        <v>67335.463334500004</v>
      </c>
      <c r="M31" s="73">
        <f t="shared" si="0"/>
        <v>98787.712862922766</v>
      </c>
      <c r="N31" s="73">
        <f t="shared" si="0"/>
        <v>8953454.1570053939</v>
      </c>
      <c r="O31" s="73">
        <f t="shared" si="0"/>
        <v>12769.443021352532</v>
      </c>
      <c r="P31" s="73">
        <f t="shared" si="0"/>
        <v>22856.322</v>
      </c>
      <c r="Q31" s="73">
        <f t="shared" si="0"/>
        <v>104644284.3344053</v>
      </c>
    </row>
    <row r="32" spans="2:17" ht="31.5" customHeight="1" x14ac:dyDescent="0.35">
      <c r="B32" s="266" t="s">
        <v>91</v>
      </c>
      <c r="C32" s="252"/>
      <c r="D32" s="252"/>
      <c r="E32" s="252"/>
      <c r="F32" s="252"/>
      <c r="G32" s="252"/>
      <c r="H32" s="252"/>
      <c r="I32" s="252"/>
      <c r="J32" s="252"/>
      <c r="K32" s="252"/>
      <c r="L32" s="252"/>
      <c r="M32" s="252"/>
      <c r="N32" s="252"/>
      <c r="O32" s="252"/>
      <c r="P32" s="252"/>
      <c r="Q32" s="253"/>
    </row>
    <row r="33" spans="2:17" ht="31.5" customHeight="1" x14ac:dyDescent="0.3">
      <c r="B33" s="3" t="s">
        <v>92</v>
      </c>
      <c r="C33" s="70">
        <v>0</v>
      </c>
      <c r="D33" s="70">
        <v>0</v>
      </c>
      <c r="E33" s="70">
        <v>0</v>
      </c>
      <c r="F33" s="70">
        <v>0</v>
      </c>
      <c r="G33" s="70">
        <v>0</v>
      </c>
      <c r="H33" s="70">
        <v>0</v>
      </c>
      <c r="I33" s="70">
        <v>0</v>
      </c>
      <c r="J33" s="70">
        <v>0</v>
      </c>
      <c r="K33" s="70">
        <v>0</v>
      </c>
      <c r="L33" s="70">
        <v>0</v>
      </c>
      <c r="M33" s="70">
        <v>0</v>
      </c>
      <c r="N33" s="70">
        <v>0</v>
      </c>
      <c r="O33" s="70">
        <v>0</v>
      </c>
      <c r="P33" s="70">
        <v>0</v>
      </c>
      <c r="Q33" s="71">
        <v>0</v>
      </c>
    </row>
    <row r="34" spans="2:17" ht="31.5" customHeight="1" x14ac:dyDescent="0.3">
      <c r="B34" s="3" t="s">
        <v>93</v>
      </c>
      <c r="C34" s="70">
        <v>0</v>
      </c>
      <c r="D34" s="70">
        <v>0</v>
      </c>
      <c r="E34" s="70">
        <v>0</v>
      </c>
      <c r="F34" s="70">
        <v>0</v>
      </c>
      <c r="G34" s="70">
        <v>0</v>
      </c>
      <c r="H34" s="70">
        <v>0</v>
      </c>
      <c r="I34" s="70">
        <v>0</v>
      </c>
      <c r="J34" s="70">
        <v>0</v>
      </c>
      <c r="K34" s="70">
        <v>0</v>
      </c>
      <c r="L34" s="70">
        <v>0</v>
      </c>
      <c r="M34" s="70">
        <v>0</v>
      </c>
      <c r="N34" s="70">
        <v>0</v>
      </c>
      <c r="O34" s="70">
        <v>0</v>
      </c>
      <c r="P34" s="70">
        <v>0</v>
      </c>
      <c r="Q34" s="71">
        <v>0</v>
      </c>
    </row>
    <row r="35" spans="2:17" ht="31.5" customHeight="1" x14ac:dyDescent="0.3">
      <c r="B35" s="3" t="s">
        <v>95</v>
      </c>
      <c r="C35" s="70">
        <v>0</v>
      </c>
      <c r="D35" s="70">
        <v>0</v>
      </c>
      <c r="E35" s="70">
        <v>0</v>
      </c>
      <c r="F35" s="70">
        <v>0</v>
      </c>
      <c r="G35" s="70">
        <v>0</v>
      </c>
      <c r="H35" s="70">
        <v>0</v>
      </c>
      <c r="I35" s="70">
        <v>0</v>
      </c>
      <c r="J35" s="70">
        <v>0</v>
      </c>
      <c r="K35" s="70">
        <v>0</v>
      </c>
      <c r="L35" s="70">
        <v>0</v>
      </c>
      <c r="M35" s="70">
        <v>0</v>
      </c>
      <c r="N35" s="70">
        <v>0</v>
      </c>
      <c r="O35" s="70">
        <v>0</v>
      </c>
      <c r="P35" s="70">
        <v>0</v>
      </c>
      <c r="Q35" s="71">
        <v>0</v>
      </c>
    </row>
    <row r="36" spans="2:17" ht="31.5" customHeight="1" x14ac:dyDescent="0.3">
      <c r="B36" s="37" t="s">
        <v>90</v>
      </c>
      <c r="C36" s="73">
        <f t="shared" ref="C36:Q36" si="1">SUM(C33:C35)</f>
        <v>0</v>
      </c>
      <c r="D36" s="73">
        <f t="shared" si="1"/>
        <v>0</v>
      </c>
      <c r="E36" s="73">
        <f t="shared" si="1"/>
        <v>0</v>
      </c>
      <c r="F36" s="73">
        <f t="shared" si="1"/>
        <v>0</v>
      </c>
      <c r="G36" s="73">
        <f t="shared" si="1"/>
        <v>0</v>
      </c>
      <c r="H36" s="73">
        <f t="shared" si="1"/>
        <v>0</v>
      </c>
      <c r="I36" s="73">
        <f t="shared" si="1"/>
        <v>0</v>
      </c>
      <c r="J36" s="73">
        <f t="shared" si="1"/>
        <v>0</v>
      </c>
      <c r="K36" s="73">
        <f t="shared" si="1"/>
        <v>0</v>
      </c>
      <c r="L36" s="73">
        <f t="shared" si="1"/>
        <v>0</v>
      </c>
      <c r="M36" s="73">
        <f t="shared" si="1"/>
        <v>0</v>
      </c>
      <c r="N36" s="73">
        <f t="shared" si="1"/>
        <v>0</v>
      </c>
      <c r="O36" s="73">
        <f t="shared" si="1"/>
        <v>0</v>
      </c>
      <c r="P36" s="73">
        <f t="shared" si="1"/>
        <v>0</v>
      </c>
      <c r="Q36" s="73">
        <f t="shared" si="1"/>
        <v>0</v>
      </c>
    </row>
    <row r="37" spans="2:17" ht="21.75" customHeight="1" x14ac:dyDescent="0.35">
      <c r="B37" s="265" t="s">
        <v>98</v>
      </c>
      <c r="C37" s="255"/>
      <c r="D37" s="255"/>
      <c r="E37" s="255"/>
      <c r="F37" s="255"/>
      <c r="G37" s="255"/>
      <c r="H37" s="255"/>
      <c r="I37" s="255"/>
      <c r="J37" s="255"/>
      <c r="K37" s="255"/>
      <c r="L37" s="255"/>
      <c r="M37" s="255"/>
      <c r="N37" s="255"/>
      <c r="O37" s="255"/>
      <c r="P37" s="255"/>
      <c r="Q37" s="255"/>
    </row>
  </sheetData>
  <sheetProtection algorithmName="SHA-512" hashValue="Ad0Gzsoo2kiJ9nlWfvFCFXJyFD3MfcXuhFYYG42HA0KdJIxrdgHNX1GSMcAfpylivZ1noXVwLx8B1KPZMidXLA==" saltValue="SlYytbFst8MgkmKw2JVNHA==" spinCount="100000" sheet="1" objects="1" scenarios="1"/>
  <mergeCells count="4">
    <mergeCell ref="B32:Q32"/>
    <mergeCell ref="B37:Q37"/>
    <mergeCell ref="B3:Q3"/>
    <mergeCell ref="B5:Q5"/>
  </mergeCells>
  <pageMargins left="0.7" right="0.7" top="0.75" bottom="0.75" header="0.3" footer="0.3"/>
  <pageSetup paperSize="9" scale="4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tabColor rgb="FF92D050"/>
    <pageSetUpPr fitToPage="1"/>
  </sheetPr>
  <dimension ref="B3:Q38"/>
  <sheetViews>
    <sheetView zoomScale="70" zoomScaleNormal="70" workbookViewId="0">
      <pane xSplit="2" ySplit="5" topLeftCell="C6" activePane="bottomRight" state="frozen"/>
      <selection pane="topRight" activeCell="C1" sqref="C1"/>
      <selection pane="bottomLeft" activeCell="A6" sqref="A6"/>
      <selection pane="bottomRight" activeCell="B35" sqref="B35"/>
    </sheetView>
  </sheetViews>
  <sheetFormatPr defaultColWidth="15.54296875" defaultRowHeight="14" x14ac:dyDescent="0.3"/>
  <cols>
    <col min="1" max="1" width="15.54296875" style="2" customWidth="1"/>
    <col min="2" max="2" width="42.54296875" style="2" customWidth="1"/>
    <col min="3" max="8" width="18.453125" style="2" customWidth="1"/>
    <col min="9" max="9" width="15.54296875" style="2" customWidth="1"/>
    <col min="10" max="10" width="13" style="2" customWidth="1"/>
    <col min="11" max="11" width="15.54296875" style="2" customWidth="1"/>
    <col min="12" max="16" width="18.453125" style="2" customWidth="1"/>
    <col min="17" max="17" width="18.453125" style="5" customWidth="1"/>
    <col min="18" max="68" width="15.54296875" style="2" customWidth="1"/>
    <col min="69" max="16384" width="15.54296875" style="2"/>
  </cols>
  <sheetData>
    <row r="3" spans="2:17" ht="28.5" customHeight="1" x14ac:dyDescent="0.35">
      <c r="B3" s="267" t="str">
        <f>_xlfn.CONCAT('Table of Contents'!B15,": ",'Table of Contents'!C15)</f>
        <v>APPENDIX 8: SUMMARY OF GROUP LIFE BUSINESS REVENUE ACCOUNTS FOR THE PERIOD ENDED 31.03.2025</v>
      </c>
      <c r="C3" s="252"/>
      <c r="D3" s="252"/>
      <c r="E3" s="252"/>
      <c r="F3" s="252"/>
      <c r="G3" s="252"/>
      <c r="H3" s="252"/>
      <c r="I3" s="252"/>
      <c r="J3" s="252"/>
      <c r="K3" s="252"/>
      <c r="L3" s="252"/>
      <c r="M3" s="252"/>
      <c r="N3" s="252"/>
      <c r="O3" s="252"/>
      <c r="P3" s="252"/>
      <c r="Q3" s="253"/>
    </row>
    <row r="4" spans="2:17" s="10" customFormat="1" ht="28" customHeight="1" x14ac:dyDescent="0.3">
      <c r="B4" s="43" t="s">
        <v>36</v>
      </c>
      <c r="C4" s="45" t="s">
        <v>140</v>
      </c>
      <c r="D4" s="45" t="s">
        <v>141</v>
      </c>
      <c r="E4" s="45" t="s">
        <v>142</v>
      </c>
      <c r="F4" s="45" t="s">
        <v>143</v>
      </c>
      <c r="G4" s="45" t="s">
        <v>144</v>
      </c>
      <c r="H4" s="45" t="s">
        <v>145</v>
      </c>
      <c r="I4" s="66" t="s">
        <v>146</v>
      </c>
      <c r="J4" s="45" t="s">
        <v>147</v>
      </c>
      <c r="K4" s="45" t="s">
        <v>148</v>
      </c>
      <c r="L4" s="45" t="s">
        <v>149</v>
      </c>
      <c r="M4" s="45" t="s">
        <v>150</v>
      </c>
      <c r="N4" s="45" t="s">
        <v>151</v>
      </c>
      <c r="O4" s="45" t="s">
        <v>152</v>
      </c>
      <c r="P4" s="45" t="s">
        <v>153</v>
      </c>
      <c r="Q4" s="45" t="s">
        <v>154</v>
      </c>
    </row>
    <row r="5" spans="2:17" ht="26.25" customHeight="1" x14ac:dyDescent="0.35">
      <c r="B5" s="261" t="s">
        <v>53</v>
      </c>
      <c r="C5" s="252"/>
      <c r="D5" s="252"/>
      <c r="E5" s="252"/>
      <c r="F5" s="252"/>
      <c r="G5" s="252"/>
      <c r="H5" s="252"/>
      <c r="I5" s="252"/>
      <c r="J5" s="252"/>
      <c r="K5" s="252"/>
      <c r="L5" s="252"/>
      <c r="M5" s="252"/>
      <c r="N5" s="252"/>
      <c r="O5" s="252"/>
      <c r="P5" s="252"/>
      <c r="Q5" s="253"/>
    </row>
    <row r="6" spans="2:17" ht="26.25" customHeight="1" x14ac:dyDescent="0.3">
      <c r="B6" s="6" t="s">
        <v>99</v>
      </c>
      <c r="C6" s="70">
        <v>454028.71198802302</v>
      </c>
      <c r="D6" s="70">
        <v>1397419.625</v>
      </c>
      <c r="E6" s="70">
        <v>645621.89</v>
      </c>
      <c r="F6" s="70">
        <v>0</v>
      </c>
      <c r="G6" s="70">
        <v>665879.68799999997</v>
      </c>
      <c r="H6" s="70">
        <v>665879.68799999997</v>
      </c>
      <c r="I6" s="70">
        <v>0</v>
      </c>
      <c r="J6" s="70">
        <v>0</v>
      </c>
      <c r="K6" s="70">
        <v>0</v>
      </c>
      <c r="L6" s="70">
        <v>32555.169000000002</v>
      </c>
      <c r="M6" s="70">
        <v>106292.682996</v>
      </c>
      <c r="N6" s="70">
        <v>12669.187133550509</v>
      </c>
      <c r="O6" s="70">
        <v>0</v>
      </c>
      <c r="P6" s="70">
        <v>0</v>
      </c>
      <c r="Q6" s="71">
        <v>307592.24912557349</v>
      </c>
    </row>
    <row r="7" spans="2:17" ht="26.25" customHeight="1" x14ac:dyDescent="0.3">
      <c r="B7" s="3" t="s">
        <v>100</v>
      </c>
      <c r="C7" s="70">
        <v>639163.47820778284</v>
      </c>
      <c r="D7" s="70">
        <v>750660.00800000003</v>
      </c>
      <c r="E7" s="70">
        <v>213990.34400000001</v>
      </c>
      <c r="F7" s="70">
        <v>0</v>
      </c>
      <c r="G7" s="70">
        <v>92797.423752499963</v>
      </c>
      <c r="H7" s="70">
        <v>92797.423752499963</v>
      </c>
      <c r="I7" s="70">
        <v>0</v>
      </c>
      <c r="J7" s="70">
        <v>0</v>
      </c>
      <c r="K7" s="70">
        <v>0</v>
      </c>
      <c r="L7" s="70">
        <v>-59731.330999999998</v>
      </c>
      <c r="M7" s="70">
        <v>54607.722101534629</v>
      </c>
      <c r="N7" s="70">
        <v>60340.593179144453</v>
      </c>
      <c r="O7" s="70">
        <v>2238.692592396334</v>
      </c>
      <c r="P7" s="70">
        <v>0</v>
      </c>
      <c r="Q7" s="71">
        <v>823581.90794049646</v>
      </c>
    </row>
    <row r="8" spans="2:17" ht="26.25" customHeight="1" x14ac:dyDescent="0.3">
      <c r="B8" s="3" t="s">
        <v>101</v>
      </c>
      <c r="C8" s="70">
        <v>2772766.987089701</v>
      </c>
      <c r="D8" s="70">
        <v>500832.26896000002</v>
      </c>
      <c r="E8" s="70">
        <v>288136.78516999987</v>
      </c>
      <c r="F8" s="70">
        <v>0</v>
      </c>
      <c r="G8" s="70">
        <v>118450.0937300003</v>
      </c>
      <c r="H8" s="70">
        <v>118450.0937300003</v>
      </c>
      <c r="I8" s="70">
        <v>0</v>
      </c>
      <c r="J8" s="70">
        <v>0</v>
      </c>
      <c r="K8" s="70">
        <v>0</v>
      </c>
      <c r="L8" s="70">
        <v>-73739.994300000006</v>
      </c>
      <c r="M8" s="70">
        <v>83358.407000000007</v>
      </c>
      <c r="N8" s="70">
        <v>144439.08499999999</v>
      </c>
      <c r="O8" s="70">
        <v>-80.920760474714356</v>
      </c>
      <c r="P8" s="70">
        <v>137101.291</v>
      </c>
      <c r="Q8" s="71">
        <v>2940253.9805901749</v>
      </c>
    </row>
    <row r="9" spans="2:17" ht="26.25" customHeight="1" x14ac:dyDescent="0.3">
      <c r="B9" s="3" t="s">
        <v>102</v>
      </c>
      <c r="C9" s="70">
        <v>168205.61047908821</v>
      </c>
      <c r="D9" s="70">
        <v>226335.43918999989</v>
      </c>
      <c r="E9" s="70">
        <v>162537.2534874886</v>
      </c>
      <c r="F9" s="70">
        <v>0</v>
      </c>
      <c r="G9" s="70">
        <v>23117.277290000009</v>
      </c>
      <c r="H9" s="70">
        <v>23117.277290000009</v>
      </c>
      <c r="I9" s="70">
        <v>0</v>
      </c>
      <c r="J9" s="70">
        <v>0</v>
      </c>
      <c r="K9" s="70">
        <v>0</v>
      </c>
      <c r="L9" s="70">
        <v>16799.638122078719</v>
      </c>
      <c r="M9" s="70">
        <v>28804.936000000002</v>
      </c>
      <c r="N9" s="70">
        <v>20905.648000000001</v>
      </c>
      <c r="O9" s="70">
        <v>0</v>
      </c>
      <c r="P9" s="70">
        <v>0</v>
      </c>
      <c r="Q9" s="71">
        <v>282926.66055449808</v>
      </c>
    </row>
    <row r="10" spans="2:17" ht="26.25" customHeight="1" x14ac:dyDescent="0.3">
      <c r="B10" s="3" t="s">
        <v>103</v>
      </c>
      <c r="C10" s="70">
        <v>335333.11377826543</v>
      </c>
      <c r="D10" s="70">
        <v>200062.21599999999</v>
      </c>
      <c r="E10" s="70">
        <v>140222.2868915546</v>
      </c>
      <c r="F10" s="70">
        <v>0</v>
      </c>
      <c r="G10" s="70">
        <v>96013.963429999989</v>
      </c>
      <c r="H10" s="70">
        <v>96013.963429999989</v>
      </c>
      <c r="I10" s="70">
        <v>0</v>
      </c>
      <c r="J10" s="70">
        <v>0</v>
      </c>
      <c r="K10" s="70">
        <v>0</v>
      </c>
      <c r="L10" s="70">
        <v>57444.103953019738</v>
      </c>
      <c r="M10" s="70">
        <v>53922.118941068533</v>
      </c>
      <c r="N10" s="70">
        <v>7048.2073269015864</v>
      </c>
      <c r="O10" s="70">
        <v>0</v>
      </c>
      <c r="P10" s="70">
        <v>0</v>
      </c>
      <c r="Q10" s="71">
        <v>275223.42167263333</v>
      </c>
    </row>
    <row r="11" spans="2:17" ht="26.25" customHeight="1" x14ac:dyDescent="0.3">
      <c r="B11" s="3" t="s">
        <v>104</v>
      </c>
      <c r="C11" s="70">
        <v>1654152.2176278811</v>
      </c>
      <c r="D11" s="70">
        <v>388787.88299999997</v>
      </c>
      <c r="E11" s="70">
        <v>1322650.04082</v>
      </c>
      <c r="F11" s="70">
        <v>0</v>
      </c>
      <c r="G11" s="70">
        <v>147787.29486451551</v>
      </c>
      <c r="H11" s="70">
        <v>147787.29486451551</v>
      </c>
      <c r="I11" s="70">
        <v>0</v>
      </c>
      <c r="J11" s="70">
        <v>0</v>
      </c>
      <c r="K11" s="70">
        <v>0</v>
      </c>
      <c r="L11" s="70">
        <v>-180283.35243</v>
      </c>
      <c r="M11" s="70">
        <v>103732.13280479721</v>
      </c>
      <c r="N11" s="70">
        <v>297004.78606999997</v>
      </c>
      <c r="O11" s="70">
        <v>0</v>
      </c>
      <c r="P11" s="70">
        <v>0</v>
      </c>
      <c r="Q11" s="71">
        <v>3202570.9692785679</v>
      </c>
    </row>
    <row r="12" spans="2:17" ht="26.25" customHeight="1" x14ac:dyDescent="0.3">
      <c r="B12" s="3" t="s">
        <v>60</v>
      </c>
      <c r="C12" s="70">
        <v>0</v>
      </c>
      <c r="D12" s="70">
        <v>0</v>
      </c>
      <c r="E12" s="70">
        <v>0</v>
      </c>
      <c r="F12" s="70">
        <v>0</v>
      </c>
      <c r="G12" s="70">
        <v>0</v>
      </c>
      <c r="H12" s="70">
        <v>0</v>
      </c>
      <c r="I12" s="70">
        <v>0</v>
      </c>
      <c r="J12" s="70">
        <v>0</v>
      </c>
      <c r="K12" s="70">
        <v>0</v>
      </c>
      <c r="L12" s="70">
        <v>0</v>
      </c>
      <c r="M12" s="70">
        <v>0</v>
      </c>
      <c r="N12" s="70">
        <v>0</v>
      </c>
      <c r="O12" s="70">
        <v>0</v>
      </c>
      <c r="P12" s="70">
        <v>0</v>
      </c>
      <c r="Q12" s="71">
        <v>0</v>
      </c>
    </row>
    <row r="13" spans="2:17" ht="26.25" customHeight="1" x14ac:dyDescent="0.3">
      <c r="B13" s="3" t="s">
        <v>105</v>
      </c>
      <c r="C13" s="70">
        <v>587628.7111555828</v>
      </c>
      <c r="D13" s="70">
        <v>574687.98300000001</v>
      </c>
      <c r="E13" s="70">
        <v>193862.11199999999</v>
      </c>
      <c r="F13" s="70">
        <v>0</v>
      </c>
      <c r="G13" s="70">
        <v>21004.975190000001</v>
      </c>
      <c r="H13" s="70">
        <v>21004.975190000001</v>
      </c>
      <c r="I13" s="70">
        <v>0</v>
      </c>
      <c r="J13" s="70">
        <v>0</v>
      </c>
      <c r="K13" s="70">
        <v>0</v>
      </c>
      <c r="L13" s="70">
        <v>-82823.10253909824</v>
      </c>
      <c r="M13" s="70">
        <v>13439.95967</v>
      </c>
      <c r="N13" s="70">
        <v>81534.864826922785</v>
      </c>
      <c r="O13" s="70">
        <v>0</v>
      </c>
      <c r="P13" s="70">
        <v>0</v>
      </c>
      <c r="Q13" s="71">
        <v>911403.85566160385</v>
      </c>
    </row>
    <row r="14" spans="2:17" ht="26.25" customHeight="1" x14ac:dyDescent="0.3">
      <c r="B14" s="3" t="s">
        <v>106</v>
      </c>
      <c r="C14" s="70">
        <v>27060.957999999999</v>
      </c>
      <c r="D14" s="70">
        <v>34320.525999999998</v>
      </c>
      <c r="E14" s="70">
        <v>1976.779</v>
      </c>
      <c r="F14" s="70">
        <v>0</v>
      </c>
      <c r="G14" s="70">
        <v>1481.6326631083271</v>
      </c>
      <c r="H14" s="70">
        <v>1481.6326631083271</v>
      </c>
      <c r="I14" s="70">
        <v>0</v>
      </c>
      <c r="J14" s="70">
        <v>0</v>
      </c>
      <c r="K14" s="70">
        <v>0</v>
      </c>
      <c r="L14" s="70">
        <v>-24583.933410000001</v>
      </c>
      <c r="M14" s="70">
        <v>6319.580395313893</v>
      </c>
      <c r="N14" s="70">
        <v>959.23479139878395</v>
      </c>
      <c r="O14" s="70">
        <v>0</v>
      </c>
      <c r="P14" s="70">
        <v>0</v>
      </c>
      <c r="Q14" s="71">
        <v>46779.692142976557</v>
      </c>
    </row>
    <row r="15" spans="2:17" ht="26.25" customHeight="1" x14ac:dyDescent="0.3">
      <c r="B15" s="3" t="s">
        <v>107</v>
      </c>
      <c r="C15" s="70">
        <v>1007272.143</v>
      </c>
      <c r="D15" s="70">
        <v>122624.96261</v>
      </c>
      <c r="E15" s="70">
        <v>90886.961590000021</v>
      </c>
      <c r="F15" s="70">
        <v>0</v>
      </c>
      <c r="G15" s="70">
        <v>131199.95196999999</v>
      </c>
      <c r="H15" s="70">
        <v>131199.95196999999</v>
      </c>
      <c r="I15" s="70">
        <v>0</v>
      </c>
      <c r="J15" s="70">
        <v>0</v>
      </c>
      <c r="K15" s="70">
        <v>0</v>
      </c>
      <c r="L15" s="70">
        <v>13773.20599</v>
      </c>
      <c r="M15" s="70">
        <v>46331.279685000001</v>
      </c>
      <c r="N15" s="70">
        <v>0</v>
      </c>
      <c r="O15" s="70">
        <v>0</v>
      </c>
      <c r="P15" s="70">
        <v>0</v>
      </c>
      <c r="Q15" s="71">
        <v>906854.66694500006</v>
      </c>
    </row>
    <row r="16" spans="2:17" ht="26.25" customHeight="1" x14ac:dyDescent="0.3">
      <c r="B16" s="3" t="s">
        <v>108</v>
      </c>
      <c r="C16" s="70">
        <v>433367.01807764772</v>
      </c>
      <c r="D16" s="70">
        <v>186560.46557</v>
      </c>
      <c r="E16" s="70">
        <v>100977.862893956</v>
      </c>
      <c r="F16" s="70">
        <v>0</v>
      </c>
      <c r="G16" s="70">
        <v>35627.834599999987</v>
      </c>
      <c r="H16" s="70">
        <v>35627.834599999987</v>
      </c>
      <c r="I16" s="70">
        <v>0</v>
      </c>
      <c r="J16" s="70">
        <v>0</v>
      </c>
      <c r="K16" s="70">
        <v>0</v>
      </c>
      <c r="L16" s="70">
        <v>-7528.4666899999993</v>
      </c>
      <c r="M16" s="70">
        <v>38974.279597210712</v>
      </c>
      <c r="N16" s="70">
        <v>13069.638000000001</v>
      </c>
      <c r="O16" s="70">
        <v>0</v>
      </c>
      <c r="P16" s="70">
        <v>0</v>
      </c>
      <c r="Q16" s="71">
        <v>480340.87146439299</v>
      </c>
    </row>
    <row r="17" spans="2:17" ht="26.25" customHeight="1" x14ac:dyDescent="0.3">
      <c r="B17" s="3" t="s">
        <v>109</v>
      </c>
      <c r="C17" s="70">
        <v>747633.54696861608</v>
      </c>
      <c r="D17" s="70">
        <v>420477.76121000003</v>
      </c>
      <c r="E17" s="70">
        <v>185931.16721000001</v>
      </c>
      <c r="F17" s="70">
        <v>0</v>
      </c>
      <c r="G17" s="70">
        <v>119419.83100000001</v>
      </c>
      <c r="H17" s="70">
        <v>119419.83100000001</v>
      </c>
      <c r="I17" s="70">
        <v>0</v>
      </c>
      <c r="J17" s="70">
        <v>0</v>
      </c>
      <c r="K17" s="70">
        <v>0</v>
      </c>
      <c r="L17" s="70">
        <v>-8395.6509999999998</v>
      </c>
      <c r="M17" s="70">
        <v>34178.712559599997</v>
      </c>
      <c r="N17" s="70">
        <v>41870.618479405013</v>
      </c>
      <c r="O17" s="70">
        <v>348.57768574741851</v>
      </c>
      <c r="P17" s="70">
        <v>0</v>
      </c>
      <c r="Q17" s="71">
        <v>829883.86241267365</v>
      </c>
    </row>
    <row r="18" spans="2:17" ht="26.25" customHeight="1" x14ac:dyDescent="0.3">
      <c r="B18" s="3" t="s">
        <v>110</v>
      </c>
      <c r="C18" s="70">
        <v>114175.77499999999</v>
      </c>
      <c r="D18" s="70">
        <v>24310.375100000001</v>
      </c>
      <c r="E18" s="70">
        <v>-9251.9369000000024</v>
      </c>
      <c r="F18" s="70">
        <v>0</v>
      </c>
      <c r="G18" s="70">
        <v>500.01600000000002</v>
      </c>
      <c r="H18" s="70">
        <v>500.01600000000002</v>
      </c>
      <c r="I18" s="70">
        <v>0</v>
      </c>
      <c r="J18" s="70">
        <v>0</v>
      </c>
      <c r="K18" s="70">
        <v>0</v>
      </c>
      <c r="L18" s="70">
        <v>914.62199999999996</v>
      </c>
      <c r="M18" s="70">
        <v>1143.5350000000001</v>
      </c>
      <c r="N18" s="70">
        <v>8992.4840000000004</v>
      </c>
      <c r="O18" s="70">
        <v>0</v>
      </c>
      <c r="P18" s="70">
        <v>2500</v>
      </c>
      <c r="Q18" s="71">
        <v>108858.1491</v>
      </c>
    </row>
    <row r="19" spans="2:17" ht="26.25" customHeight="1" x14ac:dyDescent="0.3">
      <c r="B19" s="3" t="s">
        <v>111</v>
      </c>
      <c r="C19" s="70">
        <v>141937.9768707859</v>
      </c>
      <c r="D19" s="70">
        <v>40126.148000000001</v>
      </c>
      <c r="E19" s="70">
        <v>28088.304</v>
      </c>
      <c r="F19" s="70">
        <v>0</v>
      </c>
      <c r="G19" s="70">
        <v>11743.51</v>
      </c>
      <c r="H19" s="70">
        <v>11743.51</v>
      </c>
      <c r="I19" s="70">
        <v>0</v>
      </c>
      <c r="J19" s="70">
        <v>0</v>
      </c>
      <c r="K19" s="70">
        <v>0</v>
      </c>
      <c r="L19" s="70">
        <v>-938.00068000000022</v>
      </c>
      <c r="M19" s="70">
        <v>8226.7168262000014</v>
      </c>
      <c r="N19" s="70">
        <v>3318.1842522504462</v>
      </c>
      <c r="O19" s="70">
        <v>0</v>
      </c>
      <c r="P19" s="70">
        <v>0</v>
      </c>
      <c r="Q19" s="71">
        <v>154312.23897683629</v>
      </c>
    </row>
    <row r="20" spans="2:17" ht="26.25" customHeight="1" x14ac:dyDescent="0.3">
      <c r="B20" s="3" t="s">
        <v>112</v>
      </c>
      <c r="C20" s="70">
        <v>-34473.91888294441</v>
      </c>
      <c r="D20" s="70">
        <v>9479.44</v>
      </c>
      <c r="E20" s="70">
        <v>7109.58</v>
      </c>
      <c r="F20" s="70">
        <v>0</v>
      </c>
      <c r="G20" s="70">
        <v>18023.262999999999</v>
      </c>
      <c r="H20" s="70">
        <v>18023.262999999999</v>
      </c>
      <c r="I20" s="70">
        <v>0</v>
      </c>
      <c r="J20" s="70">
        <v>0</v>
      </c>
      <c r="K20" s="70">
        <v>0</v>
      </c>
      <c r="L20" s="70">
        <v>-551.93985000000009</v>
      </c>
      <c r="M20" s="70">
        <v>9275.9304540938538</v>
      </c>
      <c r="N20" s="70">
        <v>0</v>
      </c>
      <c r="O20" s="70">
        <v>0</v>
      </c>
      <c r="P20" s="70">
        <v>0</v>
      </c>
      <c r="Q20" s="71">
        <v>-54111.592487038273</v>
      </c>
    </row>
    <row r="21" spans="2:17" ht="26.25" customHeight="1" x14ac:dyDescent="0.3">
      <c r="B21" s="3" t="s">
        <v>113</v>
      </c>
      <c r="C21" s="70">
        <v>631491.31202537543</v>
      </c>
      <c r="D21" s="70">
        <v>311804.54119999998</v>
      </c>
      <c r="E21" s="70">
        <v>237845.3222</v>
      </c>
      <c r="F21" s="70">
        <v>0</v>
      </c>
      <c r="G21" s="70">
        <v>41424.208939999997</v>
      </c>
      <c r="H21" s="70">
        <v>41424.208939999997</v>
      </c>
      <c r="I21" s="70">
        <v>0</v>
      </c>
      <c r="J21" s="70">
        <v>0</v>
      </c>
      <c r="K21" s="70">
        <v>0</v>
      </c>
      <c r="L21" s="70">
        <v>23384.57562</v>
      </c>
      <c r="M21" s="70">
        <v>40464.587238173888</v>
      </c>
      <c r="N21" s="70">
        <v>30493.628592040619</v>
      </c>
      <c r="O21" s="70">
        <v>6454.839305413303</v>
      </c>
      <c r="P21" s="70">
        <v>0</v>
      </c>
      <c r="Q21" s="71">
        <v>788102.05171382893</v>
      </c>
    </row>
    <row r="22" spans="2:17" ht="26.25" customHeight="1" x14ac:dyDescent="0.3">
      <c r="B22" s="64" t="s">
        <v>74</v>
      </c>
      <c r="C22" s="70">
        <v>-131621.486</v>
      </c>
      <c r="D22" s="70">
        <v>313392</v>
      </c>
      <c r="E22" s="70">
        <v>242781.06867295061</v>
      </c>
      <c r="F22" s="70">
        <v>0</v>
      </c>
      <c r="G22" s="70">
        <v>106333</v>
      </c>
      <c r="H22" s="70">
        <v>106333</v>
      </c>
      <c r="I22" s="70">
        <v>0</v>
      </c>
      <c r="J22" s="70">
        <v>0</v>
      </c>
      <c r="K22" s="70">
        <v>0</v>
      </c>
      <c r="L22" s="70">
        <v>30975</v>
      </c>
      <c r="M22" s="70">
        <v>54914.648999999998</v>
      </c>
      <c r="N22" s="70">
        <v>6926</v>
      </c>
      <c r="O22" s="70">
        <v>0</v>
      </c>
      <c r="P22" s="70">
        <v>0</v>
      </c>
      <c r="Q22" s="71">
        <v>-74137.066327049368</v>
      </c>
    </row>
    <row r="23" spans="2:17" ht="26.25" customHeight="1" x14ac:dyDescent="0.3">
      <c r="B23" s="64" t="s">
        <v>114</v>
      </c>
      <c r="C23" s="70">
        <v>140396.21263893601</v>
      </c>
      <c r="D23" s="70">
        <v>0</v>
      </c>
      <c r="E23" s="70">
        <v>0</v>
      </c>
      <c r="F23" s="70">
        <v>0</v>
      </c>
      <c r="G23" s="70">
        <v>0</v>
      </c>
      <c r="H23" s="70">
        <v>0</v>
      </c>
      <c r="I23" s="70">
        <v>0</v>
      </c>
      <c r="J23" s="70">
        <v>0</v>
      </c>
      <c r="K23" s="70">
        <v>0</v>
      </c>
      <c r="L23" s="70">
        <v>0</v>
      </c>
      <c r="M23" s="70">
        <v>4469.1722699273678</v>
      </c>
      <c r="N23" s="70">
        <v>950.02627441592256</v>
      </c>
      <c r="O23" s="70">
        <v>10.155466133976621</v>
      </c>
      <c r="P23" s="70">
        <v>0</v>
      </c>
      <c r="Q23" s="71">
        <v>136866.9111772906</v>
      </c>
    </row>
    <row r="24" spans="2:17" ht="26.25" customHeight="1" x14ac:dyDescent="0.3">
      <c r="B24" s="3" t="s">
        <v>115</v>
      </c>
      <c r="C24" s="70">
        <v>3245161.2290698579</v>
      </c>
      <c r="D24" s="70">
        <v>803789.68164342467</v>
      </c>
      <c r="E24" s="70">
        <v>486910.36293342471</v>
      </c>
      <c r="F24" s="70">
        <v>-211950.23190969799</v>
      </c>
      <c r="G24" s="70">
        <v>329318.56400055182</v>
      </c>
      <c r="H24" s="70">
        <v>329318.56400055182</v>
      </c>
      <c r="I24" s="70">
        <v>0</v>
      </c>
      <c r="J24" s="70">
        <v>0</v>
      </c>
      <c r="K24" s="70">
        <v>0</v>
      </c>
      <c r="L24" s="70">
        <v>-11364.80767059665</v>
      </c>
      <c r="M24" s="70">
        <v>118923.1582232076</v>
      </c>
      <c r="N24" s="70">
        <v>90013.551044871114</v>
      </c>
      <c r="O24" s="70">
        <v>0</v>
      </c>
      <c r="P24" s="70">
        <v>0</v>
      </c>
      <c r="Q24" s="71">
        <v>3173257.9965852932</v>
      </c>
    </row>
    <row r="25" spans="2:17" ht="26.25" customHeight="1" x14ac:dyDescent="0.3">
      <c r="B25" s="3" t="s">
        <v>116</v>
      </c>
      <c r="C25" s="70">
        <v>1124708.253178214</v>
      </c>
      <c r="D25" s="70">
        <v>188360.905</v>
      </c>
      <c r="E25" s="70">
        <v>175802.45499999999</v>
      </c>
      <c r="F25" s="70">
        <v>0</v>
      </c>
      <c r="G25" s="70">
        <v>-51586.052563779587</v>
      </c>
      <c r="H25" s="70">
        <v>-51586.052563779587</v>
      </c>
      <c r="I25" s="70">
        <v>0</v>
      </c>
      <c r="J25" s="70">
        <v>0</v>
      </c>
      <c r="K25" s="70">
        <v>0</v>
      </c>
      <c r="L25" s="70">
        <v>46640.493999999999</v>
      </c>
      <c r="M25" s="70">
        <v>85228.090750000018</v>
      </c>
      <c r="N25" s="70">
        <v>494200.37800000003</v>
      </c>
      <c r="O25" s="70">
        <v>0</v>
      </c>
      <c r="P25" s="70">
        <v>0</v>
      </c>
      <c r="Q25" s="71">
        <v>1714428.5539919939</v>
      </c>
    </row>
    <row r="26" spans="2:17" ht="26.25" customHeight="1" x14ac:dyDescent="0.3">
      <c r="B26" s="3" t="s">
        <v>117</v>
      </c>
      <c r="C26" s="70">
        <v>256038.64403474139</v>
      </c>
      <c r="D26" s="70">
        <v>254878.30147999999</v>
      </c>
      <c r="E26" s="70">
        <v>198627.20491</v>
      </c>
      <c r="F26" s="70">
        <v>0</v>
      </c>
      <c r="G26" s="70">
        <v>76263.925759999998</v>
      </c>
      <c r="H26" s="70">
        <v>76263.925759999998</v>
      </c>
      <c r="I26" s="70">
        <v>0</v>
      </c>
      <c r="J26" s="70">
        <v>0</v>
      </c>
      <c r="K26" s="70">
        <v>0</v>
      </c>
      <c r="L26" s="70">
        <v>669.49916000000019</v>
      </c>
      <c r="M26" s="70">
        <v>78218.023143122133</v>
      </c>
      <c r="N26" s="70">
        <v>46775.154914320243</v>
      </c>
      <c r="O26" s="70">
        <v>0</v>
      </c>
      <c r="P26" s="70">
        <v>0</v>
      </c>
      <c r="Q26" s="71">
        <v>346289.55579593952</v>
      </c>
    </row>
    <row r="27" spans="2:17" ht="26.25" customHeight="1" x14ac:dyDescent="0.3">
      <c r="B27" s="3" t="s">
        <v>118</v>
      </c>
      <c r="C27" s="70">
        <v>206816.85831990879</v>
      </c>
      <c r="D27" s="70">
        <v>363802.94608489599</v>
      </c>
      <c r="E27" s="70">
        <v>170564.38008489599</v>
      </c>
      <c r="F27" s="70">
        <v>0</v>
      </c>
      <c r="G27" s="70">
        <v>143889.74775898611</v>
      </c>
      <c r="H27" s="70">
        <v>143889.74775898611</v>
      </c>
      <c r="I27" s="70">
        <v>0</v>
      </c>
      <c r="J27" s="70">
        <v>0</v>
      </c>
      <c r="K27" s="70">
        <v>0</v>
      </c>
      <c r="L27" s="70">
        <v>13693.411399187689</v>
      </c>
      <c r="M27" s="70">
        <v>74292.937431315921</v>
      </c>
      <c r="N27" s="70">
        <v>15589.555907214401</v>
      </c>
      <c r="O27" s="70">
        <v>0</v>
      </c>
      <c r="P27" s="70">
        <v>0</v>
      </c>
      <c r="Q27" s="71">
        <v>161094.69772252961</v>
      </c>
    </row>
    <row r="28" spans="2:17" ht="26.25" customHeight="1" x14ac:dyDescent="0.3">
      <c r="B28" s="3" t="s">
        <v>119</v>
      </c>
      <c r="C28" s="70">
        <v>546648.07085393381</v>
      </c>
      <c r="D28" s="70">
        <v>1260.808</v>
      </c>
      <c r="E28" s="70">
        <v>107.95</v>
      </c>
      <c r="F28" s="70">
        <v>0</v>
      </c>
      <c r="G28" s="70">
        <v>17514.184000000001</v>
      </c>
      <c r="H28" s="70">
        <v>17514.184000000001</v>
      </c>
      <c r="I28" s="70">
        <v>0</v>
      </c>
      <c r="J28" s="70">
        <v>0</v>
      </c>
      <c r="K28" s="70">
        <v>0</v>
      </c>
      <c r="L28" s="70">
        <v>-284.24299999999999</v>
      </c>
      <c r="M28" s="70">
        <v>7998.549</v>
      </c>
      <c r="N28" s="70">
        <v>824.298</v>
      </c>
      <c r="O28" s="70">
        <v>0</v>
      </c>
      <c r="P28" s="70">
        <v>0</v>
      </c>
      <c r="Q28" s="71">
        <v>522351.82885393378</v>
      </c>
    </row>
    <row r="29" spans="2:17" ht="26.25" customHeight="1" x14ac:dyDescent="0.3">
      <c r="B29" s="3" t="s">
        <v>120</v>
      </c>
      <c r="C29" s="70">
        <v>313456.51268632611</v>
      </c>
      <c r="D29" s="70">
        <v>49529.059000000001</v>
      </c>
      <c r="E29" s="70">
        <v>40481.785000000003</v>
      </c>
      <c r="F29" s="70">
        <v>0</v>
      </c>
      <c r="G29" s="70">
        <v>159712.470478387</v>
      </c>
      <c r="H29" s="70">
        <v>794.529</v>
      </c>
      <c r="I29" s="70">
        <v>0</v>
      </c>
      <c r="J29" s="70">
        <v>158917.94147838699</v>
      </c>
      <c r="K29" s="70">
        <v>0</v>
      </c>
      <c r="L29" s="70">
        <v>1492.8</v>
      </c>
      <c r="M29" s="70">
        <v>6873.0598228542494</v>
      </c>
      <c r="N29" s="70">
        <v>8231.4135704200598</v>
      </c>
      <c r="O29" s="70">
        <v>0</v>
      </c>
      <c r="P29" s="70">
        <v>0</v>
      </c>
      <c r="Q29" s="71">
        <v>194091.38095550501</v>
      </c>
    </row>
    <row r="30" spans="2:17" ht="26.25" customHeight="1" x14ac:dyDescent="0.3">
      <c r="B30" s="3" t="s">
        <v>121</v>
      </c>
      <c r="C30" s="70">
        <v>0</v>
      </c>
      <c r="D30" s="70">
        <v>0</v>
      </c>
      <c r="E30" s="70">
        <v>0</v>
      </c>
      <c r="F30" s="70">
        <v>0</v>
      </c>
      <c r="G30" s="70">
        <v>0</v>
      </c>
      <c r="H30" s="70">
        <v>0</v>
      </c>
      <c r="I30" s="70">
        <v>0</v>
      </c>
      <c r="J30" s="70">
        <v>0</v>
      </c>
      <c r="K30" s="70">
        <v>0</v>
      </c>
      <c r="L30" s="70">
        <v>0</v>
      </c>
      <c r="M30" s="70">
        <v>0</v>
      </c>
      <c r="N30" s="70">
        <v>0</v>
      </c>
      <c r="O30" s="70">
        <v>0</v>
      </c>
      <c r="P30" s="70">
        <v>0</v>
      </c>
      <c r="Q30" s="71">
        <v>0</v>
      </c>
    </row>
    <row r="31" spans="2:17" ht="26.25" customHeight="1" x14ac:dyDescent="0.3">
      <c r="B31" s="37" t="s">
        <v>90</v>
      </c>
      <c r="C31" s="72">
        <f t="shared" ref="C31:Q31" si="0">SUM(C6:C30)</f>
        <v>15381347.936167726</v>
      </c>
      <c r="D31" s="72">
        <f t="shared" si="0"/>
        <v>7163503.3440483212</v>
      </c>
      <c r="E31" s="72">
        <f t="shared" si="0"/>
        <v>4925859.9589642705</v>
      </c>
      <c r="F31" s="72">
        <f t="shared" si="0"/>
        <v>-211950.23190969799</v>
      </c>
      <c r="G31" s="72">
        <f t="shared" si="0"/>
        <v>2305916.8038642695</v>
      </c>
      <c r="H31" s="72">
        <f t="shared" si="0"/>
        <v>2146998.8623858825</v>
      </c>
      <c r="I31" s="72">
        <f t="shared" si="0"/>
        <v>0</v>
      </c>
      <c r="J31" s="72">
        <f t="shared" si="0"/>
        <v>158917.94147838699</v>
      </c>
      <c r="K31" s="72">
        <f t="shared" si="0"/>
        <v>0</v>
      </c>
      <c r="L31" s="72">
        <f t="shared" si="0"/>
        <v>-211882.30332540875</v>
      </c>
      <c r="M31" s="72">
        <f t="shared" si="0"/>
        <v>1059990.2209094202</v>
      </c>
      <c r="N31" s="72">
        <f t="shared" si="0"/>
        <v>1386156.5373628559</v>
      </c>
      <c r="O31" s="72">
        <f t="shared" si="0"/>
        <v>8971.3442892163166</v>
      </c>
      <c r="P31" s="73">
        <f t="shared" si="0"/>
        <v>139601.291</v>
      </c>
      <c r="Q31" s="72">
        <f t="shared" si="0"/>
        <v>18178816.843847651</v>
      </c>
    </row>
    <row r="32" spans="2:17" ht="26.25" customHeight="1" x14ac:dyDescent="0.35">
      <c r="B32" s="261" t="s">
        <v>91</v>
      </c>
      <c r="C32" s="252"/>
      <c r="D32" s="252"/>
      <c r="E32" s="252"/>
      <c r="F32" s="252"/>
      <c r="G32" s="252"/>
      <c r="H32" s="252"/>
      <c r="I32" s="252"/>
      <c r="J32" s="252"/>
      <c r="K32" s="252"/>
      <c r="L32" s="252"/>
      <c r="M32" s="252"/>
      <c r="N32" s="252"/>
      <c r="O32" s="252"/>
      <c r="P32" s="252"/>
      <c r="Q32" s="253"/>
    </row>
    <row r="33" spans="2:17" ht="26.25" customHeight="1" x14ac:dyDescent="0.3">
      <c r="B33" s="3" t="s">
        <v>92</v>
      </c>
      <c r="C33" s="70">
        <v>0</v>
      </c>
      <c r="D33" s="70">
        <v>22961.78</v>
      </c>
      <c r="E33" s="70">
        <v>22961.78</v>
      </c>
      <c r="F33" s="70">
        <v>0</v>
      </c>
      <c r="G33" s="70">
        <v>16283.717000000001</v>
      </c>
      <c r="H33" s="70">
        <v>16283.717000000001</v>
      </c>
      <c r="I33" s="70">
        <v>0</v>
      </c>
      <c r="J33" s="70">
        <v>0</v>
      </c>
      <c r="K33" s="70">
        <v>0</v>
      </c>
      <c r="L33" s="70">
        <v>7104.3720000000003</v>
      </c>
      <c r="M33" s="70">
        <v>1924.579</v>
      </c>
      <c r="N33" s="70">
        <v>16974.277999999998</v>
      </c>
      <c r="O33" s="70">
        <v>0</v>
      </c>
      <c r="P33" s="70">
        <v>0</v>
      </c>
      <c r="Q33" s="71">
        <v>14623.39</v>
      </c>
    </row>
    <row r="34" spans="2:17" ht="26.25" customHeight="1" x14ac:dyDescent="0.3">
      <c r="B34" s="3" t="s">
        <v>93</v>
      </c>
      <c r="C34" s="70">
        <v>1039475.6040571</v>
      </c>
      <c r="D34" s="70">
        <v>327031.90304586821</v>
      </c>
      <c r="E34" s="70">
        <v>272863.55659208703</v>
      </c>
      <c r="F34" s="70">
        <v>0</v>
      </c>
      <c r="G34" s="70">
        <v>142805.84244701249</v>
      </c>
      <c r="H34" s="70">
        <v>142805.84244701249</v>
      </c>
      <c r="I34" s="70">
        <v>0</v>
      </c>
      <c r="J34" s="70">
        <v>0</v>
      </c>
      <c r="K34" s="70">
        <v>0</v>
      </c>
      <c r="L34" s="70">
        <v>70479.730516666314</v>
      </c>
      <c r="M34" s="70">
        <v>19056.547949411761</v>
      </c>
      <c r="N34" s="70">
        <v>59665.323604800447</v>
      </c>
      <c r="O34" s="70">
        <v>2678.942678318856</v>
      </c>
      <c r="P34" s="70">
        <v>0</v>
      </c>
      <c r="Q34" s="71">
        <v>1136983.420662578</v>
      </c>
    </row>
    <row r="35" spans="2:17" ht="26.25" customHeight="1" x14ac:dyDescent="0.3">
      <c r="B35" s="3" t="s">
        <v>95</v>
      </c>
      <c r="C35" s="70">
        <v>7951511.6646300014</v>
      </c>
      <c r="D35" s="70">
        <v>756676.39399999997</v>
      </c>
      <c r="E35" s="70">
        <v>756676.39399999997</v>
      </c>
      <c r="F35" s="70">
        <v>0</v>
      </c>
      <c r="G35" s="70">
        <v>407146.77</v>
      </c>
      <c r="H35" s="70">
        <v>407146.77</v>
      </c>
      <c r="I35" s="70">
        <v>0</v>
      </c>
      <c r="J35" s="70">
        <v>0</v>
      </c>
      <c r="K35" s="70">
        <v>0</v>
      </c>
      <c r="L35" s="70">
        <v>322380.52</v>
      </c>
      <c r="M35" s="70">
        <v>117979.361</v>
      </c>
      <c r="N35" s="70">
        <v>196531.02100000001</v>
      </c>
      <c r="O35" s="70">
        <v>0</v>
      </c>
      <c r="P35" s="70">
        <v>0</v>
      </c>
      <c r="Q35" s="71">
        <v>8057212.4286300009</v>
      </c>
    </row>
    <row r="36" spans="2:17" ht="26.25" customHeight="1" x14ac:dyDescent="0.3">
      <c r="B36" s="37" t="s">
        <v>90</v>
      </c>
      <c r="C36" s="72">
        <f t="shared" ref="C36:Q36" si="1">SUM(C33:C35)</f>
        <v>8990987.2686871011</v>
      </c>
      <c r="D36" s="72">
        <f t="shared" si="1"/>
        <v>1106670.0770458682</v>
      </c>
      <c r="E36" s="72">
        <f t="shared" si="1"/>
        <v>1052501.7305920869</v>
      </c>
      <c r="F36" s="72">
        <f t="shared" si="1"/>
        <v>0</v>
      </c>
      <c r="G36" s="72">
        <f t="shared" si="1"/>
        <v>566236.32944701251</v>
      </c>
      <c r="H36" s="72">
        <f t="shared" si="1"/>
        <v>566236.32944701251</v>
      </c>
      <c r="I36" s="72">
        <f t="shared" si="1"/>
        <v>0</v>
      </c>
      <c r="J36" s="72">
        <f t="shared" si="1"/>
        <v>0</v>
      </c>
      <c r="K36" s="72">
        <f t="shared" si="1"/>
        <v>0</v>
      </c>
      <c r="L36" s="72">
        <f t="shared" si="1"/>
        <v>399964.62251666631</v>
      </c>
      <c r="M36" s="72">
        <f t="shared" si="1"/>
        <v>138960.48794941176</v>
      </c>
      <c r="N36" s="72">
        <f t="shared" si="1"/>
        <v>273170.62260480045</v>
      </c>
      <c r="O36" s="72">
        <f t="shared" si="1"/>
        <v>2678.942678318856</v>
      </c>
      <c r="P36" s="72">
        <f t="shared" si="1"/>
        <v>0</v>
      </c>
      <c r="Q36" s="72">
        <f t="shared" si="1"/>
        <v>9208819.2392925788</v>
      </c>
    </row>
    <row r="37" spans="2:17" ht="14.5" customHeight="1" x14ac:dyDescent="0.35">
      <c r="B37" s="265" t="s">
        <v>98</v>
      </c>
      <c r="C37" s="255"/>
      <c r="D37" s="255"/>
      <c r="E37" s="255"/>
      <c r="F37" s="255"/>
      <c r="G37" s="255"/>
      <c r="H37" s="255"/>
      <c r="I37" s="255"/>
      <c r="J37" s="255"/>
      <c r="K37" s="255"/>
      <c r="L37" s="255"/>
      <c r="M37" s="255"/>
      <c r="N37" s="255"/>
      <c r="O37" s="255"/>
      <c r="P37" s="255"/>
      <c r="Q37" s="255"/>
    </row>
    <row r="38" spans="2:17" hidden="1" x14ac:dyDescent="0.3">
      <c r="C38" s="11">
        <f t="shared" ref="C38:Q38" si="2">C31+C36</f>
        <v>24372335.204854827</v>
      </c>
      <c r="D38" s="11">
        <f t="shared" si="2"/>
        <v>8270173.4210941894</v>
      </c>
      <c r="E38" s="11">
        <f t="shared" si="2"/>
        <v>5978361.6895563575</v>
      </c>
      <c r="F38" s="11">
        <f t="shared" si="2"/>
        <v>-211950.23190969799</v>
      </c>
      <c r="G38" s="11">
        <f t="shared" si="2"/>
        <v>2872153.1333112819</v>
      </c>
      <c r="H38" s="11">
        <f t="shared" si="2"/>
        <v>2713235.1918328949</v>
      </c>
      <c r="I38" s="11">
        <f t="shared" si="2"/>
        <v>0</v>
      </c>
      <c r="J38" s="11">
        <f t="shared" si="2"/>
        <v>158917.94147838699</v>
      </c>
      <c r="K38" s="11">
        <f t="shared" si="2"/>
        <v>0</v>
      </c>
      <c r="L38" s="11">
        <f t="shared" si="2"/>
        <v>188082.31919125756</v>
      </c>
      <c r="M38" s="11">
        <f t="shared" si="2"/>
        <v>1198950.708858832</v>
      </c>
      <c r="N38" s="11">
        <f t="shared" si="2"/>
        <v>1659327.1599676562</v>
      </c>
      <c r="O38" s="11">
        <f t="shared" si="2"/>
        <v>11650.286967535172</v>
      </c>
      <c r="P38" s="70">
        <f t="shared" si="2"/>
        <v>139601.291</v>
      </c>
      <c r="Q38" s="11">
        <f t="shared" si="2"/>
        <v>27387636.083140232</v>
      </c>
    </row>
  </sheetData>
  <sheetProtection algorithmName="SHA-512" hashValue="Rp+gud1q7KKPW/D9I68qgI6zjwhU6Lkb6TQ57HAYSJAs0ia0HpOrL4Wsl+Zw3pbBSgBf2s23yln1sWV4y3B+4w==" saltValue="IkJrPq4cXpac0vrf6pcr2w==" spinCount="100000" sheet="1" objects="1" scenarios="1"/>
  <mergeCells count="4">
    <mergeCell ref="B32:Q32"/>
    <mergeCell ref="B37:Q37"/>
    <mergeCell ref="B3:Q3"/>
    <mergeCell ref="B5:Q5"/>
  </mergeCells>
  <pageMargins left="0.7" right="0.7" top="0.75" bottom="0.75" header="0.3" footer="0.3"/>
  <pageSetup paperSize="9" scale="4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92D050"/>
    <pageSetUpPr fitToPage="1"/>
  </sheetPr>
  <dimension ref="B3:Q37"/>
  <sheetViews>
    <sheetView zoomScale="55" zoomScaleNormal="55" workbookViewId="0">
      <pane xSplit="2" ySplit="5" topLeftCell="C6" activePane="bottomRight" state="frozen"/>
      <selection pane="topRight" activeCell="C1" sqref="C1"/>
      <selection pane="bottomLeft" activeCell="A6" sqref="A6"/>
      <selection pane="bottomRight" activeCell="B35" sqref="B35"/>
    </sheetView>
  </sheetViews>
  <sheetFormatPr defaultColWidth="15.54296875" defaultRowHeight="14" x14ac:dyDescent="0.3"/>
  <cols>
    <col min="1" max="1" width="15.54296875" style="2" customWidth="1"/>
    <col min="2" max="2" width="43.453125" style="2" customWidth="1"/>
    <col min="3" max="16" width="21" style="2" customWidth="1"/>
    <col min="17" max="17" width="21" style="5" customWidth="1"/>
    <col min="18" max="68" width="15.54296875" style="2" customWidth="1"/>
    <col min="69" max="16384" width="15.54296875" style="2"/>
  </cols>
  <sheetData>
    <row r="3" spans="2:17" ht="24.75" customHeight="1" x14ac:dyDescent="0.35">
      <c r="B3" s="267" t="str">
        <f>_xlfn.CONCAT('Table of Contents'!B16,": ",'Table of Contents'!C16)</f>
        <v>APPENDIX 9: SUMMARY OF GROUP CREDIT BUSINESS REVENUE ACCOUNTS FOR THE PERIOD ENDED 31.03.2025</v>
      </c>
      <c r="C3" s="252"/>
      <c r="D3" s="252"/>
      <c r="E3" s="252"/>
      <c r="F3" s="252"/>
      <c r="G3" s="252"/>
      <c r="H3" s="252"/>
      <c r="I3" s="252"/>
      <c r="J3" s="252"/>
      <c r="K3" s="252"/>
      <c r="L3" s="252"/>
      <c r="M3" s="252"/>
      <c r="N3" s="252"/>
      <c r="O3" s="252"/>
      <c r="P3" s="252"/>
      <c r="Q3" s="253"/>
    </row>
    <row r="4" spans="2:17" s="10" customFormat="1" ht="28" customHeight="1" x14ac:dyDescent="0.3">
      <c r="B4" s="132" t="s">
        <v>36</v>
      </c>
      <c r="C4" s="45" t="s">
        <v>140</v>
      </c>
      <c r="D4" s="45" t="s">
        <v>141</v>
      </c>
      <c r="E4" s="45" t="s">
        <v>142</v>
      </c>
      <c r="F4" s="45" t="s">
        <v>143</v>
      </c>
      <c r="G4" s="45" t="s">
        <v>144</v>
      </c>
      <c r="H4" s="45" t="s">
        <v>145</v>
      </c>
      <c r="I4" s="66" t="s">
        <v>146</v>
      </c>
      <c r="J4" s="45" t="s">
        <v>147</v>
      </c>
      <c r="K4" s="45" t="s">
        <v>148</v>
      </c>
      <c r="L4" s="45" t="s">
        <v>149</v>
      </c>
      <c r="M4" s="45" t="s">
        <v>150</v>
      </c>
      <c r="N4" s="45" t="s">
        <v>151</v>
      </c>
      <c r="O4" s="45" t="s">
        <v>152</v>
      </c>
      <c r="P4" s="45" t="s">
        <v>153</v>
      </c>
      <c r="Q4" s="45" t="s">
        <v>154</v>
      </c>
    </row>
    <row r="5" spans="2:17" ht="27" customHeight="1" x14ac:dyDescent="0.35">
      <c r="B5" s="261" t="s">
        <v>53</v>
      </c>
      <c r="C5" s="252"/>
      <c r="D5" s="252"/>
      <c r="E5" s="252"/>
      <c r="F5" s="252"/>
      <c r="G5" s="252"/>
      <c r="H5" s="252"/>
      <c r="I5" s="252"/>
      <c r="J5" s="252"/>
      <c r="K5" s="252"/>
      <c r="L5" s="252"/>
      <c r="M5" s="252"/>
      <c r="N5" s="252"/>
      <c r="O5" s="252"/>
      <c r="P5" s="252"/>
      <c r="Q5" s="253"/>
    </row>
    <row r="6" spans="2:17" ht="27" customHeight="1" x14ac:dyDescent="0.3">
      <c r="B6" s="6" t="s">
        <v>99</v>
      </c>
      <c r="C6" s="70">
        <v>1902798.614304112</v>
      </c>
      <c r="D6" s="70">
        <v>155932.11300000001</v>
      </c>
      <c r="E6" s="70">
        <v>144810.465</v>
      </c>
      <c r="F6" s="70">
        <v>0</v>
      </c>
      <c r="G6" s="70">
        <v>84024.794999999998</v>
      </c>
      <c r="H6" s="70">
        <v>84024.794999999998</v>
      </c>
      <c r="I6" s="70">
        <v>0</v>
      </c>
      <c r="J6" s="70">
        <v>0</v>
      </c>
      <c r="K6" s="70">
        <v>0</v>
      </c>
      <c r="L6" s="70">
        <v>89695.531000000003</v>
      </c>
      <c r="M6" s="70">
        <v>71747.561022300011</v>
      </c>
      <c r="N6" s="70">
        <v>65098.717716473402</v>
      </c>
      <c r="O6" s="70">
        <v>0</v>
      </c>
      <c r="P6" s="70">
        <v>0</v>
      </c>
      <c r="Q6" s="71">
        <v>1867239.9099982849</v>
      </c>
    </row>
    <row r="7" spans="2:17" ht="27" customHeight="1" x14ac:dyDescent="0.3">
      <c r="B7" s="3" t="s">
        <v>100</v>
      </c>
      <c r="C7" s="70">
        <v>1019232.298089655</v>
      </c>
      <c r="D7" s="70">
        <v>190625.79300000001</v>
      </c>
      <c r="E7" s="70">
        <v>180999.7535162709</v>
      </c>
      <c r="F7" s="70">
        <v>0</v>
      </c>
      <c r="G7" s="70">
        <v>184317.28206000011</v>
      </c>
      <c r="H7" s="70">
        <v>184317.28206000011</v>
      </c>
      <c r="I7" s="70">
        <v>0</v>
      </c>
      <c r="J7" s="70">
        <v>0</v>
      </c>
      <c r="K7" s="70">
        <v>0</v>
      </c>
      <c r="L7" s="70">
        <v>95051.294944555862</v>
      </c>
      <c r="M7" s="70">
        <v>2411.848026323757</v>
      </c>
      <c r="N7" s="70">
        <v>15323.14672567868</v>
      </c>
      <c r="O7" s="70">
        <v>568.5031130724027</v>
      </c>
      <c r="P7" s="70">
        <v>0</v>
      </c>
      <c r="Q7" s="71">
        <v>933206.27018765279</v>
      </c>
    </row>
    <row r="8" spans="2:17" ht="27" customHeight="1" x14ac:dyDescent="0.3">
      <c r="B8" s="3" t="s">
        <v>101</v>
      </c>
      <c r="C8" s="70">
        <v>-415879.3389165001</v>
      </c>
      <c r="D8" s="70">
        <v>120684.12122</v>
      </c>
      <c r="E8" s="70">
        <v>120784.98572</v>
      </c>
      <c r="F8" s="70">
        <v>0</v>
      </c>
      <c r="G8" s="70">
        <v>74465.910490000009</v>
      </c>
      <c r="H8" s="70">
        <v>74465.910490000009</v>
      </c>
      <c r="I8" s="70">
        <v>0</v>
      </c>
      <c r="J8" s="70">
        <v>0</v>
      </c>
      <c r="K8" s="70">
        <v>0</v>
      </c>
      <c r="L8" s="70">
        <v>17427.138309999998</v>
      </c>
      <c r="M8" s="70">
        <v>49958.328000000001</v>
      </c>
      <c r="N8" s="70">
        <v>84436.798999999999</v>
      </c>
      <c r="O8" s="70">
        <v>581.08516047471437</v>
      </c>
      <c r="P8" s="70">
        <v>108777.61500000001</v>
      </c>
      <c r="Q8" s="71">
        <v>-461867.63115697482</v>
      </c>
    </row>
    <row r="9" spans="2:17" ht="27" customHeight="1" x14ac:dyDescent="0.3">
      <c r="B9" s="3" t="s">
        <v>102</v>
      </c>
      <c r="C9" s="70">
        <v>-4966.8408900000004</v>
      </c>
      <c r="D9" s="70">
        <v>4106.174</v>
      </c>
      <c r="E9" s="70">
        <v>3812.52151396</v>
      </c>
      <c r="F9" s="70">
        <v>0</v>
      </c>
      <c r="G9" s="70">
        <v>1495.72</v>
      </c>
      <c r="H9" s="70">
        <v>1495.72</v>
      </c>
      <c r="I9" s="70">
        <v>0</v>
      </c>
      <c r="J9" s="70">
        <v>0</v>
      </c>
      <c r="K9" s="70">
        <v>0</v>
      </c>
      <c r="L9" s="70">
        <v>-83.690958521399963</v>
      </c>
      <c r="M9" s="70">
        <v>4310.8649999999998</v>
      </c>
      <c r="N9" s="70">
        <v>3128.6790000000001</v>
      </c>
      <c r="O9" s="70">
        <v>0</v>
      </c>
      <c r="P9" s="70">
        <v>0</v>
      </c>
      <c r="Q9" s="71">
        <v>-3748.534417518601</v>
      </c>
    </row>
    <row r="10" spans="2:17" ht="27" customHeight="1" x14ac:dyDescent="0.3">
      <c r="B10" s="3" t="s">
        <v>103</v>
      </c>
      <c r="C10" s="70">
        <v>28980.046364211179</v>
      </c>
      <c r="D10" s="70">
        <v>43060.997000000003</v>
      </c>
      <c r="E10" s="70">
        <v>37696.121974728878</v>
      </c>
      <c r="F10" s="70">
        <v>0</v>
      </c>
      <c r="G10" s="70">
        <v>8952.1892200000002</v>
      </c>
      <c r="H10" s="70">
        <v>8952.1892200000002</v>
      </c>
      <c r="I10" s="70">
        <v>0</v>
      </c>
      <c r="J10" s="70">
        <v>0</v>
      </c>
      <c r="K10" s="70">
        <v>0</v>
      </c>
      <c r="L10" s="70">
        <v>-1448.516256823204</v>
      </c>
      <c r="M10" s="70">
        <v>11606.090587115141</v>
      </c>
      <c r="N10" s="70">
        <v>1517.0422512919049</v>
      </c>
      <c r="O10" s="70">
        <v>0</v>
      </c>
      <c r="P10" s="70">
        <v>0</v>
      </c>
      <c r="Q10" s="71">
        <v>49083.447039940031</v>
      </c>
    </row>
    <row r="11" spans="2:17" ht="27" customHeight="1" x14ac:dyDescent="0.3">
      <c r="B11" s="3" t="s">
        <v>104</v>
      </c>
      <c r="C11" s="70">
        <v>6623757.6608363632</v>
      </c>
      <c r="D11" s="70">
        <v>2352717.4269999992</v>
      </c>
      <c r="E11" s="70">
        <v>2352717.4269999992</v>
      </c>
      <c r="F11" s="70">
        <v>0</v>
      </c>
      <c r="G11" s="70">
        <v>572911.27322548442</v>
      </c>
      <c r="H11" s="70">
        <v>572911.27322548442</v>
      </c>
      <c r="I11" s="70">
        <v>0</v>
      </c>
      <c r="J11" s="70">
        <v>0</v>
      </c>
      <c r="K11" s="70">
        <v>0</v>
      </c>
      <c r="L11" s="70">
        <v>0</v>
      </c>
      <c r="M11" s="70">
        <v>322731.41272520268</v>
      </c>
      <c r="N11" s="70">
        <v>0</v>
      </c>
      <c r="O11" s="70">
        <v>0</v>
      </c>
      <c r="P11" s="70">
        <v>0</v>
      </c>
      <c r="Q11" s="71">
        <v>8080832.4018856743</v>
      </c>
    </row>
    <row r="12" spans="2:17" ht="27" customHeight="1" x14ac:dyDescent="0.3">
      <c r="B12" s="3" t="s">
        <v>60</v>
      </c>
      <c r="C12" s="70">
        <v>0</v>
      </c>
      <c r="D12" s="70">
        <v>0</v>
      </c>
      <c r="E12" s="70">
        <v>0</v>
      </c>
      <c r="F12" s="70">
        <v>0</v>
      </c>
      <c r="G12" s="70">
        <v>0</v>
      </c>
      <c r="H12" s="70">
        <v>0</v>
      </c>
      <c r="I12" s="70">
        <v>0</v>
      </c>
      <c r="J12" s="70">
        <v>0</v>
      </c>
      <c r="K12" s="70">
        <v>0</v>
      </c>
      <c r="L12" s="70">
        <v>0</v>
      </c>
      <c r="M12" s="70">
        <v>0</v>
      </c>
      <c r="N12" s="70">
        <v>0</v>
      </c>
      <c r="O12" s="70">
        <v>0</v>
      </c>
      <c r="P12" s="70">
        <v>0</v>
      </c>
      <c r="Q12" s="71">
        <v>0</v>
      </c>
    </row>
    <row r="13" spans="2:17" ht="27" customHeight="1" x14ac:dyDescent="0.3">
      <c r="B13" s="3" t="s">
        <v>105</v>
      </c>
      <c r="C13" s="70">
        <v>6283361.0274879998</v>
      </c>
      <c r="D13" s="70">
        <v>652617.50899999996</v>
      </c>
      <c r="E13" s="70">
        <v>703178.52399999998</v>
      </c>
      <c r="F13" s="70">
        <v>0</v>
      </c>
      <c r="G13" s="70">
        <v>65409.644999999997</v>
      </c>
      <c r="H13" s="70">
        <v>65409.644999999997</v>
      </c>
      <c r="I13" s="70">
        <v>0</v>
      </c>
      <c r="J13" s="70">
        <v>0</v>
      </c>
      <c r="K13" s="70">
        <v>0</v>
      </c>
      <c r="L13" s="70">
        <v>48996.095254555468</v>
      </c>
      <c r="M13" s="70">
        <v>134349.96535000001</v>
      </c>
      <c r="N13" s="70">
        <v>178179.93623441379</v>
      </c>
      <c r="O13" s="70">
        <v>0</v>
      </c>
      <c r="P13" s="70">
        <v>0</v>
      </c>
      <c r="Q13" s="71">
        <v>6915963.7821178576</v>
      </c>
    </row>
    <row r="14" spans="2:17" ht="27" customHeight="1" x14ac:dyDescent="0.3">
      <c r="B14" s="3" t="s">
        <v>106</v>
      </c>
      <c r="C14" s="70">
        <v>1843.319</v>
      </c>
      <c r="D14" s="70">
        <v>896.95847880299254</v>
      </c>
      <c r="E14" s="70">
        <v>15.611478802992499</v>
      </c>
      <c r="F14" s="70">
        <v>0</v>
      </c>
      <c r="G14" s="70">
        <v>-13.914</v>
      </c>
      <c r="H14" s="70">
        <v>-13.914</v>
      </c>
      <c r="I14" s="70">
        <v>0</v>
      </c>
      <c r="J14" s="70">
        <v>0</v>
      </c>
      <c r="K14" s="70">
        <v>0</v>
      </c>
      <c r="L14" s="70">
        <v>-181.40860000000001</v>
      </c>
      <c r="M14" s="70">
        <v>160.48429328610769</v>
      </c>
      <c r="N14" s="70">
        <v>24.359608601216131</v>
      </c>
      <c r="O14" s="70">
        <v>0</v>
      </c>
      <c r="P14" s="70">
        <v>0</v>
      </c>
      <c r="Q14" s="71">
        <v>1918.1283941181009</v>
      </c>
    </row>
    <row r="15" spans="2:17" ht="27" customHeight="1" x14ac:dyDescent="0.3">
      <c r="B15" s="3" t="s">
        <v>107</v>
      </c>
      <c r="C15" s="70">
        <v>384576.65399999998</v>
      </c>
      <c r="D15" s="70">
        <v>80579.255249999944</v>
      </c>
      <c r="E15" s="70">
        <v>80579.255249999944</v>
      </c>
      <c r="F15" s="70">
        <v>0</v>
      </c>
      <c r="G15" s="70">
        <v>6585.0360000000001</v>
      </c>
      <c r="H15" s="70">
        <v>6585.0360000000001</v>
      </c>
      <c r="I15" s="70">
        <v>0</v>
      </c>
      <c r="J15" s="70">
        <v>0</v>
      </c>
      <c r="K15" s="70">
        <v>0</v>
      </c>
      <c r="L15" s="70">
        <v>12560.999330000001</v>
      </c>
      <c r="M15" s="70">
        <v>10440.85176</v>
      </c>
      <c r="N15" s="70">
        <v>0</v>
      </c>
      <c r="O15" s="70">
        <v>0</v>
      </c>
      <c r="P15" s="70">
        <v>0</v>
      </c>
      <c r="Q15" s="71">
        <v>435569.02215999999</v>
      </c>
    </row>
    <row r="16" spans="2:17" ht="27" customHeight="1" x14ac:dyDescent="0.3">
      <c r="B16" s="3" t="s">
        <v>108</v>
      </c>
      <c r="C16" s="70">
        <v>125908.6513214852</v>
      </c>
      <c r="D16" s="70">
        <v>35161.350659999996</v>
      </c>
      <c r="E16" s="70">
        <v>22511.69554766763</v>
      </c>
      <c r="F16" s="70">
        <v>0</v>
      </c>
      <c r="G16" s="70">
        <v>61767.115020000063</v>
      </c>
      <c r="H16" s="70">
        <v>61767.115020000063</v>
      </c>
      <c r="I16" s="70">
        <v>0</v>
      </c>
      <c r="J16" s="70">
        <v>0</v>
      </c>
      <c r="K16" s="70">
        <v>0</v>
      </c>
      <c r="L16" s="70">
        <v>-369.91437999999988</v>
      </c>
      <c r="M16" s="70">
        <v>31751.261534032139</v>
      </c>
      <c r="N16" s="70">
        <v>6120.6310000000003</v>
      </c>
      <c r="O16" s="70">
        <v>0</v>
      </c>
      <c r="P16" s="70">
        <v>0</v>
      </c>
      <c r="Q16" s="71">
        <v>61392.515695120594</v>
      </c>
    </row>
    <row r="17" spans="2:17" ht="27" customHeight="1" x14ac:dyDescent="0.3">
      <c r="B17" s="3" t="s">
        <v>109</v>
      </c>
      <c r="C17" s="70">
        <v>304867.37768622988</v>
      </c>
      <c r="D17" s="70">
        <v>93087.808710000012</v>
      </c>
      <c r="E17" s="70">
        <v>89388.393710000004</v>
      </c>
      <c r="F17" s="70">
        <v>0</v>
      </c>
      <c r="G17" s="70">
        <v>4156.1729999999998</v>
      </c>
      <c r="H17" s="70">
        <v>4156.1729999999998</v>
      </c>
      <c r="I17" s="70">
        <v>0</v>
      </c>
      <c r="J17" s="70">
        <v>0</v>
      </c>
      <c r="K17" s="70">
        <v>0</v>
      </c>
      <c r="L17" s="70">
        <v>15855.882</v>
      </c>
      <c r="M17" s="70">
        <v>8807.4518510000016</v>
      </c>
      <c r="N17" s="70">
        <v>9583.7052644581418</v>
      </c>
      <c r="O17" s="70">
        <v>77.574820904226812</v>
      </c>
      <c r="P17" s="70">
        <v>0</v>
      </c>
      <c r="Q17" s="71">
        <v>374942.39498878381</v>
      </c>
    </row>
    <row r="18" spans="2:17" ht="27" customHeight="1" x14ac:dyDescent="0.3">
      <c r="B18" s="3" t="s">
        <v>110</v>
      </c>
      <c r="C18" s="70">
        <v>0</v>
      </c>
      <c r="D18" s="70">
        <v>30.225000000000001</v>
      </c>
      <c r="E18" s="70">
        <v>30.225000000000001</v>
      </c>
      <c r="F18" s="70">
        <v>0</v>
      </c>
      <c r="G18" s="70">
        <v>0</v>
      </c>
      <c r="H18" s="70">
        <v>0</v>
      </c>
      <c r="I18" s="70">
        <v>0</v>
      </c>
      <c r="J18" s="70">
        <v>0</v>
      </c>
      <c r="K18" s="70">
        <v>0</v>
      </c>
      <c r="L18" s="70">
        <v>0</v>
      </c>
      <c r="M18" s="70">
        <v>0</v>
      </c>
      <c r="N18" s="70">
        <v>0</v>
      </c>
      <c r="O18" s="70">
        <v>0</v>
      </c>
      <c r="P18" s="70">
        <v>0</v>
      </c>
      <c r="Q18" s="71">
        <v>30.225000000000001</v>
      </c>
    </row>
    <row r="19" spans="2:17" ht="27" customHeight="1" x14ac:dyDescent="0.3">
      <c r="B19" s="3" t="s">
        <v>111</v>
      </c>
      <c r="C19" s="70">
        <v>1198719.7242594829</v>
      </c>
      <c r="D19" s="70">
        <v>136509.43614000001</v>
      </c>
      <c r="E19" s="70">
        <v>125588.68114</v>
      </c>
      <c r="F19" s="70">
        <v>0</v>
      </c>
      <c r="G19" s="70">
        <v>14804.69</v>
      </c>
      <c r="H19" s="70">
        <v>14804.69</v>
      </c>
      <c r="I19" s="70">
        <v>0</v>
      </c>
      <c r="J19" s="70">
        <v>0</v>
      </c>
      <c r="K19" s="70">
        <v>0</v>
      </c>
      <c r="L19" s="70">
        <v>7323.3450000000003</v>
      </c>
      <c r="M19" s="70">
        <v>70292.287427051895</v>
      </c>
      <c r="N19" s="70">
        <v>28023.31694160205</v>
      </c>
      <c r="O19" s="70">
        <v>0</v>
      </c>
      <c r="P19" s="70">
        <v>0</v>
      </c>
      <c r="Q19" s="71">
        <v>1259911.399914033</v>
      </c>
    </row>
    <row r="20" spans="2:17" ht="27" customHeight="1" x14ac:dyDescent="0.3">
      <c r="B20" s="3" t="s">
        <v>112</v>
      </c>
      <c r="C20" s="70">
        <v>555165.58596579928</v>
      </c>
      <c r="D20" s="70">
        <v>365631.34299999999</v>
      </c>
      <c r="E20" s="70">
        <v>274223.50725000002</v>
      </c>
      <c r="F20" s="70">
        <v>0</v>
      </c>
      <c r="G20" s="70">
        <v>485036.27500000002</v>
      </c>
      <c r="H20" s="70">
        <v>485036.27500000002</v>
      </c>
      <c r="I20" s="70">
        <v>0</v>
      </c>
      <c r="J20" s="70">
        <v>0</v>
      </c>
      <c r="K20" s="70">
        <v>0</v>
      </c>
      <c r="L20" s="70">
        <v>6123.3828000000049</v>
      </c>
      <c r="M20" s="70">
        <v>150321.31874236951</v>
      </c>
      <c r="N20" s="70">
        <v>0</v>
      </c>
      <c r="O20" s="70">
        <v>0</v>
      </c>
      <c r="P20" s="70">
        <v>0</v>
      </c>
      <c r="Q20" s="71">
        <v>187908.11667342979</v>
      </c>
    </row>
    <row r="21" spans="2:17" ht="27" customHeight="1" x14ac:dyDescent="0.3">
      <c r="B21" s="3" t="s">
        <v>113</v>
      </c>
      <c r="C21" s="70">
        <v>837608.36174437229</v>
      </c>
      <c r="D21" s="70">
        <v>227057.39416</v>
      </c>
      <c r="E21" s="70">
        <v>198689.48916</v>
      </c>
      <c r="F21" s="70">
        <v>0</v>
      </c>
      <c r="G21" s="70">
        <v>133252.486</v>
      </c>
      <c r="H21" s="70">
        <v>133252.486</v>
      </c>
      <c r="I21" s="70">
        <v>0</v>
      </c>
      <c r="J21" s="70">
        <v>0</v>
      </c>
      <c r="K21" s="70">
        <v>0</v>
      </c>
      <c r="L21" s="70">
        <v>43702.129110000002</v>
      </c>
      <c r="M21" s="70">
        <v>38900.286955348973</v>
      </c>
      <c r="N21" s="70">
        <v>0</v>
      </c>
      <c r="O21" s="70">
        <v>0</v>
      </c>
      <c r="P21" s="70">
        <v>0</v>
      </c>
      <c r="Q21" s="71">
        <v>820442.94883902324</v>
      </c>
    </row>
    <row r="22" spans="2:17" ht="27" customHeight="1" x14ac:dyDescent="0.3">
      <c r="B22" s="64" t="s">
        <v>74</v>
      </c>
      <c r="C22" s="70">
        <v>278691.83299999998</v>
      </c>
      <c r="D22" s="70">
        <v>190317</v>
      </c>
      <c r="E22" s="70">
        <v>127564.9313270494</v>
      </c>
      <c r="F22" s="70">
        <v>0</v>
      </c>
      <c r="G22" s="70">
        <v>50302</v>
      </c>
      <c r="H22" s="70">
        <v>50302</v>
      </c>
      <c r="I22" s="70">
        <v>0</v>
      </c>
      <c r="J22" s="70">
        <v>0</v>
      </c>
      <c r="K22" s="70">
        <v>0</v>
      </c>
      <c r="L22" s="70">
        <v>-1430.000000000002</v>
      </c>
      <c r="M22" s="70">
        <v>28619.13</v>
      </c>
      <c r="N22" s="70">
        <v>6184</v>
      </c>
      <c r="O22" s="70">
        <v>0</v>
      </c>
      <c r="P22" s="70">
        <v>0</v>
      </c>
      <c r="Q22" s="71">
        <v>334949.63432704943</v>
      </c>
    </row>
    <row r="23" spans="2:17" ht="27" customHeight="1" x14ac:dyDescent="0.3">
      <c r="B23" s="64" t="s">
        <v>114</v>
      </c>
      <c r="C23" s="70">
        <v>0</v>
      </c>
      <c r="D23" s="70">
        <v>0</v>
      </c>
      <c r="E23" s="70">
        <v>0</v>
      </c>
      <c r="F23" s="70">
        <v>0</v>
      </c>
      <c r="G23" s="70">
        <v>0</v>
      </c>
      <c r="H23" s="70">
        <v>0</v>
      </c>
      <c r="I23" s="70">
        <v>0</v>
      </c>
      <c r="J23" s="70">
        <v>0</v>
      </c>
      <c r="K23" s="70">
        <v>0</v>
      </c>
      <c r="L23" s="70">
        <v>0</v>
      </c>
      <c r="M23" s="70">
        <v>0</v>
      </c>
      <c r="N23" s="70">
        <v>0</v>
      </c>
      <c r="O23" s="70">
        <v>0</v>
      </c>
      <c r="P23" s="70">
        <v>0</v>
      </c>
      <c r="Q23" s="71">
        <v>0</v>
      </c>
    </row>
    <row r="24" spans="2:17" ht="27" customHeight="1" x14ac:dyDescent="0.3">
      <c r="B24" s="3" t="s">
        <v>115</v>
      </c>
      <c r="C24" s="70">
        <v>1113057.423117511</v>
      </c>
      <c r="D24" s="70">
        <v>362876.1158865756</v>
      </c>
      <c r="E24" s="70">
        <v>348362.68894657562</v>
      </c>
      <c r="F24" s="70">
        <v>-103747.878854525</v>
      </c>
      <c r="G24" s="70">
        <v>81855.67595144808</v>
      </c>
      <c r="H24" s="70">
        <v>81855.67595144808</v>
      </c>
      <c r="I24" s="70">
        <v>0</v>
      </c>
      <c r="J24" s="70">
        <v>0</v>
      </c>
      <c r="K24" s="70">
        <v>0</v>
      </c>
      <c r="L24" s="70">
        <v>-5130.7168522891698</v>
      </c>
      <c r="M24" s="70">
        <v>29730.789955981691</v>
      </c>
      <c r="N24" s="70">
        <v>44060.885920840643</v>
      </c>
      <c r="O24" s="70">
        <v>0</v>
      </c>
      <c r="P24" s="70">
        <v>0</v>
      </c>
      <c r="Q24" s="71">
        <v>1295277.3700752619</v>
      </c>
    </row>
    <row r="25" spans="2:17" ht="27" customHeight="1" x14ac:dyDescent="0.3">
      <c r="B25" s="3" t="s">
        <v>116</v>
      </c>
      <c r="C25" s="70">
        <v>485385.70225767163</v>
      </c>
      <c r="D25" s="70">
        <v>144124.15700000001</v>
      </c>
      <c r="E25" s="70">
        <v>103259.152</v>
      </c>
      <c r="F25" s="70">
        <v>0</v>
      </c>
      <c r="G25" s="70">
        <v>71057.240859825019</v>
      </c>
      <c r="H25" s="70">
        <v>71057.240859825019</v>
      </c>
      <c r="I25" s="70">
        <v>0</v>
      </c>
      <c r="J25" s="70">
        <v>0</v>
      </c>
      <c r="K25" s="70">
        <v>0</v>
      </c>
      <c r="L25" s="70">
        <v>4217.6360000000004</v>
      </c>
      <c r="M25" s="70">
        <v>13946.414849999999</v>
      </c>
      <c r="N25" s="70">
        <v>0</v>
      </c>
      <c r="O25" s="70">
        <v>0</v>
      </c>
      <c r="P25" s="70">
        <v>0</v>
      </c>
      <c r="Q25" s="71">
        <v>499423.56254784658</v>
      </c>
    </row>
    <row r="26" spans="2:17" ht="27" customHeight="1" x14ac:dyDescent="0.3">
      <c r="B26" s="3" t="s">
        <v>117</v>
      </c>
      <c r="C26" s="70">
        <v>340554.45244697802</v>
      </c>
      <c r="D26" s="70">
        <v>254876.51947999999</v>
      </c>
      <c r="E26" s="70">
        <v>235972.55314999999</v>
      </c>
      <c r="F26" s="70">
        <v>0</v>
      </c>
      <c r="G26" s="70">
        <v>44504.431219999999</v>
      </c>
      <c r="H26" s="70">
        <v>44504.431219999999</v>
      </c>
      <c r="I26" s="70">
        <v>0</v>
      </c>
      <c r="J26" s="70">
        <v>0</v>
      </c>
      <c r="K26" s="70">
        <v>0</v>
      </c>
      <c r="L26" s="70">
        <v>15516.274299999999</v>
      </c>
      <c r="M26" s="70">
        <v>63640.742873854913</v>
      </c>
      <c r="N26" s="70">
        <v>46775.154914320243</v>
      </c>
      <c r="O26" s="70">
        <v>0</v>
      </c>
      <c r="P26" s="70">
        <v>0</v>
      </c>
      <c r="Q26" s="71">
        <v>499640.71211744333</v>
      </c>
    </row>
    <row r="27" spans="2:17" ht="27" customHeight="1" x14ac:dyDescent="0.3">
      <c r="B27" s="3" t="s">
        <v>118</v>
      </c>
      <c r="C27" s="70">
        <v>682168.89204528509</v>
      </c>
      <c r="D27" s="70">
        <v>126912.8415844659</v>
      </c>
      <c r="E27" s="70">
        <v>97887.076584465904</v>
      </c>
      <c r="F27" s="70">
        <v>0</v>
      </c>
      <c r="G27" s="70">
        <v>-80909.130378151211</v>
      </c>
      <c r="H27" s="70">
        <v>-80909.130378151211</v>
      </c>
      <c r="I27" s="70">
        <v>0</v>
      </c>
      <c r="J27" s="70">
        <v>0</v>
      </c>
      <c r="K27" s="70">
        <v>0</v>
      </c>
      <c r="L27" s="70">
        <v>22201.604600812308</v>
      </c>
      <c r="M27" s="70">
        <v>21492.285643155501</v>
      </c>
      <c r="N27" s="70">
        <v>21033.251412785699</v>
      </c>
      <c r="O27" s="70">
        <v>0</v>
      </c>
      <c r="P27" s="70">
        <v>0</v>
      </c>
      <c r="Q27" s="71">
        <v>838304.46017672017</v>
      </c>
    </row>
    <row r="28" spans="2:17" ht="27" customHeight="1" x14ac:dyDescent="0.3">
      <c r="B28" s="3" t="s">
        <v>119</v>
      </c>
      <c r="C28" s="70">
        <v>0</v>
      </c>
      <c r="D28" s="70">
        <v>188.49600000000001</v>
      </c>
      <c r="E28" s="70">
        <v>148.20699999999999</v>
      </c>
      <c r="F28" s="70">
        <v>0</v>
      </c>
      <c r="G28" s="70">
        <v>0</v>
      </c>
      <c r="H28" s="70">
        <v>0</v>
      </c>
      <c r="I28" s="70">
        <v>0</v>
      </c>
      <c r="J28" s="70">
        <v>0</v>
      </c>
      <c r="K28" s="70">
        <v>0</v>
      </c>
      <c r="L28" s="70">
        <v>45.82</v>
      </c>
      <c r="M28" s="70">
        <v>0</v>
      </c>
      <c r="N28" s="70">
        <v>0</v>
      </c>
      <c r="O28" s="70">
        <v>0</v>
      </c>
      <c r="P28" s="70">
        <v>0</v>
      </c>
      <c r="Q28" s="71">
        <v>102.387</v>
      </c>
    </row>
    <row r="29" spans="2:17" ht="27" customHeight="1" x14ac:dyDescent="0.3">
      <c r="B29" s="3" t="s">
        <v>120</v>
      </c>
      <c r="C29" s="70">
        <v>21527.1363136738</v>
      </c>
      <c r="D29" s="70">
        <v>10847.848</v>
      </c>
      <c r="E29" s="70">
        <v>10847.848</v>
      </c>
      <c r="F29" s="70">
        <v>0</v>
      </c>
      <c r="G29" s="70">
        <v>0</v>
      </c>
      <c r="H29" s="70">
        <v>0</v>
      </c>
      <c r="I29" s="70">
        <v>0</v>
      </c>
      <c r="J29" s="70">
        <v>0</v>
      </c>
      <c r="K29" s="70">
        <v>0</v>
      </c>
      <c r="L29" s="70">
        <v>0</v>
      </c>
      <c r="M29" s="70">
        <v>1505.3363887508301</v>
      </c>
      <c r="N29" s="70">
        <v>1802.84311957257</v>
      </c>
      <c r="O29" s="70">
        <v>0</v>
      </c>
      <c r="P29" s="70">
        <v>0</v>
      </c>
      <c r="Q29" s="71">
        <v>32672.491044495498</v>
      </c>
    </row>
    <row r="30" spans="2:17" ht="27" customHeight="1" x14ac:dyDescent="0.3">
      <c r="B30" s="3" t="s">
        <v>121</v>
      </c>
      <c r="C30" s="70">
        <v>0</v>
      </c>
      <c r="D30" s="70">
        <v>0</v>
      </c>
      <c r="E30" s="70">
        <v>0</v>
      </c>
      <c r="F30" s="70">
        <v>0</v>
      </c>
      <c r="G30" s="70">
        <v>0</v>
      </c>
      <c r="H30" s="70">
        <v>0</v>
      </c>
      <c r="I30" s="70">
        <v>0</v>
      </c>
      <c r="J30" s="70">
        <v>0</v>
      </c>
      <c r="K30" s="70">
        <v>0</v>
      </c>
      <c r="L30" s="70">
        <v>0</v>
      </c>
      <c r="M30" s="70">
        <v>0</v>
      </c>
      <c r="N30" s="70">
        <v>0</v>
      </c>
      <c r="O30" s="70">
        <v>0</v>
      </c>
      <c r="P30" s="70">
        <v>0</v>
      </c>
      <c r="Q30" s="71">
        <v>0</v>
      </c>
    </row>
    <row r="31" spans="2:17" ht="27" customHeight="1" x14ac:dyDescent="0.3">
      <c r="B31" s="37" t="s">
        <v>90</v>
      </c>
      <c r="C31" s="72">
        <f t="shared" ref="C31:Q31" si="0">SUM(C6:C30)</f>
        <v>21767358.580434334</v>
      </c>
      <c r="D31" s="72">
        <f t="shared" si="0"/>
        <v>5548840.8835698431</v>
      </c>
      <c r="E31" s="72">
        <f t="shared" si="0"/>
        <v>5259069.114269522</v>
      </c>
      <c r="F31" s="72">
        <f t="shared" si="0"/>
        <v>-103747.878854525</v>
      </c>
      <c r="G31" s="72">
        <f t="shared" si="0"/>
        <v>1863974.8936686062</v>
      </c>
      <c r="H31" s="72">
        <f t="shared" si="0"/>
        <v>1863974.8936686062</v>
      </c>
      <c r="I31" s="72">
        <f t="shared" si="0"/>
        <v>0</v>
      </c>
      <c r="J31" s="72">
        <f t="shared" si="0"/>
        <v>0</v>
      </c>
      <c r="K31" s="72">
        <f t="shared" si="0"/>
        <v>0</v>
      </c>
      <c r="L31" s="72">
        <f t="shared" si="0"/>
        <v>370072.88560228987</v>
      </c>
      <c r="M31" s="72">
        <f t="shared" si="0"/>
        <v>1066724.7129857733</v>
      </c>
      <c r="N31" s="72">
        <f t="shared" si="0"/>
        <v>511292.46911003831</v>
      </c>
      <c r="O31" s="72">
        <f t="shared" si="0"/>
        <v>1227.1630944513438</v>
      </c>
      <c r="P31" s="72">
        <f t="shared" si="0"/>
        <v>108777.61500000001</v>
      </c>
      <c r="Q31" s="72">
        <f t="shared" si="0"/>
        <v>24023195.014608249</v>
      </c>
    </row>
    <row r="32" spans="2:17" ht="27" customHeight="1" x14ac:dyDescent="0.35">
      <c r="B32" s="261" t="s">
        <v>91</v>
      </c>
      <c r="C32" s="252"/>
      <c r="D32" s="252"/>
      <c r="E32" s="252"/>
      <c r="F32" s="252"/>
      <c r="G32" s="252"/>
      <c r="H32" s="252"/>
      <c r="I32" s="252"/>
      <c r="J32" s="252"/>
      <c r="K32" s="252"/>
      <c r="L32" s="252"/>
      <c r="M32" s="252"/>
      <c r="N32" s="252"/>
      <c r="O32" s="252"/>
      <c r="P32" s="252"/>
      <c r="Q32" s="253"/>
    </row>
    <row r="33" spans="2:17" ht="27" customHeight="1" x14ac:dyDescent="0.3">
      <c r="B33" s="3" t="s">
        <v>92</v>
      </c>
      <c r="C33" s="70">
        <v>0</v>
      </c>
      <c r="D33" s="70">
        <v>0</v>
      </c>
      <c r="E33" s="70">
        <v>0</v>
      </c>
      <c r="F33" s="70">
        <v>0</v>
      </c>
      <c r="G33" s="70">
        <v>0</v>
      </c>
      <c r="H33" s="70">
        <v>0</v>
      </c>
      <c r="I33" s="70">
        <v>0</v>
      </c>
      <c r="J33" s="70">
        <v>0</v>
      </c>
      <c r="K33" s="70">
        <v>0</v>
      </c>
      <c r="L33" s="70">
        <v>0</v>
      </c>
      <c r="M33" s="70">
        <v>0</v>
      </c>
      <c r="N33" s="70">
        <v>0</v>
      </c>
      <c r="O33" s="70">
        <v>0</v>
      </c>
      <c r="P33" s="70">
        <v>0</v>
      </c>
      <c r="Q33" s="71">
        <v>0</v>
      </c>
    </row>
    <row r="34" spans="2:17" ht="27" customHeight="1" x14ac:dyDescent="0.3">
      <c r="B34" s="3" t="s">
        <v>93</v>
      </c>
      <c r="C34" s="70">
        <v>0</v>
      </c>
      <c r="D34" s="70">
        <v>0</v>
      </c>
      <c r="E34" s="70">
        <v>0</v>
      </c>
      <c r="F34" s="70">
        <v>0</v>
      </c>
      <c r="G34" s="70">
        <v>0</v>
      </c>
      <c r="H34" s="70">
        <v>0</v>
      </c>
      <c r="I34" s="70">
        <v>0</v>
      </c>
      <c r="J34" s="70">
        <v>0</v>
      </c>
      <c r="K34" s="70">
        <v>0</v>
      </c>
      <c r="L34" s="70">
        <v>0</v>
      </c>
      <c r="M34" s="70">
        <v>0</v>
      </c>
      <c r="N34" s="70">
        <v>0</v>
      </c>
      <c r="O34" s="70">
        <v>0</v>
      </c>
      <c r="P34" s="70">
        <v>0</v>
      </c>
      <c r="Q34" s="71">
        <v>0</v>
      </c>
    </row>
    <row r="35" spans="2:17" ht="27" customHeight="1" x14ac:dyDescent="0.3">
      <c r="B35" s="3" t="s">
        <v>95</v>
      </c>
      <c r="C35" s="70">
        <v>0</v>
      </c>
      <c r="D35" s="70">
        <v>0</v>
      </c>
      <c r="E35" s="70">
        <v>0</v>
      </c>
      <c r="F35" s="70">
        <v>0</v>
      </c>
      <c r="G35" s="70">
        <v>0</v>
      </c>
      <c r="H35" s="70">
        <v>0</v>
      </c>
      <c r="I35" s="70">
        <v>0</v>
      </c>
      <c r="J35" s="70">
        <v>0</v>
      </c>
      <c r="K35" s="70">
        <v>0</v>
      </c>
      <c r="L35" s="70">
        <v>0</v>
      </c>
      <c r="M35" s="70">
        <v>0</v>
      </c>
      <c r="N35" s="70">
        <v>0</v>
      </c>
      <c r="O35" s="70">
        <v>0</v>
      </c>
      <c r="P35" s="70">
        <v>0</v>
      </c>
      <c r="Q35" s="71">
        <v>0</v>
      </c>
    </row>
    <row r="36" spans="2:17" ht="27" customHeight="1" x14ac:dyDescent="0.3">
      <c r="B36" s="37" t="s">
        <v>90</v>
      </c>
      <c r="C36" s="72">
        <f t="shared" ref="C36:Q36" si="1">SUM(C33:C35)</f>
        <v>0</v>
      </c>
      <c r="D36" s="72">
        <f t="shared" si="1"/>
        <v>0</v>
      </c>
      <c r="E36" s="72">
        <f t="shared" si="1"/>
        <v>0</v>
      </c>
      <c r="F36" s="72">
        <f t="shared" si="1"/>
        <v>0</v>
      </c>
      <c r="G36" s="72">
        <f t="shared" si="1"/>
        <v>0</v>
      </c>
      <c r="H36" s="72">
        <f t="shared" si="1"/>
        <v>0</v>
      </c>
      <c r="I36" s="72">
        <f t="shared" si="1"/>
        <v>0</v>
      </c>
      <c r="J36" s="72">
        <f t="shared" si="1"/>
        <v>0</v>
      </c>
      <c r="K36" s="72">
        <f t="shared" si="1"/>
        <v>0</v>
      </c>
      <c r="L36" s="72">
        <f t="shared" si="1"/>
        <v>0</v>
      </c>
      <c r="M36" s="72">
        <f t="shared" si="1"/>
        <v>0</v>
      </c>
      <c r="N36" s="72">
        <f t="shared" si="1"/>
        <v>0</v>
      </c>
      <c r="O36" s="72">
        <f t="shared" si="1"/>
        <v>0</v>
      </c>
      <c r="P36" s="72">
        <f t="shared" si="1"/>
        <v>0</v>
      </c>
      <c r="Q36" s="72">
        <f t="shared" si="1"/>
        <v>0</v>
      </c>
    </row>
    <row r="37" spans="2:17" ht="14.5" customHeight="1" x14ac:dyDescent="0.35">
      <c r="B37" s="265" t="s">
        <v>98</v>
      </c>
      <c r="C37" s="255"/>
      <c r="D37" s="255"/>
      <c r="E37" s="255"/>
      <c r="F37" s="255"/>
      <c r="G37" s="255"/>
      <c r="H37" s="255"/>
      <c r="I37" s="255"/>
      <c r="J37" s="255"/>
      <c r="K37" s="255"/>
      <c r="L37" s="255"/>
      <c r="M37" s="255"/>
      <c r="N37" s="255"/>
      <c r="O37" s="255"/>
      <c r="P37" s="255"/>
      <c r="Q37" s="255"/>
    </row>
  </sheetData>
  <sheetProtection algorithmName="SHA-512" hashValue="XPoHZPlutbYMinH+shOGp4WDoz90/9qElBDF/2m4aJAH19XWlWxIyMNz8UPNSgnhZUNKszf0icLUgFiE5uZNNg==" saltValue="ZoJ/2WuRBm+QMYbMIMQBLw==" spinCount="100000" sheet="1" objects="1" scenarios="1"/>
  <mergeCells count="4">
    <mergeCell ref="B32:Q32"/>
    <mergeCell ref="B37:Q37"/>
    <mergeCell ref="B3:Q3"/>
    <mergeCell ref="B5:Q5"/>
  </mergeCells>
  <pageMargins left="0.7" right="0.7" top="0.75" bottom="0.75" header="0.3" footer="0.3"/>
  <pageSetup paperSize="9" scale="35"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92D050"/>
    <pageSetUpPr fitToPage="1"/>
  </sheetPr>
  <dimension ref="B3:Q37"/>
  <sheetViews>
    <sheetView zoomScale="70" zoomScaleNormal="70" workbookViewId="0">
      <selection activeCell="B34" sqref="B34"/>
    </sheetView>
  </sheetViews>
  <sheetFormatPr defaultColWidth="15.54296875" defaultRowHeight="14" x14ac:dyDescent="0.3"/>
  <cols>
    <col min="1" max="1" width="15.54296875" style="2" customWidth="1"/>
    <col min="2" max="2" width="49" style="2" customWidth="1"/>
    <col min="3" max="16" width="18.54296875" style="2" customWidth="1"/>
    <col min="17" max="17" width="18.54296875" style="5" customWidth="1"/>
    <col min="18" max="68" width="15.54296875" style="2" customWidth="1"/>
    <col min="69" max="16384" width="15.54296875" style="2"/>
  </cols>
  <sheetData>
    <row r="3" spans="2:17" ht="24.75" customHeight="1" x14ac:dyDescent="0.35">
      <c r="B3" s="267" t="str">
        <f>_xlfn.CONCAT('Table of Contents'!B17,": ",'Table of Contents'!C17)</f>
        <v>APPENDIX 10: SUMMARY OF INVESTMENTS BUSINESS REVENUE ACCOUNTS FOR THE PERIOD ENDED 31.03.2025</v>
      </c>
      <c r="C3" s="252"/>
      <c r="D3" s="252"/>
      <c r="E3" s="252"/>
      <c r="F3" s="252"/>
      <c r="G3" s="252"/>
      <c r="H3" s="252"/>
      <c r="I3" s="252"/>
      <c r="J3" s="252"/>
      <c r="K3" s="252"/>
      <c r="L3" s="252"/>
      <c r="M3" s="252"/>
      <c r="N3" s="252"/>
      <c r="O3" s="252"/>
      <c r="P3" s="252"/>
      <c r="Q3" s="253"/>
    </row>
    <row r="4" spans="2:17" s="10" customFormat="1" ht="26" customHeight="1" x14ac:dyDescent="0.3">
      <c r="B4" s="43" t="s">
        <v>36</v>
      </c>
      <c r="C4" s="40" t="s">
        <v>140</v>
      </c>
      <c r="D4" s="40" t="s">
        <v>141</v>
      </c>
      <c r="E4" s="40" t="s">
        <v>142</v>
      </c>
      <c r="F4" s="40" t="s">
        <v>143</v>
      </c>
      <c r="G4" s="40" t="s">
        <v>144</v>
      </c>
      <c r="H4" s="40" t="s">
        <v>145</v>
      </c>
      <c r="I4" s="44" t="s">
        <v>146</v>
      </c>
      <c r="J4" s="40" t="s">
        <v>147</v>
      </c>
      <c r="K4" s="41" t="s">
        <v>148</v>
      </c>
      <c r="L4" s="41" t="s">
        <v>149</v>
      </c>
      <c r="M4" s="41" t="s">
        <v>150</v>
      </c>
      <c r="N4" s="41" t="s">
        <v>151</v>
      </c>
      <c r="O4" s="41" t="s">
        <v>152</v>
      </c>
      <c r="P4" s="41" t="s">
        <v>153</v>
      </c>
      <c r="Q4" s="41" t="s">
        <v>154</v>
      </c>
    </row>
    <row r="5" spans="2:17" ht="30.75" customHeight="1" x14ac:dyDescent="0.35">
      <c r="B5" s="261" t="s">
        <v>53</v>
      </c>
      <c r="C5" s="252"/>
      <c r="D5" s="252"/>
      <c r="E5" s="252"/>
      <c r="F5" s="252"/>
      <c r="G5" s="252"/>
      <c r="H5" s="252"/>
      <c r="I5" s="252"/>
      <c r="J5" s="252"/>
      <c r="K5" s="252"/>
      <c r="L5" s="252"/>
      <c r="M5" s="252"/>
      <c r="N5" s="252"/>
      <c r="O5" s="252"/>
      <c r="P5" s="252"/>
      <c r="Q5" s="253"/>
    </row>
    <row r="6" spans="2:17" ht="30.75" customHeight="1" x14ac:dyDescent="0.3">
      <c r="B6" s="6" t="str">
        <f>LINKED!B6</f>
        <v>ABSA LIFE ASSURANCE</v>
      </c>
      <c r="C6" s="13">
        <f>+LINKED!C6+'NON-LINKED'!C6</f>
        <v>0</v>
      </c>
      <c r="D6" s="13">
        <f>+LINKED!D6+'NON-LINKED'!D6</f>
        <v>0</v>
      </c>
      <c r="E6" s="13">
        <f>+LINKED!E6+'NON-LINKED'!E6</f>
        <v>0</v>
      </c>
      <c r="F6" s="13">
        <f>+LINKED!F6+'NON-LINKED'!F6</f>
        <v>0</v>
      </c>
      <c r="G6" s="13">
        <f>+LINKED!G6+'NON-LINKED'!G6</f>
        <v>0</v>
      </c>
      <c r="H6" s="13">
        <f>+LINKED!H6+'NON-LINKED'!H6</f>
        <v>0</v>
      </c>
      <c r="I6" s="13">
        <f>+LINKED!I6+'NON-LINKED'!I6</f>
        <v>0</v>
      </c>
      <c r="J6" s="13">
        <f>+LINKED!J6+'NON-LINKED'!J6</f>
        <v>0</v>
      </c>
      <c r="K6" s="13">
        <f>+LINKED!K6+'NON-LINKED'!K6</f>
        <v>0</v>
      </c>
      <c r="L6" s="13">
        <f>+LINKED!L6+'NON-LINKED'!L6</f>
        <v>0</v>
      </c>
      <c r="M6" s="13">
        <f>+LINKED!M6+'NON-LINKED'!M6</f>
        <v>0</v>
      </c>
      <c r="N6" s="13">
        <f>+LINKED!N6+'NON-LINKED'!N6</f>
        <v>0</v>
      </c>
      <c r="O6" s="13">
        <f>+LINKED!O6+'NON-LINKED'!O6</f>
        <v>0</v>
      </c>
      <c r="P6" s="13">
        <f>+LINKED!P6+'NON-LINKED'!P6</f>
        <v>0</v>
      </c>
      <c r="Q6" s="14">
        <f>+LINKED!Q6+'NON-LINKED'!Q6</f>
        <v>0</v>
      </c>
    </row>
    <row r="7" spans="2:17" ht="30.75" customHeight="1" x14ac:dyDescent="0.3">
      <c r="B7" s="6" t="str">
        <f>LINKED!B7</f>
        <v xml:space="preserve">APA LIFE ASSURANCE COMPANY </v>
      </c>
      <c r="C7" s="13">
        <f>+LINKED!C7+'NON-LINKED'!C7</f>
        <v>1808290.453</v>
      </c>
      <c r="D7" s="13">
        <f>+LINKED!D7+'NON-LINKED'!D7</f>
        <v>1093378.652</v>
      </c>
      <c r="E7" s="13">
        <f>+LINKED!E7+'NON-LINKED'!E7</f>
        <v>1093378.652</v>
      </c>
      <c r="F7" s="13">
        <f>+LINKED!F7+'NON-LINKED'!F7</f>
        <v>0</v>
      </c>
      <c r="G7" s="13">
        <f>+LINKED!G7+'NON-LINKED'!G7</f>
        <v>3786.0729999999999</v>
      </c>
      <c r="H7" s="13">
        <f>+LINKED!H7+'NON-LINKED'!H7</f>
        <v>3786.0729999999999</v>
      </c>
      <c r="I7" s="13">
        <f>+LINKED!I7+'NON-LINKED'!I7</f>
        <v>0</v>
      </c>
      <c r="J7" s="13">
        <f>+LINKED!J7+'NON-LINKED'!J7</f>
        <v>0</v>
      </c>
      <c r="K7" s="13">
        <f>+LINKED!K7+'NON-LINKED'!K7</f>
        <v>0</v>
      </c>
      <c r="L7" s="13">
        <f>+LINKED!L7+'NON-LINKED'!L7</f>
        <v>54702.1201</v>
      </c>
      <c r="M7" s="13">
        <f>+LINKED!M7+'NON-LINKED'!M7</f>
        <v>3600.5974992371448</v>
      </c>
      <c r="N7" s="13">
        <f>+LINKED!N7+'NON-LINKED'!N7</f>
        <v>107489.70299999999</v>
      </c>
      <c r="O7" s="13">
        <f>+LINKED!O7+'NON-LINKED'!O7</f>
        <v>2509.4274736389661</v>
      </c>
      <c r="P7" s="13">
        <f>+LINKED!P7+'NON-LINKED'!P7</f>
        <v>0</v>
      </c>
      <c r="Q7" s="14">
        <f>+LINKED!Q7+'NON-LINKED'!Q7</f>
        <v>2944560.5899271239</v>
      </c>
    </row>
    <row r="8" spans="2:17" ht="30.75" customHeight="1" x14ac:dyDescent="0.3">
      <c r="B8" s="6" t="str">
        <f>LINKED!B8</f>
        <v>BRITAM LIFE ASSURANCE</v>
      </c>
      <c r="C8" s="13">
        <f>+LINKED!C8+'NON-LINKED'!C8</f>
        <v>7519675.8206193</v>
      </c>
      <c r="D8" s="13">
        <f>+LINKED!D8+'NON-LINKED'!D8</f>
        <v>2404279.9645899991</v>
      </c>
      <c r="E8" s="13">
        <f>+LINKED!E8+'NON-LINKED'!E8</f>
        <v>2404279.9645899991</v>
      </c>
      <c r="F8" s="13">
        <f>+LINKED!F8+'NON-LINKED'!F8</f>
        <v>0</v>
      </c>
      <c r="G8" s="13">
        <f>+LINKED!G8+'NON-LINKED'!G8</f>
        <v>1031631.20505</v>
      </c>
      <c r="H8" s="13">
        <f>+LINKED!H8+'NON-LINKED'!H8</f>
        <v>1031631.20505</v>
      </c>
      <c r="I8" s="13">
        <f>+LINKED!I8+'NON-LINKED'!I8</f>
        <v>0</v>
      </c>
      <c r="J8" s="13">
        <f>+LINKED!J8+'NON-LINKED'!J8</f>
        <v>0</v>
      </c>
      <c r="K8" s="13">
        <f>+LINKED!K8+'NON-LINKED'!K8</f>
        <v>0</v>
      </c>
      <c r="L8" s="13">
        <f>+LINKED!L8+'NON-LINKED'!L8</f>
        <v>5917.6228038512008</v>
      </c>
      <c r="M8" s="13">
        <f>+LINKED!M8+'NON-LINKED'!M8</f>
        <v>30409.455000000002</v>
      </c>
      <c r="N8" s="13">
        <f>+LINKED!N8+'NON-LINKED'!N8</f>
        <v>373280.38900000002</v>
      </c>
      <c r="O8" s="13">
        <f>+LINKED!O8+'NON-LINKED'!O8</f>
        <v>3854.2576497870459</v>
      </c>
      <c r="P8" s="13">
        <f>+LINKED!P8+'NON-LINKED'!P8</f>
        <v>83347.368000000002</v>
      </c>
      <c r="Q8" s="14">
        <f>+LINKED!Q8+'NON-LINKED'!Q8</f>
        <v>9142076.2657056618</v>
      </c>
    </row>
    <row r="9" spans="2:17" ht="30.75" customHeight="1" x14ac:dyDescent="0.3">
      <c r="B9" s="6" t="str">
        <f>LINKED!B9</f>
        <v>CANNON LIFE ASSURANCE (K) LIMITED</v>
      </c>
      <c r="C9" s="13">
        <f>+LINKED!C9+'NON-LINKED'!C9</f>
        <v>118268.3088749766</v>
      </c>
      <c r="D9" s="13">
        <f>+LINKED!D9+'NON-LINKED'!D9</f>
        <v>0</v>
      </c>
      <c r="E9" s="13">
        <f>+LINKED!E9+'NON-LINKED'!E9</f>
        <v>0</v>
      </c>
      <c r="F9" s="13">
        <f>+LINKED!F9+'NON-LINKED'!F9</f>
        <v>0</v>
      </c>
      <c r="G9" s="13">
        <f>+LINKED!G9+'NON-LINKED'!G9</f>
        <v>0</v>
      </c>
      <c r="H9" s="13">
        <f>+LINKED!H9+'NON-LINKED'!H9</f>
        <v>0</v>
      </c>
      <c r="I9" s="13">
        <f>+LINKED!I9+'NON-LINKED'!I9</f>
        <v>0</v>
      </c>
      <c r="J9" s="13">
        <f>+LINKED!J9+'NON-LINKED'!J9</f>
        <v>0</v>
      </c>
      <c r="K9" s="13">
        <f>+LINKED!K9+'NON-LINKED'!K9</f>
        <v>0</v>
      </c>
      <c r="L9" s="13">
        <f>+LINKED!L9+'NON-LINKED'!L9</f>
        <v>0</v>
      </c>
      <c r="M9" s="13">
        <f>+LINKED!M9+'NON-LINKED'!M9</f>
        <v>9626.82</v>
      </c>
      <c r="N9" s="13">
        <f>+LINKED!N9+'NON-LINKED'!N9</f>
        <v>6986.8209999999999</v>
      </c>
      <c r="O9" s="13">
        <f>+LINKED!O9+'NON-LINKED'!O9</f>
        <v>0</v>
      </c>
      <c r="P9" s="13">
        <f>+LINKED!P9+'NON-LINKED'!P9</f>
        <v>0</v>
      </c>
      <c r="Q9" s="14">
        <f>+LINKED!Q9+'NON-LINKED'!Q9</f>
        <v>115628.30987497661</v>
      </c>
    </row>
    <row r="10" spans="2:17" ht="30.75" customHeight="1" x14ac:dyDescent="0.3">
      <c r="B10" s="6" t="str">
        <f>LINKED!B10</f>
        <v>CAPEX LIFE ASSURANCE COMPANY</v>
      </c>
      <c r="C10" s="13">
        <f>+LINKED!C10+'NON-LINKED'!C10</f>
        <v>0</v>
      </c>
      <c r="D10" s="13">
        <f>+LINKED!D10+'NON-LINKED'!D10</f>
        <v>0</v>
      </c>
      <c r="E10" s="13">
        <f>+LINKED!E10+'NON-LINKED'!E10</f>
        <v>0</v>
      </c>
      <c r="F10" s="13">
        <f>+LINKED!F10+'NON-LINKED'!F10</f>
        <v>0</v>
      </c>
      <c r="G10" s="13">
        <f>+LINKED!G10+'NON-LINKED'!G10</f>
        <v>0</v>
      </c>
      <c r="H10" s="13">
        <f>+LINKED!H10+'NON-LINKED'!H10</f>
        <v>0</v>
      </c>
      <c r="I10" s="13">
        <f>+LINKED!I10+'NON-LINKED'!I10</f>
        <v>0</v>
      </c>
      <c r="J10" s="13">
        <f>+LINKED!J10+'NON-LINKED'!J10</f>
        <v>0</v>
      </c>
      <c r="K10" s="13">
        <f>+LINKED!K10+'NON-LINKED'!K10</f>
        <v>0</v>
      </c>
      <c r="L10" s="13">
        <f>+LINKED!L10+'NON-LINKED'!L10</f>
        <v>0</v>
      </c>
      <c r="M10" s="13">
        <f>+LINKED!M10+'NON-LINKED'!M10</f>
        <v>0</v>
      </c>
      <c r="N10" s="13">
        <f>+LINKED!N10+'NON-LINKED'!N10</f>
        <v>0</v>
      </c>
      <c r="O10" s="13">
        <f>+LINKED!O10+'NON-LINKED'!O10</f>
        <v>0</v>
      </c>
      <c r="P10" s="13">
        <f>+LINKED!P10+'NON-LINKED'!P10</f>
        <v>0</v>
      </c>
      <c r="Q10" s="14">
        <f>+LINKED!Q20+'NON-LINKED'!Q20</f>
        <v>0</v>
      </c>
    </row>
    <row r="11" spans="2:17" ht="30.75" customHeight="1" x14ac:dyDescent="0.3">
      <c r="B11" s="6" t="str">
        <f>LINKED!B11</f>
        <v>CIC LIFE ASSURANCE COMPANY</v>
      </c>
      <c r="C11" s="13">
        <f>+LINKED!C11+'NON-LINKED'!C11</f>
        <v>0</v>
      </c>
      <c r="D11" s="13">
        <f>+LINKED!D11+'NON-LINKED'!D11</f>
        <v>0</v>
      </c>
      <c r="E11" s="13">
        <f>+LINKED!E11+'NON-LINKED'!E11</f>
        <v>0</v>
      </c>
      <c r="F11" s="13">
        <f>+LINKED!F11+'NON-LINKED'!F11</f>
        <v>0</v>
      </c>
      <c r="G11" s="13">
        <f>+LINKED!G11+'NON-LINKED'!G11</f>
        <v>0</v>
      </c>
      <c r="H11" s="13">
        <f>+LINKED!H11+'NON-LINKED'!H11</f>
        <v>0</v>
      </c>
      <c r="I11" s="13">
        <f>+LINKED!I11+'NON-LINKED'!I11</f>
        <v>0</v>
      </c>
      <c r="J11" s="13">
        <f>+LINKED!J11+'NON-LINKED'!J11</f>
        <v>0</v>
      </c>
      <c r="K11" s="13">
        <f>+LINKED!K11+'NON-LINKED'!K11</f>
        <v>0</v>
      </c>
      <c r="L11" s="13">
        <f>+LINKED!L11+'NON-LINKED'!L11</f>
        <v>0</v>
      </c>
      <c r="M11" s="13">
        <f>+LINKED!M11+'NON-LINKED'!M11</f>
        <v>0</v>
      </c>
      <c r="N11" s="13">
        <f>+LINKED!N11+'NON-LINKED'!N11</f>
        <v>0</v>
      </c>
      <c r="O11" s="13">
        <f>+LINKED!O11+'NON-LINKED'!O11</f>
        <v>0</v>
      </c>
      <c r="P11" s="13">
        <f>+LINKED!P11+'NON-LINKED'!P11</f>
        <v>0</v>
      </c>
      <c r="Q11" s="14">
        <f>+LINKED!Q21+'NON-LINKED'!Q21</f>
        <v>3413544.1899186261</v>
      </c>
    </row>
    <row r="12" spans="2:17" ht="30.75" customHeight="1" x14ac:dyDescent="0.3">
      <c r="B12" s="6" t="str">
        <f>LINKED!B12</f>
        <v>CORPORATE INSURANCE COMPANY</v>
      </c>
      <c r="C12" s="13">
        <f>+LINKED!C12+'NON-LINKED'!C12</f>
        <v>0</v>
      </c>
      <c r="D12" s="13"/>
      <c r="E12" s="13"/>
      <c r="F12" s="13"/>
      <c r="G12" s="13"/>
      <c r="H12" s="13"/>
      <c r="I12" s="13"/>
      <c r="J12" s="13"/>
      <c r="K12" s="13"/>
      <c r="L12" s="13"/>
      <c r="M12" s="13"/>
      <c r="N12" s="13"/>
      <c r="O12" s="13"/>
      <c r="P12" s="13"/>
      <c r="Q12" s="14"/>
    </row>
    <row r="13" spans="2:17" ht="30.75" customHeight="1" x14ac:dyDescent="0.3">
      <c r="B13" s="6" t="str">
        <f>LINKED!B13</f>
        <v xml:space="preserve">EQUITY LIFE ASSURANCE </v>
      </c>
      <c r="C13" s="13">
        <f>+LINKED!C13+'NON-LINKED'!C13</f>
        <v>317288.83100000001</v>
      </c>
      <c r="D13" s="13">
        <f>+LINKED!D13+'NON-LINKED'!D13</f>
        <v>155652.821</v>
      </c>
      <c r="E13" s="13">
        <f>+LINKED!E13+'NON-LINKED'!E13</f>
        <v>155652.821</v>
      </c>
      <c r="F13" s="13">
        <f>+LINKED!F13+'NON-LINKED'!F13</f>
        <v>0</v>
      </c>
      <c r="G13" s="13">
        <f>+LINKED!G13+'NON-LINKED'!G13</f>
        <v>0</v>
      </c>
      <c r="H13" s="13">
        <f>+LINKED!H13+'NON-LINKED'!H13</f>
        <v>0</v>
      </c>
      <c r="I13" s="13">
        <f>+LINKED!I13+'NON-LINKED'!I13</f>
        <v>0</v>
      </c>
      <c r="J13" s="13">
        <f>+LINKED!J13+'NON-LINKED'!J13</f>
        <v>0</v>
      </c>
      <c r="K13" s="13">
        <f>+LINKED!K13+'NON-LINKED'!K13</f>
        <v>0</v>
      </c>
      <c r="L13" s="13">
        <f>+LINKED!L13+'NON-LINKED'!L13</f>
        <v>0</v>
      </c>
      <c r="M13" s="13">
        <f>+LINKED!M13+'NON-LINKED'!M13</f>
        <v>0</v>
      </c>
      <c r="N13" s="13">
        <f>+LINKED!N13+'NON-LINKED'!N13</f>
        <v>0</v>
      </c>
      <c r="O13" s="13">
        <f>+LINKED!O13+'NON-LINKED'!O13</f>
        <v>0</v>
      </c>
      <c r="P13" s="13">
        <f>+LINKED!P13+'NON-LINKED'!P13</f>
        <v>0</v>
      </c>
      <c r="Q13" s="14">
        <f>+LINKED!Q23+'NON-LINKED'!Q23</f>
        <v>3173986.2241860521</v>
      </c>
    </row>
    <row r="14" spans="2:17" ht="30.75" customHeight="1" x14ac:dyDescent="0.3">
      <c r="B14" s="6" t="str">
        <f>LINKED!B14</f>
        <v xml:space="preserve">GA LIFE ASSURANCE COMPANY </v>
      </c>
      <c r="C14" s="13">
        <f>+LINKED!C14+'NON-LINKED'!C14</f>
        <v>0</v>
      </c>
      <c r="D14" s="13">
        <f>+LINKED!D14+'NON-LINKED'!D14</f>
        <v>0</v>
      </c>
      <c r="E14" s="13">
        <f>+LINKED!E14+'NON-LINKED'!E14</f>
        <v>0</v>
      </c>
      <c r="F14" s="13">
        <f>+LINKED!F14+'NON-LINKED'!F14</f>
        <v>0</v>
      </c>
      <c r="G14" s="13">
        <f>+LINKED!G14+'NON-LINKED'!G14</f>
        <v>0</v>
      </c>
      <c r="H14" s="13">
        <f>+LINKED!H14+'NON-LINKED'!H14</f>
        <v>0</v>
      </c>
      <c r="I14" s="13">
        <f>+LINKED!I14+'NON-LINKED'!I14</f>
        <v>0</v>
      </c>
      <c r="J14" s="13">
        <f>+LINKED!J14+'NON-LINKED'!J14</f>
        <v>0</v>
      </c>
      <c r="K14" s="13">
        <f>+LINKED!K14+'NON-LINKED'!K14</f>
        <v>0</v>
      </c>
      <c r="L14" s="13">
        <f>+LINKED!L14+'NON-LINKED'!L14</f>
        <v>0</v>
      </c>
      <c r="M14" s="13">
        <f>+LINKED!M14+'NON-LINKED'!M14</f>
        <v>0</v>
      </c>
      <c r="N14" s="13">
        <f>+LINKED!N14+'NON-LINKED'!N14</f>
        <v>0</v>
      </c>
      <c r="O14" s="13">
        <f>+LINKED!O14+'NON-LINKED'!O14</f>
        <v>0</v>
      </c>
      <c r="P14" s="13">
        <f>+LINKED!P14+'NON-LINKED'!P14</f>
        <v>0</v>
      </c>
      <c r="Q14" s="14">
        <f>+LINKED!Q24+'NON-LINKED'!Q24</f>
        <v>406116.76968519838</v>
      </c>
    </row>
    <row r="15" spans="2:17" ht="30.75" customHeight="1" x14ac:dyDescent="0.3">
      <c r="B15" s="6" t="str">
        <f>LINKED!B15</f>
        <v>GEMINIA LIFE INSURANCE COMPANY</v>
      </c>
      <c r="C15" s="13">
        <f>+LINKED!C15+'NON-LINKED'!C15</f>
        <v>90519.785999999993</v>
      </c>
      <c r="D15" s="13">
        <f>+LINKED!D15+'NON-LINKED'!D15</f>
        <v>168430.38227</v>
      </c>
      <c r="E15" s="13">
        <f>+LINKED!E15+'NON-LINKED'!E15</f>
        <v>168430.38227</v>
      </c>
      <c r="F15" s="13">
        <f>+LINKED!F15+'NON-LINKED'!F15</f>
        <v>0</v>
      </c>
      <c r="G15" s="13">
        <f>+LINKED!G15+'NON-LINKED'!G15</f>
        <v>0</v>
      </c>
      <c r="H15" s="13">
        <f>+LINKED!H15+'NON-LINKED'!H15</f>
        <v>0</v>
      </c>
      <c r="I15" s="13">
        <f>+LINKED!I15+'NON-LINKED'!I15</f>
        <v>0</v>
      </c>
      <c r="J15" s="13">
        <f>+LINKED!J15+'NON-LINKED'!J15</f>
        <v>0</v>
      </c>
      <c r="K15" s="13">
        <f>+LINKED!K15+'NON-LINKED'!K15</f>
        <v>0</v>
      </c>
      <c r="L15" s="13">
        <f>+LINKED!L15+'NON-LINKED'!L15</f>
        <v>0</v>
      </c>
      <c r="M15" s="13">
        <f>+LINKED!M15+'NON-LINKED'!M15</f>
        <v>1305.1064699999999</v>
      </c>
      <c r="N15" s="13">
        <f>+LINKED!N15+'NON-LINKED'!N15</f>
        <v>0</v>
      </c>
      <c r="O15" s="13">
        <f>+LINKED!O15+'NON-LINKED'!O15</f>
        <v>0</v>
      </c>
      <c r="P15" s="13">
        <f>+LINKED!P15+'NON-LINKED'!P15</f>
        <v>0</v>
      </c>
      <c r="Q15" s="14">
        <f>+LINKED!Q25+'NON-LINKED'!Q25</f>
        <v>354785.25376600004</v>
      </c>
    </row>
    <row r="16" spans="2:17" ht="30.75" customHeight="1" x14ac:dyDescent="0.3">
      <c r="B16" s="6" t="str">
        <f>LINKED!B16</f>
        <v xml:space="preserve">ICEA LION LIFE ASSURANCE </v>
      </c>
      <c r="C16" s="13">
        <f>+LINKED!C16+'NON-LINKED'!C16</f>
        <v>440263.47932580003</v>
      </c>
      <c r="D16" s="13">
        <f>+LINKED!D16+'NON-LINKED'!D16</f>
        <v>1312.69091</v>
      </c>
      <c r="E16" s="13">
        <f>+LINKED!E16+'NON-LINKED'!E16</f>
        <v>1312.69091</v>
      </c>
      <c r="F16" s="13">
        <f>+LINKED!F16+'NON-LINKED'!F16</f>
        <v>0</v>
      </c>
      <c r="G16" s="13">
        <f>+LINKED!G16+'NON-LINKED'!G16</f>
        <v>10273.264999999999</v>
      </c>
      <c r="H16" s="13">
        <f>+LINKED!H16+'NON-LINKED'!H16</f>
        <v>10204.793</v>
      </c>
      <c r="I16" s="13">
        <f>+LINKED!I16+'NON-LINKED'!I16</f>
        <v>68.471999999999994</v>
      </c>
      <c r="J16" s="13">
        <f>+LINKED!J16+'NON-LINKED'!J16</f>
        <v>0</v>
      </c>
      <c r="K16" s="13">
        <f>+LINKED!K16+'NON-LINKED'!K16</f>
        <v>0</v>
      </c>
      <c r="L16" s="13">
        <f>+LINKED!L16+'NON-LINKED'!L16</f>
        <v>0</v>
      </c>
      <c r="M16" s="13">
        <f>+LINKED!M16+'NON-LINKED'!M16</f>
        <v>13.126909100000001</v>
      </c>
      <c r="N16" s="13">
        <f>+LINKED!N16+'NON-LINKED'!N16</f>
        <v>11581.977999999999</v>
      </c>
      <c r="O16" s="13">
        <f>+LINKED!O16+'NON-LINKED'!O16</f>
        <v>0</v>
      </c>
      <c r="P16" s="13">
        <f>+LINKED!P16+'NON-LINKED'!P16</f>
        <v>0</v>
      </c>
      <c r="Q16" s="14">
        <f>+LINKED!Q26+'NON-LINKED'!Q26</f>
        <v>0</v>
      </c>
    </row>
    <row r="17" spans="2:17" ht="30.75" customHeight="1" x14ac:dyDescent="0.3">
      <c r="B17" s="6" t="str">
        <f>LINKED!B17</f>
        <v>JUBILEE LIFE INSURANCE</v>
      </c>
      <c r="C17" s="13">
        <f>+LINKED!C17+'NON-LINKED'!C17</f>
        <v>70346.667963600004</v>
      </c>
      <c r="D17" s="13">
        <f>+LINKED!D17+'NON-LINKED'!D17</f>
        <v>0</v>
      </c>
      <c r="E17" s="13">
        <f>+LINKED!E17+'NON-LINKED'!E17</f>
        <v>0</v>
      </c>
      <c r="F17" s="13">
        <f>+LINKED!F17+'NON-LINKED'!F17</f>
        <v>0</v>
      </c>
      <c r="G17" s="13">
        <f>+LINKED!G17+'NON-LINKED'!G17</f>
        <v>0</v>
      </c>
      <c r="H17" s="13">
        <f>+LINKED!H17+'NON-LINKED'!H17</f>
        <v>0</v>
      </c>
      <c r="I17" s="13">
        <f>+LINKED!I17+'NON-LINKED'!I17</f>
        <v>0</v>
      </c>
      <c r="J17" s="13">
        <f>+LINKED!J17+'NON-LINKED'!J17</f>
        <v>0</v>
      </c>
      <c r="K17" s="13">
        <f>+LINKED!K17+'NON-LINKED'!K17</f>
        <v>0</v>
      </c>
      <c r="L17" s="13">
        <f>+LINKED!L17+'NON-LINKED'!L17</f>
        <v>0</v>
      </c>
      <c r="M17" s="13">
        <f>+LINKED!M17+'NON-LINKED'!M17</f>
        <v>1635.3113658</v>
      </c>
      <c r="N17" s="13">
        <f>+LINKED!N17+'NON-LINKED'!N17</f>
        <v>0</v>
      </c>
      <c r="O17" s="13">
        <f>+LINKED!O17+'NON-LINKED'!O17</f>
        <v>0</v>
      </c>
      <c r="P17" s="13">
        <f>+LINKED!P17+'NON-LINKED'!P17</f>
        <v>0</v>
      </c>
      <c r="Q17" s="14">
        <f>+LINKED!Q27+'NON-LINKED'!Q27</f>
        <v>1169195.829354208</v>
      </c>
    </row>
    <row r="18" spans="2:17" ht="30.75" customHeight="1" x14ac:dyDescent="0.3">
      <c r="B18" s="6" t="str">
        <f>LINKED!B18</f>
        <v>KENINDIA ASSURANCE COMPANY</v>
      </c>
      <c r="C18" s="13">
        <f>+LINKED!C18+'NON-LINKED'!C18</f>
        <v>0</v>
      </c>
      <c r="D18" s="13">
        <f>+LINKED!D18+'NON-LINKED'!D18</f>
        <v>0</v>
      </c>
      <c r="E18" s="13">
        <f>+LINKED!E18+'NON-LINKED'!E18</f>
        <v>0</v>
      </c>
      <c r="F18" s="13">
        <f>+LINKED!F18+'NON-LINKED'!F18</f>
        <v>0</v>
      </c>
      <c r="G18" s="13">
        <f>+LINKED!G18+'NON-LINKED'!G18</f>
        <v>0</v>
      </c>
      <c r="H18" s="13">
        <f>+LINKED!H18+'NON-LINKED'!H18</f>
        <v>0</v>
      </c>
      <c r="I18" s="13">
        <f>+LINKED!I18+'NON-LINKED'!I18</f>
        <v>0</v>
      </c>
      <c r="J18" s="13">
        <f>+LINKED!J18+'NON-LINKED'!J18</f>
        <v>0</v>
      </c>
      <c r="K18" s="13">
        <f>+LINKED!K18+'NON-LINKED'!K18</f>
        <v>0</v>
      </c>
      <c r="L18" s="13">
        <f>+LINKED!L18+'NON-LINKED'!L18</f>
        <v>0</v>
      </c>
      <c r="M18" s="13">
        <f>+LINKED!M18+'NON-LINKED'!M18</f>
        <v>0</v>
      </c>
      <c r="N18" s="13">
        <f>+LINKED!N18+'NON-LINKED'!N18</f>
        <v>0</v>
      </c>
      <c r="O18" s="13">
        <f>+LINKED!O18+'NON-LINKED'!O18</f>
        <v>0</v>
      </c>
      <c r="P18" s="13">
        <f>+LINKED!P18+'NON-LINKED'!P18</f>
        <v>0</v>
      </c>
      <c r="Q18" s="14">
        <f>+LINKED!Q28+'NON-LINKED'!Q28</f>
        <v>0</v>
      </c>
    </row>
    <row r="19" spans="2:17" ht="30.75" customHeight="1" x14ac:dyDescent="0.3">
      <c r="B19" s="6" t="str">
        <f>LINKED!B19</f>
        <v>KENYA ORIENT LIFE ASSURANCE</v>
      </c>
      <c r="C19" s="13">
        <f>+LINKED!C19+'NON-LINKED'!C19</f>
        <v>0</v>
      </c>
      <c r="D19" s="13">
        <f>+LINKED!D19+'NON-LINKED'!D19</f>
        <v>0</v>
      </c>
      <c r="E19" s="13">
        <f>+LINKED!E19+'NON-LINKED'!E19</f>
        <v>0</v>
      </c>
      <c r="F19" s="13">
        <f>+LINKED!F19+'NON-LINKED'!F19</f>
        <v>0</v>
      </c>
      <c r="G19" s="13">
        <f>+LINKED!G19+'NON-LINKED'!G19</f>
        <v>0</v>
      </c>
      <c r="H19" s="13">
        <f>+LINKED!H19+'NON-LINKED'!H19</f>
        <v>0</v>
      </c>
      <c r="I19" s="13">
        <f>+LINKED!I19+'NON-LINKED'!I19</f>
        <v>0</v>
      </c>
      <c r="J19" s="13">
        <f>+LINKED!J19+'NON-LINKED'!J19</f>
        <v>0</v>
      </c>
      <c r="K19" s="13">
        <f>+LINKED!K19+'NON-LINKED'!K19</f>
        <v>0</v>
      </c>
      <c r="L19" s="13">
        <f>+LINKED!L19+'NON-LINKED'!L19</f>
        <v>0</v>
      </c>
      <c r="M19" s="13">
        <f>+LINKED!M19+'NON-LINKED'!M19</f>
        <v>0</v>
      </c>
      <c r="N19" s="13">
        <f>+LINKED!N19+'NON-LINKED'!N19</f>
        <v>0</v>
      </c>
      <c r="O19" s="13">
        <f>+LINKED!O19+'NON-LINKED'!O19</f>
        <v>0</v>
      </c>
      <c r="P19" s="13">
        <f>+LINKED!P19+'NON-LINKED'!P19</f>
        <v>0</v>
      </c>
      <c r="Q19" s="14">
        <f>+LINKED!Q29+'NON-LINKED'!Q29</f>
        <v>64438.777999999998</v>
      </c>
    </row>
    <row r="20" spans="2:17" ht="30.75" customHeight="1" x14ac:dyDescent="0.3">
      <c r="B20" s="6" t="str">
        <f>LINKED!B20</f>
        <v>KUSCCO MUTUAL ASSURANCE LIMITED</v>
      </c>
      <c r="C20" s="13">
        <f>+LINKED!C20+'NON-LINKED'!C20</f>
        <v>0</v>
      </c>
      <c r="D20" s="13">
        <f>+LINKED!D20+'NON-LINKED'!D20</f>
        <v>0</v>
      </c>
      <c r="E20" s="13">
        <f>+LINKED!E20+'NON-LINKED'!E20</f>
        <v>0</v>
      </c>
      <c r="F20" s="13">
        <f>+LINKED!F20+'NON-LINKED'!F20</f>
        <v>0</v>
      </c>
      <c r="G20" s="13">
        <f>+LINKED!G20+'NON-LINKED'!G20</f>
        <v>0</v>
      </c>
      <c r="H20" s="13">
        <f>+LINKED!H20+'NON-LINKED'!H20</f>
        <v>0</v>
      </c>
      <c r="I20" s="13">
        <f>+LINKED!I20+'NON-LINKED'!I20</f>
        <v>0</v>
      </c>
      <c r="J20" s="13">
        <f>+LINKED!J20+'NON-LINKED'!J20</f>
        <v>0</v>
      </c>
      <c r="K20" s="13">
        <f>+LINKED!K20+'NON-LINKED'!K20</f>
        <v>0</v>
      </c>
      <c r="L20" s="13">
        <f>+LINKED!L20+'NON-LINKED'!L20</f>
        <v>0</v>
      </c>
      <c r="M20" s="13">
        <f>+LINKED!M20+'NON-LINKED'!M20</f>
        <v>0</v>
      </c>
      <c r="N20" s="13">
        <f>+LINKED!N20+'NON-LINKED'!N20</f>
        <v>0</v>
      </c>
      <c r="O20" s="13">
        <f>+LINKED!O20+'NON-LINKED'!O20</f>
        <v>0</v>
      </c>
      <c r="P20" s="13">
        <f>+LINKED!P20+'NON-LINKED'!P20</f>
        <v>0</v>
      </c>
      <c r="Q20" s="14">
        <f>+LINKED!Q20+'NON-LINKED'!Q20</f>
        <v>0</v>
      </c>
    </row>
    <row r="21" spans="2:17" ht="30.75" customHeight="1" x14ac:dyDescent="0.3">
      <c r="B21" s="6" t="str">
        <f>LINKED!B21</f>
        <v>LIBERTY LIFE ASSURANCE COMPANY</v>
      </c>
      <c r="C21" s="13">
        <f>+LINKED!C21+'NON-LINKED'!C21</f>
        <v>3343805.0048485189</v>
      </c>
      <c r="D21" s="13">
        <f>+LINKED!D21+'NON-LINKED'!D21</f>
        <v>148581.30134000001</v>
      </c>
      <c r="E21" s="13">
        <f>+LINKED!E21+'NON-LINKED'!E21</f>
        <v>148506.34434000001</v>
      </c>
      <c r="F21" s="13">
        <f>+LINKED!F21+'NON-LINKED'!F21</f>
        <v>0</v>
      </c>
      <c r="G21" s="13">
        <f>+LINKED!G21+'NON-LINKED'!G21</f>
        <v>214036.07878000001</v>
      </c>
      <c r="H21" s="13">
        <f>+LINKED!H21+'NON-LINKED'!H21</f>
        <v>214036.07878000001</v>
      </c>
      <c r="I21" s="13">
        <f>+LINKED!I21+'NON-LINKED'!I21</f>
        <v>0</v>
      </c>
      <c r="J21" s="13">
        <f>+LINKED!J21+'NON-LINKED'!J21</f>
        <v>0</v>
      </c>
      <c r="K21" s="13">
        <f>+LINKED!K21+'NON-LINKED'!K21</f>
        <v>0</v>
      </c>
      <c r="L21" s="13">
        <f>+LINKED!L21+'NON-LINKED'!L21</f>
        <v>8675.8339600000018</v>
      </c>
      <c r="M21" s="13">
        <f>+LINKED!M21+'NON-LINKED'!M21</f>
        <v>165078.65011326171</v>
      </c>
      <c r="N21" s="13">
        <f>+LINKED!N21+'NON-LINKED'!N21</f>
        <v>315999.73759795941</v>
      </c>
      <c r="O21" s="13">
        <f>+LINKED!O21+'NON-LINKED'!O21</f>
        <v>6976.3340145897237</v>
      </c>
      <c r="P21" s="13">
        <f>+LINKED!P21+'NON-LINKED'!P21</f>
        <v>0</v>
      </c>
      <c r="Q21" s="14">
        <f>+LINKED!Q21+'NON-LINKED'!Q21</f>
        <v>3413544.1899186261</v>
      </c>
    </row>
    <row r="22" spans="2:17" ht="30.75" customHeight="1" x14ac:dyDescent="0.3">
      <c r="B22" s="6" t="str">
        <f>LINKED!B22</f>
        <v>MADISON INSURANCE COMPANY</v>
      </c>
      <c r="C22" s="13">
        <f>+LINKED!C22+'NON-LINKED'!C22</f>
        <v>-15507.071</v>
      </c>
      <c r="D22" s="13">
        <f>+LINKED!D22+'NON-LINKED'!D22</f>
        <v>246</v>
      </c>
      <c r="E22" s="13">
        <f>+LINKED!E22+'NON-LINKED'!E22</f>
        <v>246</v>
      </c>
      <c r="F22" s="13">
        <f>+LINKED!F22+'NON-LINKED'!F22</f>
        <v>0</v>
      </c>
      <c r="G22" s="13">
        <f>+LINKED!G22+'NON-LINKED'!G22</f>
        <v>707</v>
      </c>
      <c r="H22" s="13">
        <f>+LINKED!H22+'NON-LINKED'!H22</f>
        <v>707</v>
      </c>
      <c r="I22" s="13">
        <f>+LINKED!I22+'NON-LINKED'!I22</f>
        <v>0</v>
      </c>
      <c r="J22" s="13">
        <f>+LINKED!J22+'NON-LINKED'!J22</f>
        <v>0</v>
      </c>
      <c r="K22" s="13">
        <f>+LINKED!K22+'NON-LINKED'!K22</f>
        <v>0</v>
      </c>
      <c r="L22" s="13">
        <f>+LINKED!L22+'NON-LINKED'!L22</f>
        <v>684</v>
      </c>
      <c r="M22" s="13">
        <f>+LINKED!M22+'NON-LINKED'!M22</f>
        <v>1027.1400000000001</v>
      </c>
      <c r="N22" s="13">
        <f>+LINKED!N22+'NON-LINKED'!N22</f>
        <v>152</v>
      </c>
      <c r="O22" s="13">
        <f>+LINKED!O22+'NON-LINKED'!O22</f>
        <v>0</v>
      </c>
      <c r="P22" s="13">
        <f>+LINKED!P22+'NON-LINKED'!P22</f>
        <v>0</v>
      </c>
      <c r="Q22" s="14">
        <f>+LINKED!Q22+'NON-LINKED'!Q22</f>
        <v>-17527.210999999999</v>
      </c>
    </row>
    <row r="23" spans="2:17" ht="30.75" customHeight="1" x14ac:dyDescent="0.3">
      <c r="B23" s="6" t="str">
        <f>LINKED!B23</f>
        <v>OLD MUTUAL ASSURANCE COMPANY</v>
      </c>
      <c r="C23" s="13">
        <f>+LINKED!C23+'NON-LINKED'!C23</f>
        <v>3305497.7309269472</v>
      </c>
      <c r="D23" s="13">
        <f>+LINKED!D23+'NON-LINKED'!D23</f>
        <v>52833.337699999996</v>
      </c>
      <c r="E23" s="13">
        <f>+LINKED!E23+'NON-LINKED'!E23</f>
        <v>52833.337699999996</v>
      </c>
      <c r="F23" s="13">
        <f>+LINKED!F23+'NON-LINKED'!F23</f>
        <v>0</v>
      </c>
      <c r="G23" s="13">
        <f>+LINKED!G23+'NON-LINKED'!G23</f>
        <v>333579.93974</v>
      </c>
      <c r="H23" s="13">
        <f>+LINKED!H23+'NON-LINKED'!H23</f>
        <v>333579.93974</v>
      </c>
      <c r="I23" s="13">
        <f>+LINKED!I23+'NON-LINKED'!I23</f>
        <v>0</v>
      </c>
      <c r="J23" s="13">
        <f>+LINKED!J23+'NON-LINKED'!J23</f>
        <v>0</v>
      </c>
      <c r="K23" s="13">
        <f>+LINKED!K23+'NON-LINKED'!K23</f>
        <v>0</v>
      </c>
      <c r="L23" s="13">
        <f>+LINKED!L23+'NON-LINKED'!L23</f>
        <v>0</v>
      </c>
      <c r="M23" s="13">
        <f>+LINKED!M23+'NON-LINKED'!M23</f>
        <v>0</v>
      </c>
      <c r="N23" s="13">
        <f>+LINKED!N23+'NON-LINKED'!N23</f>
        <v>147215.03999365671</v>
      </c>
      <c r="O23" s="13">
        <f>+LINKED!O23+'NON-LINKED'!O23</f>
        <v>-2020.0553054486061</v>
      </c>
      <c r="P23" s="13">
        <f>+LINKED!P23+'NON-LINKED'!P23</f>
        <v>0</v>
      </c>
      <c r="Q23" s="14">
        <f>+LINKED!Q23+'NON-LINKED'!Q23</f>
        <v>3173986.2241860521</v>
      </c>
    </row>
    <row r="24" spans="2:17" ht="30.75" customHeight="1" x14ac:dyDescent="0.3">
      <c r="B24" s="6" t="str">
        <f>LINKED!B24</f>
        <v>OLD MUTUAL LIFE ASSURANCE KENYA</v>
      </c>
      <c r="C24" s="13">
        <f>+LINKED!C24+'NON-LINKED'!C24</f>
        <v>405997.8646974162</v>
      </c>
      <c r="D24" s="13">
        <f>+LINKED!D24+'NON-LINKED'!D24</f>
        <v>2579.65101</v>
      </c>
      <c r="E24" s="13">
        <f>+LINKED!E24+'NON-LINKED'!E24</f>
        <v>2579.65101</v>
      </c>
      <c r="F24" s="13">
        <f>+LINKED!F24+'NON-LINKED'!F24</f>
        <v>0</v>
      </c>
      <c r="G24" s="13">
        <f>+LINKED!G24+'NON-LINKED'!G24</f>
        <v>27821.627509999998</v>
      </c>
      <c r="H24" s="13">
        <f>+LINKED!H24+'NON-LINKED'!H24</f>
        <v>27821.627509999998</v>
      </c>
      <c r="I24" s="13">
        <f>+LINKED!I24+'NON-LINKED'!I24</f>
        <v>0</v>
      </c>
      <c r="J24" s="13">
        <f>+LINKED!J24+'NON-LINKED'!J24</f>
        <v>0</v>
      </c>
      <c r="K24" s="13">
        <f>+LINKED!K24+'NON-LINKED'!K24</f>
        <v>0</v>
      </c>
      <c r="L24" s="13">
        <f>+LINKED!L24+'NON-LINKED'!L24</f>
        <v>0</v>
      </c>
      <c r="M24" s="13">
        <f>+LINKED!M24+'NON-LINKED'!M24</f>
        <v>0</v>
      </c>
      <c r="N24" s="13">
        <f>+LINKED!N24+'NON-LINKED'!N24</f>
        <v>25360.881487782179</v>
      </c>
      <c r="O24" s="13">
        <f>+LINKED!O24+'NON-LINKED'!O24</f>
        <v>0</v>
      </c>
      <c r="P24" s="13">
        <f>+LINKED!P24+'NON-LINKED'!P24</f>
        <v>0</v>
      </c>
      <c r="Q24" s="14">
        <f>+LINKED!Q24+'NON-LINKED'!Q24</f>
        <v>406116.76968519838</v>
      </c>
    </row>
    <row r="25" spans="2:17" ht="30.75" customHeight="1" x14ac:dyDescent="0.3">
      <c r="B25" s="6" t="str">
        <f>LINKED!B25</f>
        <v xml:space="preserve">PIONEER ASSURANCE COMPANY </v>
      </c>
      <c r="C25" s="13">
        <f>+LINKED!C25+'NON-LINKED'!C25</f>
        <v>346386.59876600001</v>
      </c>
      <c r="D25" s="13">
        <f>+LINKED!D25+'NON-LINKED'!D25</f>
        <v>36966.690999999999</v>
      </c>
      <c r="E25" s="13">
        <f>+LINKED!E25+'NON-LINKED'!E25</f>
        <v>36966.690999999999</v>
      </c>
      <c r="F25" s="13">
        <f>+LINKED!F25+'NON-LINKED'!F25</f>
        <v>0</v>
      </c>
      <c r="G25" s="13">
        <f>+LINKED!G25+'NON-LINKED'!G25</f>
        <v>28568.036</v>
      </c>
      <c r="H25" s="13">
        <f>+LINKED!H25+'NON-LINKED'!H25</f>
        <v>28568.036</v>
      </c>
      <c r="I25" s="13">
        <f>+LINKED!I25+'NON-LINKED'!I25</f>
        <v>0</v>
      </c>
      <c r="J25" s="13">
        <f>+LINKED!J25+'NON-LINKED'!J25</f>
        <v>0</v>
      </c>
      <c r="K25" s="13">
        <f>+LINKED!K25+'NON-LINKED'!K25</f>
        <v>0</v>
      </c>
      <c r="L25" s="13">
        <f>+LINKED!L25+'NON-LINKED'!L25</f>
        <v>0</v>
      </c>
      <c r="M25" s="13">
        <f>+LINKED!M25+'NON-LINKED'!M25</f>
        <v>0</v>
      </c>
      <c r="N25" s="13">
        <f>+LINKED!N25+'NON-LINKED'!N25</f>
        <v>0</v>
      </c>
      <c r="O25" s="13">
        <f>+LINKED!O25+'NON-LINKED'!O25</f>
        <v>0</v>
      </c>
      <c r="P25" s="13">
        <f>+LINKED!P25+'NON-LINKED'!P25</f>
        <v>0</v>
      </c>
      <c r="Q25" s="14">
        <f>+LINKED!Q25+'NON-LINKED'!Q25</f>
        <v>354785.25376600004</v>
      </c>
    </row>
    <row r="26" spans="2:17" ht="30.75" customHeight="1" x14ac:dyDescent="0.3">
      <c r="B26" s="6" t="str">
        <f>LINKED!B26</f>
        <v>PRUDENTIAL LIFE ASSURANCE</v>
      </c>
      <c r="C26" s="13">
        <f>+LINKED!C26+'NON-LINKED'!C26</f>
        <v>0</v>
      </c>
      <c r="D26" s="13">
        <f>+LINKED!D26+'NON-LINKED'!D26</f>
        <v>0</v>
      </c>
      <c r="E26" s="13">
        <f>+LINKED!E26+'NON-LINKED'!E26</f>
        <v>0</v>
      </c>
      <c r="F26" s="13">
        <f>+LINKED!F26+'NON-LINKED'!F26</f>
        <v>0</v>
      </c>
      <c r="G26" s="13">
        <f>+LINKED!G26+'NON-LINKED'!G26</f>
        <v>0</v>
      </c>
      <c r="H26" s="13">
        <f>+LINKED!H26+'NON-LINKED'!H26</f>
        <v>0</v>
      </c>
      <c r="I26" s="13">
        <f>+LINKED!I26+'NON-LINKED'!I26</f>
        <v>0</v>
      </c>
      <c r="J26" s="13">
        <f>+LINKED!J26+'NON-LINKED'!J26</f>
        <v>0</v>
      </c>
      <c r="K26" s="13">
        <f>+LINKED!K26+'NON-LINKED'!K26</f>
        <v>0</v>
      </c>
      <c r="L26" s="13">
        <f>+LINKED!L26+'NON-LINKED'!L26</f>
        <v>0</v>
      </c>
      <c r="M26" s="13">
        <f>+LINKED!M26+'NON-LINKED'!M26</f>
        <v>0</v>
      </c>
      <c r="N26" s="13">
        <f>+LINKED!N26+'NON-LINKED'!N26</f>
        <v>0</v>
      </c>
      <c r="O26" s="13">
        <f>+LINKED!O26+'NON-LINKED'!O26</f>
        <v>0</v>
      </c>
      <c r="P26" s="13">
        <f>+LINKED!P26+'NON-LINKED'!P26</f>
        <v>0</v>
      </c>
      <c r="Q26" s="14">
        <f>+LINKED!Q26+'NON-LINKED'!Q26</f>
        <v>0</v>
      </c>
    </row>
    <row r="27" spans="2:17" ht="30.75" customHeight="1" x14ac:dyDescent="0.3">
      <c r="B27" s="6" t="str">
        <f>LINKED!B27</f>
        <v>SANLAM LIFE ASSURANCE</v>
      </c>
      <c r="C27" s="13">
        <f>+LINKED!C27+'NON-LINKED'!C27</f>
        <v>1223094.28245176</v>
      </c>
      <c r="D27" s="13">
        <f>+LINKED!D27+'NON-LINKED'!D27</f>
        <v>40503.538789999999</v>
      </c>
      <c r="E27" s="13">
        <f>+LINKED!E27+'NON-LINKED'!E27</f>
        <v>40503.538789999999</v>
      </c>
      <c r="F27" s="13">
        <f>+LINKED!F27+'NON-LINKED'!F27</f>
        <v>0</v>
      </c>
      <c r="G27" s="13">
        <f>+LINKED!G27+'NON-LINKED'!G27</f>
        <v>248093.96473000001</v>
      </c>
      <c r="H27" s="13">
        <f>+LINKED!H27+'NON-LINKED'!H27</f>
        <v>248093.96473000001</v>
      </c>
      <c r="I27" s="13">
        <f>+LINKED!I27+'NON-LINKED'!I27</f>
        <v>0</v>
      </c>
      <c r="J27" s="13">
        <f>+LINKED!J27+'NON-LINKED'!J27</f>
        <v>0</v>
      </c>
      <c r="K27" s="13">
        <f>+LINKED!K27+'NON-LINKED'!K27</f>
        <v>0</v>
      </c>
      <c r="L27" s="13">
        <f>+LINKED!L27+'NON-LINKED'!L27</f>
        <v>0</v>
      </c>
      <c r="M27" s="13">
        <f>+LINKED!M27+'NON-LINKED'!M27</f>
        <v>25328.146397552249</v>
      </c>
      <c r="N27" s="13">
        <f>+LINKED!N27+'NON-LINKED'!N27</f>
        <v>179020.11924</v>
      </c>
      <c r="O27" s="13">
        <f>+LINKED!O27+'NON-LINKED'!O27</f>
        <v>0</v>
      </c>
      <c r="P27" s="13">
        <f>+LINKED!P27+'NON-LINKED'!P27</f>
        <v>0</v>
      </c>
      <c r="Q27" s="14">
        <f>+LINKED!Q27+'NON-LINKED'!Q27</f>
        <v>1169195.829354208</v>
      </c>
    </row>
    <row r="28" spans="2:17" ht="30.75" customHeight="1" x14ac:dyDescent="0.3">
      <c r="B28" s="6" t="str">
        <f>LINKED!B28</f>
        <v>STAR DISCOVER LIFE INSURANCE</v>
      </c>
      <c r="C28" s="13">
        <f>LINKED!C28+'NON-LINKED'!C28</f>
        <v>0</v>
      </c>
      <c r="D28" s="13">
        <f>LINKED!D28+'NON-LINKED'!D28</f>
        <v>0</v>
      </c>
      <c r="E28" s="13">
        <f>LINKED!E28+'NON-LINKED'!E28</f>
        <v>0</v>
      </c>
      <c r="F28" s="13">
        <f>LINKED!F28+'NON-LINKED'!F28</f>
        <v>0</v>
      </c>
      <c r="G28" s="13">
        <f>LINKED!G28+'NON-LINKED'!G28</f>
        <v>0</v>
      </c>
      <c r="H28" s="13">
        <f>LINKED!H28+'NON-LINKED'!H28</f>
        <v>0</v>
      </c>
      <c r="I28" s="13">
        <f>LINKED!I28+'NON-LINKED'!I28</f>
        <v>0</v>
      </c>
      <c r="J28" s="13">
        <f>LINKED!J28+'NON-LINKED'!J28</f>
        <v>0</v>
      </c>
      <c r="K28" s="13">
        <f>LINKED!K28+'NON-LINKED'!K28</f>
        <v>0</v>
      </c>
      <c r="L28" s="13">
        <f>LINKED!L28+'NON-LINKED'!L28</f>
        <v>0</v>
      </c>
      <c r="M28" s="13">
        <f>LINKED!M28+'NON-LINKED'!M28</f>
        <v>0</v>
      </c>
      <c r="N28" s="13">
        <f>LINKED!N28+'NON-LINKED'!N28</f>
        <v>0</v>
      </c>
      <c r="O28" s="13">
        <f>LINKED!O28+'NON-LINKED'!O28</f>
        <v>0</v>
      </c>
      <c r="P28" s="13">
        <f>LINKED!P28+'NON-LINKED'!P28</f>
        <v>0</v>
      </c>
      <c r="Q28" s="14">
        <f>LINKED!Q28+'NON-LINKED'!Q28</f>
        <v>0</v>
      </c>
    </row>
    <row r="29" spans="2:17" ht="30.75" customHeight="1" x14ac:dyDescent="0.3">
      <c r="B29" s="6" t="str">
        <f>LINKED!B29</f>
        <v>THE KENYAN ALLIANCE INSURANCE</v>
      </c>
      <c r="C29" s="13">
        <f>+LINKED!C29+'NON-LINKED'!C29</f>
        <v>100080.33</v>
      </c>
      <c r="D29" s="13">
        <f>+LINKED!D29+'NON-LINKED'!D29</f>
        <v>1396.7184999999999</v>
      </c>
      <c r="E29" s="13">
        <f>+LINKED!E29+'NON-LINKED'!E29</f>
        <v>1396.7184999999999</v>
      </c>
      <c r="F29" s="13">
        <f>+LINKED!F29+'NON-LINKED'!F29</f>
        <v>0</v>
      </c>
      <c r="G29" s="13">
        <f>+LINKED!G29+'NON-LINKED'!G29</f>
        <v>37076.576012534802</v>
      </c>
      <c r="H29" s="13">
        <f>+LINKED!H29+'NON-LINKED'!H29</f>
        <v>6268.6369999999997</v>
      </c>
      <c r="I29" s="13">
        <f>+LINKED!I29+'NON-LINKED'!I29</f>
        <v>0</v>
      </c>
      <c r="J29" s="13">
        <f>+LINKED!J29+'NON-LINKED'!J29</f>
        <v>30807.9390125348</v>
      </c>
      <c r="K29" s="13">
        <f>+LINKED!K29+'NON-LINKED'!K29</f>
        <v>0</v>
      </c>
      <c r="L29" s="13">
        <f>+LINKED!L29+'NON-LINKED'!L29</f>
        <v>0</v>
      </c>
      <c r="M29" s="13">
        <f>+LINKED!M29+'NON-LINKED'!M29</f>
        <v>193.820189973655</v>
      </c>
      <c r="N29" s="13">
        <f>+LINKED!N29+'NON-LINKED'!N29</f>
        <v>232.12570250843501</v>
      </c>
      <c r="O29" s="13">
        <f>+LINKED!O29+'NON-LINKED'!O29</f>
        <v>0</v>
      </c>
      <c r="P29" s="13">
        <f>+LINKED!P29+'NON-LINKED'!P29</f>
        <v>0</v>
      </c>
      <c r="Q29" s="14">
        <f>+LINKED!Q29+'NON-LINKED'!Q29</f>
        <v>64438.777999999998</v>
      </c>
    </row>
    <row r="30" spans="2:17" ht="30.75" customHeight="1" x14ac:dyDescent="0.3">
      <c r="B30" s="6" t="str">
        <f>LINKED!B30</f>
        <v>THE MONARCH INSURANCE</v>
      </c>
      <c r="C30" s="13">
        <f>+LINKED!C30+'NON-LINKED'!C30</f>
        <v>0</v>
      </c>
      <c r="D30" s="13">
        <f>+LINKED!D30+'NON-LINKED'!D30</f>
        <v>0</v>
      </c>
      <c r="E30" s="13">
        <f>+LINKED!E30+'NON-LINKED'!E30</f>
        <v>0</v>
      </c>
      <c r="F30" s="13">
        <f>+LINKED!F30+'NON-LINKED'!F30</f>
        <v>0</v>
      </c>
      <c r="G30" s="13">
        <f>+LINKED!G30+'NON-LINKED'!G30</f>
        <v>0</v>
      </c>
      <c r="H30" s="13">
        <f>+LINKED!H30+'NON-LINKED'!H30</f>
        <v>0</v>
      </c>
      <c r="I30" s="13">
        <f>+LINKED!I30+'NON-LINKED'!I30</f>
        <v>0</v>
      </c>
      <c r="J30" s="13">
        <f>+LINKED!J30+'NON-LINKED'!J30</f>
        <v>0</v>
      </c>
      <c r="K30" s="13">
        <f>+LINKED!K30+'NON-LINKED'!K30</f>
        <v>0</v>
      </c>
      <c r="L30" s="13">
        <f>+LINKED!L30+'NON-LINKED'!L30</f>
        <v>0</v>
      </c>
      <c r="M30" s="13">
        <f>+LINKED!M30+'NON-LINKED'!M30</f>
        <v>0</v>
      </c>
      <c r="N30" s="13">
        <f>+LINKED!N30+'NON-LINKED'!N30</f>
        <v>0</v>
      </c>
      <c r="O30" s="13">
        <f>+LINKED!O30+'NON-LINKED'!O30</f>
        <v>0</v>
      </c>
      <c r="P30" s="13">
        <f>+LINKED!P30+'NON-LINKED'!P30</f>
        <v>0</v>
      </c>
      <c r="Q30" s="14">
        <f>+LINKED!Q30+'NON-LINKED'!Q30</f>
        <v>0</v>
      </c>
    </row>
    <row r="31" spans="2:17" ht="30.75" customHeight="1" x14ac:dyDescent="0.3">
      <c r="B31" s="37" t="s">
        <v>90</v>
      </c>
      <c r="C31" s="38">
        <f t="shared" ref="C31:Q31" si="0">SUM(C6:C30)</f>
        <v>19074008.087474313</v>
      </c>
      <c r="D31" s="38">
        <f t="shared" si="0"/>
        <v>4106161.7491099988</v>
      </c>
      <c r="E31" s="38">
        <f t="shared" si="0"/>
        <v>4106086.7921099989</v>
      </c>
      <c r="F31" s="38">
        <f t="shared" si="0"/>
        <v>0</v>
      </c>
      <c r="G31" s="38">
        <f t="shared" si="0"/>
        <v>1935573.7658225351</v>
      </c>
      <c r="H31" s="38">
        <f t="shared" si="0"/>
        <v>1904697.3548100004</v>
      </c>
      <c r="I31" s="38">
        <f t="shared" si="0"/>
        <v>68.471999999999994</v>
      </c>
      <c r="J31" s="38">
        <f t="shared" si="0"/>
        <v>30807.9390125348</v>
      </c>
      <c r="K31" s="38">
        <f t="shared" si="0"/>
        <v>0</v>
      </c>
      <c r="L31" s="38">
        <f t="shared" si="0"/>
        <v>69979.576863851195</v>
      </c>
      <c r="M31" s="38">
        <f t="shared" si="0"/>
        <v>238218.17394492478</v>
      </c>
      <c r="N31" s="38">
        <f t="shared" si="0"/>
        <v>1167318.7950219067</v>
      </c>
      <c r="O31" s="38">
        <f t="shared" si="0"/>
        <v>11319.963832567129</v>
      </c>
      <c r="P31" s="38">
        <f t="shared" si="0"/>
        <v>83347.368000000002</v>
      </c>
      <c r="Q31" s="38">
        <f t="shared" si="0"/>
        <v>29348872.044327933</v>
      </c>
    </row>
    <row r="32" spans="2:17" ht="30.75" customHeight="1" x14ac:dyDescent="0.35">
      <c r="B32" s="261" t="s">
        <v>91</v>
      </c>
      <c r="C32" s="252"/>
      <c r="D32" s="252"/>
      <c r="E32" s="252"/>
      <c r="F32" s="252"/>
      <c r="G32" s="252"/>
      <c r="H32" s="252"/>
      <c r="I32" s="252"/>
      <c r="J32" s="252"/>
      <c r="K32" s="252"/>
      <c r="L32" s="252"/>
      <c r="M32" s="252"/>
      <c r="N32" s="252"/>
      <c r="O32" s="252"/>
      <c r="P32" s="252"/>
      <c r="Q32" s="253"/>
    </row>
    <row r="33" spans="2:17" ht="30.75" customHeight="1" x14ac:dyDescent="0.3">
      <c r="B33" s="6" t="str">
        <f>LINKED!B33</f>
        <v>CONTINENTAL REINSURANCE</v>
      </c>
      <c r="C33" s="13">
        <f>+LINKED!C33+'NON-LINKED'!C33</f>
        <v>0</v>
      </c>
      <c r="D33" s="13">
        <f>+LINKED!D33+'NON-LINKED'!D33</f>
        <v>0</v>
      </c>
      <c r="E33" s="13">
        <f>+LINKED!E33+'NON-LINKED'!E33</f>
        <v>0</v>
      </c>
      <c r="F33" s="13">
        <f>+LINKED!F33+'NON-LINKED'!F33</f>
        <v>0</v>
      </c>
      <c r="G33" s="13">
        <f>+LINKED!G33+'NON-LINKED'!G33</f>
        <v>0</v>
      </c>
      <c r="H33" s="13">
        <f>+LINKED!H33+'NON-LINKED'!H33</f>
        <v>0</v>
      </c>
      <c r="I33" s="13">
        <f>+LINKED!I33+'NON-LINKED'!I33</f>
        <v>0</v>
      </c>
      <c r="J33" s="13">
        <f>+LINKED!J33+'NON-LINKED'!J33</f>
        <v>0</v>
      </c>
      <c r="K33" s="13">
        <f>+LINKED!K33+'NON-LINKED'!K33</f>
        <v>0</v>
      </c>
      <c r="L33" s="13">
        <f>+LINKED!L33+'NON-LINKED'!L33</f>
        <v>0</v>
      </c>
      <c r="M33" s="13">
        <f>+LINKED!M33+'NON-LINKED'!M33</f>
        <v>0</v>
      </c>
      <c r="N33" s="13">
        <f>+LINKED!N33+'NON-LINKED'!N33</f>
        <v>0</v>
      </c>
      <c r="O33" s="13">
        <f>+LINKED!O33+'NON-LINKED'!O33</f>
        <v>0</v>
      </c>
      <c r="P33" s="13">
        <f>+LINKED!P33+'NON-LINKED'!P33</f>
        <v>0</v>
      </c>
      <c r="Q33" s="14">
        <f>+LINKED!Q33+'NON-LINKED'!Q33</f>
        <v>0</v>
      </c>
    </row>
    <row r="34" spans="2:17" ht="30.75" customHeight="1" x14ac:dyDescent="0.3">
      <c r="B34" s="6" t="str">
        <f>LINKED!B34</f>
        <v xml:space="preserve">EAST AFRICA REINSURANCE </v>
      </c>
      <c r="C34" s="13">
        <f>+LINKED!C34+'NON-LINKED'!C34</f>
        <v>0</v>
      </c>
      <c r="D34" s="13">
        <f>+LINKED!D34+'NON-LINKED'!D34</f>
        <v>0</v>
      </c>
      <c r="E34" s="13">
        <f>+LINKED!E34+'NON-LINKED'!E34</f>
        <v>0</v>
      </c>
      <c r="F34" s="13">
        <f>+LINKED!F34+'NON-LINKED'!F34</f>
        <v>0</v>
      </c>
      <c r="G34" s="13">
        <f>+LINKED!G34+'NON-LINKED'!G34</f>
        <v>0</v>
      </c>
      <c r="H34" s="13">
        <f>+LINKED!H34+'NON-LINKED'!H34</f>
        <v>0</v>
      </c>
      <c r="I34" s="13">
        <f>+LINKED!I34+'NON-LINKED'!I34</f>
        <v>0</v>
      </c>
      <c r="J34" s="13">
        <f>+LINKED!J34+'NON-LINKED'!J34</f>
        <v>0</v>
      </c>
      <c r="K34" s="13">
        <f>+LINKED!K34+'NON-LINKED'!K34</f>
        <v>0</v>
      </c>
      <c r="L34" s="13">
        <f>+LINKED!L34+'NON-LINKED'!L34</f>
        <v>0</v>
      </c>
      <c r="M34" s="13">
        <f>+LINKED!M34+'NON-LINKED'!M34</f>
        <v>0</v>
      </c>
      <c r="N34" s="13">
        <f>+LINKED!N34+'NON-LINKED'!N34</f>
        <v>0</v>
      </c>
      <c r="O34" s="13">
        <f>+LINKED!O34+'NON-LINKED'!O34</f>
        <v>0</v>
      </c>
      <c r="P34" s="13">
        <f>+LINKED!P34+'NON-LINKED'!P34</f>
        <v>0</v>
      </c>
      <c r="Q34" s="14">
        <f>+LINKED!Q34+'NON-LINKED'!Q34</f>
        <v>0</v>
      </c>
    </row>
    <row r="35" spans="2:17" ht="30.75" customHeight="1" x14ac:dyDescent="0.3">
      <c r="B35" s="6" t="str">
        <f>LINKED!B35</f>
        <v>KENYA REINSURANCE CORPORATION</v>
      </c>
      <c r="C35" s="13">
        <f>+LINKED!C35+'NON-LINKED'!C35</f>
        <v>0</v>
      </c>
      <c r="D35" s="13">
        <f>+LINKED!D35+'NON-LINKED'!D35</f>
        <v>0</v>
      </c>
      <c r="E35" s="13">
        <f>+LINKED!E35+'NON-LINKED'!E35</f>
        <v>0</v>
      </c>
      <c r="F35" s="13">
        <f>+LINKED!F35+'NON-LINKED'!F35</f>
        <v>0</v>
      </c>
      <c r="G35" s="13">
        <f>+LINKED!G35+'NON-LINKED'!G35</f>
        <v>0</v>
      </c>
      <c r="H35" s="13">
        <f>+LINKED!H35+'NON-LINKED'!H35</f>
        <v>0</v>
      </c>
      <c r="I35" s="13">
        <f>+LINKED!I35+'NON-LINKED'!I35</f>
        <v>0</v>
      </c>
      <c r="J35" s="13">
        <f>+LINKED!J35+'NON-LINKED'!J35</f>
        <v>0</v>
      </c>
      <c r="K35" s="13">
        <f>+LINKED!K35+'NON-LINKED'!K35</f>
        <v>0</v>
      </c>
      <c r="L35" s="13">
        <f>+LINKED!L35+'NON-LINKED'!L35</f>
        <v>0</v>
      </c>
      <c r="M35" s="13">
        <f>+LINKED!M35+'NON-LINKED'!M35</f>
        <v>0</v>
      </c>
      <c r="N35" s="13">
        <f>+LINKED!N35+'NON-LINKED'!N35</f>
        <v>0</v>
      </c>
      <c r="O35" s="13">
        <f>+LINKED!O35+'NON-LINKED'!O35</f>
        <v>0</v>
      </c>
      <c r="P35" s="13">
        <f>+LINKED!P35+'NON-LINKED'!P35</f>
        <v>0</v>
      </c>
      <c r="Q35" s="14">
        <f>+LINKED!Q35+'NON-LINKED'!Q35</f>
        <v>0</v>
      </c>
    </row>
    <row r="36" spans="2:17" ht="30.75" customHeight="1" x14ac:dyDescent="0.3">
      <c r="B36" s="37" t="s">
        <v>90</v>
      </c>
      <c r="C36" s="38">
        <f t="shared" ref="C36:Q36" si="1">SUM(C33:C35)</f>
        <v>0</v>
      </c>
      <c r="D36" s="38">
        <f t="shared" si="1"/>
        <v>0</v>
      </c>
      <c r="E36" s="38">
        <f t="shared" si="1"/>
        <v>0</v>
      </c>
      <c r="F36" s="38">
        <f t="shared" si="1"/>
        <v>0</v>
      </c>
      <c r="G36" s="38">
        <f t="shared" si="1"/>
        <v>0</v>
      </c>
      <c r="H36" s="38">
        <f t="shared" si="1"/>
        <v>0</v>
      </c>
      <c r="I36" s="38">
        <f t="shared" si="1"/>
        <v>0</v>
      </c>
      <c r="J36" s="38">
        <f t="shared" si="1"/>
        <v>0</v>
      </c>
      <c r="K36" s="38">
        <f t="shared" si="1"/>
        <v>0</v>
      </c>
      <c r="L36" s="38">
        <f t="shared" si="1"/>
        <v>0</v>
      </c>
      <c r="M36" s="38">
        <f t="shared" si="1"/>
        <v>0</v>
      </c>
      <c r="N36" s="38">
        <f t="shared" si="1"/>
        <v>0</v>
      </c>
      <c r="O36" s="38">
        <f t="shared" si="1"/>
        <v>0</v>
      </c>
      <c r="P36" s="38">
        <f t="shared" si="1"/>
        <v>0</v>
      </c>
      <c r="Q36" s="38">
        <f t="shared" si="1"/>
        <v>0</v>
      </c>
    </row>
    <row r="37" spans="2:17" ht="14.5" customHeight="1" x14ac:dyDescent="0.35">
      <c r="B37" s="265" t="s">
        <v>98</v>
      </c>
      <c r="C37" s="255"/>
      <c r="D37" s="255"/>
      <c r="E37" s="255"/>
      <c r="F37" s="255"/>
      <c r="G37" s="255"/>
      <c r="H37" s="255"/>
      <c r="I37" s="255"/>
      <c r="J37" s="255"/>
      <c r="K37" s="255"/>
      <c r="L37" s="255"/>
      <c r="M37" s="255"/>
      <c r="N37" s="255"/>
      <c r="O37" s="255"/>
      <c r="P37" s="255"/>
      <c r="Q37" s="255"/>
    </row>
  </sheetData>
  <sheetProtection algorithmName="SHA-512" hashValue="MSql8AT9zNnuUrBU1gs8SRPNnjjoPFJELxLYPNus/VzN//likj6epF69b4TjeVP9XXcc2kZ4xtfTMzukeT4AIA==" saltValue="SfUzBxG3sszVdZGTED8UjA==" spinCount="100000" sheet="1" objects="1" scenarios="1"/>
  <mergeCells count="4">
    <mergeCell ref="B32:Q32"/>
    <mergeCell ref="B37:Q37"/>
    <mergeCell ref="B3:Q3"/>
    <mergeCell ref="B5:Q5"/>
  </mergeCells>
  <pageMargins left="0.7" right="0.7" top="0.75" bottom="0.75" header="0.3" footer="0.3"/>
  <pageSetup paperSize="9" scale="37"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36">
    <tabColor rgb="FF92D050"/>
  </sheetPr>
  <dimension ref="B3:Q37"/>
  <sheetViews>
    <sheetView topLeftCell="A26" zoomScale="70" workbookViewId="0">
      <selection activeCell="B35" sqref="B35"/>
    </sheetView>
  </sheetViews>
  <sheetFormatPr defaultColWidth="14.36328125" defaultRowHeight="14" x14ac:dyDescent="0.3"/>
  <cols>
    <col min="1" max="1" width="9.6328125" style="81" customWidth="1"/>
    <col min="2" max="2" width="43.54296875" style="81" customWidth="1"/>
    <col min="3" max="16" width="17.90625" style="81" customWidth="1"/>
    <col min="17" max="17" width="17.90625" style="82" customWidth="1"/>
    <col min="18" max="256" width="14.36328125" style="81" customWidth="1"/>
    <col min="257" max="257" width="9.6328125" style="81" customWidth="1"/>
    <col min="258" max="258" width="43.54296875" style="81" customWidth="1"/>
    <col min="259" max="273" width="17.90625" style="81" customWidth="1"/>
    <col min="274" max="512" width="14.36328125" style="81" customWidth="1"/>
    <col min="513" max="513" width="9.6328125" style="81" customWidth="1"/>
    <col min="514" max="514" width="43.54296875" style="81" customWidth="1"/>
    <col min="515" max="529" width="17.90625" style="81" customWidth="1"/>
    <col min="530" max="768" width="14.36328125" style="81" customWidth="1"/>
    <col min="769" max="769" width="9.6328125" style="81" customWidth="1"/>
    <col min="770" max="770" width="43.54296875" style="81" customWidth="1"/>
    <col min="771" max="785" width="17.90625" style="81" customWidth="1"/>
    <col min="786" max="1024" width="14.36328125" style="81" customWidth="1"/>
    <col min="1025" max="1025" width="9.6328125" style="81" customWidth="1"/>
    <col min="1026" max="1026" width="43.54296875" style="81" customWidth="1"/>
    <col min="1027" max="1041" width="17.90625" style="81" customWidth="1"/>
    <col min="1042" max="1280" width="14.36328125" style="81" customWidth="1"/>
    <col min="1281" max="1281" width="9.6328125" style="81" customWidth="1"/>
    <col min="1282" max="1282" width="43.54296875" style="81" customWidth="1"/>
    <col min="1283" max="1297" width="17.90625" style="81" customWidth="1"/>
    <col min="1298" max="1536" width="14.36328125" style="81" customWidth="1"/>
    <col min="1537" max="1537" width="9.6328125" style="81" customWidth="1"/>
    <col min="1538" max="1538" width="43.54296875" style="81" customWidth="1"/>
    <col min="1539" max="1553" width="17.90625" style="81" customWidth="1"/>
    <col min="1554" max="1792" width="14.36328125" style="81" customWidth="1"/>
    <col min="1793" max="1793" width="9.6328125" style="81" customWidth="1"/>
    <col min="1794" max="1794" width="43.54296875" style="81" customWidth="1"/>
    <col min="1795" max="1809" width="17.90625" style="81" customWidth="1"/>
    <col min="1810" max="2048" width="14.36328125" style="81" customWidth="1"/>
    <col min="2049" max="2049" width="9.6328125" style="81" customWidth="1"/>
    <col min="2050" max="2050" width="43.54296875" style="81" customWidth="1"/>
    <col min="2051" max="2065" width="17.90625" style="81" customWidth="1"/>
    <col min="2066" max="2304" width="14.36328125" style="81" customWidth="1"/>
    <col min="2305" max="2305" width="9.6328125" style="81" customWidth="1"/>
    <col min="2306" max="2306" width="43.54296875" style="81" customWidth="1"/>
    <col min="2307" max="2321" width="17.90625" style="81" customWidth="1"/>
    <col min="2322" max="2560" width="14.36328125" style="81" customWidth="1"/>
    <col min="2561" max="2561" width="9.6328125" style="81" customWidth="1"/>
    <col min="2562" max="2562" width="43.54296875" style="81" customWidth="1"/>
    <col min="2563" max="2577" width="17.90625" style="81" customWidth="1"/>
    <col min="2578" max="2816" width="14.36328125" style="81" customWidth="1"/>
    <col min="2817" max="2817" width="9.6328125" style="81" customWidth="1"/>
    <col min="2818" max="2818" width="43.54296875" style="81" customWidth="1"/>
    <col min="2819" max="2833" width="17.90625" style="81" customWidth="1"/>
    <col min="2834" max="3072" width="14.36328125" style="81" customWidth="1"/>
    <col min="3073" max="3073" width="9.6328125" style="81" customWidth="1"/>
    <col min="3074" max="3074" width="43.54296875" style="81" customWidth="1"/>
    <col min="3075" max="3089" width="17.90625" style="81" customWidth="1"/>
    <col min="3090" max="3328" width="14.36328125" style="81" customWidth="1"/>
    <col min="3329" max="3329" width="9.6328125" style="81" customWidth="1"/>
    <col min="3330" max="3330" width="43.54296875" style="81" customWidth="1"/>
    <col min="3331" max="3345" width="17.90625" style="81" customWidth="1"/>
    <col min="3346" max="3584" width="14.36328125" style="81" customWidth="1"/>
    <col min="3585" max="3585" width="9.6328125" style="81" customWidth="1"/>
    <col min="3586" max="3586" width="43.54296875" style="81" customWidth="1"/>
    <col min="3587" max="3601" width="17.90625" style="81" customWidth="1"/>
    <col min="3602" max="3840" width="14.36328125" style="81" customWidth="1"/>
    <col min="3841" max="3841" width="9.6328125" style="81" customWidth="1"/>
    <col min="3842" max="3842" width="43.54296875" style="81" customWidth="1"/>
    <col min="3843" max="3857" width="17.90625" style="81" customWidth="1"/>
    <col min="3858" max="4096" width="14.36328125" style="81" customWidth="1"/>
    <col min="4097" max="4097" width="9.6328125" style="81" customWidth="1"/>
    <col min="4098" max="4098" width="43.54296875" style="81" customWidth="1"/>
    <col min="4099" max="4113" width="17.90625" style="81" customWidth="1"/>
    <col min="4114" max="4352" width="14.36328125" style="81" customWidth="1"/>
    <col min="4353" max="4353" width="9.6328125" style="81" customWidth="1"/>
    <col min="4354" max="4354" width="43.54296875" style="81" customWidth="1"/>
    <col min="4355" max="4369" width="17.90625" style="81" customWidth="1"/>
    <col min="4370" max="4608" width="14.36328125" style="81" customWidth="1"/>
    <col min="4609" max="4609" width="9.6328125" style="81" customWidth="1"/>
    <col min="4610" max="4610" width="43.54296875" style="81" customWidth="1"/>
    <col min="4611" max="4625" width="17.90625" style="81" customWidth="1"/>
    <col min="4626" max="4864" width="14.36328125" style="81" customWidth="1"/>
    <col min="4865" max="4865" width="9.6328125" style="81" customWidth="1"/>
    <col min="4866" max="4866" width="43.54296875" style="81" customWidth="1"/>
    <col min="4867" max="4881" width="17.90625" style="81" customWidth="1"/>
    <col min="4882" max="5120" width="14.36328125" style="81" customWidth="1"/>
    <col min="5121" max="5121" width="9.6328125" style="81" customWidth="1"/>
    <col min="5122" max="5122" width="43.54296875" style="81" customWidth="1"/>
    <col min="5123" max="5137" width="17.90625" style="81" customWidth="1"/>
    <col min="5138" max="5376" width="14.36328125" style="81" customWidth="1"/>
    <col min="5377" max="5377" width="9.6328125" style="81" customWidth="1"/>
    <col min="5378" max="5378" width="43.54296875" style="81" customWidth="1"/>
    <col min="5379" max="5393" width="17.90625" style="81" customWidth="1"/>
    <col min="5394" max="5632" width="14.36328125" style="81" customWidth="1"/>
    <col min="5633" max="5633" width="9.6328125" style="81" customWidth="1"/>
    <col min="5634" max="5634" width="43.54296875" style="81" customWidth="1"/>
    <col min="5635" max="5649" width="17.90625" style="81" customWidth="1"/>
    <col min="5650" max="5888" width="14.36328125" style="81" customWidth="1"/>
    <col min="5889" max="5889" width="9.6328125" style="81" customWidth="1"/>
    <col min="5890" max="5890" width="43.54296875" style="81" customWidth="1"/>
    <col min="5891" max="5905" width="17.90625" style="81" customWidth="1"/>
    <col min="5906" max="6144" width="14.36328125" style="81" customWidth="1"/>
    <col min="6145" max="6145" width="9.6328125" style="81" customWidth="1"/>
    <col min="6146" max="6146" width="43.54296875" style="81" customWidth="1"/>
    <col min="6147" max="6161" width="17.90625" style="81" customWidth="1"/>
    <col min="6162" max="6400" width="14.36328125" style="81" customWidth="1"/>
    <col min="6401" max="6401" width="9.6328125" style="81" customWidth="1"/>
    <col min="6402" max="6402" width="43.54296875" style="81" customWidth="1"/>
    <col min="6403" max="6417" width="17.90625" style="81" customWidth="1"/>
    <col min="6418" max="6656" width="14.36328125" style="81" customWidth="1"/>
    <col min="6657" max="6657" width="9.6328125" style="81" customWidth="1"/>
    <col min="6658" max="6658" width="43.54296875" style="81" customWidth="1"/>
    <col min="6659" max="6673" width="17.90625" style="81" customWidth="1"/>
    <col min="6674" max="6912" width="14.36328125" style="81" customWidth="1"/>
    <col min="6913" max="6913" width="9.6328125" style="81" customWidth="1"/>
    <col min="6914" max="6914" width="43.54296875" style="81" customWidth="1"/>
    <col min="6915" max="6929" width="17.90625" style="81" customWidth="1"/>
    <col min="6930" max="7168" width="14.36328125" style="81" customWidth="1"/>
    <col min="7169" max="7169" width="9.6328125" style="81" customWidth="1"/>
    <col min="7170" max="7170" width="43.54296875" style="81" customWidth="1"/>
    <col min="7171" max="7185" width="17.90625" style="81" customWidth="1"/>
    <col min="7186" max="7424" width="14.36328125" style="81" customWidth="1"/>
    <col min="7425" max="7425" width="9.6328125" style="81" customWidth="1"/>
    <col min="7426" max="7426" width="43.54296875" style="81" customWidth="1"/>
    <col min="7427" max="7441" width="17.90625" style="81" customWidth="1"/>
    <col min="7442" max="7680" width="14.36328125" style="81" customWidth="1"/>
    <col min="7681" max="7681" width="9.6328125" style="81" customWidth="1"/>
    <col min="7682" max="7682" width="43.54296875" style="81" customWidth="1"/>
    <col min="7683" max="7697" width="17.90625" style="81" customWidth="1"/>
    <col min="7698" max="7936" width="14.36328125" style="81" customWidth="1"/>
    <col min="7937" max="7937" width="9.6328125" style="81" customWidth="1"/>
    <col min="7938" max="7938" width="43.54296875" style="81" customWidth="1"/>
    <col min="7939" max="7953" width="17.90625" style="81" customWidth="1"/>
    <col min="7954" max="8192" width="14.36328125" style="81" customWidth="1"/>
    <col min="8193" max="8193" width="9.6328125" style="81" customWidth="1"/>
    <col min="8194" max="8194" width="43.54296875" style="81" customWidth="1"/>
    <col min="8195" max="8209" width="17.90625" style="81" customWidth="1"/>
    <col min="8210" max="8448" width="14.36328125" style="81" customWidth="1"/>
    <col min="8449" max="8449" width="9.6328125" style="81" customWidth="1"/>
    <col min="8450" max="8450" width="43.54296875" style="81" customWidth="1"/>
    <col min="8451" max="8465" width="17.90625" style="81" customWidth="1"/>
    <col min="8466" max="8704" width="14.36328125" style="81" customWidth="1"/>
    <col min="8705" max="8705" width="9.6328125" style="81" customWidth="1"/>
    <col min="8706" max="8706" width="43.54296875" style="81" customWidth="1"/>
    <col min="8707" max="8721" width="17.90625" style="81" customWidth="1"/>
    <col min="8722" max="8960" width="14.36328125" style="81" customWidth="1"/>
    <col min="8961" max="8961" width="9.6328125" style="81" customWidth="1"/>
    <col min="8962" max="8962" width="43.54296875" style="81" customWidth="1"/>
    <col min="8963" max="8977" width="17.90625" style="81" customWidth="1"/>
    <col min="8978" max="9216" width="14.36328125" style="81" customWidth="1"/>
    <col min="9217" max="9217" width="9.6328125" style="81" customWidth="1"/>
    <col min="9218" max="9218" width="43.54296875" style="81" customWidth="1"/>
    <col min="9219" max="9233" width="17.90625" style="81" customWidth="1"/>
    <col min="9234" max="9472" width="14.36328125" style="81" customWidth="1"/>
    <col min="9473" max="9473" width="9.6328125" style="81" customWidth="1"/>
    <col min="9474" max="9474" width="43.54296875" style="81" customWidth="1"/>
    <col min="9475" max="9489" width="17.90625" style="81" customWidth="1"/>
    <col min="9490" max="9728" width="14.36328125" style="81" customWidth="1"/>
    <col min="9729" max="9729" width="9.6328125" style="81" customWidth="1"/>
    <col min="9730" max="9730" width="43.54296875" style="81" customWidth="1"/>
    <col min="9731" max="9745" width="17.90625" style="81" customWidth="1"/>
    <col min="9746" max="9984" width="14.36328125" style="81" customWidth="1"/>
    <col min="9985" max="9985" width="9.6328125" style="81" customWidth="1"/>
    <col min="9986" max="9986" width="43.54296875" style="81" customWidth="1"/>
    <col min="9987" max="10001" width="17.90625" style="81" customWidth="1"/>
    <col min="10002" max="10240" width="14.36328125" style="81" customWidth="1"/>
    <col min="10241" max="10241" width="9.6328125" style="81" customWidth="1"/>
    <col min="10242" max="10242" width="43.54296875" style="81" customWidth="1"/>
    <col min="10243" max="10257" width="17.90625" style="81" customWidth="1"/>
    <col min="10258" max="10496" width="14.36328125" style="81" customWidth="1"/>
    <col min="10497" max="10497" width="9.6328125" style="81" customWidth="1"/>
    <col min="10498" max="10498" width="43.54296875" style="81" customWidth="1"/>
    <col min="10499" max="10513" width="17.90625" style="81" customWidth="1"/>
    <col min="10514" max="10752" width="14.36328125" style="81" customWidth="1"/>
    <col min="10753" max="10753" width="9.6328125" style="81" customWidth="1"/>
    <col min="10754" max="10754" width="43.54296875" style="81" customWidth="1"/>
    <col min="10755" max="10769" width="17.90625" style="81" customWidth="1"/>
    <col min="10770" max="11008" width="14.36328125" style="81" customWidth="1"/>
    <col min="11009" max="11009" width="9.6328125" style="81" customWidth="1"/>
    <col min="11010" max="11010" width="43.54296875" style="81" customWidth="1"/>
    <col min="11011" max="11025" width="17.90625" style="81" customWidth="1"/>
    <col min="11026" max="11264" width="14.36328125" style="81" customWidth="1"/>
    <col min="11265" max="11265" width="9.6328125" style="81" customWidth="1"/>
    <col min="11266" max="11266" width="43.54296875" style="81" customWidth="1"/>
    <col min="11267" max="11281" width="17.90625" style="81" customWidth="1"/>
    <col min="11282" max="11520" width="14.36328125" style="81" customWidth="1"/>
    <col min="11521" max="11521" width="9.6328125" style="81" customWidth="1"/>
    <col min="11522" max="11522" width="43.54296875" style="81" customWidth="1"/>
    <col min="11523" max="11537" width="17.90625" style="81" customWidth="1"/>
    <col min="11538" max="11776" width="14.36328125" style="81" customWidth="1"/>
    <col min="11777" max="11777" width="9.6328125" style="81" customWidth="1"/>
    <col min="11778" max="11778" width="43.54296875" style="81" customWidth="1"/>
    <col min="11779" max="11793" width="17.90625" style="81" customWidth="1"/>
    <col min="11794" max="12032" width="14.36328125" style="81" customWidth="1"/>
    <col min="12033" max="12033" width="9.6328125" style="81" customWidth="1"/>
    <col min="12034" max="12034" width="43.54296875" style="81" customWidth="1"/>
    <col min="12035" max="12049" width="17.90625" style="81" customWidth="1"/>
    <col min="12050" max="12288" width="14.36328125" style="81" customWidth="1"/>
    <col min="12289" max="12289" width="9.6328125" style="81" customWidth="1"/>
    <col min="12290" max="12290" width="43.54296875" style="81" customWidth="1"/>
    <col min="12291" max="12305" width="17.90625" style="81" customWidth="1"/>
    <col min="12306" max="12544" width="14.36328125" style="81" customWidth="1"/>
    <col min="12545" max="12545" width="9.6328125" style="81" customWidth="1"/>
    <col min="12546" max="12546" width="43.54296875" style="81" customWidth="1"/>
    <col min="12547" max="12561" width="17.90625" style="81" customWidth="1"/>
    <col min="12562" max="12800" width="14.36328125" style="81" customWidth="1"/>
    <col min="12801" max="12801" width="9.6328125" style="81" customWidth="1"/>
    <col min="12802" max="12802" width="43.54296875" style="81" customWidth="1"/>
    <col min="12803" max="12817" width="17.90625" style="81" customWidth="1"/>
    <col min="12818" max="13056" width="14.36328125" style="81" customWidth="1"/>
    <col min="13057" max="13057" width="9.6328125" style="81" customWidth="1"/>
    <col min="13058" max="13058" width="43.54296875" style="81" customWidth="1"/>
    <col min="13059" max="13073" width="17.90625" style="81" customWidth="1"/>
    <col min="13074" max="13312" width="14.36328125" style="81" customWidth="1"/>
    <col min="13313" max="13313" width="9.6328125" style="81" customWidth="1"/>
    <col min="13314" max="13314" width="43.54296875" style="81" customWidth="1"/>
    <col min="13315" max="13329" width="17.90625" style="81" customWidth="1"/>
    <col min="13330" max="13568" width="14.36328125" style="81" customWidth="1"/>
    <col min="13569" max="13569" width="9.6328125" style="81" customWidth="1"/>
    <col min="13570" max="13570" width="43.54296875" style="81" customWidth="1"/>
    <col min="13571" max="13585" width="17.90625" style="81" customWidth="1"/>
    <col min="13586" max="13824" width="14.36328125" style="81" customWidth="1"/>
    <col min="13825" max="13825" width="9.6328125" style="81" customWidth="1"/>
    <col min="13826" max="13826" width="43.54296875" style="81" customWidth="1"/>
    <col min="13827" max="13841" width="17.90625" style="81" customWidth="1"/>
    <col min="13842" max="14080" width="14.36328125" style="81" customWidth="1"/>
    <col min="14081" max="14081" width="9.6328125" style="81" customWidth="1"/>
    <col min="14082" max="14082" width="43.54296875" style="81" customWidth="1"/>
    <col min="14083" max="14097" width="17.90625" style="81" customWidth="1"/>
    <col min="14098" max="14336" width="14.36328125" style="81" customWidth="1"/>
    <col min="14337" max="14337" width="9.6328125" style="81" customWidth="1"/>
    <col min="14338" max="14338" width="43.54296875" style="81" customWidth="1"/>
    <col min="14339" max="14353" width="17.90625" style="81" customWidth="1"/>
    <col min="14354" max="14592" width="14.36328125" style="81" customWidth="1"/>
    <col min="14593" max="14593" width="9.6328125" style="81" customWidth="1"/>
    <col min="14594" max="14594" width="43.54296875" style="81" customWidth="1"/>
    <col min="14595" max="14609" width="17.90625" style="81" customWidth="1"/>
    <col min="14610" max="14848" width="14.36328125" style="81" customWidth="1"/>
    <col min="14849" max="14849" width="9.6328125" style="81" customWidth="1"/>
    <col min="14850" max="14850" width="43.54296875" style="81" customWidth="1"/>
    <col min="14851" max="14865" width="17.90625" style="81" customWidth="1"/>
    <col min="14866" max="15104" width="14.36328125" style="81" customWidth="1"/>
    <col min="15105" max="15105" width="9.6328125" style="81" customWidth="1"/>
    <col min="15106" max="15106" width="43.54296875" style="81" customWidth="1"/>
    <col min="15107" max="15121" width="17.90625" style="81" customWidth="1"/>
    <col min="15122" max="15360" width="14.36328125" style="81" customWidth="1"/>
    <col min="15361" max="15361" width="9.6328125" style="81" customWidth="1"/>
    <col min="15362" max="15362" width="43.54296875" style="81" customWidth="1"/>
    <col min="15363" max="15377" width="17.90625" style="81" customWidth="1"/>
    <col min="15378" max="15616" width="14.36328125" style="81" customWidth="1"/>
    <col min="15617" max="15617" width="9.6328125" style="81" customWidth="1"/>
    <col min="15618" max="15618" width="43.54296875" style="81" customWidth="1"/>
    <col min="15619" max="15633" width="17.90625" style="81" customWidth="1"/>
    <col min="15634" max="15872" width="14.36328125" style="81" customWidth="1"/>
    <col min="15873" max="15873" width="9.6328125" style="81" customWidth="1"/>
    <col min="15874" max="15874" width="43.54296875" style="81" customWidth="1"/>
    <col min="15875" max="15889" width="17.90625" style="81" customWidth="1"/>
    <col min="15890" max="16128" width="14.36328125" style="81" customWidth="1"/>
    <col min="16129" max="16129" width="9.6328125" style="81" customWidth="1"/>
    <col min="16130" max="16130" width="43.54296875" style="81" customWidth="1"/>
    <col min="16131" max="16145" width="17.90625" style="81" customWidth="1"/>
    <col min="16146" max="16384" width="14.36328125" style="81" customWidth="1"/>
  </cols>
  <sheetData>
    <row r="3" spans="2:17" ht="18.75" customHeight="1" x14ac:dyDescent="0.35">
      <c r="B3" s="270" t="str">
        <f>_xlfn.CONCAT("LINKED INVESTMENTS"," ",Details!F18)</f>
        <v>LINKED INVESTMENTS 31.03.2025</v>
      </c>
      <c r="C3" s="252"/>
      <c r="D3" s="252"/>
      <c r="E3" s="252"/>
      <c r="F3" s="252"/>
      <c r="G3" s="252"/>
      <c r="H3" s="252"/>
      <c r="I3" s="252"/>
      <c r="J3" s="252"/>
      <c r="K3" s="252"/>
      <c r="L3" s="252"/>
      <c r="M3" s="252"/>
      <c r="N3" s="252"/>
      <c r="O3" s="252"/>
      <c r="P3" s="252"/>
      <c r="Q3" s="253"/>
    </row>
    <row r="4" spans="2:17" s="87" customFormat="1" ht="15.75" customHeight="1" x14ac:dyDescent="0.3">
      <c r="B4" s="83" t="s">
        <v>36</v>
      </c>
      <c r="C4" s="84" t="s">
        <v>140</v>
      </c>
      <c r="D4" s="84" t="s">
        <v>141</v>
      </c>
      <c r="E4" s="84" t="s">
        <v>142</v>
      </c>
      <c r="F4" s="84" t="s">
        <v>143</v>
      </c>
      <c r="G4" s="84" t="s">
        <v>144</v>
      </c>
      <c r="H4" s="84" t="s">
        <v>145</v>
      </c>
      <c r="I4" s="85" t="s">
        <v>146</v>
      </c>
      <c r="J4" s="84" t="s">
        <v>147</v>
      </c>
      <c r="K4" s="86" t="s">
        <v>148</v>
      </c>
      <c r="L4" s="86" t="s">
        <v>149</v>
      </c>
      <c r="M4" s="86" t="s">
        <v>150</v>
      </c>
      <c r="N4" s="86" t="s">
        <v>151</v>
      </c>
      <c r="O4" s="86" t="s">
        <v>152</v>
      </c>
      <c r="P4" s="86" t="s">
        <v>153</v>
      </c>
      <c r="Q4" s="86" t="s">
        <v>154</v>
      </c>
    </row>
    <row r="5" spans="2:17" ht="15" customHeight="1" x14ac:dyDescent="0.35">
      <c r="B5" s="268" t="s">
        <v>53</v>
      </c>
      <c r="C5" s="252"/>
      <c r="D5" s="252"/>
      <c r="E5" s="252"/>
      <c r="F5" s="252"/>
      <c r="G5" s="252"/>
      <c r="H5" s="252"/>
      <c r="I5" s="252"/>
      <c r="J5" s="252"/>
      <c r="K5" s="252"/>
      <c r="L5" s="252"/>
      <c r="M5" s="252"/>
      <c r="N5" s="252"/>
      <c r="O5" s="252"/>
      <c r="P5" s="252"/>
      <c r="Q5" s="253"/>
    </row>
    <row r="6" spans="2:17" ht="18.75" customHeight="1" x14ac:dyDescent="0.3">
      <c r="B6" s="6" t="s">
        <v>99</v>
      </c>
      <c r="C6" s="89">
        <v>0</v>
      </c>
      <c r="D6" s="89">
        <v>0</v>
      </c>
      <c r="E6" s="89">
        <v>0</v>
      </c>
      <c r="F6" s="89">
        <v>0</v>
      </c>
      <c r="G6" s="89">
        <v>0</v>
      </c>
      <c r="H6" s="89">
        <v>0</v>
      </c>
      <c r="I6" s="89">
        <v>0</v>
      </c>
      <c r="J6" s="89">
        <v>0</v>
      </c>
      <c r="K6" s="89">
        <v>0</v>
      </c>
      <c r="L6" s="89">
        <v>0</v>
      </c>
      <c r="M6" s="89">
        <v>0</v>
      </c>
      <c r="N6" s="89">
        <v>0</v>
      </c>
      <c r="O6" s="89">
        <v>0</v>
      </c>
      <c r="P6" s="89">
        <v>0</v>
      </c>
      <c r="Q6" s="90">
        <v>0</v>
      </c>
    </row>
    <row r="7" spans="2:17" ht="18.75" customHeight="1" x14ac:dyDescent="0.3">
      <c r="B7" s="88" t="s">
        <v>100</v>
      </c>
      <c r="C7" s="89">
        <v>0</v>
      </c>
      <c r="D7" s="89">
        <v>111.25</v>
      </c>
      <c r="E7" s="89">
        <v>111.25</v>
      </c>
      <c r="F7" s="89">
        <v>0</v>
      </c>
      <c r="G7" s="89">
        <v>0</v>
      </c>
      <c r="H7" s="89">
        <v>0</v>
      </c>
      <c r="I7" s="89">
        <v>0</v>
      </c>
      <c r="J7" s="89">
        <v>0</v>
      </c>
      <c r="K7" s="89">
        <v>0</v>
      </c>
      <c r="L7" s="89">
        <v>0</v>
      </c>
      <c r="M7" s="89">
        <v>3600.5974992371448</v>
      </c>
      <c r="N7" s="89">
        <v>0</v>
      </c>
      <c r="O7" s="89">
        <v>0</v>
      </c>
      <c r="P7" s="89">
        <v>0</v>
      </c>
      <c r="Q7" s="90">
        <v>-3489.3474992371448</v>
      </c>
    </row>
    <row r="8" spans="2:17" ht="18.75" customHeight="1" x14ac:dyDescent="0.3">
      <c r="B8" s="88" t="s">
        <v>101</v>
      </c>
      <c r="C8" s="89">
        <v>7519675.8206193</v>
      </c>
      <c r="D8" s="89">
        <v>2404279.9645899991</v>
      </c>
      <c r="E8" s="89">
        <v>2404279.9645899991</v>
      </c>
      <c r="F8" s="89">
        <v>0</v>
      </c>
      <c r="G8" s="89">
        <v>1031631.20505</v>
      </c>
      <c r="H8" s="89">
        <v>1031631.20505</v>
      </c>
      <c r="I8" s="89">
        <v>0</v>
      </c>
      <c r="J8" s="89">
        <v>0</v>
      </c>
      <c r="K8" s="89">
        <v>0</v>
      </c>
      <c r="L8" s="89">
        <v>5917.6228038512008</v>
      </c>
      <c r="M8" s="89">
        <v>30409.455000000002</v>
      </c>
      <c r="N8" s="89">
        <v>373280.38900000002</v>
      </c>
      <c r="O8" s="89">
        <v>3854.2576497870459</v>
      </c>
      <c r="P8" s="89">
        <v>83347.368000000002</v>
      </c>
      <c r="Q8" s="90">
        <v>9142076.2657056618</v>
      </c>
    </row>
    <row r="9" spans="2:17" ht="18.75" customHeight="1" x14ac:dyDescent="0.3">
      <c r="B9" s="88" t="s">
        <v>102</v>
      </c>
      <c r="C9" s="89">
        <v>118268.3088749766</v>
      </c>
      <c r="D9" s="89">
        <v>0</v>
      </c>
      <c r="E9" s="89">
        <v>0</v>
      </c>
      <c r="F9" s="89">
        <v>0</v>
      </c>
      <c r="G9" s="89">
        <v>0</v>
      </c>
      <c r="H9" s="89">
        <v>0</v>
      </c>
      <c r="I9" s="89">
        <v>0</v>
      </c>
      <c r="J9" s="89">
        <v>0</v>
      </c>
      <c r="K9" s="89">
        <v>0</v>
      </c>
      <c r="L9" s="89">
        <v>0</v>
      </c>
      <c r="M9" s="89">
        <v>9626.82</v>
      </c>
      <c r="N9" s="89">
        <v>6986.8209999999999</v>
      </c>
      <c r="O9" s="89">
        <v>0</v>
      </c>
      <c r="P9" s="89">
        <v>0</v>
      </c>
      <c r="Q9" s="90">
        <v>115628.30987497661</v>
      </c>
    </row>
    <row r="10" spans="2:17" ht="18.75" customHeight="1" x14ac:dyDescent="0.3">
      <c r="B10" s="88" t="s">
        <v>103</v>
      </c>
      <c r="C10" s="89">
        <v>0</v>
      </c>
      <c r="D10" s="89">
        <v>0</v>
      </c>
      <c r="E10" s="89">
        <v>0</v>
      </c>
      <c r="F10" s="89">
        <v>0</v>
      </c>
      <c r="G10" s="89">
        <v>0</v>
      </c>
      <c r="H10" s="89">
        <v>0</v>
      </c>
      <c r="I10" s="89">
        <v>0</v>
      </c>
      <c r="J10" s="89">
        <v>0</v>
      </c>
      <c r="K10" s="89">
        <v>0</v>
      </c>
      <c r="L10" s="89">
        <v>0</v>
      </c>
      <c r="M10" s="89">
        <v>0</v>
      </c>
      <c r="N10" s="89">
        <v>0</v>
      </c>
      <c r="O10" s="89">
        <v>0</v>
      </c>
      <c r="P10" s="89">
        <v>0</v>
      </c>
      <c r="Q10" s="90">
        <v>0</v>
      </c>
    </row>
    <row r="11" spans="2:17" ht="18.75" customHeight="1" x14ac:dyDescent="0.3">
      <c r="B11" s="88" t="s">
        <v>104</v>
      </c>
      <c r="C11" s="89">
        <v>0</v>
      </c>
      <c r="D11" s="89">
        <v>0</v>
      </c>
      <c r="E11" s="89">
        <v>0</v>
      </c>
      <c r="F11" s="89">
        <v>0</v>
      </c>
      <c r="G11" s="89">
        <v>0</v>
      </c>
      <c r="H11" s="89">
        <v>0</v>
      </c>
      <c r="I11" s="89">
        <v>0</v>
      </c>
      <c r="J11" s="89">
        <v>0</v>
      </c>
      <c r="K11" s="89">
        <v>0</v>
      </c>
      <c r="L11" s="89">
        <v>0</v>
      </c>
      <c r="M11" s="89">
        <v>0</v>
      </c>
      <c r="N11" s="89">
        <v>0</v>
      </c>
      <c r="O11" s="89">
        <v>0</v>
      </c>
      <c r="P11" s="89">
        <v>0</v>
      </c>
      <c r="Q11" s="90">
        <v>0</v>
      </c>
    </row>
    <row r="12" spans="2:17" ht="18.75" customHeight="1" x14ac:dyDescent="0.3">
      <c r="B12" s="88" t="s">
        <v>60</v>
      </c>
      <c r="C12" s="89">
        <v>0</v>
      </c>
      <c r="D12" s="89">
        <v>0</v>
      </c>
      <c r="E12" s="89">
        <v>0</v>
      </c>
      <c r="F12" s="89">
        <v>0</v>
      </c>
      <c r="G12" s="89">
        <v>0</v>
      </c>
      <c r="H12" s="89">
        <v>0</v>
      </c>
      <c r="I12" s="89">
        <v>0</v>
      </c>
      <c r="J12" s="89">
        <v>0</v>
      </c>
      <c r="K12" s="89">
        <v>0</v>
      </c>
      <c r="L12" s="89">
        <v>0</v>
      </c>
      <c r="M12" s="89">
        <v>0</v>
      </c>
      <c r="N12" s="89">
        <v>0</v>
      </c>
      <c r="O12" s="89">
        <v>0</v>
      </c>
      <c r="P12" s="89">
        <v>0</v>
      </c>
      <c r="Q12" s="90">
        <v>0</v>
      </c>
    </row>
    <row r="13" spans="2:17" ht="18.75" customHeight="1" x14ac:dyDescent="0.3">
      <c r="B13" s="88" t="s">
        <v>105</v>
      </c>
      <c r="C13" s="89">
        <v>0</v>
      </c>
      <c r="D13" s="89">
        <v>0</v>
      </c>
      <c r="E13" s="89">
        <v>0</v>
      </c>
      <c r="F13" s="89">
        <v>0</v>
      </c>
      <c r="G13" s="89">
        <v>0</v>
      </c>
      <c r="H13" s="89">
        <v>0</v>
      </c>
      <c r="I13" s="89">
        <v>0</v>
      </c>
      <c r="J13" s="89">
        <v>0</v>
      </c>
      <c r="K13" s="89">
        <v>0</v>
      </c>
      <c r="L13" s="89">
        <v>0</v>
      </c>
      <c r="M13" s="89">
        <v>0</v>
      </c>
      <c r="N13" s="89">
        <v>0</v>
      </c>
      <c r="O13" s="89">
        <v>0</v>
      </c>
      <c r="P13" s="89">
        <v>0</v>
      </c>
      <c r="Q13" s="90">
        <v>0</v>
      </c>
    </row>
    <row r="14" spans="2:17" ht="18.75" customHeight="1" x14ac:dyDescent="0.3">
      <c r="B14" s="3" t="s">
        <v>106</v>
      </c>
      <c r="C14" s="89">
        <v>0</v>
      </c>
      <c r="D14" s="89">
        <v>0</v>
      </c>
      <c r="E14" s="89">
        <v>0</v>
      </c>
      <c r="F14" s="89">
        <v>0</v>
      </c>
      <c r="G14" s="89">
        <v>0</v>
      </c>
      <c r="H14" s="89">
        <v>0</v>
      </c>
      <c r="I14" s="89">
        <v>0</v>
      </c>
      <c r="J14" s="89">
        <v>0</v>
      </c>
      <c r="K14" s="89">
        <v>0</v>
      </c>
      <c r="L14" s="89">
        <v>0</v>
      </c>
      <c r="M14" s="89">
        <v>0</v>
      </c>
      <c r="N14" s="89">
        <v>0</v>
      </c>
      <c r="O14" s="89">
        <v>0</v>
      </c>
      <c r="P14" s="89">
        <v>0</v>
      </c>
      <c r="Q14" s="90">
        <v>0</v>
      </c>
    </row>
    <row r="15" spans="2:17" ht="18.75" customHeight="1" x14ac:dyDescent="0.3">
      <c r="B15" s="88" t="s">
        <v>107</v>
      </c>
      <c r="C15" s="89">
        <v>0</v>
      </c>
      <c r="D15" s="89">
        <v>0</v>
      </c>
      <c r="E15" s="89">
        <v>0</v>
      </c>
      <c r="F15" s="89">
        <v>0</v>
      </c>
      <c r="G15" s="89">
        <v>0</v>
      </c>
      <c r="H15" s="89">
        <v>0</v>
      </c>
      <c r="I15" s="89">
        <v>0</v>
      </c>
      <c r="J15" s="89">
        <v>0</v>
      </c>
      <c r="K15" s="89">
        <v>0</v>
      </c>
      <c r="L15" s="89">
        <v>0</v>
      </c>
      <c r="M15" s="89">
        <v>0</v>
      </c>
      <c r="N15" s="89">
        <v>0</v>
      </c>
      <c r="O15" s="89">
        <v>0</v>
      </c>
      <c r="P15" s="89">
        <v>0</v>
      </c>
      <c r="Q15" s="90">
        <v>0</v>
      </c>
    </row>
    <row r="16" spans="2:17" ht="18.75" customHeight="1" x14ac:dyDescent="0.3">
      <c r="B16" s="88" t="s">
        <v>108</v>
      </c>
      <c r="C16" s="89">
        <v>440263.47932580003</v>
      </c>
      <c r="D16" s="89">
        <v>1312.69091</v>
      </c>
      <c r="E16" s="89">
        <v>1312.69091</v>
      </c>
      <c r="F16" s="89">
        <v>0</v>
      </c>
      <c r="G16" s="89">
        <v>10273.264999999999</v>
      </c>
      <c r="H16" s="89">
        <v>10204.793</v>
      </c>
      <c r="I16" s="89">
        <v>68.471999999999994</v>
      </c>
      <c r="J16" s="89">
        <v>0</v>
      </c>
      <c r="K16" s="89">
        <v>0</v>
      </c>
      <c r="L16" s="89">
        <v>0</v>
      </c>
      <c r="M16" s="89">
        <v>13.126909100000001</v>
      </c>
      <c r="N16" s="89">
        <v>11581.977999999999</v>
      </c>
      <c r="O16" s="89">
        <v>0</v>
      </c>
      <c r="P16" s="89">
        <v>0</v>
      </c>
      <c r="Q16" s="90">
        <v>442871.75632669998</v>
      </c>
    </row>
    <row r="17" spans="2:17" ht="18.75" customHeight="1" x14ac:dyDescent="0.3">
      <c r="B17" s="88" t="s">
        <v>109</v>
      </c>
      <c r="C17" s="89">
        <v>70346.667963600004</v>
      </c>
      <c r="D17" s="89">
        <v>0</v>
      </c>
      <c r="E17" s="89">
        <v>0</v>
      </c>
      <c r="F17" s="89">
        <v>0</v>
      </c>
      <c r="G17" s="89">
        <v>0</v>
      </c>
      <c r="H17" s="89">
        <v>0</v>
      </c>
      <c r="I17" s="89">
        <v>0</v>
      </c>
      <c r="J17" s="89">
        <v>0</v>
      </c>
      <c r="K17" s="89">
        <v>0</v>
      </c>
      <c r="L17" s="89">
        <v>0</v>
      </c>
      <c r="M17" s="89">
        <v>1635.3113658</v>
      </c>
      <c r="N17" s="89">
        <v>0</v>
      </c>
      <c r="O17" s="89">
        <v>0</v>
      </c>
      <c r="P17" s="89">
        <v>0</v>
      </c>
      <c r="Q17" s="90">
        <v>68711.356597800012</v>
      </c>
    </row>
    <row r="18" spans="2:17" ht="18.75" customHeight="1" x14ac:dyDescent="0.3">
      <c r="B18" s="88" t="s">
        <v>110</v>
      </c>
      <c r="C18" s="89">
        <v>0</v>
      </c>
      <c r="D18" s="89">
        <v>0</v>
      </c>
      <c r="E18" s="89">
        <v>0</v>
      </c>
      <c r="F18" s="89">
        <v>0</v>
      </c>
      <c r="G18" s="89">
        <v>0</v>
      </c>
      <c r="H18" s="89">
        <v>0</v>
      </c>
      <c r="I18" s="89">
        <v>0</v>
      </c>
      <c r="J18" s="89">
        <v>0</v>
      </c>
      <c r="K18" s="89">
        <v>0</v>
      </c>
      <c r="L18" s="89">
        <v>0</v>
      </c>
      <c r="M18" s="89">
        <v>0</v>
      </c>
      <c r="N18" s="89">
        <v>0</v>
      </c>
      <c r="O18" s="89">
        <v>0</v>
      </c>
      <c r="P18" s="89">
        <v>0</v>
      </c>
      <c r="Q18" s="90">
        <v>0</v>
      </c>
    </row>
    <row r="19" spans="2:17" ht="18.75" customHeight="1" x14ac:dyDescent="0.3">
      <c r="B19" s="88" t="s">
        <v>111</v>
      </c>
      <c r="C19" s="89">
        <v>0</v>
      </c>
      <c r="D19" s="89">
        <v>0</v>
      </c>
      <c r="E19" s="89">
        <v>0</v>
      </c>
      <c r="F19" s="89">
        <v>0</v>
      </c>
      <c r="G19" s="89">
        <v>0</v>
      </c>
      <c r="H19" s="89">
        <v>0</v>
      </c>
      <c r="I19" s="89">
        <v>0</v>
      </c>
      <c r="J19" s="89">
        <v>0</v>
      </c>
      <c r="K19" s="89">
        <v>0</v>
      </c>
      <c r="L19" s="89">
        <v>0</v>
      </c>
      <c r="M19" s="89">
        <v>0</v>
      </c>
      <c r="N19" s="89">
        <v>0</v>
      </c>
      <c r="O19" s="89">
        <v>0</v>
      </c>
      <c r="P19" s="89">
        <v>0</v>
      </c>
      <c r="Q19" s="90">
        <v>0</v>
      </c>
    </row>
    <row r="20" spans="2:17" ht="18.75" customHeight="1" x14ac:dyDescent="0.3">
      <c r="B20" s="88" t="s">
        <v>112</v>
      </c>
      <c r="C20" s="89">
        <v>0</v>
      </c>
      <c r="D20" s="89">
        <v>0</v>
      </c>
      <c r="E20" s="89">
        <v>0</v>
      </c>
      <c r="F20" s="89">
        <v>0</v>
      </c>
      <c r="G20" s="89">
        <v>0</v>
      </c>
      <c r="H20" s="89">
        <v>0</v>
      </c>
      <c r="I20" s="89">
        <v>0</v>
      </c>
      <c r="J20" s="89">
        <v>0</v>
      </c>
      <c r="K20" s="89">
        <v>0</v>
      </c>
      <c r="L20" s="89">
        <v>0</v>
      </c>
      <c r="M20" s="89">
        <v>0</v>
      </c>
      <c r="N20" s="89">
        <v>0</v>
      </c>
      <c r="O20" s="89">
        <v>0</v>
      </c>
      <c r="P20" s="89">
        <v>0</v>
      </c>
      <c r="Q20" s="90">
        <v>0</v>
      </c>
    </row>
    <row r="21" spans="2:17" ht="18.75" customHeight="1" x14ac:dyDescent="0.3">
      <c r="B21" s="88" t="s">
        <v>113</v>
      </c>
      <c r="C21" s="89">
        <v>2434638.9687186931</v>
      </c>
      <c r="D21" s="89">
        <v>148581.30134000001</v>
      </c>
      <c r="E21" s="89">
        <v>148506.34434000001</v>
      </c>
      <c r="F21" s="89">
        <v>0</v>
      </c>
      <c r="G21" s="89">
        <v>214036.07878000001</v>
      </c>
      <c r="H21" s="89">
        <v>214036.07878000001</v>
      </c>
      <c r="I21" s="89">
        <v>0</v>
      </c>
      <c r="J21" s="89">
        <v>0</v>
      </c>
      <c r="K21" s="89">
        <v>0</v>
      </c>
      <c r="L21" s="89">
        <v>8675.8339600000018</v>
      </c>
      <c r="M21" s="89">
        <v>165078.65011326171</v>
      </c>
      <c r="N21" s="89">
        <v>209443.02872999999</v>
      </c>
      <c r="O21" s="89">
        <v>3602.9881512950492</v>
      </c>
      <c r="P21" s="89">
        <v>0</v>
      </c>
      <c r="Q21" s="90">
        <v>2401194.7907841359</v>
      </c>
    </row>
    <row r="22" spans="2:17" ht="18.75" customHeight="1" x14ac:dyDescent="0.3">
      <c r="B22" s="88" t="s">
        <v>74</v>
      </c>
      <c r="C22" s="89">
        <v>-15507.071</v>
      </c>
      <c r="D22" s="89">
        <v>246</v>
      </c>
      <c r="E22" s="89">
        <v>246</v>
      </c>
      <c r="F22" s="89">
        <v>0</v>
      </c>
      <c r="G22" s="89">
        <v>707</v>
      </c>
      <c r="H22" s="89">
        <v>707</v>
      </c>
      <c r="I22" s="89">
        <v>0</v>
      </c>
      <c r="J22" s="89">
        <v>0</v>
      </c>
      <c r="K22" s="89">
        <v>0</v>
      </c>
      <c r="L22" s="89">
        <v>684</v>
      </c>
      <c r="M22" s="89">
        <v>1027.1400000000001</v>
      </c>
      <c r="N22" s="89">
        <v>152</v>
      </c>
      <c r="O22" s="89">
        <v>0</v>
      </c>
      <c r="P22" s="89">
        <v>0</v>
      </c>
      <c r="Q22" s="90">
        <v>-17527.210999999999</v>
      </c>
    </row>
    <row r="23" spans="2:17" ht="18.75" customHeight="1" x14ac:dyDescent="0.3">
      <c r="B23" s="88" t="s">
        <v>114</v>
      </c>
      <c r="C23" s="89">
        <v>3305497.7309269472</v>
      </c>
      <c r="D23" s="89">
        <v>52833.337699999996</v>
      </c>
      <c r="E23" s="89">
        <v>52833.337699999996</v>
      </c>
      <c r="F23" s="89">
        <v>0</v>
      </c>
      <c r="G23" s="89">
        <v>333579.93974</v>
      </c>
      <c r="H23" s="89">
        <v>333579.93974</v>
      </c>
      <c r="I23" s="89">
        <v>0</v>
      </c>
      <c r="J23" s="89">
        <v>0</v>
      </c>
      <c r="K23" s="89">
        <v>0</v>
      </c>
      <c r="L23" s="89">
        <v>0</v>
      </c>
      <c r="M23" s="89">
        <v>0</v>
      </c>
      <c r="N23" s="89">
        <v>147215.03999365671</v>
      </c>
      <c r="O23" s="89">
        <v>-2020.0553054486061</v>
      </c>
      <c r="P23" s="89">
        <v>0</v>
      </c>
      <c r="Q23" s="90">
        <v>3173986.2241860521</v>
      </c>
    </row>
    <row r="24" spans="2:17" ht="18.75" customHeight="1" x14ac:dyDescent="0.3">
      <c r="B24" s="88" t="s">
        <v>115</v>
      </c>
      <c r="C24" s="89">
        <v>405997.8646974162</v>
      </c>
      <c r="D24" s="89">
        <v>2579.65101</v>
      </c>
      <c r="E24" s="89">
        <v>2579.65101</v>
      </c>
      <c r="F24" s="89">
        <v>0</v>
      </c>
      <c r="G24" s="89">
        <v>27821.627509999998</v>
      </c>
      <c r="H24" s="89">
        <v>27821.627509999998</v>
      </c>
      <c r="I24" s="89">
        <v>0</v>
      </c>
      <c r="J24" s="89">
        <v>0</v>
      </c>
      <c r="K24" s="89">
        <v>0</v>
      </c>
      <c r="L24" s="89">
        <v>0</v>
      </c>
      <c r="M24" s="89">
        <v>0</v>
      </c>
      <c r="N24" s="89">
        <v>25360.881487782179</v>
      </c>
      <c r="O24" s="89">
        <v>0</v>
      </c>
      <c r="P24" s="89">
        <v>0</v>
      </c>
      <c r="Q24" s="90">
        <v>406116.76968519838</v>
      </c>
    </row>
    <row r="25" spans="2:17" ht="18.75" customHeight="1" x14ac:dyDescent="0.3">
      <c r="B25" s="88" t="s">
        <v>116</v>
      </c>
      <c r="C25" s="89">
        <v>217957.40249970939</v>
      </c>
      <c r="D25" s="89">
        <v>3076.1355679128892</v>
      </c>
      <c r="E25" s="89">
        <v>3076.1355679128892</v>
      </c>
      <c r="F25" s="89">
        <v>0</v>
      </c>
      <c r="G25" s="89">
        <v>2377.2523119533698</v>
      </c>
      <c r="H25" s="89">
        <v>2377.2523119533698</v>
      </c>
      <c r="I25" s="89">
        <v>0</v>
      </c>
      <c r="J25" s="89">
        <v>0</v>
      </c>
      <c r="K25" s="89">
        <v>0</v>
      </c>
      <c r="L25" s="89">
        <v>0</v>
      </c>
      <c r="M25" s="89">
        <v>0</v>
      </c>
      <c r="N25" s="89">
        <v>0</v>
      </c>
      <c r="O25" s="89">
        <v>0</v>
      </c>
      <c r="P25" s="89">
        <v>0</v>
      </c>
      <c r="Q25" s="90">
        <v>218656.28575566891</v>
      </c>
    </row>
    <row r="26" spans="2:17" ht="18.75" customHeight="1" x14ac:dyDescent="0.3">
      <c r="B26" s="88" t="s">
        <v>117</v>
      </c>
      <c r="C26" s="89">
        <v>0</v>
      </c>
      <c r="D26" s="89">
        <v>0</v>
      </c>
      <c r="E26" s="89">
        <v>0</v>
      </c>
      <c r="F26" s="89">
        <v>0</v>
      </c>
      <c r="G26" s="89">
        <v>0</v>
      </c>
      <c r="H26" s="89">
        <v>0</v>
      </c>
      <c r="I26" s="89">
        <v>0</v>
      </c>
      <c r="J26" s="89">
        <v>0</v>
      </c>
      <c r="K26" s="89">
        <v>0</v>
      </c>
      <c r="L26" s="89">
        <v>0</v>
      </c>
      <c r="M26" s="89">
        <v>0</v>
      </c>
      <c r="N26" s="89">
        <v>0</v>
      </c>
      <c r="O26" s="89">
        <v>0</v>
      </c>
      <c r="P26" s="89">
        <v>0</v>
      </c>
      <c r="Q26" s="90">
        <v>0</v>
      </c>
    </row>
    <row r="27" spans="2:17" ht="18.75" customHeight="1" x14ac:dyDescent="0.3">
      <c r="B27" s="88" t="s">
        <v>118</v>
      </c>
      <c r="C27" s="89">
        <v>1223094.28245176</v>
      </c>
      <c r="D27" s="89">
        <v>40503.538789999999</v>
      </c>
      <c r="E27" s="89">
        <v>40503.538789999999</v>
      </c>
      <c r="F27" s="89">
        <v>0</v>
      </c>
      <c r="G27" s="89">
        <v>248093.96473000001</v>
      </c>
      <c r="H27" s="89">
        <v>248093.96473000001</v>
      </c>
      <c r="I27" s="89">
        <v>0</v>
      </c>
      <c r="J27" s="89">
        <v>0</v>
      </c>
      <c r="K27" s="89">
        <v>0</v>
      </c>
      <c r="L27" s="89">
        <v>0</v>
      </c>
      <c r="M27" s="89">
        <v>25328.146397552249</v>
      </c>
      <c r="N27" s="89">
        <v>179020.11924</v>
      </c>
      <c r="O27" s="89">
        <v>0</v>
      </c>
      <c r="P27" s="89">
        <v>0</v>
      </c>
      <c r="Q27" s="90">
        <v>1169195.829354208</v>
      </c>
    </row>
    <row r="28" spans="2:17" ht="18.75" customHeight="1" x14ac:dyDescent="0.3">
      <c r="B28" s="88" t="s">
        <v>119</v>
      </c>
      <c r="C28" s="89">
        <v>0</v>
      </c>
      <c r="D28" s="89">
        <v>0</v>
      </c>
      <c r="E28" s="89">
        <v>0</v>
      </c>
      <c r="F28" s="89">
        <v>0</v>
      </c>
      <c r="G28" s="89">
        <v>0</v>
      </c>
      <c r="H28" s="89">
        <v>0</v>
      </c>
      <c r="I28" s="89">
        <v>0</v>
      </c>
      <c r="J28" s="89">
        <v>0</v>
      </c>
      <c r="K28" s="89">
        <v>0</v>
      </c>
      <c r="L28" s="89">
        <v>0</v>
      </c>
      <c r="M28" s="89">
        <v>0</v>
      </c>
      <c r="N28" s="89">
        <v>0</v>
      </c>
      <c r="O28" s="89">
        <v>0</v>
      </c>
      <c r="P28" s="89">
        <v>0</v>
      </c>
      <c r="Q28" s="90">
        <v>0</v>
      </c>
    </row>
    <row r="29" spans="2:17" ht="18.75" customHeight="1" x14ac:dyDescent="0.3">
      <c r="B29" s="88" t="s">
        <v>120</v>
      </c>
      <c r="C29" s="89">
        <v>0</v>
      </c>
      <c r="D29" s="89">
        <v>0</v>
      </c>
      <c r="E29" s="89">
        <v>0</v>
      </c>
      <c r="F29" s="89">
        <v>0</v>
      </c>
      <c r="G29" s="89">
        <v>0</v>
      </c>
      <c r="H29" s="89">
        <v>0</v>
      </c>
      <c r="I29" s="89">
        <v>0</v>
      </c>
      <c r="J29" s="89">
        <v>0</v>
      </c>
      <c r="K29" s="89">
        <v>0</v>
      </c>
      <c r="L29" s="89">
        <v>0</v>
      </c>
      <c r="M29" s="89">
        <v>0</v>
      </c>
      <c r="N29" s="89">
        <v>0</v>
      </c>
      <c r="O29" s="89">
        <v>0</v>
      </c>
      <c r="P29" s="89">
        <v>0</v>
      </c>
      <c r="Q29" s="90">
        <v>0</v>
      </c>
    </row>
    <row r="30" spans="2:17" ht="18.75" customHeight="1" x14ac:dyDescent="0.3">
      <c r="B30" s="88" t="s">
        <v>121</v>
      </c>
      <c r="C30" s="89">
        <v>0</v>
      </c>
      <c r="D30" s="89">
        <v>0</v>
      </c>
      <c r="E30" s="89">
        <v>0</v>
      </c>
      <c r="F30" s="89">
        <v>0</v>
      </c>
      <c r="G30" s="89">
        <v>0</v>
      </c>
      <c r="H30" s="89">
        <v>0</v>
      </c>
      <c r="I30" s="89">
        <v>0</v>
      </c>
      <c r="J30" s="89">
        <v>0</v>
      </c>
      <c r="K30" s="89">
        <v>0</v>
      </c>
      <c r="L30" s="89">
        <v>0</v>
      </c>
      <c r="M30" s="89">
        <v>0</v>
      </c>
      <c r="N30" s="89">
        <v>0</v>
      </c>
      <c r="O30" s="89">
        <v>0</v>
      </c>
      <c r="P30" s="89">
        <v>0</v>
      </c>
      <c r="Q30" s="90">
        <v>0</v>
      </c>
    </row>
    <row r="31" spans="2:17" ht="18.75" customHeight="1" x14ac:dyDescent="0.3">
      <c r="B31" s="91" t="s">
        <v>90</v>
      </c>
      <c r="C31" s="92">
        <f t="shared" ref="C31:Q31" si="0">SUM(C6:C30)</f>
        <v>15720233.455078201</v>
      </c>
      <c r="D31" s="92">
        <f t="shared" si="0"/>
        <v>2653523.8699079123</v>
      </c>
      <c r="E31" s="92">
        <f t="shared" si="0"/>
        <v>2653448.9129079119</v>
      </c>
      <c r="F31" s="92">
        <f t="shared" si="0"/>
        <v>0</v>
      </c>
      <c r="G31" s="92">
        <f t="shared" si="0"/>
        <v>1868520.3331219535</v>
      </c>
      <c r="H31" s="92">
        <f t="shared" si="0"/>
        <v>1868451.8611219535</v>
      </c>
      <c r="I31" s="92">
        <f t="shared" si="0"/>
        <v>68.471999999999994</v>
      </c>
      <c r="J31" s="92">
        <f t="shared" si="0"/>
        <v>0</v>
      </c>
      <c r="K31" s="92">
        <f t="shared" si="0"/>
        <v>0</v>
      </c>
      <c r="L31" s="92">
        <f t="shared" si="0"/>
        <v>15277.456763851202</v>
      </c>
      <c r="M31" s="92">
        <f t="shared" si="0"/>
        <v>236719.24728495113</v>
      </c>
      <c r="N31" s="92">
        <f t="shared" si="0"/>
        <v>953040.25745143893</v>
      </c>
      <c r="O31" s="92">
        <f t="shared" si="0"/>
        <v>5437.1904956334893</v>
      </c>
      <c r="P31" s="92">
        <f t="shared" si="0"/>
        <v>83347.368000000002</v>
      </c>
      <c r="Q31" s="92">
        <f t="shared" si="0"/>
        <v>17117421.029771164</v>
      </c>
    </row>
    <row r="32" spans="2:17" ht="18.75" customHeight="1" x14ac:dyDescent="0.35">
      <c r="B32" s="268" t="s">
        <v>91</v>
      </c>
      <c r="C32" s="252"/>
      <c r="D32" s="252"/>
      <c r="E32" s="252"/>
      <c r="F32" s="252"/>
      <c r="G32" s="252"/>
      <c r="H32" s="252"/>
      <c r="I32" s="252"/>
      <c r="J32" s="252"/>
      <c r="K32" s="252"/>
      <c r="L32" s="252"/>
      <c r="M32" s="252"/>
      <c r="N32" s="252"/>
      <c r="O32" s="252"/>
      <c r="P32" s="252"/>
      <c r="Q32" s="253"/>
    </row>
    <row r="33" spans="2:17" ht="18.75" customHeight="1" x14ac:dyDescent="0.3">
      <c r="B33" s="88" t="s">
        <v>92</v>
      </c>
      <c r="C33" s="89">
        <v>0</v>
      </c>
      <c r="D33" s="89">
        <v>0</v>
      </c>
      <c r="E33" s="89">
        <v>0</v>
      </c>
      <c r="F33" s="89">
        <v>0</v>
      </c>
      <c r="G33" s="89">
        <v>0</v>
      </c>
      <c r="H33" s="89">
        <v>0</v>
      </c>
      <c r="I33" s="89">
        <v>0</v>
      </c>
      <c r="J33" s="89">
        <v>0</v>
      </c>
      <c r="K33" s="89">
        <v>0</v>
      </c>
      <c r="L33" s="89">
        <v>0</v>
      </c>
      <c r="M33" s="89">
        <v>0</v>
      </c>
      <c r="N33" s="89">
        <v>0</v>
      </c>
      <c r="O33" s="89">
        <v>0</v>
      </c>
      <c r="P33" s="89">
        <v>0</v>
      </c>
      <c r="Q33" s="90">
        <v>0</v>
      </c>
    </row>
    <row r="34" spans="2:17" ht="18.75" customHeight="1" x14ac:dyDescent="0.3">
      <c r="B34" s="88" t="s">
        <v>93</v>
      </c>
      <c r="C34" s="89">
        <v>0</v>
      </c>
      <c r="D34" s="89">
        <v>0</v>
      </c>
      <c r="E34" s="89">
        <v>0</v>
      </c>
      <c r="F34" s="89">
        <v>0</v>
      </c>
      <c r="G34" s="89">
        <v>0</v>
      </c>
      <c r="H34" s="89">
        <v>0</v>
      </c>
      <c r="I34" s="89">
        <v>0</v>
      </c>
      <c r="J34" s="89">
        <v>0</v>
      </c>
      <c r="K34" s="89">
        <v>0</v>
      </c>
      <c r="L34" s="89">
        <v>0</v>
      </c>
      <c r="M34" s="89">
        <v>0</v>
      </c>
      <c r="N34" s="89">
        <v>0</v>
      </c>
      <c r="O34" s="89">
        <v>0</v>
      </c>
      <c r="P34" s="89">
        <v>0</v>
      </c>
      <c r="Q34" s="90">
        <v>0</v>
      </c>
    </row>
    <row r="35" spans="2:17" ht="18.75" customHeight="1" x14ac:dyDescent="0.3">
      <c r="B35" s="88" t="s">
        <v>95</v>
      </c>
      <c r="C35" s="89">
        <v>0</v>
      </c>
      <c r="D35" s="89">
        <v>0</v>
      </c>
      <c r="E35" s="89">
        <v>0</v>
      </c>
      <c r="F35" s="89">
        <v>0</v>
      </c>
      <c r="G35" s="89">
        <v>0</v>
      </c>
      <c r="H35" s="89">
        <v>0</v>
      </c>
      <c r="I35" s="89">
        <v>0</v>
      </c>
      <c r="J35" s="89">
        <v>0</v>
      </c>
      <c r="K35" s="89">
        <v>0</v>
      </c>
      <c r="L35" s="89">
        <v>0</v>
      </c>
      <c r="M35" s="89">
        <v>0</v>
      </c>
      <c r="N35" s="89">
        <v>0</v>
      </c>
      <c r="O35" s="89">
        <v>0</v>
      </c>
      <c r="P35" s="89">
        <v>0</v>
      </c>
      <c r="Q35" s="90">
        <v>0</v>
      </c>
    </row>
    <row r="36" spans="2:17" ht="18.75" customHeight="1" x14ac:dyDescent="0.3">
      <c r="B36" s="91" t="s">
        <v>90</v>
      </c>
      <c r="C36" s="92">
        <v>0</v>
      </c>
      <c r="D36" s="92">
        <v>0</v>
      </c>
      <c r="E36" s="92">
        <v>0</v>
      </c>
      <c r="F36" s="92">
        <v>0</v>
      </c>
      <c r="G36" s="92">
        <v>0</v>
      </c>
      <c r="H36" s="92">
        <v>0</v>
      </c>
      <c r="I36" s="92">
        <v>0</v>
      </c>
      <c r="J36" s="92">
        <v>0</v>
      </c>
      <c r="K36" s="92">
        <v>0</v>
      </c>
      <c r="L36" s="92">
        <v>0</v>
      </c>
      <c r="M36" s="92">
        <v>0</v>
      </c>
      <c r="N36" s="92">
        <v>0</v>
      </c>
      <c r="O36" s="92">
        <v>0</v>
      </c>
      <c r="P36" s="92">
        <v>0</v>
      </c>
      <c r="Q36" s="92">
        <v>0</v>
      </c>
    </row>
    <row r="37" spans="2:17" ht="18.75" customHeight="1" x14ac:dyDescent="0.35">
      <c r="B37" s="269" t="s">
        <v>98</v>
      </c>
      <c r="C37" s="255"/>
      <c r="D37" s="255"/>
      <c r="E37" s="255"/>
      <c r="F37" s="255"/>
      <c r="G37" s="255"/>
      <c r="H37" s="255"/>
      <c r="I37" s="255"/>
      <c r="J37" s="255"/>
      <c r="K37" s="255"/>
      <c r="L37" s="255"/>
      <c r="M37" s="255"/>
      <c r="N37" s="255"/>
      <c r="O37" s="255"/>
      <c r="P37" s="255"/>
      <c r="Q37" s="255"/>
    </row>
  </sheetData>
  <sheetProtection algorithmName="SHA-512" hashValue="vCSg+9i3+Yh4qF6ax3kbeKMqycohAHi2PvdloQoSc7pg7XG/0lceP58m4y32L/2Rer+rKgWycDCIi0mT4TYwJg==" saltValue="M+J+u9exa6ynV28x7+/nHA==" spinCount="100000" sheet="1" objects="1" scenarios="1"/>
  <mergeCells count="4">
    <mergeCell ref="B32:Q32"/>
    <mergeCell ref="B37:Q37"/>
    <mergeCell ref="B3:Q3"/>
    <mergeCell ref="B5:Q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37">
    <tabColor rgb="FF92D050"/>
  </sheetPr>
  <dimension ref="B3:Q37"/>
  <sheetViews>
    <sheetView topLeftCell="A27" workbookViewId="0">
      <selection activeCell="B35" sqref="B35"/>
    </sheetView>
  </sheetViews>
  <sheetFormatPr defaultColWidth="14.36328125" defaultRowHeight="14" x14ac:dyDescent="0.3"/>
  <cols>
    <col min="1" max="1" width="9.6328125" style="81" customWidth="1"/>
    <col min="2" max="2" width="43.54296875" style="81" customWidth="1"/>
    <col min="3" max="16" width="17.90625" style="81" customWidth="1"/>
    <col min="17" max="17" width="17.90625" style="82" customWidth="1"/>
    <col min="18" max="18" width="14.54296875" style="81" bestFit="1" customWidth="1"/>
    <col min="19" max="19" width="15.90625" style="81" bestFit="1" customWidth="1"/>
    <col min="20" max="256" width="14.36328125" style="81" customWidth="1"/>
    <col min="257" max="257" width="9.6328125" style="81" customWidth="1"/>
    <col min="258" max="258" width="43.54296875" style="81" customWidth="1"/>
    <col min="259" max="273" width="17.90625" style="81" customWidth="1"/>
    <col min="274" max="274" width="14.54296875" style="81" bestFit="1" customWidth="1"/>
    <col min="275" max="275" width="15.90625" style="81" bestFit="1" customWidth="1"/>
    <col min="276" max="512" width="14.36328125" style="81" customWidth="1"/>
    <col min="513" max="513" width="9.6328125" style="81" customWidth="1"/>
    <col min="514" max="514" width="43.54296875" style="81" customWidth="1"/>
    <col min="515" max="529" width="17.90625" style="81" customWidth="1"/>
    <col min="530" max="530" width="14.54296875" style="81" bestFit="1" customWidth="1"/>
    <col min="531" max="531" width="15.90625" style="81" bestFit="1" customWidth="1"/>
    <col min="532" max="768" width="14.36328125" style="81" customWidth="1"/>
    <col min="769" max="769" width="9.6328125" style="81" customWidth="1"/>
    <col min="770" max="770" width="43.54296875" style="81" customWidth="1"/>
    <col min="771" max="785" width="17.90625" style="81" customWidth="1"/>
    <col min="786" max="786" width="14.54296875" style="81" bestFit="1" customWidth="1"/>
    <col min="787" max="787" width="15.90625" style="81" bestFit="1" customWidth="1"/>
    <col min="788" max="1024" width="14.36328125" style="81" customWidth="1"/>
    <col min="1025" max="1025" width="9.6328125" style="81" customWidth="1"/>
    <col min="1026" max="1026" width="43.54296875" style="81" customWidth="1"/>
    <col min="1027" max="1041" width="17.90625" style="81" customWidth="1"/>
    <col min="1042" max="1042" width="14.54296875" style="81" bestFit="1" customWidth="1"/>
    <col min="1043" max="1043" width="15.90625" style="81" bestFit="1" customWidth="1"/>
    <col min="1044" max="1280" width="14.36328125" style="81" customWidth="1"/>
    <col min="1281" max="1281" width="9.6328125" style="81" customWidth="1"/>
    <col min="1282" max="1282" width="43.54296875" style="81" customWidth="1"/>
    <col min="1283" max="1297" width="17.90625" style="81" customWidth="1"/>
    <col min="1298" max="1298" width="14.54296875" style="81" bestFit="1" customWidth="1"/>
    <col min="1299" max="1299" width="15.90625" style="81" bestFit="1" customWidth="1"/>
    <col min="1300" max="1536" width="14.36328125" style="81" customWidth="1"/>
    <col min="1537" max="1537" width="9.6328125" style="81" customWidth="1"/>
    <col min="1538" max="1538" width="43.54296875" style="81" customWidth="1"/>
    <col min="1539" max="1553" width="17.90625" style="81" customWidth="1"/>
    <col min="1554" max="1554" width="14.54296875" style="81" bestFit="1" customWidth="1"/>
    <col min="1555" max="1555" width="15.90625" style="81" bestFit="1" customWidth="1"/>
    <col min="1556" max="1792" width="14.36328125" style="81" customWidth="1"/>
    <col min="1793" max="1793" width="9.6328125" style="81" customWidth="1"/>
    <col min="1794" max="1794" width="43.54296875" style="81" customWidth="1"/>
    <col min="1795" max="1809" width="17.90625" style="81" customWidth="1"/>
    <col min="1810" max="1810" width="14.54296875" style="81" bestFit="1" customWidth="1"/>
    <col min="1811" max="1811" width="15.90625" style="81" bestFit="1" customWidth="1"/>
    <col min="1812" max="2048" width="14.36328125" style="81" customWidth="1"/>
    <col min="2049" max="2049" width="9.6328125" style="81" customWidth="1"/>
    <col min="2050" max="2050" width="43.54296875" style="81" customWidth="1"/>
    <col min="2051" max="2065" width="17.90625" style="81" customWidth="1"/>
    <col min="2066" max="2066" width="14.54296875" style="81" bestFit="1" customWidth="1"/>
    <col min="2067" max="2067" width="15.90625" style="81" bestFit="1" customWidth="1"/>
    <col min="2068" max="2304" width="14.36328125" style="81" customWidth="1"/>
    <col min="2305" max="2305" width="9.6328125" style="81" customWidth="1"/>
    <col min="2306" max="2306" width="43.54296875" style="81" customWidth="1"/>
    <col min="2307" max="2321" width="17.90625" style="81" customWidth="1"/>
    <col min="2322" max="2322" width="14.54296875" style="81" bestFit="1" customWidth="1"/>
    <col min="2323" max="2323" width="15.90625" style="81" bestFit="1" customWidth="1"/>
    <col min="2324" max="2560" width="14.36328125" style="81" customWidth="1"/>
    <col min="2561" max="2561" width="9.6328125" style="81" customWidth="1"/>
    <col min="2562" max="2562" width="43.54296875" style="81" customWidth="1"/>
    <col min="2563" max="2577" width="17.90625" style="81" customWidth="1"/>
    <col min="2578" max="2578" width="14.54296875" style="81" bestFit="1" customWidth="1"/>
    <col min="2579" max="2579" width="15.90625" style="81" bestFit="1" customWidth="1"/>
    <col min="2580" max="2816" width="14.36328125" style="81" customWidth="1"/>
    <col min="2817" max="2817" width="9.6328125" style="81" customWidth="1"/>
    <col min="2818" max="2818" width="43.54296875" style="81" customWidth="1"/>
    <col min="2819" max="2833" width="17.90625" style="81" customWidth="1"/>
    <col min="2834" max="2834" width="14.54296875" style="81" bestFit="1" customWidth="1"/>
    <col min="2835" max="2835" width="15.90625" style="81" bestFit="1" customWidth="1"/>
    <col min="2836" max="3072" width="14.36328125" style="81" customWidth="1"/>
    <col min="3073" max="3073" width="9.6328125" style="81" customWidth="1"/>
    <col min="3074" max="3074" width="43.54296875" style="81" customWidth="1"/>
    <col min="3075" max="3089" width="17.90625" style="81" customWidth="1"/>
    <col min="3090" max="3090" width="14.54296875" style="81" bestFit="1" customWidth="1"/>
    <col min="3091" max="3091" width="15.90625" style="81" bestFit="1" customWidth="1"/>
    <col min="3092" max="3328" width="14.36328125" style="81" customWidth="1"/>
    <col min="3329" max="3329" width="9.6328125" style="81" customWidth="1"/>
    <col min="3330" max="3330" width="43.54296875" style="81" customWidth="1"/>
    <col min="3331" max="3345" width="17.90625" style="81" customWidth="1"/>
    <col min="3346" max="3346" width="14.54296875" style="81" bestFit="1" customWidth="1"/>
    <col min="3347" max="3347" width="15.90625" style="81" bestFit="1" customWidth="1"/>
    <col min="3348" max="3584" width="14.36328125" style="81" customWidth="1"/>
    <col min="3585" max="3585" width="9.6328125" style="81" customWidth="1"/>
    <col min="3586" max="3586" width="43.54296875" style="81" customWidth="1"/>
    <col min="3587" max="3601" width="17.90625" style="81" customWidth="1"/>
    <col min="3602" max="3602" width="14.54296875" style="81" bestFit="1" customWidth="1"/>
    <col min="3603" max="3603" width="15.90625" style="81" bestFit="1" customWidth="1"/>
    <col min="3604" max="3840" width="14.36328125" style="81" customWidth="1"/>
    <col min="3841" max="3841" width="9.6328125" style="81" customWidth="1"/>
    <col min="3842" max="3842" width="43.54296875" style="81" customWidth="1"/>
    <col min="3843" max="3857" width="17.90625" style="81" customWidth="1"/>
    <col min="3858" max="3858" width="14.54296875" style="81" bestFit="1" customWidth="1"/>
    <col min="3859" max="3859" width="15.90625" style="81" bestFit="1" customWidth="1"/>
    <col min="3860" max="4096" width="14.36328125" style="81" customWidth="1"/>
    <col min="4097" max="4097" width="9.6328125" style="81" customWidth="1"/>
    <col min="4098" max="4098" width="43.54296875" style="81" customWidth="1"/>
    <col min="4099" max="4113" width="17.90625" style="81" customWidth="1"/>
    <col min="4114" max="4114" width="14.54296875" style="81" bestFit="1" customWidth="1"/>
    <col min="4115" max="4115" width="15.90625" style="81" bestFit="1" customWidth="1"/>
    <col min="4116" max="4352" width="14.36328125" style="81" customWidth="1"/>
    <col min="4353" max="4353" width="9.6328125" style="81" customWidth="1"/>
    <col min="4354" max="4354" width="43.54296875" style="81" customWidth="1"/>
    <col min="4355" max="4369" width="17.90625" style="81" customWidth="1"/>
    <col min="4370" max="4370" width="14.54296875" style="81" bestFit="1" customWidth="1"/>
    <col min="4371" max="4371" width="15.90625" style="81" bestFit="1" customWidth="1"/>
    <col min="4372" max="4608" width="14.36328125" style="81" customWidth="1"/>
    <col min="4609" max="4609" width="9.6328125" style="81" customWidth="1"/>
    <col min="4610" max="4610" width="43.54296875" style="81" customWidth="1"/>
    <col min="4611" max="4625" width="17.90625" style="81" customWidth="1"/>
    <col min="4626" max="4626" width="14.54296875" style="81" bestFit="1" customWidth="1"/>
    <col min="4627" max="4627" width="15.90625" style="81" bestFit="1" customWidth="1"/>
    <col min="4628" max="4864" width="14.36328125" style="81" customWidth="1"/>
    <col min="4865" max="4865" width="9.6328125" style="81" customWidth="1"/>
    <col min="4866" max="4866" width="43.54296875" style="81" customWidth="1"/>
    <col min="4867" max="4881" width="17.90625" style="81" customWidth="1"/>
    <col min="4882" max="4882" width="14.54296875" style="81" bestFit="1" customWidth="1"/>
    <col min="4883" max="4883" width="15.90625" style="81" bestFit="1" customWidth="1"/>
    <col min="4884" max="5120" width="14.36328125" style="81" customWidth="1"/>
    <col min="5121" max="5121" width="9.6328125" style="81" customWidth="1"/>
    <col min="5122" max="5122" width="43.54296875" style="81" customWidth="1"/>
    <col min="5123" max="5137" width="17.90625" style="81" customWidth="1"/>
    <col min="5138" max="5138" width="14.54296875" style="81" bestFit="1" customWidth="1"/>
    <col min="5139" max="5139" width="15.90625" style="81" bestFit="1" customWidth="1"/>
    <col min="5140" max="5376" width="14.36328125" style="81" customWidth="1"/>
    <col min="5377" max="5377" width="9.6328125" style="81" customWidth="1"/>
    <col min="5378" max="5378" width="43.54296875" style="81" customWidth="1"/>
    <col min="5379" max="5393" width="17.90625" style="81" customWidth="1"/>
    <col min="5394" max="5394" width="14.54296875" style="81" bestFit="1" customWidth="1"/>
    <col min="5395" max="5395" width="15.90625" style="81" bestFit="1" customWidth="1"/>
    <col min="5396" max="5632" width="14.36328125" style="81" customWidth="1"/>
    <col min="5633" max="5633" width="9.6328125" style="81" customWidth="1"/>
    <col min="5634" max="5634" width="43.54296875" style="81" customWidth="1"/>
    <col min="5635" max="5649" width="17.90625" style="81" customWidth="1"/>
    <col min="5650" max="5650" width="14.54296875" style="81" bestFit="1" customWidth="1"/>
    <col min="5651" max="5651" width="15.90625" style="81" bestFit="1" customWidth="1"/>
    <col min="5652" max="5888" width="14.36328125" style="81" customWidth="1"/>
    <col min="5889" max="5889" width="9.6328125" style="81" customWidth="1"/>
    <col min="5890" max="5890" width="43.54296875" style="81" customWidth="1"/>
    <col min="5891" max="5905" width="17.90625" style="81" customWidth="1"/>
    <col min="5906" max="5906" width="14.54296875" style="81" bestFit="1" customWidth="1"/>
    <col min="5907" max="5907" width="15.90625" style="81" bestFit="1" customWidth="1"/>
    <col min="5908" max="6144" width="14.36328125" style="81" customWidth="1"/>
    <col min="6145" max="6145" width="9.6328125" style="81" customWidth="1"/>
    <col min="6146" max="6146" width="43.54296875" style="81" customWidth="1"/>
    <col min="6147" max="6161" width="17.90625" style="81" customWidth="1"/>
    <col min="6162" max="6162" width="14.54296875" style="81" bestFit="1" customWidth="1"/>
    <col min="6163" max="6163" width="15.90625" style="81" bestFit="1" customWidth="1"/>
    <col min="6164" max="6400" width="14.36328125" style="81" customWidth="1"/>
    <col min="6401" max="6401" width="9.6328125" style="81" customWidth="1"/>
    <col min="6402" max="6402" width="43.54296875" style="81" customWidth="1"/>
    <col min="6403" max="6417" width="17.90625" style="81" customWidth="1"/>
    <col min="6418" max="6418" width="14.54296875" style="81" bestFit="1" customWidth="1"/>
    <col min="6419" max="6419" width="15.90625" style="81" bestFit="1" customWidth="1"/>
    <col min="6420" max="6656" width="14.36328125" style="81" customWidth="1"/>
    <col min="6657" max="6657" width="9.6328125" style="81" customWidth="1"/>
    <col min="6658" max="6658" width="43.54296875" style="81" customWidth="1"/>
    <col min="6659" max="6673" width="17.90625" style="81" customWidth="1"/>
    <col min="6674" max="6674" width="14.54296875" style="81" bestFit="1" customWidth="1"/>
    <col min="6675" max="6675" width="15.90625" style="81" bestFit="1" customWidth="1"/>
    <col min="6676" max="6912" width="14.36328125" style="81" customWidth="1"/>
    <col min="6913" max="6913" width="9.6328125" style="81" customWidth="1"/>
    <col min="6914" max="6914" width="43.54296875" style="81" customWidth="1"/>
    <col min="6915" max="6929" width="17.90625" style="81" customWidth="1"/>
    <col min="6930" max="6930" width="14.54296875" style="81" bestFit="1" customWidth="1"/>
    <col min="6931" max="6931" width="15.90625" style="81" bestFit="1" customWidth="1"/>
    <col min="6932" max="7168" width="14.36328125" style="81" customWidth="1"/>
    <col min="7169" max="7169" width="9.6328125" style="81" customWidth="1"/>
    <col min="7170" max="7170" width="43.54296875" style="81" customWidth="1"/>
    <col min="7171" max="7185" width="17.90625" style="81" customWidth="1"/>
    <col min="7186" max="7186" width="14.54296875" style="81" bestFit="1" customWidth="1"/>
    <col min="7187" max="7187" width="15.90625" style="81" bestFit="1" customWidth="1"/>
    <col min="7188" max="7424" width="14.36328125" style="81" customWidth="1"/>
    <col min="7425" max="7425" width="9.6328125" style="81" customWidth="1"/>
    <col min="7426" max="7426" width="43.54296875" style="81" customWidth="1"/>
    <col min="7427" max="7441" width="17.90625" style="81" customWidth="1"/>
    <col min="7442" max="7442" width="14.54296875" style="81" bestFit="1" customWidth="1"/>
    <col min="7443" max="7443" width="15.90625" style="81" bestFit="1" customWidth="1"/>
    <col min="7444" max="7680" width="14.36328125" style="81" customWidth="1"/>
    <col min="7681" max="7681" width="9.6328125" style="81" customWidth="1"/>
    <col min="7682" max="7682" width="43.54296875" style="81" customWidth="1"/>
    <col min="7683" max="7697" width="17.90625" style="81" customWidth="1"/>
    <col min="7698" max="7698" width="14.54296875" style="81" bestFit="1" customWidth="1"/>
    <col min="7699" max="7699" width="15.90625" style="81" bestFit="1" customWidth="1"/>
    <col min="7700" max="7936" width="14.36328125" style="81" customWidth="1"/>
    <col min="7937" max="7937" width="9.6328125" style="81" customWidth="1"/>
    <col min="7938" max="7938" width="43.54296875" style="81" customWidth="1"/>
    <col min="7939" max="7953" width="17.90625" style="81" customWidth="1"/>
    <col min="7954" max="7954" width="14.54296875" style="81" bestFit="1" customWidth="1"/>
    <col min="7955" max="7955" width="15.90625" style="81" bestFit="1" customWidth="1"/>
    <col min="7956" max="8192" width="14.36328125" style="81" customWidth="1"/>
    <col min="8193" max="8193" width="9.6328125" style="81" customWidth="1"/>
    <col min="8194" max="8194" width="43.54296875" style="81" customWidth="1"/>
    <col min="8195" max="8209" width="17.90625" style="81" customWidth="1"/>
    <col min="8210" max="8210" width="14.54296875" style="81" bestFit="1" customWidth="1"/>
    <col min="8211" max="8211" width="15.90625" style="81" bestFit="1" customWidth="1"/>
    <col min="8212" max="8448" width="14.36328125" style="81" customWidth="1"/>
    <col min="8449" max="8449" width="9.6328125" style="81" customWidth="1"/>
    <col min="8450" max="8450" width="43.54296875" style="81" customWidth="1"/>
    <col min="8451" max="8465" width="17.90625" style="81" customWidth="1"/>
    <col min="8466" max="8466" width="14.54296875" style="81" bestFit="1" customWidth="1"/>
    <col min="8467" max="8467" width="15.90625" style="81" bestFit="1" customWidth="1"/>
    <col min="8468" max="8704" width="14.36328125" style="81" customWidth="1"/>
    <col min="8705" max="8705" width="9.6328125" style="81" customWidth="1"/>
    <col min="8706" max="8706" width="43.54296875" style="81" customWidth="1"/>
    <col min="8707" max="8721" width="17.90625" style="81" customWidth="1"/>
    <col min="8722" max="8722" width="14.54296875" style="81" bestFit="1" customWidth="1"/>
    <col min="8723" max="8723" width="15.90625" style="81" bestFit="1" customWidth="1"/>
    <col min="8724" max="8960" width="14.36328125" style="81" customWidth="1"/>
    <col min="8961" max="8961" width="9.6328125" style="81" customWidth="1"/>
    <col min="8962" max="8962" width="43.54296875" style="81" customWidth="1"/>
    <col min="8963" max="8977" width="17.90625" style="81" customWidth="1"/>
    <col min="8978" max="8978" width="14.54296875" style="81" bestFit="1" customWidth="1"/>
    <col min="8979" max="8979" width="15.90625" style="81" bestFit="1" customWidth="1"/>
    <col min="8980" max="9216" width="14.36328125" style="81" customWidth="1"/>
    <col min="9217" max="9217" width="9.6328125" style="81" customWidth="1"/>
    <col min="9218" max="9218" width="43.54296875" style="81" customWidth="1"/>
    <col min="9219" max="9233" width="17.90625" style="81" customWidth="1"/>
    <col min="9234" max="9234" width="14.54296875" style="81" bestFit="1" customWidth="1"/>
    <col min="9235" max="9235" width="15.90625" style="81" bestFit="1" customWidth="1"/>
    <col min="9236" max="9472" width="14.36328125" style="81" customWidth="1"/>
    <col min="9473" max="9473" width="9.6328125" style="81" customWidth="1"/>
    <col min="9474" max="9474" width="43.54296875" style="81" customWidth="1"/>
    <col min="9475" max="9489" width="17.90625" style="81" customWidth="1"/>
    <col min="9490" max="9490" width="14.54296875" style="81" bestFit="1" customWidth="1"/>
    <col min="9491" max="9491" width="15.90625" style="81" bestFit="1" customWidth="1"/>
    <col min="9492" max="9728" width="14.36328125" style="81" customWidth="1"/>
    <col min="9729" max="9729" width="9.6328125" style="81" customWidth="1"/>
    <col min="9730" max="9730" width="43.54296875" style="81" customWidth="1"/>
    <col min="9731" max="9745" width="17.90625" style="81" customWidth="1"/>
    <col min="9746" max="9746" width="14.54296875" style="81" bestFit="1" customWidth="1"/>
    <col min="9747" max="9747" width="15.90625" style="81" bestFit="1" customWidth="1"/>
    <col min="9748" max="9984" width="14.36328125" style="81" customWidth="1"/>
    <col min="9985" max="9985" width="9.6328125" style="81" customWidth="1"/>
    <col min="9986" max="9986" width="43.54296875" style="81" customWidth="1"/>
    <col min="9987" max="10001" width="17.90625" style="81" customWidth="1"/>
    <col min="10002" max="10002" width="14.54296875" style="81" bestFit="1" customWidth="1"/>
    <col min="10003" max="10003" width="15.90625" style="81" bestFit="1" customWidth="1"/>
    <col min="10004" max="10240" width="14.36328125" style="81" customWidth="1"/>
    <col min="10241" max="10241" width="9.6328125" style="81" customWidth="1"/>
    <col min="10242" max="10242" width="43.54296875" style="81" customWidth="1"/>
    <col min="10243" max="10257" width="17.90625" style="81" customWidth="1"/>
    <col min="10258" max="10258" width="14.54296875" style="81" bestFit="1" customWidth="1"/>
    <col min="10259" max="10259" width="15.90625" style="81" bestFit="1" customWidth="1"/>
    <col min="10260" max="10496" width="14.36328125" style="81" customWidth="1"/>
    <col min="10497" max="10497" width="9.6328125" style="81" customWidth="1"/>
    <col min="10498" max="10498" width="43.54296875" style="81" customWidth="1"/>
    <col min="10499" max="10513" width="17.90625" style="81" customWidth="1"/>
    <col min="10514" max="10514" width="14.54296875" style="81" bestFit="1" customWidth="1"/>
    <col min="10515" max="10515" width="15.90625" style="81" bestFit="1" customWidth="1"/>
    <col min="10516" max="10752" width="14.36328125" style="81" customWidth="1"/>
    <col min="10753" max="10753" width="9.6328125" style="81" customWidth="1"/>
    <col min="10754" max="10754" width="43.54296875" style="81" customWidth="1"/>
    <col min="10755" max="10769" width="17.90625" style="81" customWidth="1"/>
    <col min="10770" max="10770" width="14.54296875" style="81" bestFit="1" customWidth="1"/>
    <col min="10771" max="10771" width="15.90625" style="81" bestFit="1" customWidth="1"/>
    <col min="10772" max="11008" width="14.36328125" style="81" customWidth="1"/>
    <col min="11009" max="11009" width="9.6328125" style="81" customWidth="1"/>
    <col min="11010" max="11010" width="43.54296875" style="81" customWidth="1"/>
    <col min="11011" max="11025" width="17.90625" style="81" customWidth="1"/>
    <col min="11026" max="11026" width="14.54296875" style="81" bestFit="1" customWidth="1"/>
    <col min="11027" max="11027" width="15.90625" style="81" bestFit="1" customWidth="1"/>
    <col min="11028" max="11264" width="14.36328125" style="81" customWidth="1"/>
    <col min="11265" max="11265" width="9.6328125" style="81" customWidth="1"/>
    <col min="11266" max="11266" width="43.54296875" style="81" customWidth="1"/>
    <col min="11267" max="11281" width="17.90625" style="81" customWidth="1"/>
    <col min="11282" max="11282" width="14.54296875" style="81" bestFit="1" customWidth="1"/>
    <col min="11283" max="11283" width="15.90625" style="81" bestFit="1" customWidth="1"/>
    <col min="11284" max="11520" width="14.36328125" style="81" customWidth="1"/>
    <col min="11521" max="11521" width="9.6328125" style="81" customWidth="1"/>
    <col min="11522" max="11522" width="43.54296875" style="81" customWidth="1"/>
    <col min="11523" max="11537" width="17.90625" style="81" customWidth="1"/>
    <col min="11538" max="11538" width="14.54296875" style="81" bestFit="1" customWidth="1"/>
    <col min="11539" max="11539" width="15.90625" style="81" bestFit="1" customWidth="1"/>
    <col min="11540" max="11776" width="14.36328125" style="81" customWidth="1"/>
    <col min="11777" max="11777" width="9.6328125" style="81" customWidth="1"/>
    <col min="11778" max="11778" width="43.54296875" style="81" customWidth="1"/>
    <col min="11779" max="11793" width="17.90625" style="81" customWidth="1"/>
    <col min="11794" max="11794" width="14.54296875" style="81" bestFit="1" customWidth="1"/>
    <col min="11795" max="11795" width="15.90625" style="81" bestFit="1" customWidth="1"/>
    <col min="11796" max="12032" width="14.36328125" style="81" customWidth="1"/>
    <col min="12033" max="12033" width="9.6328125" style="81" customWidth="1"/>
    <col min="12034" max="12034" width="43.54296875" style="81" customWidth="1"/>
    <col min="12035" max="12049" width="17.90625" style="81" customWidth="1"/>
    <col min="12050" max="12050" width="14.54296875" style="81" bestFit="1" customWidth="1"/>
    <col min="12051" max="12051" width="15.90625" style="81" bestFit="1" customWidth="1"/>
    <col min="12052" max="12288" width="14.36328125" style="81" customWidth="1"/>
    <col min="12289" max="12289" width="9.6328125" style="81" customWidth="1"/>
    <col min="12290" max="12290" width="43.54296875" style="81" customWidth="1"/>
    <col min="12291" max="12305" width="17.90625" style="81" customWidth="1"/>
    <col min="12306" max="12306" width="14.54296875" style="81" bestFit="1" customWidth="1"/>
    <col min="12307" max="12307" width="15.90625" style="81" bestFit="1" customWidth="1"/>
    <col min="12308" max="12544" width="14.36328125" style="81" customWidth="1"/>
    <col min="12545" max="12545" width="9.6328125" style="81" customWidth="1"/>
    <col min="12546" max="12546" width="43.54296875" style="81" customWidth="1"/>
    <col min="12547" max="12561" width="17.90625" style="81" customWidth="1"/>
    <col min="12562" max="12562" width="14.54296875" style="81" bestFit="1" customWidth="1"/>
    <col min="12563" max="12563" width="15.90625" style="81" bestFit="1" customWidth="1"/>
    <col min="12564" max="12800" width="14.36328125" style="81" customWidth="1"/>
    <col min="12801" max="12801" width="9.6328125" style="81" customWidth="1"/>
    <col min="12802" max="12802" width="43.54296875" style="81" customWidth="1"/>
    <col min="12803" max="12817" width="17.90625" style="81" customWidth="1"/>
    <col min="12818" max="12818" width="14.54296875" style="81" bestFit="1" customWidth="1"/>
    <col min="12819" max="12819" width="15.90625" style="81" bestFit="1" customWidth="1"/>
    <col min="12820" max="13056" width="14.36328125" style="81" customWidth="1"/>
    <col min="13057" max="13057" width="9.6328125" style="81" customWidth="1"/>
    <col min="13058" max="13058" width="43.54296875" style="81" customWidth="1"/>
    <col min="13059" max="13073" width="17.90625" style="81" customWidth="1"/>
    <col min="13074" max="13074" width="14.54296875" style="81" bestFit="1" customWidth="1"/>
    <col min="13075" max="13075" width="15.90625" style="81" bestFit="1" customWidth="1"/>
    <col min="13076" max="13312" width="14.36328125" style="81" customWidth="1"/>
    <col min="13313" max="13313" width="9.6328125" style="81" customWidth="1"/>
    <col min="13314" max="13314" width="43.54296875" style="81" customWidth="1"/>
    <col min="13315" max="13329" width="17.90625" style="81" customWidth="1"/>
    <col min="13330" max="13330" width="14.54296875" style="81" bestFit="1" customWidth="1"/>
    <col min="13331" max="13331" width="15.90625" style="81" bestFit="1" customWidth="1"/>
    <col min="13332" max="13568" width="14.36328125" style="81" customWidth="1"/>
    <col min="13569" max="13569" width="9.6328125" style="81" customWidth="1"/>
    <col min="13570" max="13570" width="43.54296875" style="81" customWidth="1"/>
    <col min="13571" max="13585" width="17.90625" style="81" customWidth="1"/>
    <col min="13586" max="13586" width="14.54296875" style="81" bestFit="1" customWidth="1"/>
    <col min="13587" max="13587" width="15.90625" style="81" bestFit="1" customWidth="1"/>
    <col min="13588" max="13824" width="14.36328125" style="81" customWidth="1"/>
    <col min="13825" max="13825" width="9.6328125" style="81" customWidth="1"/>
    <col min="13826" max="13826" width="43.54296875" style="81" customWidth="1"/>
    <col min="13827" max="13841" width="17.90625" style="81" customWidth="1"/>
    <col min="13842" max="13842" width="14.54296875" style="81" bestFit="1" customWidth="1"/>
    <col min="13843" max="13843" width="15.90625" style="81" bestFit="1" customWidth="1"/>
    <col min="13844" max="14080" width="14.36328125" style="81" customWidth="1"/>
    <col min="14081" max="14081" width="9.6328125" style="81" customWidth="1"/>
    <col min="14082" max="14082" width="43.54296875" style="81" customWidth="1"/>
    <col min="14083" max="14097" width="17.90625" style="81" customWidth="1"/>
    <col min="14098" max="14098" width="14.54296875" style="81" bestFit="1" customWidth="1"/>
    <col min="14099" max="14099" width="15.90625" style="81" bestFit="1" customWidth="1"/>
    <col min="14100" max="14336" width="14.36328125" style="81" customWidth="1"/>
    <col min="14337" max="14337" width="9.6328125" style="81" customWidth="1"/>
    <col min="14338" max="14338" width="43.54296875" style="81" customWidth="1"/>
    <col min="14339" max="14353" width="17.90625" style="81" customWidth="1"/>
    <col min="14354" max="14354" width="14.54296875" style="81" bestFit="1" customWidth="1"/>
    <col min="14355" max="14355" width="15.90625" style="81" bestFit="1" customWidth="1"/>
    <col min="14356" max="14592" width="14.36328125" style="81" customWidth="1"/>
    <col min="14593" max="14593" width="9.6328125" style="81" customWidth="1"/>
    <col min="14594" max="14594" width="43.54296875" style="81" customWidth="1"/>
    <col min="14595" max="14609" width="17.90625" style="81" customWidth="1"/>
    <col min="14610" max="14610" width="14.54296875" style="81" bestFit="1" customWidth="1"/>
    <col min="14611" max="14611" width="15.90625" style="81" bestFit="1" customWidth="1"/>
    <col min="14612" max="14848" width="14.36328125" style="81" customWidth="1"/>
    <col min="14849" max="14849" width="9.6328125" style="81" customWidth="1"/>
    <col min="14850" max="14850" width="43.54296875" style="81" customWidth="1"/>
    <col min="14851" max="14865" width="17.90625" style="81" customWidth="1"/>
    <col min="14866" max="14866" width="14.54296875" style="81" bestFit="1" customWidth="1"/>
    <col min="14867" max="14867" width="15.90625" style="81" bestFit="1" customWidth="1"/>
    <col min="14868" max="15104" width="14.36328125" style="81" customWidth="1"/>
    <col min="15105" max="15105" width="9.6328125" style="81" customWidth="1"/>
    <col min="15106" max="15106" width="43.54296875" style="81" customWidth="1"/>
    <col min="15107" max="15121" width="17.90625" style="81" customWidth="1"/>
    <col min="15122" max="15122" width="14.54296875" style="81" bestFit="1" customWidth="1"/>
    <col min="15123" max="15123" width="15.90625" style="81" bestFit="1" customWidth="1"/>
    <col min="15124" max="15360" width="14.36328125" style="81" customWidth="1"/>
    <col min="15361" max="15361" width="9.6328125" style="81" customWidth="1"/>
    <col min="15362" max="15362" width="43.54296875" style="81" customWidth="1"/>
    <col min="15363" max="15377" width="17.90625" style="81" customWidth="1"/>
    <col min="15378" max="15378" width="14.54296875" style="81" bestFit="1" customWidth="1"/>
    <col min="15379" max="15379" width="15.90625" style="81" bestFit="1" customWidth="1"/>
    <col min="15380" max="15616" width="14.36328125" style="81" customWidth="1"/>
    <col min="15617" max="15617" width="9.6328125" style="81" customWidth="1"/>
    <col min="15618" max="15618" width="43.54296875" style="81" customWidth="1"/>
    <col min="15619" max="15633" width="17.90625" style="81" customWidth="1"/>
    <col min="15634" max="15634" width="14.54296875" style="81" bestFit="1" customWidth="1"/>
    <col min="15635" max="15635" width="15.90625" style="81" bestFit="1" customWidth="1"/>
    <col min="15636" max="15872" width="14.36328125" style="81" customWidth="1"/>
    <col min="15873" max="15873" width="9.6328125" style="81" customWidth="1"/>
    <col min="15874" max="15874" width="43.54296875" style="81" customWidth="1"/>
    <col min="15875" max="15889" width="17.90625" style="81" customWidth="1"/>
    <col min="15890" max="15890" width="14.54296875" style="81" bestFit="1" customWidth="1"/>
    <col min="15891" max="15891" width="15.90625" style="81" bestFit="1" customWidth="1"/>
    <col min="15892" max="16128" width="14.36328125" style="81" customWidth="1"/>
    <col min="16129" max="16129" width="9.6328125" style="81" customWidth="1"/>
    <col min="16130" max="16130" width="43.54296875" style="81" customWidth="1"/>
    <col min="16131" max="16145" width="17.90625" style="81" customWidth="1"/>
    <col min="16146" max="16146" width="14.54296875" style="81" bestFit="1" customWidth="1"/>
    <col min="16147" max="16147" width="15.90625" style="81" bestFit="1" customWidth="1"/>
    <col min="16148" max="16384" width="14.36328125" style="81" customWidth="1"/>
  </cols>
  <sheetData>
    <row r="3" spans="2:17" ht="18.75" customHeight="1" x14ac:dyDescent="0.35">
      <c r="B3" s="270" t="str">
        <f>_xlfn.CONCAT("NON-LINKED INVESTMENTS"," ",Details!F18)</f>
        <v>NON-LINKED INVESTMENTS 31.03.2025</v>
      </c>
      <c r="C3" s="252"/>
      <c r="D3" s="252"/>
      <c r="E3" s="252"/>
      <c r="F3" s="252"/>
      <c r="G3" s="252"/>
      <c r="H3" s="252"/>
      <c r="I3" s="252"/>
      <c r="J3" s="252"/>
      <c r="K3" s="252"/>
      <c r="L3" s="252"/>
      <c r="M3" s="252"/>
      <c r="N3" s="252"/>
      <c r="O3" s="252"/>
      <c r="P3" s="252"/>
      <c r="Q3" s="253"/>
    </row>
    <row r="4" spans="2:17" s="87" customFormat="1" ht="15.75" customHeight="1" x14ac:dyDescent="0.3">
      <c r="B4" s="83" t="s">
        <v>36</v>
      </c>
      <c r="C4" s="84" t="s">
        <v>140</v>
      </c>
      <c r="D4" s="84" t="s">
        <v>141</v>
      </c>
      <c r="E4" s="84" t="s">
        <v>142</v>
      </c>
      <c r="F4" s="84" t="s">
        <v>143</v>
      </c>
      <c r="G4" s="84" t="s">
        <v>144</v>
      </c>
      <c r="H4" s="84" t="s">
        <v>145</v>
      </c>
      <c r="I4" s="85" t="s">
        <v>146</v>
      </c>
      <c r="J4" s="84" t="s">
        <v>147</v>
      </c>
      <c r="K4" s="86" t="s">
        <v>148</v>
      </c>
      <c r="L4" s="86" t="s">
        <v>149</v>
      </c>
      <c r="M4" s="86" t="s">
        <v>150</v>
      </c>
      <c r="N4" s="86" t="s">
        <v>151</v>
      </c>
      <c r="O4" s="86" t="s">
        <v>152</v>
      </c>
      <c r="P4" s="86" t="s">
        <v>153</v>
      </c>
      <c r="Q4" s="86" t="s">
        <v>154</v>
      </c>
    </row>
    <row r="5" spans="2:17" ht="15" customHeight="1" x14ac:dyDescent="0.35">
      <c r="B5" s="268" t="s">
        <v>53</v>
      </c>
      <c r="C5" s="252"/>
      <c r="D5" s="252"/>
      <c r="E5" s="252"/>
      <c r="F5" s="252"/>
      <c r="G5" s="252"/>
      <c r="H5" s="252"/>
      <c r="I5" s="252"/>
      <c r="J5" s="252"/>
      <c r="K5" s="252"/>
      <c r="L5" s="252"/>
      <c r="M5" s="252"/>
      <c r="N5" s="252"/>
      <c r="O5" s="252"/>
      <c r="P5" s="252"/>
      <c r="Q5" s="253"/>
    </row>
    <row r="6" spans="2:17" ht="18.75" customHeight="1" x14ac:dyDescent="0.3">
      <c r="B6" s="6" t="s">
        <v>99</v>
      </c>
      <c r="C6" s="89">
        <v>0</v>
      </c>
      <c r="D6" s="89">
        <v>0</v>
      </c>
      <c r="E6" s="89">
        <v>0</v>
      </c>
      <c r="F6" s="89">
        <v>0</v>
      </c>
      <c r="G6" s="89">
        <v>0</v>
      </c>
      <c r="H6" s="89">
        <v>0</v>
      </c>
      <c r="I6" s="89">
        <v>0</v>
      </c>
      <c r="J6" s="89">
        <v>0</v>
      </c>
      <c r="K6" s="89">
        <v>0</v>
      </c>
      <c r="L6" s="89">
        <v>0</v>
      </c>
      <c r="M6" s="89">
        <v>0</v>
      </c>
      <c r="N6" s="89">
        <v>0</v>
      </c>
      <c r="O6" s="89">
        <v>0</v>
      </c>
      <c r="P6" s="89">
        <v>0</v>
      </c>
      <c r="Q6" s="90">
        <v>0</v>
      </c>
    </row>
    <row r="7" spans="2:17" ht="18.75" customHeight="1" x14ac:dyDescent="0.3">
      <c r="B7" s="88" t="s">
        <v>100</v>
      </c>
      <c r="C7" s="89">
        <v>1808290.453</v>
      </c>
      <c r="D7" s="89">
        <v>1093267.402</v>
      </c>
      <c r="E7" s="89">
        <v>1093267.402</v>
      </c>
      <c r="F7" s="89">
        <v>0</v>
      </c>
      <c r="G7" s="89">
        <v>3786.0729999999999</v>
      </c>
      <c r="H7" s="89">
        <v>3786.0729999999999</v>
      </c>
      <c r="I7" s="89">
        <v>0</v>
      </c>
      <c r="J7" s="89">
        <v>0</v>
      </c>
      <c r="K7" s="89">
        <v>0</v>
      </c>
      <c r="L7" s="89">
        <v>54702.1201</v>
      </c>
      <c r="M7" s="89">
        <v>0</v>
      </c>
      <c r="N7" s="89">
        <v>107489.70299999999</v>
      </c>
      <c r="O7" s="89">
        <v>2509.4274736389661</v>
      </c>
      <c r="P7" s="89">
        <v>0</v>
      </c>
      <c r="Q7" s="90">
        <v>2948049.9374263608</v>
      </c>
    </row>
    <row r="8" spans="2:17" ht="18.75" customHeight="1" x14ac:dyDescent="0.3">
      <c r="B8" s="88" t="s">
        <v>101</v>
      </c>
      <c r="C8" s="89">
        <v>0</v>
      </c>
      <c r="D8" s="89">
        <v>0</v>
      </c>
      <c r="E8" s="89">
        <v>0</v>
      </c>
      <c r="F8" s="89">
        <v>0</v>
      </c>
      <c r="G8" s="89">
        <v>0</v>
      </c>
      <c r="H8" s="89">
        <v>0</v>
      </c>
      <c r="I8" s="89">
        <v>0</v>
      </c>
      <c r="J8" s="89">
        <v>0</v>
      </c>
      <c r="K8" s="89">
        <v>0</v>
      </c>
      <c r="L8" s="89">
        <v>0</v>
      </c>
      <c r="M8" s="89">
        <v>0</v>
      </c>
      <c r="N8" s="89">
        <v>0</v>
      </c>
      <c r="O8" s="89">
        <v>0</v>
      </c>
      <c r="P8" s="89">
        <v>0</v>
      </c>
      <c r="Q8" s="90">
        <v>0</v>
      </c>
    </row>
    <row r="9" spans="2:17" ht="18.75" customHeight="1" x14ac:dyDescent="0.3">
      <c r="B9" s="88" t="s">
        <v>102</v>
      </c>
      <c r="C9" s="89">
        <v>0</v>
      </c>
      <c r="D9" s="89">
        <v>0</v>
      </c>
      <c r="E9" s="89">
        <v>0</v>
      </c>
      <c r="F9" s="89">
        <v>0</v>
      </c>
      <c r="G9" s="89">
        <v>0</v>
      </c>
      <c r="H9" s="89">
        <v>0</v>
      </c>
      <c r="I9" s="89">
        <v>0</v>
      </c>
      <c r="J9" s="89">
        <v>0</v>
      </c>
      <c r="K9" s="89">
        <v>0</v>
      </c>
      <c r="L9" s="89">
        <v>0</v>
      </c>
      <c r="M9" s="89">
        <v>0</v>
      </c>
      <c r="N9" s="89">
        <v>0</v>
      </c>
      <c r="O9" s="89">
        <v>0</v>
      </c>
      <c r="P9" s="89">
        <v>0</v>
      </c>
      <c r="Q9" s="90">
        <v>0</v>
      </c>
    </row>
    <row r="10" spans="2:17" ht="18.75" customHeight="1" x14ac:dyDescent="0.3">
      <c r="B10" s="88" t="s">
        <v>103</v>
      </c>
      <c r="C10" s="89">
        <v>0</v>
      </c>
      <c r="D10" s="89">
        <v>0</v>
      </c>
      <c r="E10" s="89">
        <v>0</v>
      </c>
      <c r="F10" s="89">
        <v>0</v>
      </c>
      <c r="G10" s="89">
        <v>0</v>
      </c>
      <c r="H10" s="89">
        <v>0</v>
      </c>
      <c r="I10" s="89">
        <v>0</v>
      </c>
      <c r="J10" s="89">
        <v>0</v>
      </c>
      <c r="K10" s="89">
        <v>0</v>
      </c>
      <c r="L10" s="89">
        <v>0</v>
      </c>
      <c r="M10" s="89">
        <v>0</v>
      </c>
      <c r="N10" s="89">
        <v>0</v>
      </c>
      <c r="O10" s="89">
        <v>0</v>
      </c>
      <c r="P10" s="89">
        <v>0</v>
      </c>
      <c r="Q10" s="90">
        <v>0</v>
      </c>
    </row>
    <row r="11" spans="2:17" ht="18.75" customHeight="1" x14ac:dyDescent="0.3">
      <c r="B11" s="88" t="s">
        <v>104</v>
      </c>
      <c r="C11" s="89">
        <v>0</v>
      </c>
      <c r="D11" s="89">
        <v>0</v>
      </c>
      <c r="E11" s="89">
        <v>0</v>
      </c>
      <c r="F11" s="89">
        <v>0</v>
      </c>
      <c r="G11" s="89">
        <v>0</v>
      </c>
      <c r="H11" s="89">
        <v>0</v>
      </c>
      <c r="I11" s="89">
        <v>0</v>
      </c>
      <c r="J11" s="89">
        <v>0</v>
      </c>
      <c r="K11" s="89">
        <v>0</v>
      </c>
      <c r="L11" s="89">
        <v>0</v>
      </c>
      <c r="M11" s="89">
        <v>0</v>
      </c>
      <c r="N11" s="89">
        <v>0</v>
      </c>
      <c r="O11" s="89">
        <v>0</v>
      </c>
      <c r="P11" s="89">
        <v>0</v>
      </c>
      <c r="Q11" s="90">
        <v>0</v>
      </c>
    </row>
    <row r="12" spans="2:17" ht="18.75" customHeight="1" x14ac:dyDescent="0.3">
      <c r="B12" s="88" t="s">
        <v>60</v>
      </c>
      <c r="C12" s="89">
        <v>0</v>
      </c>
      <c r="D12" s="89">
        <v>0</v>
      </c>
      <c r="E12" s="89">
        <v>0</v>
      </c>
      <c r="F12" s="89">
        <v>0</v>
      </c>
      <c r="G12" s="89">
        <v>0</v>
      </c>
      <c r="H12" s="89">
        <v>0</v>
      </c>
      <c r="I12" s="89">
        <v>0</v>
      </c>
      <c r="J12" s="89">
        <v>0</v>
      </c>
      <c r="K12" s="89">
        <v>0</v>
      </c>
      <c r="L12" s="89">
        <v>0</v>
      </c>
      <c r="M12" s="89">
        <v>0</v>
      </c>
      <c r="N12" s="89">
        <v>0</v>
      </c>
      <c r="O12" s="89">
        <v>0</v>
      </c>
      <c r="P12" s="89">
        <v>0</v>
      </c>
      <c r="Q12" s="90">
        <v>0</v>
      </c>
    </row>
    <row r="13" spans="2:17" ht="18.75" customHeight="1" x14ac:dyDescent="0.3">
      <c r="B13" s="88" t="s">
        <v>105</v>
      </c>
      <c r="C13" s="89">
        <v>317288.83100000001</v>
      </c>
      <c r="D13" s="89">
        <v>155652.821</v>
      </c>
      <c r="E13" s="89">
        <v>155652.821</v>
      </c>
      <c r="F13" s="89">
        <v>0</v>
      </c>
      <c r="G13" s="89">
        <v>0</v>
      </c>
      <c r="H13" s="89">
        <v>0</v>
      </c>
      <c r="I13" s="89">
        <v>0</v>
      </c>
      <c r="J13" s="89">
        <v>0</v>
      </c>
      <c r="K13" s="89">
        <v>0</v>
      </c>
      <c r="L13" s="89">
        <v>0</v>
      </c>
      <c r="M13" s="89">
        <v>0</v>
      </c>
      <c r="N13" s="89">
        <v>0</v>
      </c>
      <c r="O13" s="89">
        <v>0</v>
      </c>
      <c r="P13" s="89">
        <v>0</v>
      </c>
      <c r="Q13" s="90">
        <v>472941.652</v>
      </c>
    </row>
    <row r="14" spans="2:17" ht="18.75" customHeight="1" x14ac:dyDescent="0.3">
      <c r="B14" s="3" t="s">
        <v>106</v>
      </c>
      <c r="C14" s="89">
        <v>0</v>
      </c>
      <c r="D14" s="89">
        <v>0</v>
      </c>
      <c r="E14" s="89">
        <v>0</v>
      </c>
      <c r="F14" s="89">
        <v>0</v>
      </c>
      <c r="G14" s="89">
        <v>0</v>
      </c>
      <c r="H14" s="89">
        <v>0</v>
      </c>
      <c r="I14" s="89">
        <v>0</v>
      </c>
      <c r="J14" s="89">
        <v>0</v>
      </c>
      <c r="K14" s="89">
        <v>0</v>
      </c>
      <c r="L14" s="89">
        <v>0</v>
      </c>
      <c r="M14" s="89">
        <v>0</v>
      </c>
      <c r="N14" s="89">
        <v>0</v>
      </c>
      <c r="O14" s="89">
        <v>0</v>
      </c>
      <c r="P14" s="89">
        <v>0</v>
      </c>
      <c r="Q14" s="90">
        <v>0</v>
      </c>
    </row>
    <row r="15" spans="2:17" ht="18.75" customHeight="1" x14ac:dyDescent="0.3">
      <c r="B15" s="88" t="s">
        <v>107</v>
      </c>
      <c r="C15" s="89">
        <v>90519.785999999993</v>
      </c>
      <c r="D15" s="89">
        <v>168430.38227</v>
      </c>
      <c r="E15" s="89">
        <v>168430.38227</v>
      </c>
      <c r="F15" s="89">
        <v>0</v>
      </c>
      <c r="G15" s="89">
        <v>0</v>
      </c>
      <c r="H15" s="89">
        <v>0</v>
      </c>
      <c r="I15" s="89">
        <v>0</v>
      </c>
      <c r="J15" s="89">
        <v>0</v>
      </c>
      <c r="K15" s="89">
        <v>0</v>
      </c>
      <c r="L15" s="89">
        <v>0</v>
      </c>
      <c r="M15" s="89">
        <v>1305.1064699999999</v>
      </c>
      <c r="N15" s="89">
        <v>0</v>
      </c>
      <c r="O15" s="89">
        <v>0</v>
      </c>
      <c r="P15" s="89">
        <v>0</v>
      </c>
      <c r="Q15" s="90">
        <v>257645.0618</v>
      </c>
    </row>
    <row r="16" spans="2:17" ht="18.75" customHeight="1" x14ac:dyDescent="0.3">
      <c r="B16" s="88" t="s">
        <v>108</v>
      </c>
      <c r="C16" s="89">
        <v>0</v>
      </c>
      <c r="D16" s="89">
        <v>0</v>
      </c>
      <c r="E16" s="89">
        <v>0</v>
      </c>
      <c r="F16" s="89">
        <v>0</v>
      </c>
      <c r="G16" s="89">
        <v>0</v>
      </c>
      <c r="H16" s="89">
        <v>0</v>
      </c>
      <c r="I16" s="89">
        <v>0</v>
      </c>
      <c r="J16" s="89">
        <v>0</v>
      </c>
      <c r="K16" s="89">
        <v>0</v>
      </c>
      <c r="L16" s="89">
        <v>0</v>
      </c>
      <c r="M16" s="89">
        <v>0</v>
      </c>
      <c r="N16" s="89">
        <v>0</v>
      </c>
      <c r="O16" s="89">
        <v>0</v>
      </c>
      <c r="P16" s="89">
        <v>0</v>
      </c>
      <c r="Q16" s="90">
        <v>0</v>
      </c>
    </row>
    <row r="17" spans="2:17" ht="18.75" customHeight="1" x14ac:dyDescent="0.3">
      <c r="B17" s="88" t="s">
        <v>109</v>
      </c>
      <c r="C17" s="89">
        <v>0</v>
      </c>
      <c r="D17" s="89">
        <v>0</v>
      </c>
      <c r="E17" s="89">
        <v>0</v>
      </c>
      <c r="F17" s="89">
        <v>0</v>
      </c>
      <c r="G17" s="89">
        <v>0</v>
      </c>
      <c r="H17" s="89">
        <v>0</v>
      </c>
      <c r="I17" s="89">
        <v>0</v>
      </c>
      <c r="J17" s="89">
        <v>0</v>
      </c>
      <c r="K17" s="89">
        <v>0</v>
      </c>
      <c r="L17" s="89">
        <v>0</v>
      </c>
      <c r="M17" s="89">
        <v>0</v>
      </c>
      <c r="N17" s="89">
        <v>0</v>
      </c>
      <c r="O17" s="89">
        <v>0</v>
      </c>
      <c r="P17" s="89">
        <v>0</v>
      </c>
      <c r="Q17" s="90">
        <v>0</v>
      </c>
    </row>
    <row r="18" spans="2:17" ht="18.75" customHeight="1" x14ac:dyDescent="0.3">
      <c r="B18" s="88" t="s">
        <v>110</v>
      </c>
      <c r="C18" s="89">
        <v>0</v>
      </c>
      <c r="D18" s="89">
        <v>0</v>
      </c>
      <c r="E18" s="89">
        <v>0</v>
      </c>
      <c r="F18" s="89">
        <v>0</v>
      </c>
      <c r="G18" s="89">
        <v>0</v>
      </c>
      <c r="H18" s="89">
        <v>0</v>
      </c>
      <c r="I18" s="89">
        <v>0</v>
      </c>
      <c r="J18" s="89">
        <v>0</v>
      </c>
      <c r="K18" s="89">
        <v>0</v>
      </c>
      <c r="L18" s="89">
        <v>0</v>
      </c>
      <c r="M18" s="89">
        <v>0</v>
      </c>
      <c r="N18" s="89">
        <v>0</v>
      </c>
      <c r="O18" s="89">
        <v>0</v>
      </c>
      <c r="P18" s="89">
        <v>0</v>
      </c>
      <c r="Q18" s="90">
        <v>0</v>
      </c>
    </row>
    <row r="19" spans="2:17" ht="18.75" customHeight="1" x14ac:dyDescent="0.3">
      <c r="B19" s="88" t="s">
        <v>111</v>
      </c>
      <c r="C19" s="89">
        <v>0</v>
      </c>
      <c r="D19" s="89">
        <v>0</v>
      </c>
      <c r="E19" s="89">
        <v>0</v>
      </c>
      <c r="F19" s="89">
        <v>0</v>
      </c>
      <c r="G19" s="89">
        <v>0</v>
      </c>
      <c r="H19" s="89">
        <v>0</v>
      </c>
      <c r="I19" s="89">
        <v>0</v>
      </c>
      <c r="J19" s="89">
        <v>0</v>
      </c>
      <c r="K19" s="89">
        <v>0</v>
      </c>
      <c r="L19" s="89">
        <v>0</v>
      </c>
      <c r="M19" s="89">
        <v>0</v>
      </c>
      <c r="N19" s="89">
        <v>0</v>
      </c>
      <c r="O19" s="89">
        <v>0</v>
      </c>
      <c r="P19" s="89">
        <v>0</v>
      </c>
      <c r="Q19" s="90">
        <v>0</v>
      </c>
    </row>
    <row r="20" spans="2:17" ht="18.75" customHeight="1" x14ac:dyDescent="0.3">
      <c r="B20" s="88" t="s">
        <v>112</v>
      </c>
      <c r="C20" s="93">
        <v>0</v>
      </c>
      <c r="D20" s="89">
        <v>0</v>
      </c>
      <c r="E20" s="89">
        <v>0</v>
      </c>
      <c r="F20" s="89">
        <v>0</v>
      </c>
      <c r="G20" s="89">
        <v>0</v>
      </c>
      <c r="H20" s="89">
        <v>0</v>
      </c>
      <c r="I20" s="89">
        <v>0</v>
      </c>
      <c r="J20" s="89">
        <v>0</v>
      </c>
      <c r="K20" s="89">
        <v>0</v>
      </c>
      <c r="L20" s="89">
        <v>0</v>
      </c>
      <c r="M20" s="89">
        <v>0</v>
      </c>
      <c r="N20" s="89">
        <v>0</v>
      </c>
      <c r="O20" s="89">
        <v>0</v>
      </c>
      <c r="P20" s="89">
        <v>0</v>
      </c>
      <c r="Q20" s="90">
        <v>0</v>
      </c>
    </row>
    <row r="21" spans="2:17" ht="18.75" customHeight="1" x14ac:dyDescent="0.3">
      <c r="B21" s="88" t="s">
        <v>113</v>
      </c>
      <c r="C21" s="93">
        <v>909166.03612982563</v>
      </c>
      <c r="D21" s="89">
        <v>0</v>
      </c>
      <c r="E21" s="89">
        <v>0</v>
      </c>
      <c r="F21" s="89">
        <v>0</v>
      </c>
      <c r="G21" s="89">
        <v>0</v>
      </c>
      <c r="H21" s="89">
        <v>0</v>
      </c>
      <c r="I21" s="89">
        <v>0</v>
      </c>
      <c r="J21" s="89">
        <v>0</v>
      </c>
      <c r="K21" s="89">
        <v>0</v>
      </c>
      <c r="L21" s="89">
        <v>0</v>
      </c>
      <c r="M21" s="89">
        <v>0</v>
      </c>
      <c r="N21" s="89">
        <v>106556.7088679594</v>
      </c>
      <c r="O21" s="89">
        <v>3373.345863294674</v>
      </c>
      <c r="P21" s="89">
        <v>0</v>
      </c>
      <c r="Q21" s="90">
        <v>1012349.3991344901</v>
      </c>
    </row>
    <row r="22" spans="2:17" ht="18.75" customHeight="1" x14ac:dyDescent="0.3">
      <c r="B22" s="88" t="s">
        <v>74</v>
      </c>
      <c r="C22" s="93">
        <v>0</v>
      </c>
      <c r="D22" s="89">
        <v>0</v>
      </c>
      <c r="E22" s="89">
        <v>0</v>
      </c>
      <c r="F22" s="89">
        <v>0</v>
      </c>
      <c r="G22" s="89">
        <v>0</v>
      </c>
      <c r="H22" s="89">
        <v>0</v>
      </c>
      <c r="I22" s="89">
        <v>0</v>
      </c>
      <c r="J22" s="89">
        <v>0</v>
      </c>
      <c r="K22" s="89">
        <v>0</v>
      </c>
      <c r="L22" s="89">
        <v>0</v>
      </c>
      <c r="M22" s="89">
        <v>0</v>
      </c>
      <c r="N22" s="89">
        <v>0</v>
      </c>
      <c r="O22" s="89">
        <v>0</v>
      </c>
      <c r="P22" s="89">
        <v>0</v>
      </c>
      <c r="Q22" s="90">
        <v>0</v>
      </c>
    </row>
    <row r="23" spans="2:17" ht="18.75" customHeight="1" x14ac:dyDescent="0.3">
      <c r="B23" s="88" t="s">
        <v>114</v>
      </c>
      <c r="C23" s="93">
        <v>0</v>
      </c>
      <c r="D23" s="89">
        <v>0</v>
      </c>
      <c r="E23" s="89">
        <v>0</v>
      </c>
      <c r="F23" s="89">
        <v>0</v>
      </c>
      <c r="G23" s="89">
        <v>0</v>
      </c>
      <c r="H23" s="89">
        <v>0</v>
      </c>
      <c r="I23" s="89">
        <v>0</v>
      </c>
      <c r="J23" s="89">
        <v>0</v>
      </c>
      <c r="K23" s="89">
        <v>0</v>
      </c>
      <c r="L23" s="89">
        <v>0</v>
      </c>
      <c r="M23" s="89">
        <v>0</v>
      </c>
      <c r="N23" s="89">
        <v>0</v>
      </c>
      <c r="O23" s="89">
        <v>0</v>
      </c>
      <c r="P23" s="89">
        <v>0</v>
      </c>
      <c r="Q23" s="90">
        <v>0</v>
      </c>
    </row>
    <row r="24" spans="2:17" ht="18.75" customHeight="1" x14ac:dyDescent="0.3">
      <c r="B24" s="88" t="s">
        <v>115</v>
      </c>
      <c r="C24" s="93">
        <v>0</v>
      </c>
      <c r="D24" s="89">
        <v>0</v>
      </c>
      <c r="E24" s="89">
        <v>0</v>
      </c>
      <c r="F24" s="89">
        <v>0</v>
      </c>
      <c r="G24" s="89">
        <v>0</v>
      </c>
      <c r="H24" s="89">
        <v>0</v>
      </c>
      <c r="I24" s="89">
        <v>0</v>
      </c>
      <c r="J24" s="89">
        <v>0</v>
      </c>
      <c r="K24" s="89">
        <v>0</v>
      </c>
      <c r="L24" s="89">
        <v>0</v>
      </c>
      <c r="M24" s="89">
        <v>0</v>
      </c>
      <c r="N24" s="89">
        <v>0</v>
      </c>
      <c r="O24" s="89">
        <v>0</v>
      </c>
      <c r="P24" s="89">
        <v>0</v>
      </c>
      <c r="Q24" s="90">
        <v>0</v>
      </c>
    </row>
    <row r="25" spans="2:17" ht="18.75" customHeight="1" x14ac:dyDescent="0.3">
      <c r="B25" s="88" t="s">
        <v>116</v>
      </c>
      <c r="C25" s="93">
        <v>128429.1962662906</v>
      </c>
      <c r="D25" s="89">
        <v>33890.555432087109</v>
      </c>
      <c r="E25" s="89">
        <v>33890.555432087109</v>
      </c>
      <c r="F25" s="89">
        <v>0</v>
      </c>
      <c r="G25" s="89">
        <v>26190.783688046631</v>
      </c>
      <c r="H25" s="89">
        <v>26190.783688046631</v>
      </c>
      <c r="I25" s="89">
        <v>0</v>
      </c>
      <c r="J25" s="89">
        <v>0</v>
      </c>
      <c r="K25" s="89">
        <v>0</v>
      </c>
      <c r="L25" s="89">
        <v>0</v>
      </c>
      <c r="M25" s="89">
        <v>0</v>
      </c>
      <c r="N25" s="89">
        <v>0</v>
      </c>
      <c r="O25" s="89">
        <v>0</v>
      </c>
      <c r="P25" s="89">
        <v>0</v>
      </c>
      <c r="Q25" s="90">
        <v>136128.9680103311</v>
      </c>
    </row>
    <row r="26" spans="2:17" ht="18.75" customHeight="1" x14ac:dyDescent="0.3">
      <c r="B26" s="88" t="s">
        <v>117</v>
      </c>
      <c r="C26" s="93">
        <v>0</v>
      </c>
      <c r="D26" s="89">
        <v>0</v>
      </c>
      <c r="E26" s="89">
        <v>0</v>
      </c>
      <c r="F26" s="89">
        <v>0</v>
      </c>
      <c r="G26" s="89">
        <v>0</v>
      </c>
      <c r="H26" s="89">
        <v>0</v>
      </c>
      <c r="I26" s="89">
        <v>0</v>
      </c>
      <c r="J26" s="89">
        <v>0</v>
      </c>
      <c r="K26" s="89">
        <v>0</v>
      </c>
      <c r="L26" s="89">
        <v>0</v>
      </c>
      <c r="M26" s="89">
        <v>0</v>
      </c>
      <c r="N26" s="89">
        <v>0</v>
      </c>
      <c r="O26" s="89">
        <v>0</v>
      </c>
      <c r="P26" s="89">
        <v>0</v>
      </c>
      <c r="Q26" s="90">
        <v>0</v>
      </c>
    </row>
    <row r="27" spans="2:17" ht="18.75" customHeight="1" x14ac:dyDescent="0.3">
      <c r="B27" s="88" t="s">
        <v>118</v>
      </c>
      <c r="C27" s="93">
        <v>0</v>
      </c>
      <c r="D27" s="89">
        <v>0</v>
      </c>
      <c r="E27" s="89">
        <v>0</v>
      </c>
      <c r="F27" s="89">
        <v>0</v>
      </c>
      <c r="G27" s="89">
        <v>0</v>
      </c>
      <c r="H27" s="89">
        <v>0</v>
      </c>
      <c r="I27" s="89">
        <v>0</v>
      </c>
      <c r="J27" s="89">
        <v>0</v>
      </c>
      <c r="K27" s="89">
        <v>0</v>
      </c>
      <c r="L27" s="89">
        <v>0</v>
      </c>
      <c r="M27" s="89">
        <v>0</v>
      </c>
      <c r="N27" s="89">
        <v>0</v>
      </c>
      <c r="O27" s="89">
        <v>0</v>
      </c>
      <c r="P27" s="89">
        <v>0</v>
      </c>
      <c r="Q27" s="90">
        <v>0</v>
      </c>
    </row>
    <row r="28" spans="2:17" ht="18.75" customHeight="1" x14ac:dyDescent="0.3">
      <c r="B28" s="88" t="s">
        <v>119</v>
      </c>
      <c r="C28" s="93">
        <v>0</v>
      </c>
      <c r="D28" s="89">
        <v>0</v>
      </c>
      <c r="E28" s="89">
        <v>0</v>
      </c>
      <c r="F28" s="89">
        <v>0</v>
      </c>
      <c r="G28" s="89">
        <v>0</v>
      </c>
      <c r="H28" s="89">
        <v>0</v>
      </c>
      <c r="I28" s="89">
        <v>0</v>
      </c>
      <c r="J28" s="89">
        <v>0</v>
      </c>
      <c r="K28" s="89">
        <v>0</v>
      </c>
      <c r="L28" s="89">
        <v>0</v>
      </c>
      <c r="M28" s="89">
        <v>0</v>
      </c>
      <c r="N28" s="89">
        <v>0</v>
      </c>
      <c r="O28" s="89">
        <v>0</v>
      </c>
      <c r="P28" s="89">
        <v>0</v>
      </c>
      <c r="Q28" s="90">
        <v>0</v>
      </c>
    </row>
    <row r="29" spans="2:17" ht="18.75" customHeight="1" x14ac:dyDescent="0.3">
      <c r="B29" s="88" t="s">
        <v>120</v>
      </c>
      <c r="C29" s="93">
        <v>100080.33</v>
      </c>
      <c r="D29" s="89">
        <v>1396.7184999999999</v>
      </c>
      <c r="E29" s="89">
        <v>1396.7184999999999</v>
      </c>
      <c r="F29" s="89">
        <v>0</v>
      </c>
      <c r="G29" s="89">
        <v>37076.576012534802</v>
      </c>
      <c r="H29" s="89">
        <v>6268.6369999999997</v>
      </c>
      <c r="I29" s="89">
        <v>0</v>
      </c>
      <c r="J29" s="89">
        <v>30807.9390125348</v>
      </c>
      <c r="K29" s="89">
        <v>0</v>
      </c>
      <c r="L29" s="89">
        <v>0</v>
      </c>
      <c r="M29" s="89">
        <v>193.820189973655</v>
      </c>
      <c r="N29" s="89">
        <v>232.12570250843501</v>
      </c>
      <c r="O29" s="89">
        <v>0</v>
      </c>
      <c r="P29" s="89">
        <v>0</v>
      </c>
      <c r="Q29" s="90">
        <v>64438.777999999998</v>
      </c>
    </row>
    <row r="30" spans="2:17" ht="18.75" customHeight="1" x14ac:dyDescent="0.3">
      <c r="B30" s="88" t="s">
        <v>121</v>
      </c>
      <c r="C30" s="93">
        <v>0</v>
      </c>
      <c r="D30" s="89">
        <v>0</v>
      </c>
      <c r="E30" s="89">
        <v>0</v>
      </c>
      <c r="F30" s="89">
        <v>0</v>
      </c>
      <c r="G30" s="89">
        <v>0</v>
      </c>
      <c r="H30" s="89">
        <v>0</v>
      </c>
      <c r="I30" s="89">
        <v>0</v>
      </c>
      <c r="J30" s="89">
        <v>0</v>
      </c>
      <c r="K30" s="89">
        <v>0</v>
      </c>
      <c r="L30" s="89">
        <v>0</v>
      </c>
      <c r="M30" s="89">
        <v>0</v>
      </c>
      <c r="N30" s="89">
        <v>0</v>
      </c>
      <c r="O30" s="89">
        <v>0</v>
      </c>
      <c r="P30" s="89">
        <v>0</v>
      </c>
      <c r="Q30" s="90">
        <v>0</v>
      </c>
    </row>
    <row r="31" spans="2:17" ht="18.75" customHeight="1" x14ac:dyDescent="0.3">
      <c r="B31" s="91" t="s">
        <v>90</v>
      </c>
      <c r="C31" s="92">
        <f t="shared" ref="C31:Q31" si="0">SUM(C6:C30)</f>
        <v>3353774.6323961164</v>
      </c>
      <c r="D31" s="92">
        <f t="shared" si="0"/>
        <v>1452637.8792020869</v>
      </c>
      <c r="E31" s="92">
        <f t="shared" si="0"/>
        <v>1452637.8792020869</v>
      </c>
      <c r="F31" s="92">
        <f t="shared" si="0"/>
        <v>0</v>
      </c>
      <c r="G31" s="92">
        <f t="shared" si="0"/>
        <v>67053.432700581441</v>
      </c>
      <c r="H31" s="92">
        <f t="shared" si="0"/>
        <v>36245.493688046634</v>
      </c>
      <c r="I31" s="92">
        <f t="shared" si="0"/>
        <v>0</v>
      </c>
      <c r="J31" s="92">
        <f t="shared" si="0"/>
        <v>30807.9390125348</v>
      </c>
      <c r="K31" s="92">
        <f t="shared" si="0"/>
        <v>0</v>
      </c>
      <c r="L31" s="92">
        <f t="shared" si="0"/>
        <v>54702.1201</v>
      </c>
      <c r="M31" s="92">
        <f t="shared" si="0"/>
        <v>1498.926659973655</v>
      </c>
      <c r="N31" s="92">
        <f t="shared" si="0"/>
        <v>214278.53757046783</v>
      </c>
      <c r="O31" s="92">
        <f t="shared" si="0"/>
        <v>5882.7733369336402</v>
      </c>
      <c r="P31" s="92">
        <f t="shared" si="0"/>
        <v>0</v>
      </c>
      <c r="Q31" s="92">
        <f t="shared" si="0"/>
        <v>4891553.7963711824</v>
      </c>
    </row>
    <row r="32" spans="2:17" ht="18.75" customHeight="1" x14ac:dyDescent="0.35">
      <c r="B32" s="268" t="s">
        <v>91</v>
      </c>
      <c r="C32" s="252"/>
      <c r="D32" s="252"/>
      <c r="E32" s="252"/>
      <c r="F32" s="252"/>
      <c r="G32" s="252"/>
      <c r="H32" s="252"/>
      <c r="I32" s="252"/>
      <c r="J32" s="252"/>
      <c r="K32" s="252"/>
      <c r="L32" s="252"/>
      <c r="M32" s="252"/>
      <c r="N32" s="252"/>
      <c r="O32" s="252"/>
      <c r="P32" s="252"/>
      <c r="Q32" s="253"/>
    </row>
    <row r="33" spans="2:17" ht="18.75" customHeight="1" x14ac:dyDescent="0.3">
      <c r="B33" s="88" t="s">
        <v>92</v>
      </c>
      <c r="C33" s="89">
        <v>0</v>
      </c>
      <c r="D33" s="89">
        <v>0</v>
      </c>
      <c r="E33" s="89">
        <v>0</v>
      </c>
      <c r="F33" s="89">
        <v>0</v>
      </c>
      <c r="G33" s="89">
        <v>0</v>
      </c>
      <c r="H33" s="89">
        <v>0</v>
      </c>
      <c r="I33" s="89">
        <v>0</v>
      </c>
      <c r="J33" s="89">
        <v>0</v>
      </c>
      <c r="K33" s="89">
        <v>0</v>
      </c>
      <c r="L33" s="89">
        <v>0</v>
      </c>
      <c r="M33" s="89">
        <v>0</v>
      </c>
      <c r="N33" s="89">
        <v>0</v>
      </c>
      <c r="O33" s="89">
        <v>0</v>
      </c>
      <c r="P33" s="89">
        <v>0</v>
      </c>
      <c r="Q33" s="90">
        <v>0</v>
      </c>
    </row>
    <row r="34" spans="2:17" ht="18.75" customHeight="1" x14ac:dyDescent="0.3">
      <c r="B34" s="88" t="s">
        <v>93</v>
      </c>
      <c r="C34" s="89">
        <v>0</v>
      </c>
      <c r="D34" s="89">
        <v>0</v>
      </c>
      <c r="E34" s="89">
        <v>0</v>
      </c>
      <c r="F34" s="89">
        <v>0</v>
      </c>
      <c r="G34" s="89">
        <v>0</v>
      </c>
      <c r="H34" s="89">
        <v>0</v>
      </c>
      <c r="I34" s="89">
        <v>0</v>
      </c>
      <c r="J34" s="89">
        <v>0</v>
      </c>
      <c r="K34" s="89">
        <v>0</v>
      </c>
      <c r="L34" s="89">
        <v>0</v>
      </c>
      <c r="M34" s="89">
        <v>0</v>
      </c>
      <c r="N34" s="89">
        <v>0</v>
      </c>
      <c r="O34" s="89">
        <v>0</v>
      </c>
      <c r="P34" s="89">
        <v>0</v>
      </c>
      <c r="Q34" s="90">
        <v>0</v>
      </c>
    </row>
    <row r="35" spans="2:17" ht="18.75" customHeight="1" x14ac:dyDescent="0.3">
      <c r="B35" s="88" t="s">
        <v>95</v>
      </c>
      <c r="C35" s="89">
        <v>0</v>
      </c>
      <c r="D35" s="89">
        <v>0</v>
      </c>
      <c r="E35" s="89">
        <v>0</v>
      </c>
      <c r="F35" s="89">
        <v>0</v>
      </c>
      <c r="G35" s="89">
        <v>0</v>
      </c>
      <c r="H35" s="89">
        <v>0</v>
      </c>
      <c r="I35" s="89">
        <v>0</v>
      </c>
      <c r="J35" s="89">
        <v>0</v>
      </c>
      <c r="K35" s="89">
        <v>0</v>
      </c>
      <c r="L35" s="89">
        <v>0</v>
      </c>
      <c r="M35" s="89">
        <v>0</v>
      </c>
      <c r="N35" s="89">
        <v>0</v>
      </c>
      <c r="O35" s="89">
        <v>0</v>
      </c>
      <c r="P35" s="89">
        <v>0</v>
      </c>
      <c r="Q35" s="90">
        <v>0</v>
      </c>
    </row>
    <row r="36" spans="2:17" ht="18.75" customHeight="1" x14ac:dyDescent="0.3">
      <c r="B36" s="91" t="s">
        <v>90</v>
      </c>
      <c r="C36" s="92">
        <f t="shared" ref="C36:Q36" si="1">SUM(C33:C35)</f>
        <v>0</v>
      </c>
      <c r="D36" s="92">
        <f t="shared" si="1"/>
        <v>0</v>
      </c>
      <c r="E36" s="92">
        <f t="shared" si="1"/>
        <v>0</v>
      </c>
      <c r="F36" s="92">
        <f t="shared" si="1"/>
        <v>0</v>
      </c>
      <c r="G36" s="92">
        <f t="shared" si="1"/>
        <v>0</v>
      </c>
      <c r="H36" s="92">
        <f t="shared" si="1"/>
        <v>0</v>
      </c>
      <c r="I36" s="92">
        <f t="shared" si="1"/>
        <v>0</v>
      </c>
      <c r="J36" s="92">
        <f t="shared" si="1"/>
        <v>0</v>
      </c>
      <c r="K36" s="92">
        <f t="shared" si="1"/>
        <v>0</v>
      </c>
      <c r="L36" s="92">
        <f t="shared" si="1"/>
        <v>0</v>
      </c>
      <c r="M36" s="92">
        <f t="shared" si="1"/>
        <v>0</v>
      </c>
      <c r="N36" s="92">
        <f t="shared" si="1"/>
        <v>0</v>
      </c>
      <c r="O36" s="92">
        <f t="shared" si="1"/>
        <v>0</v>
      </c>
      <c r="P36" s="92">
        <f t="shared" si="1"/>
        <v>0</v>
      </c>
      <c r="Q36" s="92">
        <f t="shared" si="1"/>
        <v>0</v>
      </c>
    </row>
    <row r="37" spans="2:17" ht="18.75" customHeight="1" x14ac:dyDescent="0.35">
      <c r="B37" s="269" t="s">
        <v>98</v>
      </c>
      <c r="C37" s="255"/>
      <c r="D37" s="255"/>
      <c r="E37" s="255"/>
      <c r="F37" s="255"/>
      <c r="G37" s="255"/>
      <c r="H37" s="255"/>
      <c r="I37" s="255"/>
      <c r="J37" s="255"/>
      <c r="K37" s="255"/>
      <c r="L37" s="255"/>
      <c r="M37" s="255"/>
      <c r="N37" s="255"/>
      <c r="O37" s="255"/>
      <c r="P37" s="255"/>
      <c r="Q37" s="255"/>
    </row>
  </sheetData>
  <sheetProtection algorithmName="SHA-512" hashValue="FIWncu79nNGDFdv07QxJ3prprS1Cw+0z/PY8KrkA6YBrzaJkC/Cx7EWW2fyWJh4Zc6Vmeki7q4cnDLIfD9cGow==" saltValue="EaslD5rmKk2rvWfhhivfJQ==" spinCount="100000" sheet="1" objects="1" scenarios="1"/>
  <mergeCells count="4">
    <mergeCell ref="B32:Q32"/>
    <mergeCell ref="B37:Q37"/>
    <mergeCell ref="B3:Q3"/>
    <mergeCell ref="B5:Q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rgb="FF92D050"/>
    <pageSetUpPr fitToPage="1"/>
  </sheetPr>
  <dimension ref="B3:Q37"/>
  <sheetViews>
    <sheetView zoomScale="70" zoomScaleNormal="70" workbookViewId="0">
      <pane xSplit="2" ySplit="5" topLeftCell="C6" activePane="bottomRight" state="frozen"/>
      <selection pane="topRight" activeCell="C1" sqref="C1"/>
      <selection pane="bottomLeft" activeCell="A6" sqref="A6"/>
      <selection pane="bottomRight" activeCell="B35" sqref="B35"/>
    </sheetView>
  </sheetViews>
  <sheetFormatPr defaultColWidth="15.54296875" defaultRowHeight="14" x14ac:dyDescent="0.3"/>
  <cols>
    <col min="1" max="1" width="15.54296875" style="2" customWidth="1"/>
    <col min="2" max="2" width="44.54296875" style="2" customWidth="1"/>
    <col min="3" max="16" width="20.453125" style="2" customWidth="1"/>
    <col min="17" max="17" width="20.453125" style="5" customWidth="1"/>
    <col min="18" max="68" width="15.54296875" style="2" customWidth="1"/>
    <col min="69" max="16384" width="15.54296875" style="2"/>
  </cols>
  <sheetData>
    <row r="3" spans="2:17" ht="26.25" customHeight="1" x14ac:dyDescent="0.35">
      <c r="B3" s="267" t="str">
        <f>_xlfn.CONCAT('Table of Contents'!B18,": ",'Table of Contents'!C18)</f>
        <v>APPENDIX 11: SUMMARY OF PERMANENT HEALTH BUSINESS REVENUE ACCOUNTS FOR THE PERIOD ENDED 31.03.2025</v>
      </c>
      <c r="C3" s="252"/>
      <c r="D3" s="252"/>
      <c r="E3" s="252"/>
      <c r="F3" s="252"/>
      <c r="G3" s="252"/>
      <c r="H3" s="252"/>
      <c r="I3" s="252"/>
      <c r="J3" s="252"/>
      <c r="K3" s="252"/>
      <c r="L3" s="252"/>
      <c r="M3" s="252"/>
      <c r="N3" s="252"/>
      <c r="O3" s="252"/>
      <c r="P3" s="252"/>
      <c r="Q3" s="253"/>
    </row>
    <row r="4" spans="2:17" s="10" customFormat="1" ht="28" customHeight="1" x14ac:dyDescent="0.3">
      <c r="B4" s="43" t="s">
        <v>36</v>
      </c>
      <c r="C4" s="45" t="s">
        <v>140</v>
      </c>
      <c r="D4" s="45" t="s">
        <v>141</v>
      </c>
      <c r="E4" s="45" t="s">
        <v>142</v>
      </c>
      <c r="F4" s="45" t="s">
        <v>143</v>
      </c>
      <c r="G4" s="45" t="s">
        <v>144</v>
      </c>
      <c r="H4" s="45" t="s">
        <v>145</v>
      </c>
      <c r="I4" s="66" t="s">
        <v>146</v>
      </c>
      <c r="J4" s="45" t="s">
        <v>147</v>
      </c>
      <c r="K4" s="45" t="s">
        <v>148</v>
      </c>
      <c r="L4" s="45" t="s">
        <v>149</v>
      </c>
      <c r="M4" s="45" t="s">
        <v>150</v>
      </c>
      <c r="N4" s="45" t="s">
        <v>151</v>
      </c>
      <c r="O4" s="45" t="s">
        <v>152</v>
      </c>
      <c r="P4" s="45" t="s">
        <v>153</v>
      </c>
      <c r="Q4" s="45" t="s">
        <v>154</v>
      </c>
    </row>
    <row r="5" spans="2:17" ht="33.75" customHeight="1" x14ac:dyDescent="0.35">
      <c r="B5" s="261" t="s">
        <v>53</v>
      </c>
      <c r="C5" s="252"/>
      <c r="D5" s="252"/>
      <c r="E5" s="252"/>
      <c r="F5" s="252"/>
      <c r="G5" s="252"/>
      <c r="H5" s="252"/>
      <c r="I5" s="252"/>
      <c r="J5" s="252"/>
      <c r="K5" s="252"/>
      <c r="L5" s="252"/>
      <c r="M5" s="252"/>
      <c r="N5" s="252"/>
      <c r="O5" s="252"/>
      <c r="P5" s="252"/>
      <c r="Q5" s="253"/>
    </row>
    <row r="6" spans="2:17" ht="27.75" customHeight="1" x14ac:dyDescent="0.3">
      <c r="B6" s="6" t="s">
        <v>99</v>
      </c>
      <c r="C6" s="70">
        <v>0</v>
      </c>
      <c r="D6" s="70">
        <v>0</v>
      </c>
      <c r="E6" s="70">
        <v>0</v>
      </c>
      <c r="F6" s="70">
        <v>0</v>
      </c>
      <c r="G6" s="70">
        <v>0</v>
      </c>
      <c r="H6" s="70">
        <v>0</v>
      </c>
      <c r="I6" s="70">
        <v>0</v>
      </c>
      <c r="J6" s="70">
        <v>0</v>
      </c>
      <c r="K6" s="70">
        <v>0</v>
      </c>
      <c r="L6" s="70">
        <v>0</v>
      </c>
      <c r="M6" s="70">
        <v>0</v>
      </c>
      <c r="N6" s="70">
        <v>0</v>
      </c>
      <c r="O6" s="70">
        <v>0</v>
      </c>
      <c r="P6" s="70">
        <v>0</v>
      </c>
      <c r="Q6" s="70">
        <v>0</v>
      </c>
    </row>
    <row r="7" spans="2:17" ht="27.75" customHeight="1" x14ac:dyDescent="0.3">
      <c r="B7" s="6" t="s">
        <v>100</v>
      </c>
      <c r="C7" s="70">
        <v>0</v>
      </c>
      <c r="D7" s="70">
        <v>0</v>
      </c>
      <c r="E7" s="70">
        <v>0</v>
      </c>
      <c r="F7" s="70">
        <v>0</v>
      </c>
      <c r="G7" s="70">
        <v>0</v>
      </c>
      <c r="H7" s="70">
        <v>0</v>
      </c>
      <c r="I7" s="70">
        <v>0</v>
      </c>
      <c r="J7" s="70">
        <v>0</v>
      </c>
      <c r="K7" s="70">
        <v>0</v>
      </c>
      <c r="L7" s="70">
        <v>0</v>
      </c>
      <c r="M7" s="70">
        <v>0</v>
      </c>
      <c r="N7" s="70">
        <v>0</v>
      </c>
      <c r="O7" s="70">
        <v>0</v>
      </c>
      <c r="P7" s="70">
        <v>0</v>
      </c>
      <c r="Q7" s="70">
        <v>0</v>
      </c>
    </row>
    <row r="8" spans="2:17" ht="27.75" customHeight="1" x14ac:dyDescent="0.3">
      <c r="B8" s="6" t="s">
        <v>101</v>
      </c>
      <c r="C8" s="70">
        <v>0</v>
      </c>
      <c r="D8" s="70">
        <v>0</v>
      </c>
      <c r="E8" s="70">
        <v>0</v>
      </c>
      <c r="F8" s="70">
        <v>0</v>
      </c>
      <c r="G8" s="70">
        <v>0</v>
      </c>
      <c r="H8" s="70">
        <v>0</v>
      </c>
      <c r="I8" s="70">
        <v>0</v>
      </c>
      <c r="J8" s="70">
        <v>0</v>
      </c>
      <c r="K8" s="70">
        <v>0</v>
      </c>
      <c r="L8" s="70">
        <v>0</v>
      </c>
      <c r="M8" s="70">
        <v>0</v>
      </c>
      <c r="N8" s="70">
        <v>0</v>
      </c>
      <c r="O8" s="70">
        <v>0</v>
      </c>
      <c r="P8" s="70">
        <v>0</v>
      </c>
      <c r="Q8" s="70">
        <v>0</v>
      </c>
    </row>
    <row r="9" spans="2:17" ht="27.75" customHeight="1" x14ac:dyDescent="0.3">
      <c r="B9" s="6" t="s">
        <v>102</v>
      </c>
      <c r="C9" s="70">
        <v>0</v>
      </c>
      <c r="D9" s="70">
        <v>0</v>
      </c>
      <c r="E9" s="70">
        <v>0</v>
      </c>
      <c r="F9" s="70">
        <v>0</v>
      </c>
      <c r="G9" s="70">
        <v>0</v>
      </c>
      <c r="H9" s="70">
        <v>0</v>
      </c>
      <c r="I9" s="70">
        <v>0</v>
      </c>
      <c r="J9" s="70">
        <v>0</v>
      </c>
      <c r="K9" s="70">
        <v>0</v>
      </c>
      <c r="L9" s="70">
        <v>0</v>
      </c>
      <c r="M9" s="70">
        <v>0</v>
      </c>
      <c r="N9" s="70">
        <v>0</v>
      </c>
      <c r="O9" s="70">
        <v>0</v>
      </c>
      <c r="P9" s="70">
        <v>0</v>
      </c>
      <c r="Q9" s="70">
        <v>0</v>
      </c>
    </row>
    <row r="10" spans="2:17" ht="27.75" customHeight="1" x14ac:dyDescent="0.3">
      <c r="B10" s="6" t="s">
        <v>103</v>
      </c>
      <c r="C10" s="70">
        <v>0</v>
      </c>
      <c r="D10" s="70">
        <v>0</v>
      </c>
      <c r="E10" s="70">
        <v>0</v>
      </c>
      <c r="F10" s="70">
        <v>0</v>
      </c>
      <c r="G10" s="70">
        <v>0</v>
      </c>
      <c r="H10" s="70">
        <v>0</v>
      </c>
      <c r="I10" s="70">
        <v>0</v>
      </c>
      <c r="J10" s="70">
        <v>0</v>
      </c>
      <c r="K10" s="70">
        <v>0</v>
      </c>
      <c r="L10" s="70">
        <v>0</v>
      </c>
      <c r="M10" s="70">
        <v>0</v>
      </c>
      <c r="N10" s="70">
        <v>0</v>
      </c>
      <c r="O10" s="70">
        <v>0</v>
      </c>
      <c r="P10" s="70">
        <v>0</v>
      </c>
      <c r="Q10" s="70">
        <v>0</v>
      </c>
    </row>
    <row r="11" spans="2:17" ht="27.75" customHeight="1" x14ac:dyDescent="0.3">
      <c r="B11" s="6" t="s">
        <v>104</v>
      </c>
      <c r="C11" s="70">
        <v>0</v>
      </c>
      <c r="D11" s="70">
        <v>0</v>
      </c>
      <c r="E11" s="70">
        <v>0</v>
      </c>
      <c r="F11" s="70">
        <v>0</v>
      </c>
      <c r="G11" s="70">
        <v>0</v>
      </c>
      <c r="H11" s="70">
        <v>0</v>
      </c>
      <c r="I11" s="70">
        <v>0</v>
      </c>
      <c r="J11" s="70">
        <v>0</v>
      </c>
      <c r="K11" s="70">
        <v>0</v>
      </c>
      <c r="L11" s="70">
        <v>0</v>
      </c>
      <c r="M11" s="70">
        <v>0</v>
      </c>
      <c r="N11" s="70">
        <v>0</v>
      </c>
      <c r="O11" s="70">
        <v>0</v>
      </c>
      <c r="P11" s="70">
        <v>0</v>
      </c>
      <c r="Q11" s="70">
        <v>0</v>
      </c>
    </row>
    <row r="12" spans="2:17" ht="27.75" customHeight="1" x14ac:dyDescent="0.3">
      <c r="B12" s="6" t="s">
        <v>60</v>
      </c>
      <c r="C12" s="70">
        <v>0</v>
      </c>
      <c r="D12" s="70">
        <v>0</v>
      </c>
      <c r="E12" s="70">
        <v>0</v>
      </c>
      <c r="F12" s="70">
        <v>0</v>
      </c>
      <c r="G12" s="70">
        <v>0</v>
      </c>
      <c r="H12" s="70">
        <v>0</v>
      </c>
      <c r="I12" s="70">
        <v>0</v>
      </c>
      <c r="J12" s="70">
        <v>0</v>
      </c>
      <c r="K12" s="70">
        <v>0</v>
      </c>
      <c r="L12" s="70">
        <v>0</v>
      </c>
      <c r="M12" s="70">
        <v>0</v>
      </c>
      <c r="N12" s="70">
        <v>0</v>
      </c>
      <c r="O12" s="70">
        <v>0</v>
      </c>
      <c r="P12" s="70">
        <v>0</v>
      </c>
      <c r="Q12" s="70">
        <v>0</v>
      </c>
    </row>
    <row r="13" spans="2:17" ht="27.75" customHeight="1" x14ac:dyDescent="0.3">
      <c r="B13" s="6" t="s">
        <v>105</v>
      </c>
      <c r="C13" s="70">
        <v>0</v>
      </c>
      <c r="D13" s="70">
        <v>0</v>
      </c>
      <c r="E13" s="70">
        <v>0</v>
      </c>
      <c r="F13" s="70">
        <v>0</v>
      </c>
      <c r="G13" s="70">
        <v>0</v>
      </c>
      <c r="H13" s="70">
        <v>0</v>
      </c>
      <c r="I13" s="70">
        <v>0</v>
      </c>
      <c r="J13" s="70">
        <v>0</v>
      </c>
      <c r="K13" s="70">
        <v>0</v>
      </c>
      <c r="L13" s="70">
        <v>0</v>
      </c>
      <c r="M13" s="70">
        <v>0</v>
      </c>
      <c r="N13" s="70">
        <v>0</v>
      </c>
      <c r="O13" s="70">
        <v>0</v>
      </c>
      <c r="P13" s="70">
        <v>0</v>
      </c>
      <c r="Q13" s="70">
        <v>0</v>
      </c>
    </row>
    <row r="14" spans="2:17" ht="27.75" customHeight="1" x14ac:dyDescent="0.3">
      <c r="B14" s="6" t="s">
        <v>106</v>
      </c>
      <c r="C14" s="70">
        <v>0</v>
      </c>
      <c r="D14" s="70">
        <v>0</v>
      </c>
      <c r="E14" s="70">
        <v>0</v>
      </c>
      <c r="F14" s="70">
        <v>0</v>
      </c>
      <c r="G14" s="70">
        <v>0</v>
      </c>
      <c r="H14" s="70">
        <v>0</v>
      </c>
      <c r="I14" s="70">
        <v>0</v>
      </c>
      <c r="J14" s="70">
        <v>0</v>
      </c>
      <c r="K14" s="70">
        <v>0</v>
      </c>
      <c r="L14" s="70">
        <v>0</v>
      </c>
      <c r="M14" s="70">
        <v>0</v>
      </c>
      <c r="N14" s="70">
        <v>0</v>
      </c>
      <c r="O14" s="70">
        <v>0</v>
      </c>
      <c r="P14" s="70">
        <v>0</v>
      </c>
      <c r="Q14" s="70">
        <v>0</v>
      </c>
    </row>
    <row r="15" spans="2:17" ht="27.75" customHeight="1" x14ac:dyDescent="0.3">
      <c r="B15" s="6" t="s">
        <v>107</v>
      </c>
      <c r="C15" s="70">
        <v>0</v>
      </c>
      <c r="D15" s="70">
        <v>0</v>
      </c>
      <c r="E15" s="70">
        <v>0</v>
      </c>
      <c r="F15" s="70">
        <v>0</v>
      </c>
      <c r="G15" s="70">
        <v>0</v>
      </c>
      <c r="H15" s="70">
        <v>0</v>
      </c>
      <c r="I15" s="70">
        <v>0</v>
      </c>
      <c r="J15" s="70">
        <v>0</v>
      </c>
      <c r="K15" s="70">
        <v>0</v>
      </c>
      <c r="L15" s="70">
        <v>0</v>
      </c>
      <c r="M15" s="70">
        <v>0</v>
      </c>
      <c r="N15" s="70">
        <v>0</v>
      </c>
      <c r="O15" s="70">
        <v>0</v>
      </c>
      <c r="P15" s="70">
        <v>0</v>
      </c>
      <c r="Q15" s="70">
        <v>0</v>
      </c>
    </row>
    <row r="16" spans="2:17" ht="27.75" customHeight="1" x14ac:dyDescent="0.3">
      <c r="B16" s="6" t="s">
        <v>108</v>
      </c>
      <c r="C16" s="70">
        <v>0</v>
      </c>
      <c r="D16" s="70">
        <v>0</v>
      </c>
      <c r="E16" s="70">
        <v>0</v>
      </c>
      <c r="F16" s="70">
        <v>0</v>
      </c>
      <c r="G16" s="70">
        <v>0</v>
      </c>
      <c r="H16" s="70">
        <v>0</v>
      </c>
      <c r="I16" s="70">
        <v>0</v>
      </c>
      <c r="J16" s="70">
        <v>0</v>
      </c>
      <c r="K16" s="70">
        <v>0</v>
      </c>
      <c r="L16" s="70">
        <v>0</v>
      </c>
      <c r="M16" s="70">
        <v>0</v>
      </c>
      <c r="N16" s="70">
        <v>0</v>
      </c>
      <c r="O16" s="70">
        <v>0</v>
      </c>
      <c r="P16" s="70">
        <v>0</v>
      </c>
      <c r="Q16" s="70">
        <v>0</v>
      </c>
    </row>
    <row r="17" spans="2:17" ht="27.75" customHeight="1" x14ac:dyDescent="0.3">
      <c r="B17" s="6" t="s">
        <v>109</v>
      </c>
      <c r="C17" s="70">
        <v>0</v>
      </c>
      <c r="D17" s="70">
        <v>0</v>
      </c>
      <c r="E17" s="70">
        <v>0</v>
      </c>
      <c r="F17" s="70">
        <v>0</v>
      </c>
      <c r="G17" s="70">
        <v>0</v>
      </c>
      <c r="H17" s="70">
        <v>0</v>
      </c>
      <c r="I17" s="70">
        <v>0</v>
      </c>
      <c r="J17" s="70">
        <v>0</v>
      </c>
      <c r="K17" s="70">
        <v>0</v>
      </c>
      <c r="L17" s="70">
        <v>0</v>
      </c>
      <c r="M17" s="70">
        <v>0</v>
      </c>
      <c r="N17" s="70">
        <v>0</v>
      </c>
      <c r="O17" s="70">
        <v>0</v>
      </c>
      <c r="P17" s="70">
        <v>0</v>
      </c>
      <c r="Q17" s="70">
        <v>0</v>
      </c>
    </row>
    <row r="18" spans="2:17" ht="27.75" customHeight="1" x14ac:dyDescent="0.3">
      <c r="B18" s="6" t="s">
        <v>110</v>
      </c>
      <c r="C18" s="70">
        <v>0</v>
      </c>
      <c r="D18" s="70">
        <v>0</v>
      </c>
      <c r="E18" s="70">
        <v>0</v>
      </c>
      <c r="F18" s="70">
        <v>0</v>
      </c>
      <c r="G18" s="70">
        <v>0</v>
      </c>
      <c r="H18" s="70">
        <v>0</v>
      </c>
      <c r="I18" s="70">
        <v>0</v>
      </c>
      <c r="J18" s="70">
        <v>0</v>
      </c>
      <c r="K18" s="70">
        <v>0</v>
      </c>
      <c r="L18" s="70">
        <v>0</v>
      </c>
      <c r="M18" s="70">
        <v>0</v>
      </c>
      <c r="N18" s="70">
        <v>0</v>
      </c>
      <c r="O18" s="70">
        <v>0</v>
      </c>
      <c r="P18" s="70">
        <v>0</v>
      </c>
      <c r="Q18" s="70">
        <v>0</v>
      </c>
    </row>
    <row r="19" spans="2:17" ht="27.75" customHeight="1" x14ac:dyDescent="0.3">
      <c r="B19" s="6" t="s">
        <v>111</v>
      </c>
      <c r="C19" s="70">
        <v>0</v>
      </c>
      <c r="D19" s="70">
        <v>0</v>
      </c>
      <c r="E19" s="70">
        <v>0</v>
      </c>
      <c r="F19" s="70">
        <v>0</v>
      </c>
      <c r="G19" s="70">
        <v>0</v>
      </c>
      <c r="H19" s="70">
        <v>0</v>
      </c>
      <c r="I19" s="70">
        <v>0</v>
      </c>
      <c r="J19" s="70">
        <v>0</v>
      </c>
      <c r="K19" s="70">
        <v>0</v>
      </c>
      <c r="L19" s="70">
        <v>0</v>
      </c>
      <c r="M19" s="70">
        <v>0</v>
      </c>
      <c r="N19" s="70">
        <v>0</v>
      </c>
      <c r="O19" s="70">
        <v>0</v>
      </c>
      <c r="P19" s="70">
        <v>0</v>
      </c>
      <c r="Q19" s="70">
        <v>0</v>
      </c>
    </row>
    <row r="20" spans="2:17" ht="27.75" customHeight="1" x14ac:dyDescent="0.3">
      <c r="B20" s="6" t="s">
        <v>112</v>
      </c>
      <c r="C20" s="70">
        <v>0</v>
      </c>
      <c r="D20" s="70">
        <v>0</v>
      </c>
      <c r="E20" s="70">
        <v>0</v>
      </c>
      <c r="F20" s="70">
        <v>0</v>
      </c>
      <c r="G20" s="70">
        <v>0</v>
      </c>
      <c r="H20" s="70">
        <v>0</v>
      </c>
      <c r="I20" s="70">
        <v>0</v>
      </c>
      <c r="J20" s="70">
        <v>0</v>
      </c>
      <c r="K20" s="70">
        <v>0</v>
      </c>
      <c r="L20" s="70">
        <v>0</v>
      </c>
      <c r="M20" s="70">
        <v>0</v>
      </c>
      <c r="N20" s="70">
        <v>0</v>
      </c>
      <c r="O20" s="70">
        <v>0</v>
      </c>
      <c r="P20" s="70">
        <v>0</v>
      </c>
      <c r="Q20" s="70">
        <v>0</v>
      </c>
    </row>
    <row r="21" spans="2:17" ht="27.75" customHeight="1" x14ac:dyDescent="0.3">
      <c r="B21" s="6" t="s">
        <v>113</v>
      </c>
      <c r="C21" s="70">
        <v>0</v>
      </c>
      <c r="D21" s="70">
        <v>0</v>
      </c>
      <c r="E21" s="70">
        <v>0</v>
      </c>
      <c r="F21" s="70">
        <v>0</v>
      </c>
      <c r="G21" s="70">
        <v>0</v>
      </c>
      <c r="H21" s="70">
        <v>0</v>
      </c>
      <c r="I21" s="70">
        <v>0</v>
      </c>
      <c r="J21" s="70">
        <v>0</v>
      </c>
      <c r="K21" s="70">
        <v>0</v>
      </c>
      <c r="L21" s="70">
        <v>0</v>
      </c>
      <c r="M21" s="70">
        <v>0</v>
      </c>
      <c r="N21" s="70">
        <v>0</v>
      </c>
      <c r="O21" s="70">
        <v>0</v>
      </c>
      <c r="P21" s="70">
        <v>0</v>
      </c>
      <c r="Q21" s="70">
        <v>0</v>
      </c>
    </row>
    <row r="22" spans="2:17" ht="27.75" customHeight="1" x14ac:dyDescent="0.3">
      <c r="B22" s="6" t="s">
        <v>74</v>
      </c>
      <c r="C22" s="70">
        <v>0</v>
      </c>
      <c r="D22" s="70">
        <v>0</v>
      </c>
      <c r="E22" s="70">
        <v>0</v>
      </c>
      <c r="F22" s="70">
        <v>0</v>
      </c>
      <c r="G22" s="70">
        <v>0</v>
      </c>
      <c r="H22" s="70">
        <v>0</v>
      </c>
      <c r="I22" s="70">
        <v>0</v>
      </c>
      <c r="J22" s="70">
        <v>0</v>
      </c>
      <c r="K22" s="70">
        <v>0</v>
      </c>
      <c r="L22" s="70">
        <v>0</v>
      </c>
      <c r="M22" s="70">
        <v>0</v>
      </c>
      <c r="N22" s="70">
        <v>0</v>
      </c>
      <c r="O22" s="70">
        <v>0</v>
      </c>
      <c r="P22" s="70">
        <v>0</v>
      </c>
      <c r="Q22" s="70">
        <v>0</v>
      </c>
    </row>
    <row r="23" spans="2:17" ht="27.75" customHeight="1" x14ac:dyDescent="0.3">
      <c r="B23" s="6" t="s">
        <v>114</v>
      </c>
      <c r="C23" s="70">
        <v>0</v>
      </c>
      <c r="D23" s="70">
        <v>0</v>
      </c>
      <c r="E23" s="70">
        <v>0</v>
      </c>
      <c r="F23" s="70">
        <v>0</v>
      </c>
      <c r="G23" s="70">
        <v>0</v>
      </c>
      <c r="H23" s="70">
        <v>0</v>
      </c>
      <c r="I23" s="70">
        <v>0</v>
      </c>
      <c r="J23" s="70">
        <v>0</v>
      </c>
      <c r="K23" s="70">
        <v>0</v>
      </c>
      <c r="L23" s="70">
        <v>0</v>
      </c>
      <c r="M23" s="70">
        <v>0</v>
      </c>
      <c r="N23" s="70">
        <v>0</v>
      </c>
      <c r="O23" s="70">
        <v>0</v>
      </c>
      <c r="P23" s="70">
        <v>0</v>
      </c>
      <c r="Q23" s="70">
        <v>0</v>
      </c>
    </row>
    <row r="24" spans="2:17" ht="27.75" customHeight="1" x14ac:dyDescent="0.3">
      <c r="B24" s="6" t="s">
        <v>115</v>
      </c>
      <c r="C24" s="70">
        <v>0</v>
      </c>
      <c r="D24" s="70">
        <v>0</v>
      </c>
      <c r="E24" s="70">
        <v>0</v>
      </c>
      <c r="F24" s="70">
        <v>0</v>
      </c>
      <c r="G24" s="70">
        <v>0</v>
      </c>
      <c r="H24" s="70">
        <v>0</v>
      </c>
      <c r="I24" s="70">
        <v>0</v>
      </c>
      <c r="J24" s="70">
        <v>0</v>
      </c>
      <c r="K24" s="70">
        <v>0</v>
      </c>
      <c r="L24" s="70">
        <v>0</v>
      </c>
      <c r="M24" s="70">
        <v>0</v>
      </c>
      <c r="N24" s="70">
        <v>0</v>
      </c>
      <c r="O24" s="70">
        <v>0</v>
      </c>
      <c r="P24" s="70">
        <v>0</v>
      </c>
      <c r="Q24" s="70">
        <v>0</v>
      </c>
    </row>
    <row r="25" spans="2:17" ht="27.75" customHeight="1" x14ac:dyDescent="0.3">
      <c r="B25" s="6" t="s">
        <v>116</v>
      </c>
      <c r="C25" s="70">
        <v>0</v>
      </c>
      <c r="D25" s="70">
        <v>0</v>
      </c>
      <c r="E25" s="70">
        <v>0</v>
      </c>
      <c r="F25" s="70">
        <v>0</v>
      </c>
      <c r="G25" s="70">
        <v>0</v>
      </c>
      <c r="H25" s="70">
        <v>0</v>
      </c>
      <c r="I25" s="70">
        <v>0</v>
      </c>
      <c r="J25" s="70">
        <v>0</v>
      </c>
      <c r="K25" s="70">
        <v>0</v>
      </c>
      <c r="L25" s="70">
        <v>0</v>
      </c>
      <c r="M25" s="70">
        <v>0</v>
      </c>
      <c r="N25" s="70">
        <v>0</v>
      </c>
      <c r="O25" s="70">
        <v>0</v>
      </c>
      <c r="P25" s="70">
        <v>0</v>
      </c>
      <c r="Q25" s="70">
        <v>0</v>
      </c>
    </row>
    <row r="26" spans="2:17" ht="27.75" customHeight="1" x14ac:dyDescent="0.3">
      <c r="B26" s="6" t="s">
        <v>117</v>
      </c>
      <c r="C26" s="70">
        <v>0</v>
      </c>
      <c r="D26" s="70">
        <v>0</v>
      </c>
      <c r="E26" s="70">
        <v>0</v>
      </c>
      <c r="F26" s="70">
        <v>0</v>
      </c>
      <c r="G26" s="70">
        <v>0</v>
      </c>
      <c r="H26" s="70">
        <v>0</v>
      </c>
      <c r="I26" s="70">
        <v>0</v>
      </c>
      <c r="J26" s="70">
        <v>0</v>
      </c>
      <c r="K26" s="70">
        <v>0</v>
      </c>
      <c r="L26" s="70">
        <v>0</v>
      </c>
      <c r="M26" s="70">
        <v>0</v>
      </c>
      <c r="N26" s="70">
        <v>0</v>
      </c>
      <c r="O26" s="70">
        <v>0</v>
      </c>
      <c r="P26" s="70">
        <v>0</v>
      </c>
      <c r="Q26" s="70">
        <v>0</v>
      </c>
    </row>
    <row r="27" spans="2:17" ht="27.75" customHeight="1" x14ac:dyDescent="0.3">
      <c r="B27" s="6" t="s">
        <v>118</v>
      </c>
      <c r="C27" s="70">
        <v>0</v>
      </c>
      <c r="D27" s="70">
        <v>0</v>
      </c>
      <c r="E27" s="70">
        <v>0</v>
      </c>
      <c r="F27" s="70">
        <v>0</v>
      </c>
      <c r="G27" s="70">
        <v>0</v>
      </c>
      <c r="H27" s="70">
        <v>0</v>
      </c>
      <c r="I27" s="70">
        <v>0</v>
      </c>
      <c r="J27" s="70">
        <v>0</v>
      </c>
      <c r="K27" s="70">
        <v>0</v>
      </c>
      <c r="L27" s="70">
        <v>0</v>
      </c>
      <c r="M27" s="70">
        <v>0</v>
      </c>
      <c r="N27" s="70">
        <v>0</v>
      </c>
      <c r="O27" s="70">
        <v>0</v>
      </c>
      <c r="P27" s="70">
        <v>0</v>
      </c>
      <c r="Q27" s="70">
        <v>0</v>
      </c>
    </row>
    <row r="28" spans="2:17" ht="27.75" customHeight="1" x14ac:dyDescent="0.3">
      <c r="B28" s="6" t="s">
        <v>119</v>
      </c>
      <c r="C28" s="70">
        <v>0</v>
      </c>
      <c r="D28" s="70">
        <v>0</v>
      </c>
      <c r="E28" s="70">
        <v>0</v>
      </c>
      <c r="F28" s="70">
        <v>0</v>
      </c>
      <c r="G28" s="70">
        <v>0</v>
      </c>
      <c r="H28" s="70">
        <v>0</v>
      </c>
      <c r="I28" s="70">
        <v>0</v>
      </c>
      <c r="J28" s="70">
        <v>0</v>
      </c>
      <c r="K28" s="70">
        <v>0</v>
      </c>
      <c r="L28" s="70">
        <v>0</v>
      </c>
      <c r="M28" s="70">
        <v>0</v>
      </c>
      <c r="N28" s="70">
        <v>0</v>
      </c>
      <c r="O28" s="70">
        <v>0</v>
      </c>
      <c r="P28" s="70">
        <v>0</v>
      </c>
      <c r="Q28" s="70">
        <v>0</v>
      </c>
    </row>
    <row r="29" spans="2:17" ht="27.75" customHeight="1" x14ac:dyDescent="0.3">
      <c r="B29" s="6" t="s">
        <v>120</v>
      </c>
      <c r="C29" s="70">
        <v>0</v>
      </c>
      <c r="D29" s="70">
        <v>0</v>
      </c>
      <c r="E29" s="70">
        <v>0</v>
      </c>
      <c r="F29" s="70">
        <v>0</v>
      </c>
      <c r="G29" s="70">
        <v>0</v>
      </c>
      <c r="H29" s="70">
        <v>0</v>
      </c>
      <c r="I29" s="70">
        <v>0</v>
      </c>
      <c r="J29" s="70">
        <v>0</v>
      </c>
      <c r="K29" s="70">
        <v>0</v>
      </c>
      <c r="L29" s="70">
        <v>0</v>
      </c>
      <c r="M29" s="70">
        <v>0</v>
      </c>
      <c r="N29" s="70">
        <v>0</v>
      </c>
      <c r="O29" s="70">
        <v>0</v>
      </c>
      <c r="P29" s="70">
        <v>0</v>
      </c>
      <c r="Q29" s="70">
        <v>0</v>
      </c>
    </row>
    <row r="30" spans="2:17" ht="27.75" customHeight="1" x14ac:dyDescent="0.3">
      <c r="B30" s="6" t="s">
        <v>121</v>
      </c>
      <c r="C30" s="70">
        <v>0</v>
      </c>
      <c r="D30" s="70">
        <v>0</v>
      </c>
      <c r="E30" s="70">
        <v>0</v>
      </c>
      <c r="F30" s="70">
        <v>0</v>
      </c>
      <c r="G30" s="70">
        <v>0</v>
      </c>
      <c r="H30" s="70">
        <v>0</v>
      </c>
      <c r="I30" s="70">
        <v>0</v>
      </c>
      <c r="J30" s="70">
        <v>0</v>
      </c>
      <c r="K30" s="70">
        <v>0</v>
      </c>
      <c r="L30" s="70">
        <v>0</v>
      </c>
      <c r="M30" s="70">
        <v>0</v>
      </c>
      <c r="N30" s="70">
        <v>0</v>
      </c>
      <c r="O30" s="70">
        <v>0</v>
      </c>
      <c r="P30" s="70">
        <v>0</v>
      </c>
      <c r="Q30" s="70">
        <v>0</v>
      </c>
    </row>
    <row r="31" spans="2:17" ht="27.75" customHeight="1" x14ac:dyDescent="0.3">
      <c r="B31" s="37" t="s">
        <v>90</v>
      </c>
      <c r="C31" s="72">
        <f t="shared" ref="C31:Q31" si="0">SUM(C6:C30)</f>
        <v>0</v>
      </c>
      <c r="D31" s="72">
        <f t="shared" si="0"/>
        <v>0</v>
      </c>
      <c r="E31" s="72">
        <f t="shared" si="0"/>
        <v>0</v>
      </c>
      <c r="F31" s="72">
        <f t="shared" si="0"/>
        <v>0</v>
      </c>
      <c r="G31" s="72">
        <f t="shared" si="0"/>
        <v>0</v>
      </c>
      <c r="H31" s="72">
        <f t="shared" si="0"/>
        <v>0</v>
      </c>
      <c r="I31" s="72">
        <f t="shared" si="0"/>
        <v>0</v>
      </c>
      <c r="J31" s="72">
        <f t="shared" si="0"/>
        <v>0</v>
      </c>
      <c r="K31" s="72">
        <f t="shared" si="0"/>
        <v>0</v>
      </c>
      <c r="L31" s="72">
        <f t="shared" si="0"/>
        <v>0</v>
      </c>
      <c r="M31" s="72">
        <f t="shared" si="0"/>
        <v>0</v>
      </c>
      <c r="N31" s="72">
        <f t="shared" si="0"/>
        <v>0</v>
      </c>
      <c r="O31" s="72">
        <f t="shared" si="0"/>
        <v>0</v>
      </c>
      <c r="P31" s="72">
        <f t="shared" si="0"/>
        <v>0</v>
      </c>
      <c r="Q31" s="72">
        <f t="shared" si="0"/>
        <v>0</v>
      </c>
    </row>
    <row r="32" spans="2:17" ht="27.75" customHeight="1" x14ac:dyDescent="0.35">
      <c r="B32" s="261" t="s">
        <v>91</v>
      </c>
      <c r="C32" s="252"/>
      <c r="D32" s="252"/>
      <c r="E32" s="252"/>
      <c r="F32" s="252"/>
      <c r="G32" s="252"/>
      <c r="H32" s="252"/>
      <c r="I32" s="252"/>
      <c r="J32" s="252"/>
      <c r="K32" s="252"/>
      <c r="L32" s="252"/>
      <c r="M32" s="252"/>
      <c r="N32" s="252"/>
      <c r="O32" s="252"/>
      <c r="P32" s="252"/>
      <c r="Q32" s="253"/>
    </row>
    <row r="33" spans="2:17" ht="27.75" customHeight="1" x14ac:dyDescent="0.3">
      <c r="B33" s="6" t="s">
        <v>92</v>
      </c>
      <c r="C33" s="70">
        <v>0</v>
      </c>
      <c r="D33" s="70">
        <v>0</v>
      </c>
      <c r="E33" s="70">
        <v>0</v>
      </c>
      <c r="F33" s="70">
        <v>0</v>
      </c>
      <c r="G33" s="70">
        <v>0</v>
      </c>
      <c r="H33" s="70">
        <v>0</v>
      </c>
      <c r="I33" s="70">
        <v>0</v>
      </c>
      <c r="J33" s="70">
        <v>0</v>
      </c>
      <c r="K33" s="70">
        <v>0</v>
      </c>
      <c r="L33" s="70">
        <v>0</v>
      </c>
      <c r="M33" s="70">
        <v>0</v>
      </c>
      <c r="N33" s="70">
        <v>0</v>
      </c>
      <c r="O33" s="70">
        <v>0</v>
      </c>
      <c r="P33" s="70">
        <v>0</v>
      </c>
      <c r="Q33" s="70">
        <v>0</v>
      </c>
    </row>
    <row r="34" spans="2:17" ht="27.75" customHeight="1" x14ac:dyDescent="0.3">
      <c r="B34" s="6" t="s">
        <v>93</v>
      </c>
      <c r="C34" s="70">
        <v>0</v>
      </c>
      <c r="D34" s="70">
        <v>0</v>
      </c>
      <c r="E34" s="70">
        <v>0</v>
      </c>
      <c r="F34" s="70">
        <v>0</v>
      </c>
      <c r="G34" s="70">
        <v>0</v>
      </c>
      <c r="H34" s="70">
        <v>0</v>
      </c>
      <c r="I34" s="70">
        <v>0</v>
      </c>
      <c r="J34" s="70">
        <v>0</v>
      </c>
      <c r="K34" s="70">
        <v>0</v>
      </c>
      <c r="L34" s="70">
        <v>0</v>
      </c>
      <c r="M34" s="70">
        <v>0</v>
      </c>
      <c r="N34" s="70">
        <v>0</v>
      </c>
      <c r="O34" s="70">
        <v>0</v>
      </c>
      <c r="P34" s="70">
        <v>0</v>
      </c>
      <c r="Q34" s="70">
        <v>0</v>
      </c>
    </row>
    <row r="35" spans="2:17" ht="27.75" customHeight="1" x14ac:dyDescent="0.3">
      <c r="B35" s="6" t="s">
        <v>95</v>
      </c>
      <c r="C35" s="70">
        <v>0</v>
      </c>
      <c r="D35" s="70">
        <v>0</v>
      </c>
      <c r="E35" s="70">
        <v>0</v>
      </c>
      <c r="F35" s="70">
        <v>0</v>
      </c>
      <c r="G35" s="70">
        <v>0</v>
      </c>
      <c r="H35" s="70">
        <v>0</v>
      </c>
      <c r="I35" s="70">
        <v>0</v>
      </c>
      <c r="J35" s="70">
        <v>0</v>
      </c>
      <c r="K35" s="70">
        <v>0</v>
      </c>
      <c r="L35" s="70">
        <v>0</v>
      </c>
      <c r="M35" s="70">
        <v>0</v>
      </c>
      <c r="N35" s="70">
        <v>0</v>
      </c>
      <c r="O35" s="70">
        <v>0</v>
      </c>
      <c r="P35" s="70">
        <v>0</v>
      </c>
      <c r="Q35" s="70">
        <v>0</v>
      </c>
    </row>
    <row r="36" spans="2:17" ht="27.75" customHeight="1" x14ac:dyDescent="0.3">
      <c r="B36" s="37" t="s">
        <v>90</v>
      </c>
      <c r="C36" s="72">
        <f t="shared" ref="C36:Q36" si="1">SUM(C33:C35)</f>
        <v>0</v>
      </c>
      <c r="D36" s="72">
        <f t="shared" si="1"/>
        <v>0</v>
      </c>
      <c r="E36" s="72">
        <f t="shared" si="1"/>
        <v>0</v>
      </c>
      <c r="F36" s="72">
        <f t="shared" si="1"/>
        <v>0</v>
      </c>
      <c r="G36" s="72">
        <f t="shared" si="1"/>
        <v>0</v>
      </c>
      <c r="H36" s="72">
        <f t="shared" si="1"/>
        <v>0</v>
      </c>
      <c r="I36" s="72">
        <f t="shared" si="1"/>
        <v>0</v>
      </c>
      <c r="J36" s="72">
        <f t="shared" si="1"/>
        <v>0</v>
      </c>
      <c r="K36" s="72">
        <f t="shared" si="1"/>
        <v>0</v>
      </c>
      <c r="L36" s="72">
        <f t="shared" si="1"/>
        <v>0</v>
      </c>
      <c r="M36" s="72">
        <f t="shared" si="1"/>
        <v>0</v>
      </c>
      <c r="N36" s="72">
        <f t="shared" si="1"/>
        <v>0</v>
      </c>
      <c r="O36" s="72">
        <f t="shared" si="1"/>
        <v>0</v>
      </c>
      <c r="P36" s="72">
        <f t="shared" si="1"/>
        <v>0</v>
      </c>
      <c r="Q36" s="72">
        <f t="shared" si="1"/>
        <v>0</v>
      </c>
    </row>
    <row r="37" spans="2:17" ht="14.5" customHeight="1" x14ac:dyDescent="0.35">
      <c r="B37" s="265" t="s">
        <v>98</v>
      </c>
      <c r="C37" s="255"/>
      <c r="D37" s="255"/>
      <c r="E37" s="255"/>
      <c r="F37" s="255"/>
      <c r="G37" s="255"/>
      <c r="H37" s="255"/>
      <c r="I37" s="255"/>
      <c r="J37" s="255"/>
      <c r="K37" s="255"/>
      <c r="L37" s="255"/>
      <c r="M37" s="255"/>
      <c r="N37" s="255"/>
      <c r="O37" s="255"/>
      <c r="P37" s="255"/>
      <c r="Q37" s="255"/>
    </row>
  </sheetData>
  <sheetProtection algorithmName="SHA-512" hashValue="/W/WU5/vrX0e4SrXAyqMZYWbYwvhx2yyB3eCtQU++qk+HOuKRrtTzK+lbsOqx7CxAszbUK/a9dH7ZsdggV4/Sg==" saltValue="p0uwYHDetcvXghguODRevQ==" spinCount="100000" sheet="1" objects="1" scenarios="1"/>
  <mergeCells count="4">
    <mergeCell ref="B32:Q32"/>
    <mergeCell ref="B37:Q37"/>
    <mergeCell ref="B3:Q3"/>
    <mergeCell ref="B5:Q5"/>
  </mergeCells>
  <pageMargins left="0.7" right="0.7" top="0.75" bottom="0.75" header="0.3" footer="0.3"/>
  <pageSetup paperSize="9" scale="35"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0">
    <tabColor rgb="FF92D050"/>
    <pageSetUpPr fitToPage="1"/>
  </sheetPr>
  <dimension ref="B3:Q37"/>
  <sheetViews>
    <sheetView topLeftCell="A27" zoomScale="70" workbookViewId="0">
      <selection activeCell="B35" sqref="B35"/>
    </sheetView>
  </sheetViews>
  <sheetFormatPr defaultColWidth="9.453125" defaultRowHeight="18.75" customHeight="1" x14ac:dyDescent="0.35"/>
  <cols>
    <col min="1" max="1" width="15.453125" customWidth="1"/>
    <col min="2" max="2" width="45.453125" bestFit="1" customWidth="1"/>
    <col min="3" max="16" width="20.453125" customWidth="1"/>
    <col min="17" max="17" width="20.453125" style="1" customWidth="1"/>
  </cols>
  <sheetData>
    <row r="3" spans="2:17" ht="26.25" customHeight="1" x14ac:dyDescent="0.35">
      <c r="B3" s="267" t="str">
        <f>_xlfn.CONCAT("SUMMARY OF PENSIONS BUSINESS REVENUE ACCOUNTS FOR THE PERIOD ENDED"," ",Details!F18)</f>
        <v>SUMMARY OF PENSIONS BUSINESS REVENUE ACCOUNTS FOR THE PERIOD ENDED 31.03.2025</v>
      </c>
      <c r="C3" s="252"/>
      <c r="D3" s="252"/>
      <c r="E3" s="252"/>
      <c r="F3" s="252"/>
      <c r="G3" s="252"/>
      <c r="H3" s="252"/>
      <c r="I3" s="252"/>
      <c r="J3" s="252"/>
      <c r="K3" s="252"/>
      <c r="L3" s="252"/>
      <c r="M3" s="252"/>
      <c r="N3" s="252"/>
      <c r="O3" s="252"/>
      <c r="P3" s="252"/>
      <c r="Q3" s="253"/>
    </row>
    <row r="4" spans="2:17" s="53" customFormat="1" ht="28.5" customHeight="1" x14ac:dyDescent="0.35">
      <c r="B4" s="43" t="s">
        <v>36</v>
      </c>
      <c r="C4" s="45" t="s">
        <v>140</v>
      </c>
      <c r="D4" s="45" t="s">
        <v>141</v>
      </c>
      <c r="E4" s="45" t="s">
        <v>142</v>
      </c>
      <c r="F4" s="45" t="s">
        <v>143</v>
      </c>
      <c r="G4" s="45" t="s">
        <v>144</v>
      </c>
      <c r="H4" s="45" t="s">
        <v>145</v>
      </c>
      <c r="I4" s="45" t="s">
        <v>146</v>
      </c>
      <c r="J4" s="45" t="s">
        <v>147</v>
      </c>
      <c r="K4" s="45" t="s">
        <v>148</v>
      </c>
      <c r="L4" s="45" t="s">
        <v>149</v>
      </c>
      <c r="M4" s="45" t="s">
        <v>150</v>
      </c>
      <c r="N4" s="45" t="s">
        <v>151</v>
      </c>
      <c r="O4" s="45" t="s">
        <v>152</v>
      </c>
      <c r="P4" s="45" t="s">
        <v>153</v>
      </c>
      <c r="Q4" s="45" t="s">
        <v>154</v>
      </c>
    </row>
    <row r="5" spans="2:17" ht="32.25" customHeight="1" x14ac:dyDescent="0.35">
      <c r="B5" s="266" t="s">
        <v>53</v>
      </c>
      <c r="C5" s="252"/>
      <c r="D5" s="252"/>
      <c r="E5" s="252"/>
      <c r="F5" s="252"/>
      <c r="G5" s="252"/>
      <c r="H5" s="252"/>
      <c r="I5" s="252"/>
      <c r="J5" s="252"/>
      <c r="K5" s="252"/>
      <c r="L5" s="252"/>
      <c r="M5" s="252"/>
      <c r="N5" s="252"/>
      <c r="O5" s="252"/>
      <c r="P5" s="252"/>
      <c r="Q5" s="253"/>
    </row>
    <row r="6" spans="2:17" ht="32.25" customHeight="1" x14ac:dyDescent="0.35">
      <c r="B6" s="6" t="s">
        <v>99</v>
      </c>
      <c r="C6" s="46">
        <f>+'APPENDIX 12'!C6+'APPENDIX 13'!C6</f>
        <v>0</v>
      </c>
      <c r="D6" s="46">
        <f>+'APPENDIX 12'!D6+'APPENDIX 13'!D6</f>
        <v>0</v>
      </c>
      <c r="E6" s="46">
        <f>+'APPENDIX 12'!E6+'APPENDIX 13'!E6</f>
        <v>0</v>
      </c>
      <c r="F6" s="46">
        <f>+'APPENDIX 12'!F6+'APPENDIX 13'!F6</f>
        <v>0</v>
      </c>
      <c r="G6" s="46">
        <f>+'APPENDIX 12'!G6+'APPENDIX 13'!G6</f>
        <v>0</v>
      </c>
      <c r="H6" s="46">
        <f>+'APPENDIX 12'!H6+'APPENDIX 13'!H6</f>
        <v>0</v>
      </c>
      <c r="I6" s="46">
        <f>+'APPENDIX 12'!I6+'APPENDIX 13'!I6</f>
        <v>0</v>
      </c>
      <c r="J6" s="46">
        <f>+'APPENDIX 12'!J6+'APPENDIX 13'!J6</f>
        <v>0</v>
      </c>
      <c r="K6" s="46">
        <f>+'APPENDIX 12'!K6+'APPENDIX 13'!K6</f>
        <v>0</v>
      </c>
      <c r="L6" s="46">
        <f>+'APPENDIX 12'!L6+'APPENDIX 13'!L6</f>
        <v>0</v>
      </c>
      <c r="M6" s="46">
        <f>+'APPENDIX 12'!M6+'APPENDIX 13'!M6</f>
        <v>0</v>
      </c>
      <c r="N6" s="46">
        <f>+'APPENDIX 12'!N6+'APPENDIX 13'!N6</f>
        <v>0</v>
      </c>
      <c r="O6" s="46">
        <f>+'APPENDIX 12'!O6+'APPENDIX 13'!O6</f>
        <v>0</v>
      </c>
      <c r="P6" s="46">
        <f>+'APPENDIX 12'!P6+'APPENDIX 13'!P6</f>
        <v>0</v>
      </c>
      <c r="Q6" s="58">
        <f>+'APPENDIX 12'!Q6+'APPENDIX 13'!Q6</f>
        <v>0</v>
      </c>
    </row>
    <row r="7" spans="2:17" ht="32.25" customHeight="1" x14ac:dyDescent="0.35">
      <c r="B7" s="3" t="s">
        <v>100</v>
      </c>
      <c r="C7" s="46">
        <f>+'APPENDIX 12'!C7+'APPENDIX 13'!C7</f>
        <v>9733226.7571580485</v>
      </c>
      <c r="D7" s="46">
        <f>+'APPENDIX 12'!D7+'APPENDIX 13'!D7</f>
        <v>305513.69099999999</v>
      </c>
      <c r="E7" s="46">
        <f>+'APPENDIX 12'!E7+'APPENDIX 13'!E7</f>
        <v>305513.69099999999</v>
      </c>
      <c r="F7" s="46">
        <f>+'APPENDIX 12'!F7+'APPENDIX 13'!F7</f>
        <v>0</v>
      </c>
      <c r="G7" s="46">
        <f>+'APPENDIX 12'!G7+'APPENDIX 13'!G7</f>
        <v>207628.18065999998</v>
      </c>
      <c r="H7" s="46">
        <f>+'APPENDIX 12'!H7+'APPENDIX 13'!H7</f>
        <v>207628.18065999998</v>
      </c>
      <c r="I7" s="46">
        <f>+'APPENDIX 12'!I7+'APPENDIX 13'!I7</f>
        <v>0</v>
      </c>
      <c r="J7" s="46">
        <f>+'APPENDIX 12'!J7+'APPENDIX 13'!J7</f>
        <v>0</v>
      </c>
      <c r="K7" s="46">
        <f>+'APPENDIX 12'!K7+'APPENDIX 13'!K7</f>
        <v>0</v>
      </c>
      <c r="L7" s="46">
        <f>+'APPENDIX 12'!L7+'APPENDIX 13'!L7</f>
        <v>28859.829100000003</v>
      </c>
      <c r="M7" s="46">
        <f>+'APPENDIX 12'!M7+'APPENDIX 13'!M7</f>
        <v>10297.57186453079</v>
      </c>
      <c r="N7" s="46">
        <f>+'APPENDIX 12'!N7+'APPENDIX 13'!N7</f>
        <v>383329.74982356274</v>
      </c>
      <c r="O7" s="46">
        <f>+'APPENDIX 12'!O7+'APPENDIX 13'!O7</f>
        <v>6026.8356311587413</v>
      </c>
      <c r="P7" s="46">
        <f>+'APPENDIX 12'!P7+'APPENDIX 13'!P7</f>
        <v>0</v>
      </c>
      <c r="Q7" s="58">
        <f>+'APPENDIX 12'!Q7+'APPENDIX 13'!Q7</f>
        <v>10169257.780725924</v>
      </c>
    </row>
    <row r="8" spans="2:17" ht="32.25" customHeight="1" x14ac:dyDescent="0.35">
      <c r="B8" s="3" t="s">
        <v>101</v>
      </c>
      <c r="C8" s="46">
        <f>+'APPENDIX 12'!C8+'APPENDIX 13'!C8</f>
        <v>77630271.833904281</v>
      </c>
      <c r="D8" s="46">
        <f>+'APPENDIX 12'!D8+'APPENDIX 13'!D8</f>
        <v>2271395.7490900001</v>
      </c>
      <c r="E8" s="46">
        <f>+'APPENDIX 12'!E8+'APPENDIX 13'!E8</f>
        <v>2271395.7490900001</v>
      </c>
      <c r="F8" s="46">
        <f>+'APPENDIX 12'!F8+'APPENDIX 13'!F8</f>
        <v>0</v>
      </c>
      <c r="G8" s="46">
        <f>+'APPENDIX 12'!G8+'APPENDIX 13'!G8</f>
        <v>4359755.3733900003</v>
      </c>
      <c r="H8" s="46">
        <f>+'APPENDIX 12'!H8+'APPENDIX 13'!H8</f>
        <v>4359755.3733900003</v>
      </c>
      <c r="I8" s="46">
        <f>+'APPENDIX 12'!I8+'APPENDIX 13'!I8</f>
        <v>0</v>
      </c>
      <c r="J8" s="46">
        <f>+'APPENDIX 12'!J8+'APPENDIX 13'!J8</f>
        <v>0</v>
      </c>
      <c r="K8" s="46">
        <f>+'APPENDIX 12'!K8+'APPENDIX 13'!K8</f>
        <v>0</v>
      </c>
      <c r="L8" s="46">
        <f>+'APPENDIX 12'!L8+'APPENDIX 13'!L8</f>
        <v>20059.08194</v>
      </c>
      <c r="M8" s="46">
        <f>+'APPENDIX 12'!M8+'APPENDIX 13'!M8</f>
        <v>199408.321</v>
      </c>
      <c r="N8" s="46">
        <f>+'APPENDIX 12'!N8+'APPENDIX 13'!N8</f>
        <v>3774137.5150000001</v>
      </c>
      <c r="O8" s="46">
        <f>+'APPENDIX 12'!O8+'APPENDIX 13'!O8</f>
        <v>6424.9969999999994</v>
      </c>
      <c r="P8" s="46">
        <f>+'APPENDIX 12'!P8+'APPENDIX 13'!P8</f>
        <v>348153.95799999998</v>
      </c>
      <c r="Q8" s="58">
        <f>+'APPENDIX 12'!Q8+'APPENDIX 13'!Q8</f>
        <v>78742003.366664276</v>
      </c>
    </row>
    <row r="9" spans="2:17" ht="32.25" customHeight="1" x14ac:dyDescent="0.35">
      <c r="B9" s="3" t="s">
        <v>102</v>
      </c>
      <c r="C9" s="46">
        <f>+'APPENDIX 12'!C9+'APPENDIX 13'!C9</f>
        <v>0</v>
      </c>
      <c r="D9" s="46">
        <f>+'APPENDIX 12'!D9+'APPENDIX 13'!D9</f>
        <v>0</v>
      </c>
      <c r="E9" s="46">
        <f>+'APPENDIX 12'!E9+'APPENDIX 13'!E9</f>
        <v>0</v>
      </c>
      <c r="F9" s="46">
        <f>+'APPENDIX 12'!F9+'APPENDIX 13'!F9</f>
        <v>0</v>
      </c>
      <c r="G9" s="46">
        <f>+'APPENDIX 12'!G9+'APPENDIX 13'!G9</f>
        <v>0</v>
      </c>
      <c r="H9" s="46">
        <f>+'APPENDIX 12'!H9+'APPENDIX 13'!H9</f>
        <v>0</v>
      </c>
      <c r="I9" s="46">
        <f>+'APPENDIX 12'!I9+'APPENDIX 13'!I9</f>
        <v>0</v>
      </c>
      <c r="J9" s="46">
        <f>+'APPENDIX 12'!J9+'APPENDIX 13'!J9</f>
        <v>0</v>
      </c>
      <c r="K9" s="46">
        <f>+'APPENDIX 12'!K9+'APPENDIX 13'!K9</f>
        <v>0</v>
      </c>
      <c r="L9" s="46">
        <f>+'APPENDIX 12'!L9+'APPENDIX 13'!L9</f>
        <v>0</v>
      </c>
      <c r="M9" s="46">
        <f>+'APPENDIX 12'!M9+'APPENDIX 13'!M9</f>
        <v>0</v>
      </c>
      <c r="N9" s="46">
        <f>+'APPENDIX 12'!N9+'APPENDIX 13'!N9</f>
        <v>0</v>
      </c>
      <c r="O9" s="46">
        <f>+'APPENDIX 12'!O9+'APPENDIX 13'!O9</f>
        <v>0</v>
      </c>
      <c r="P9" s="46">
        <f>+'APPENDIX 12'!P9+'APPENDIX 13'!P9</f>
        <v>0</v>
      </c>
      <c r="Q9" s="58">
        <f>+'APPENDIX 12'!Q9+'APPENDIX 13'!Q9</f>
        <v>0</v>
      </c>
    </row>
    <row r="10" spans="2:17" ht="32.25" customHeight="1" x14ac:dyDescent="0.35">
      <c r="B10" s="3" t="s">
        <v>103</v>
      </c>
      <c r="C10" s="46">
        <f>+'APPENDIX 12'!C10+'APPENDIX 13'!C10</f>
        <v>0</v>
      </c>
      <c r="D10" s="46">
        <f>+'APPENDIX 12'!D10+'APPENDIX 13'!D10</f>
        <v>0</v>
      </c>
      <c r="E10" s="46">
        <f>+'APPENDIX 12'!E10+'APPENDIX 13'!E10</f>
        <v>0</v>
      </c>
      <c r="F10" s="46">
        <f>+'APPENDIX 12'!F10+'APPENDIX 13'!F10</f>
        <v>0</v>
      </c>
      <c r="G10" s="46">
        <f>+'APPENDIX 12'!G10+'APPENDIX 13'!G10</f>
        <v>0</v>
      </c>
      <c r="H10" s="46">
        <f>+'APPENDIX 12'!H10+'APPENDIX 13'!H10</f>
        <v>0</v>
      </c>
      <c r="I10" s="46">
        <f>+'APPENDIX 12'!I10+'APPENDIX 13'!I10</f>
        <v>0</v>
      </c>
      <c r="J10" s="46">
        <f>+'APPENDIX 12'!J10+'APPENDIX 13'!J10</f>
        <v>0</v>
      </c>
      <c r="K10" s="46">
        <f>+'APPENDIX 12'!K10+'APPENDIX 13'!K10</f>
        <v>0</v>
      </c>
      <c r="L10" s="46">
        <f>+'APPENDIX 12'!L10+'APPENDIX 13'!L10</f>
        <v>0</v>
      </c>
      <c r="M10" s="46">
        <f>+'APPENDIX 12'!M10+'APPENDIX 13'!M10</f>
        <v>0</v>
      </c>
      <c r="N10" s="46">
        <f>+'APPENDIX 12'!N10+'APPENDIX 13'!N10</f>
        <v>0</v>
      </c>
      <c r="O10" s="46">
        <f>+'APPENDIX 12'!O10+'APPENDIX 13'!O10</f>
        <v>0</v>
      </c>
      <c r="P10" s="46">
        <f>+'APPENDIX 12'!P10+'APPENDIX 13'!P10</f>
        <v>0</v>
      </c>
      <c r="Q10" s="58">
        <f>+'APPENDIX 12'!Q10+'APPENDIX 13'!Q10</f>
        <v>0</v>
      </c>
    </row>
    <row r="11" spans="2:17" ht="32.25" customHeight="1" x14ac:dyDescent="0.35">
      <c r="B11" s="3" t="s">
        <v>104</v>
      </c>
      <c r="C11" s="46">
        <f>+'APPENDIX 12'!C11+'APPENDIX 13'!C11</f>
        <v>13492769.514529999</v>
      </c>
      <c r="D11" s="46">
        <f>+'APPENDIX 12'!D11+'APPENDIX 13'!D11</f>
        <v>863483.15692999994</v>
      </c>
      <c r="E11" s="46">
        <f>+'APPENDIX 12'!E11+'APPENDIX 13'!E11</f>
        <v>863483.15692999994</v>
      </c>
      <c r="F11" s="46">
        <f>+'APPENDIX 12'!F11+'APPENDIX 13'!F11</f>
        <v>0</v>
      </c>
      <c r="G11" s="46">
        <f>+'APPENDIX 12'!G11+'APPENDIX 13'!G11</f>
        <v>363697.98700000002</v>
      </c>
      <c r="H11" s="46">
        <f>+'APPENDIX 12'!H11+'APPENDIX 13'!H11</f>
        <v>363697.98700000002</v>
      </c>
      <c r="I11" s="46">
        <f>+'APPENDIX 12'!I11+'APPENDIX 13'!I11</f>
        <v>0</v>
      </c>
      <c r="J11" s="46">
        <f>+'APPENDIX 12'!J11+'APPENDIX 13'!J11</f>
        <v>0</v>
      </c>
      <c r="K11" s="46">
        <f>+'APPENDIX 12'!K11+'APPENDIX 13'!K11</f>
        <v>0</v>
      </c>
      <c r="L11" s="46">
        <f>+'APPENDIX 12'!L11+'APPENDIX 13'!L11</f>
        <v>13216.58933000001</v>
      </c>
      <c r="M11" s="46">
        <f>+'APPENDIX 12'!M11+'APPENDIX 13'!M11</f>
        <v>29948.26585</v>
      </c>
      <c r="N11" s="46">
        <f>+'APPENDIX 12'!N11+'APPENDIX 13'!N11</f>
        <v>0</v>
      </c>
      <c r="O11" s="46">
        <f>+'APPENDIX 12'!O11+'APPENDIX 13'!O11</f>
        <v>0</v>
      </c>
      <c r="P11" s="46">
        <f>+'APPENDIX 12'!P11+'APPENDIX 13'!P11</f>
        <v>0</v>
      </c>
      <c r="Q11" s="58">
        <f>+'APPENDIX 12'!Q11+'APPENDIX 13'!Q11</f>
        <v>13949389.829279991</v>
      </c>
    </row>
    <row r="12" spans="2:17" ht="32.25" customHeight="1" x14ac:dyDescent="0.35">
      <c r="B12" s="3" t="s">
        <v>60</v>
      </c>
      <c r="C12" s="46">
        <f>+'APPENDIX 12'!C12+'APPENDIX 13'!C12</f>
        <v>0</v>
      </c>
      <c r="D12" s="46">
        <f>+'APPENDIX 12'!D12+'APPENDIX 13'!D12</f>
        <v>0</v>
      </c>
      <c r="E12" s="46">
        <f>+'APPENDIX 12'!E12+'APPENDIX 13'!E12</f>
        <v>0</v>
      </c>
      <c r="F12" s="46">
        <f>+'APPENDIX 12'!F12+'APPENDIX 13'!F12</f>
        <v>0</v>
      </c>
      <c r="G12" s="46">
        <f>+'APPENDIX 12'!G12+'APPENDIX 13'!G12</f>
        <v>0</v>
      </c>
      <c r="H12" s="46">
        <f>+'APPENDIX 12'!H12+'APPENDIX 13'!H12</f>
        <v>0</v>
      </c>
      <c r="I12" s="46">
        <f>+'APPENDIX 12'!I12+'APPENDIX 13'!I12</f>
        <v>0</v>
      </c>
      <c r="J12" s="46">
        <f>+'APPENDIX 12'!J12+'APPENDIX 13'!J12</f>
        <v>0</v>
      </c>
      <c r="K12" s="46">
        <f>+'APPENDIX 12'!K12+'APPENDIX 13'!K12</f>
        <v>0</v>
      </c>
      <c r="L12" s="46">
        <f>+'APPENDIX 12'!L12+'APPENDIX 13'!L12</f>
        <v>0</v>
      </c>
      <c r="M12" s="46">
        <f>+'APPENDIX 12'!M12+'APPENDIX 13'!M12</f>
        <v>0</v>
      </c>
      <c r="N12" s="46">
        <f>+'APPENDIX 12'!N12+'APPENDIX 13'!N12</f>
        <v>0</v>
      </c>
      <c r="O12" s="46">
        <f>+'APPENDIX 12'!O12+'APPENDIX 13'!O12</f>
        <v>0</v>
      </c>
      <c r="P12" s="46">
        <f>+'APPENDIX 12'!P12+'APPENDIX 13'!P12</f>
        <v>0</v>
      </c>
      <c r="Q12" s="58">
        <f>+'APPENDIX 12'!Q12+'APPENDIX 13'!Q12</f>
        <v>0</v>
      </c>
    </row>
    <row r="13" spans="2:17" ht="32.25" customHeight="1" x14ac:dyDescent="0.35">
      <c r="B13" s="3" t="s">
        <v>105</v>
      </c>
      <c r="C13" s="46">
        <f>+'APPENDIX 12'!C13+'APPENDIX 13'!C13</f>
        <v>13828976.860404469</v>
      </c>
      <c r="D13" s="46">
        <f>+'APPENDIX 12'!D13+'APPENDIX 13'!D13</f>
        <v>693459.14899999998</v>
      </c>
      <c r="E13" s="46">
        <f>+'APPENDIX 12'!E13+'APPENDIX 13'!E13</f>
        <v>693459.14899999998</v>
      </c>
      <c r="F13" s="46">
        <f>+'APPENDIX 12'!F13+'APPENDIX 13'!F13</f>
        <v>0</v>
      </c>
      <c r="G13" s="46">
        <f>+'APPENDIX 12'!G13+'APPENDIX 13'!G13</f>
        <v>0</v>
      </c>
      <c r="H13" s="46">
        <f>+'APPENDIX 12'!H13+'APPENDIX 13'!H13</f>
        <v>0</v>
      </c>
      <c r="I13" s="46">
        <f>+'APPENDIX 12'!I13+'APPENDIX 13'!I13</f>
        <v>0</v>
      </c>
      <c r="J13" s="46">
        <f>+'APPENDIX 12'!J13+'APPENDIX 13'!J13</f>
        <v>0</v>
      </c>
      <c r="K13" s="46">
        <f>+'APPENDIX 12'!K13+'APPENDIX 13'!K13</f>
        <v>0</v>
      </c>
      <c r="L13" s="46">
        <f>+'APPENDIX 12'!L13+'APPENDIX 13'!L13</f>
        <v>0</v>
      </c>
      <c r="M13" s="46">
        <f>+'APPENDIX 12'!M13+'APPENDIX 13'!M13</f>
        <v>1492.8275100000001</v>
      </c>
      <c r="N13" s="46">
        <f>+'APPENDIX 12'!N13+'APPENDIX 13'!N13</f>
        <v>507949.93871832901</v>
      </c>
      <c r="O13" s="46">
        <f>+'APPENDIX 12'!O13+'APPENDIX 13'!O13</f>
        <v>457154.9448464961</v>
      </c>
      <c r="P13" s="46">
        <f>+'APPENDIX 12'!P13+'APPENDIX 13'!P13</f>
        <v>0</v>
      </c>
      <c r="Q13" s="58">
        <f>+'APPENDIX 12'!Q13+'APPENDIX 13'!Q13</f>
        <v>14571738.1757663</v>
      </c>
    </row>
    <row r="14" spans="2:17" ht="32.25" customHeight="1" x14ac:dyDescent="0.35">
      <c r="B14" s="3" t="s">
        <v>106</v>
      </c>
      <c r="C14" s="46">
        <f>+'APPENDIX 12'!C14+'APPENDIX 13'!C14</f>
        <v>41439748.979819722</v>
      </c>
      <c r="D14" s="46">
        <f>+'APPENDIX 12'!D14+'APPENDIX 13'!D14</f>
        <v>5350315.10879</v>
      </c>
      <c r="E14" s="46">
        <f>+'APPENDIX 12'!E14+'APPENDIX 13'!E14</f>
        <v>5350315.10879</v>
      </c>
      <c r="F14" s="46">
        <f>+'APPENDIX 12'!F14+'APPENDIX 13'!F14</f>
        <v>0</v>
      </c>
      <c r="G14" s="46">
        <f>+'APPENDIX 12'!G14+'APPENDIX 13'!G14</f>
        <v>800588.18599999999</v>
      </c>
      <c r="H14" s="46">
        <f>+'APPENDIX 12'!H14+'APPENDIX 13'!H14</f>
        <v>800588.18599999999</v>
      </c>
      <c r="I14" s="46">
        <f>+'APPENDIX 12'!I14+'APPENDIX 13'!I14</f>
        <v>0</v>
      </c>
      <c r="J14" s="46">
        <f>+'APPENDIX 12'!J14+'APPENDIX 13'!J14</f>
        <v>0</v>
      </c>
      <c r="K14" s="46">
        <f>+'APPENDIX 12'!K14+'APPENDIX 13'!K14</f>
        <v>0</v>
      </c>
      <c r="L14" s="46">
        <f>+'APPENDIX 12'!L14+'APPENDIX 13'!L14</f>
        <v>12041.256529999999</v>
      </c>
      <c r="M14" s="46">
        <f>+'APPENDIX 12'!M14+'APPENDIX 13'!M14</f>
        <v>54652.817301100004</v>
      </c>
      <c r="N14" s="46">
        <f>+'APPENDIX 12'!N14+'APPENDIX 13'!N14</f>
        <v>1614748.3044099996</v>
      </c>
      <c r="O14" s="46">
        <f>+'APPENDIX 12'!O14+'APPENDIX 13'!O14</f>
        <v>0</v>
      </c>
      <c r="P14" s="46">
        <f>+'APPENDIX 12'!P14+'APPENDIX 13'!P14</f>
        <v>0</v>
      </c>
      <c r="Q14" s="58">
        <f>+'APPENDIX 12'!Q14+'APPENDIX 13'!Q14</f>
        <v>47537530.133188613</v>
      </c>
    </row>
    <row r="15" spans="2:17" ht="32.25" customHeight="1" x14ac:dyDescent="0.35">
      <c r="B15" s="3" t="s">
        <v>107</v>
      </c>
      <c r="C15" s="46">
        <f>+'APPENDIX 12'!C15+'APPENDIX 13'!C15</f>
        <v>872653.44799999997</v>
      </c>
      <c r="D15" s="46">
        <f>+'APPENDIX 12'!D15+'APPENDIX 13'!D15</f>
        <v>763310.09953990497</v>
      </c>
      <c r="E15" s="46">
        <f>+'APPENDIX 12'!E15+'APPENDIX 13'!E15</f>
        <v>763310.09953990497</v>
      </c>
      <c r="F15" s="46">
        <f>+'APPENDIX 12'!F15+'APPENDIX 13'!F15</f>
        <v>0</v>
      </c>
      <c r="G15" s="46">
        <f>+'APPENDIX 12'!G15+'APPENDIX 13'!G15</f>
        <v>0</v>
      </c>
      <c r="H15" s="46">
        <f>+'APPENDIX 12'!H15+'APPENDIX 13'!H15</f>
        <v>0</v>
      </c>
      <c r="I15" s="46">
        <f>+'APPENDIX 12'!I15+'APPENDIX 13'!I15</f>
        <v>0</v>
      </c>
      <c r="J15" s="46">
        <f>+'APPENDIX 12'!J15+'APPENDIX 13'!J15</f>
        <v>0</v>
      </c>
      <c r="K15" s="46">
        <f>+'APPENDIX 12'!K15+'APPENDIX 13'!K15</f>
        <v>0</v>
      </c>
      <c r="L15" s="46">
        <f>+'APPENDIX 12'!L15+'APPENDIX 13'!L15</f>
        <v>-960.01800000000003</v>
      </c>
      <c r="M15" s="46">
        <f>+'APPENDIX 12'!M15+'APPENDIX 13'!M15</f>
        <v>56.394599999999997</v>
      </c>
      <c r="N15" s="46">
        <f>+'APPENDIX 12'!N15+'APPENDIX 13'!N15</f>
        <v>0</v>
      </c>
      <c r="O15" s="46">
        <f>+'APPENDIX 12'!O15+'APPENDIX 13'!O15</f>
        <v>0</v>
      </c>
      <c r="P15" s="46">
        <f>+'APPENDIX 12'!P15+'APPENDIX 13'!P15</f>
        <v>873557.53100000008</v>
      </c>
      <c r="Q15" s="58">
        <f>+'APPENDIX 12'!Q15+'APPENDIX 13'!Q15</f>
        <v>763309.63993990491</v>
      </c>
    </row>
    <row r="16" spans="2:17" ht="32.25" customHeight="1" x14ac:dyDescent="0.35">
      <c r="B16" s="3" t="s">
        <v>108</v>
      </c>
      <c r="C16" s="46">
        <f>+'APPENDIX 12'!C16+'APPENDIX 13'!C16</f>
        <v>129492366.690874</v>
      </c>
      <c r="D16" s="46">
        <f>+'APPENDIX 12'!D16+'APPENDIX 13'!D16</f>
        <v>4377709.7399812778</v>
      </c>
      <c r="E16" s="46">
        <f>+'APPENDIX 12'!E16+'APPENDIX 13'!E16</f>
        <v>4377709.7399812778</v>
      </c>
      <c r="F16" s="46">
        <f>+'APPENDIX 12'!F16+'APPENDIX 13'!F16</f>
        <v>0</v>
      </c>
      <c r="G16" s="46">
        <f>+'APPENDIX 12'!G16+'APPENDIX 13'!G16</f>
        <v>3670957.9369999999</v>
      </c>
      <c r="H16" s="46">
        <f>+'APPENDIX 12'!H16+'APPENDIX 13'!H16</f>
        <v>3670957.9369999999</v>
      </c>
      <c r="I16" s="46">
        <f>+'APPENDIX 12'!I16+'APPENDIX 13'!I16</f>
        <v>0</v>
      </c>
      <c r="J16" s="46">
        <f>+'APPENDIX 12'!J16+'APPENDIX 13'!J16</f>
        <v>0</v>
      </c>
      <c r="K16" s="46">
        <f>+'APPENDIX 12'!K16+'APPENDIX 13'!K16</f>
        <v>0</v>
      </c>
      <c r="L16" s="46">
        <f>+'APPENDIX 12'!L16+'APPENDIX 13'!L16</f>
        <v>58848.811740000012</v>
      </c>
      <c r="M16" s="46">
        <f>+'APPENDIX 12'!M16+'APPENDIX 13'!M16</f>
        <v>188539.45342235715</v>
      </c>
      <c r="N16" s="46">
        <f>+'APPENDIX 12'!N16+'APPENDIX 13'!N16</f>
        <v>4902058.5750000002</v>
      </c>
      <c r="O16" s="46">
        <f>+'APPENDIX 12'!O16+'APPENDIX 13'!O16</f>
        <v>0</v>
      </c>
      <c r="P16" s="46">
        <f>+'APPENDIX 12'!P16+'APPENDIX 13'!P16</f>
        <v>0</v>
      </c>
      <c r="Q16" s="58">
        <f>+'APPENDIX 12'!Q16+'APPENDIX 13'!Q16</f>
        <v>134853788.80369294</v>
      </c>
    </row>
    <row r="17" spans="2:17" ht="32.25" customHeight="1" x14ac:dyDescent="0.35">
      <c r="B17" s="3" t="s">
        <v>155</v>
      </c>
      <c r="C17" s="46">
        <f>+'APPENDIX 12'!C17+'APPENDIX 13'!C17</f>
        <v>108282035.05343954</v>
      </c>
      <c r="D17" s="46">
        <f>+'APPENDIX 12'!D17+'APPENDIX 13'!D17</f>
        <v>4285612.5304899998</v>
      </c>
      <c r="E17" s="46">
        <f>+'APPENDIX 12'!E17+'APPENDIX 13'!E17</f>
        <v>4285612.5304899998</v>
      </c>
      <c r="F17" s="46">
        <f>+'APPENDIX 12'!F17+'APPENDIX 13'!F17</f>
        <v>0</v>
      </c>
      <c r="G17" s="46">
        <f>+'APPENDIX 12'!G17+'APPENDIX 13'!G17</f>
        <v>2155899.3110000002</v>
      </c>
      <c r="H17" s="46">
        <f>+'APPENDIX 12'!H17+'APPENDIX 13'!H17</f>
        <v>2155899.3110000002</v>
      </c>
      <c r="I17" s="46">
        <f>+'APPENDIX 12'!I17+'APPENDIX 13'!I17</f>
        <v>0</v>
      </c>
      <c r="J17" s="46">
        <f>+'APPENDIX 12'!J17+'APPENDIX 13'!J17</f>
        <v>0</v>
      </c>
      <c r="K17" s="46">
        <f>+'APPENDIX 12'!K17+'APPENDIX 13'!K17</f>
        <v>0</v>
      </c>
      <c r="L17" s="46">
        <f>+'APPENDIX 12'!L17+'APPENDIX 13'!L17</f>
        <v>48820.038999999997</v>
      </c>
      <c r="M17" s="46">
        <f>+'APPENDIX 12'!M17+'APPENDIX 13'!M17</f>
        <v>120235.1979899</v>
      </c>
      <c r="N17" s="46">
        <f>+'APPENDIX 12'!N17+'APPENDIX 13'!N17</f>
        <v>3623858.1198974778</v>
      </c>
      <c r="O17" s="46">
        <f>+'APPENDIX 12'!O17+'APPENDIX 13'!O17</f>
        <v>27878.766374124902</v>
      </c>
      <c r="P17" s="46">
        <f>+'APPENDIX 12'!P17+'APPENDIX 13'!P17</f>
        <v>0</v>
      </c>
      <c r="Q17" s="58">
        <f>+'APPENDIX 12'!Q17+'APPENDIX 13'!Q17</f>
        <v>113838672.38946305</v>
      </c>
    </row>
    <row r="18" spans="2:17" ht="32.25" customHeight="1" x14ac:dyDescent="0.35">
      <c r="B18" s="3" t="s">
        <v>110</v>
      </c>
      <c r="C18" s="46">
        <f>+'APPENDIX 12'!C18+'APPENDIX 13'!C18</f>
        <v>63665705.278999999</v>
      </c>
      <c r="D18" s="46">
        <f>+'APPENDIX 12'!D18+'APPENDIX 13'!D18</f>
        <v>1131024.2939300002</v>
      </c>
      <c r="E18" s="46">
        <f>+'APPENDIX 12'!E18+'APPENDIX 13'!E18</f>
        <v>1131024.2939300002</v>
      </c>
      <c r="F18" s="46">
        <f>+'APPENDIX 12'!F18+'APPENDIX 13'!F18</f>
        <v>0</v>
      </c>
      <c r="G18" s="46">
        <f>+'APPENDIX 12'!G18+'APPENDIX 13'!G18</f>
        <v>1287562.8740000001</v>
      </c>
      <c r="H18" s="46">
        <f>+'APPENDIX 12'!H18+'APPENDIX 13'!H18</f>
        <v>1287562.8740000001</v>
      </c>
      <c r="I18" s="46">
        <f>+'APPENDIX 12'!I18+'APPENDIX 13'!I18</f>
        <v>0</v>
      </c>
      <c r="J18" s="46">
        <f>+'APPENDIX 12'!J18+'APPENDIX 13'!J18</f>
        <v>0</v>
      </c>
      <c r="K18" s="46">
        <f>+'APPENDIX 12'!K18+'APPENDIX 13'!K18</f>
        <v>0</v>
      </c>
      <c r="L18" s="46">
        <f>+'APPENDIX 12'!L18+'APPENDIX 13'!L18</f>
        <v>21783.106</v>
      </c>
      <c r="M18" s="46">
        <f>+'APPENDIX 12'!M18+'APPENDIX 13'!M18</f>
        <v>52272.099000000002</v>
      </c>
      <c r="N18" s="46">
        <f>+'APPENDIX 12'!N18+'APPENDIX 13'!N18</f>
        <v>2211100.7489999998</v>
      </c>
      <c r="O18" s="46">
        <f>+'APPENDIX 12'!O18+'APPENDIX 13'!O18</f>
        <v>5996.8609999999999</v>
      </c>
      <c r="P18" s="46">
        <f>+'APPENDIX 12'!P18+'APPENDIX 13'!P18</f>
        <v>62500</v>
      </c>
      <c r="Q18" s="58">
        <f>+'APPENDIX 12'!Q18+'APPENDIX 13'!Q18</f>
        <v>65577715.381930001</v>
      </c>
    </row>
    <row r="19" spans="2:17" ht="32.25" customHeight="1" x14ac:dyDescent="0.35">
      <c r="B19" s="3" t="s">
        <v>111</v>
      </c>
      <c r="C19" s="46">
        <f>+'APPENDIX 12'!C19+'APPENDIX 13'!C19</f>
        <v>1874016.5908998111</v>
      </c>
      <c r="D19" s="46">
        <f>+'APPENDIX 12'!D19+'APPENDIX 13'!D19</f>
        <v>65740.53072000001</v>
      </c>
      <c r="E19" s="46">
        <f>+'APPENDIX 12'!E19+'APPENDIX 13'!E19</f>
        <v>65740.53072000001</v>
      </c>
      <c r="F19" s="46">
        <f>+'APPENDIX 12'!F19+'APPENDIX 13'!F19</f>
        <v>0</v>
      </c>
      <c r="G19" s="46">
        <f>+'APPENDIX 12'!G19+'APPENDIX 13'!G19</f>
        <v>33704.830650000011</v>
      </c>
      <c r="H19" s="46">
        <f>+'APPENDIX 12'!H19+'APPENDIX 13'!H19</f>
        <v>33704.830650000011</v>
      </c>
      <c r="I19" s="46">
        <f>+'APPENDIX 12'!I19+'APPENDIX 13'!I19</f>
        <v>0</v>
      </c>
      <c r="J19" s="46">
        <f>+'APPENDIX 12'!J19+'APPENDIX 13'!J19</f>
        <v>0</v>
      </c>
      <c r="K19" s="46">
        <f>+'APPENDIX 12'!K19+'APPENDIX 13'!K19</f>
        <v>0</v>
      </c>
      <c r="L19" s="46">
        <f>+'APPENDIX 12'!L19+'APPENDIX 13'!L19</f>
        <v>0</v>
      </c>
      <c r="M19" s="46">
        <f>+'APPENDIX 12'!M19+'APPENDIX 13'!M19</f>
        <v>147.06800000000001</v>
      </c>
      <c r="N19" s="46">
        <f>+'APPENDIX 12'!N19+'APPENDIX 13'!N19</f>
        <v>60925.453211496635</v>
      </c>
      <c r="O19" s="46">
        <f>+'APPENDIX 12'!O19+'APPENDIX 13'!O19</f>
        <v>0</v>
      </c>
      <c r="P19" s="46">
        <f>+'APPENDIX 12'!P19+'APPENDIX 13'!P19</f>
        <v>0</v>
      </c>
      <c r="Q19" s="58">
        <f>+'APPENDIX 12'!Q19+'APPENDIX 13'!Q19</f>
        <v>1966830.6761813078</v>
      </c>
    </row>
    <row r="20" spans="2:17" ht="32.25" customHeight="1" x14ac:dyDescent="0.35">
      <c r="B20" s="3" t="s">
        <v>112</v>
      </c>
      <c r="C20" s="46">
        <f>+'APPENDIX 12'!C20+'APPENDIX 13'!C20</f>
        <v>0</v>
      </c>
      <c r="D20" s="46">
        <f>+'APPENDIX 12'!D20+'APPENDIX 13'!D20</f>
        <v>0</v>
      </c>
      <c r="E20" s="46">
        <f>+'APPENDIX 12'!E20+'APPENDIX 13'!E20</f>
        <v>0</v>
      </c>
      <c r="F20" s="46">
        <f>+'APPENDIX 12'!F20+'APPENDIX 13'!F20</f>
        <v>0</v>
      </c>
      <c r="G20" s="46">
        <f>+'APPENDIX 12'!G20+'APPENDIX 13'!G20</f>
        <v>0</v>
      </c>
      <c r="H20" s="46">
        <f>+'APPENDIX 12'!H20+'APPENDIX 13'!H20</f>
        <v>0</v>
      </c>
      <c r="I20" s="46">
        <f>+'APPENDIX 12'!I20+'APPENDIX 13'!I20</f>
        <v>0</v>
      </c>
      <c r="J20" s="46">
        <f>+'APPENDIX 12'!J20+'APPENDIX 13'!J20</f>
        <v>0</v>
      </c>
      <c r="K20" s="46">
        <f>+'APPENDIX 12'!K20+'APPENDIX 13'!K20</f>
        <v>0</v>
      </c>
      <c r="L20" s="46">
        <f>+'APPENDIX 12'!L20+'APPENDIX 13'!L20</f>
        <v>0</v>
      </c>
      <c r="M20" s="46">
        <f>+'APPENDIX 12'!M20+'APPENDIX 13'!M20</f>
        <v>0</v>
      </c>
      <c r="N20" s="46">
        <f>+'APPENDIX 12'!N20+'APPENDIX 13'!N20</f>
        <v>0</v>
      </c>
      <c r="O20" s="46">
        <f>+'APPENDIX 12'!O20+'APPENDIX 13'!O20</f>
        <v>0</v>
      </c>
      <c r="P20" s="46">
        <f>+'APPENDIX 12'!P20+'APPENDIX 13'!P20</f>
        <v>0</v>
      </c>
      <c r="Q20" s="58">
        <f>+'APPENDIX 12'!Q20+'APPENDIX 13'!Q20</f>
        <v>0</v>
      </c>
    </row>
    <row r="21" spans="2:17" ht="32.25" customHeight="1" x14ac:dyDescent="0.35">
      <c r="B21" s="3" t="s">
        <v>113</v>
      </c>
      <c r="C21" s="46">
        <f>+'APPENDIX 12'!C21+'APPENDIX 13'!C21</f>
        <v>10395679.285946894</v>
      </c>
      <c r="D21" s="46">
        <f>+'APPENDIX 12'!D21+'APPENDIX 13'!D21</f>
        <v>355966.26780999999</v>
      </c>
      <c r="E21" s="46">
        <f>+'APPENDIX 12'!E21+'APPENDIX 13'!E21</f>
        <v>355966.26780999999</v>
      </c>
      <c r="F21" s="46">
        <f>+'APPENDIX 12'!F21+'APPENDIX 13'!F21</f>
        <v>0</v>
      </c>
      <c r="G21" s="46">
        <f>+'APPENDIX 12'!G21+'APPENDIX 13'!G21</f>
        <v>449316.65583</v>
      </c>
      <c r="H21" s="46">
        <f>+'APPENDIX 12'!H21+'APPENDIX 13'!H21</f>
        <v>449316.65583</v>
      </c>
      <c r="I21" s="46">
        <f>+'APPENDIX 12'!I21+'APPENDIX 13'!I21</f>
        <v>0</v>
      </c>
      <c r="J21" s="46">
        <f>+'APPENDIX 12'!J21+'APPENDIX 13'!J21</f>
        <v>0</v>
      </c>
      <c r="K21" s="46">
        <f>+'APPENDIX 12'!K21+'APPENDIX 13'!K21</f>
        <v>0</v>
      </c>
      <c r="L21" s="46">
        <f>+'APPENDIX 12'!L21+'APPENDIX 13'!L21</f>
        <v>4331.4466699999994</v>
      </c>
      <c r="M21" s="46">
        <f>+'APPENDIX 12'!M21+'APPENDIX 13'!M21</f>
        <v>116854.01533657304</v>
      </c>
      <c r="N21" s="46">
        <f>+'APPENDIX 12'!N21+'APPENDIX 13'!N21</f>
        <v>782234.98243000009</v>
      </c>
      <c r="O21" s="46">
        <f>+'APPENDIX 12'!O21+'APPENDIX 13'!O21</f>
        <v>9763.3671818683342</v>
      </c>
      <c r="P21" s="46">
        <f>+'APPENDIX 12'!P21+'APPENDIX 13'!P21</f>
        <v>0</v>
      </c>
      <c r="Q21" s="58">
        <f>+'APPENDIX 12'!Q21+'APPENDIX 13'!Q21</f>
        <v>10953615.051168453</v>
      </c>
    </row>
    <row r="22" spans="2:17" ht="32.25" customHeight="1" x14ac:dyDescent="0.35">
      <c r="B22" s="64" t="s">
        <v>74</v>
      </c>
      <c r="C22" s="46">
        <f>+'APPENDIX 12'!C22+'APPENDIX 13'!C22</f>
        <v>5193614.1740000006</v>
      </c>
      <c r="D22" s="46">
        <f>+'APPENDIX 12'!D22+'APPENDIX 13'!D22</f>
        <v>159122</v>
      </c>
      <c r="E22" s="46">
        <f>+'APPENDIX 12'!E22+'APPENDIX 13'!E22</f>
        <v>159122</v>
      </c>
      <c r="F22" s="46">
        <f>+'APPENDIX 12'!F22+'APPENDIX 13'!F22</f>
        <v>0</v>
      </c>
      <c r="G22" s="46">
        <f>+'APPENDIX 12'!G22+'APPENDIX 13'!G22</f>
        <v>164319</v>
      </c>
      <c r="H22" s="46">
        <f>+'APPENDIX 12'!H22+'APPENDIX 13'!H22</f>
        <v>164319</v>
      </c>
      <c r="I22" s="46">
        <f>+'APPENDIX 12'!I22+'APPENDIX 13'!I22</f>
        <v>0</v>
      </c>
      <c r="J22" s="46">
        <f>+'APPENDIX 12'!J22+'APPENDIX 13'!J22</f>
        <v>0</v>
      </c>
      <c r="K22" s="46">
        <f>+'APPENDIX 12'!K22+'APPENDIX 13'!K22</f>
        <v>0</v>
      </c>
      <c r="L22" s="46">
        <f>+'APPENDIX 12'!L22+'APPENDIX 13'!L22</f>
        <v>442</v>
      </c>
      <c r="M22" s="46">
        <f>+'APPENDIX 12'!M22+'APPENDIX 13'!M22</f>
        <v>46621.120999999999</v>
      </c>
      <c r="N22" s="46">
        <f>+'APPENDIX 12'!N22+'APPENDIX 13'!N22</f>
        <v>92669</v>
      </c>
      <c r="O22" s="46">
        <f>+'APPENDIX 12'!O22+'APPENDIX 13'!O22</f>
        <v>0</v>
      </c>
      <c r="P22" s="46">
        <f>+'APPENDIX 12'!P22+'APPENDIX 13'!P22</f>
        <v>0</v>
      </c>
      <c r="Q22" s="58">
        <f>+'APPENDIX 12'!Q22+'APPENDIX 13'!Q22</f>
        <v>5234023.0530000003</v>
      </c>
    </row>
    <row r="23" spans="2:17" ht="32.25" customHeight="1" x14ac:dyDescent="0.35">
      <c r="B23" s="64" t="s">
        <v>114</v>
      </c>
      <c r="C23" s="46">
        <f>'APPENDIX 12'!C23+'APPENDIX 13'!C23</f>
        <v>0</v>
      </c>
      <c r="D23" s="46">
        <f>'APPENDIX 12'!D23+'APPENDIX 13'!D23</f>
        <v>0</v>
      </c>
      <c r="E23" s="46">
        <f>'APPENDIX 12'!E23+'APPENDIX 13'!E23</f>
        <v>0</v>
      </c>
      <c r="F23" s="46">
        <f>'APPENDIX 12'!F23+'APPENDIX 13'!F23</f>
        <v>0</v>
      </c>
      <c r="G23" s="46">
        <f>'APPENDIX 12'!G23+'APPENDIX 13'!G23</f>
        <v>0</v>
      </c>
      <c r="H23" s="46">
        <f>'APPENDIX 12'!H23+'APPENDIX 13'!H23</f>
        <v>0</v>
      </c>
      <c r="I23" s="46">
        <f>'APPENDIX 12'!I23+'APPENDIX 13'!I23</f>
        <v>0</v>
      </c>
      <c r="J23" s="46">
        <f>'APPENDIX 12'!J23+'APPENDIX 13'!J23</f>
        <v>0</v>
      </c>
      <c r="K23" s="46">
        <f>'APPENDIX 12'!K23+'APPENDIX 13'!K23</f>
        <v>0</v>
      </c>
      <c r="L23" s="46">
        <f>'APPENDIX 12'!L23+'APPENDIX 13'!L23</f>
        <v>0</v>
      </c>
      <c r="M23" s="46">
        <f>'APPENDIX 12'!M23+'APPENDIX 13'!M23</f>
        <v>0</v>
      </c>
      <c r="N23" s="46">
        <f>'APPENDIX 12'!N23+'APPENDIX 13'!N23</f>
        <v>0</v>
      </c>
      <c r="O23" s="46">
        <f>'APPENDIX 12'!O23+'APPENDIX 13'!O23</f>
        <v>0</v>
      </c>
      <c r="P23" s="46">
        <f>'APPENDIX 12'!P23+'APPENDIX 13'!P23</f>
        <v>0</v>
      </c>
      <c r="Q23" s="58">
        <f>'APPENDIX 12'!Q23+'APPENDIX 13'!Q23</f>
        <v>0</v>
      </c>
    </row>
    <row r="24" spans="2:17" ht="32.25" customHeight="1" x14ac:dyDescent="0.35">
      <c r="B24" s="3" t="s">
        <v>115</v>
      </c>
      <c r="C24" s="46">
        <f>+'APPENDIX 12'!C24+'APPENDIX 13'!C24</f>
        <v>6401678.2657130212</v>
      </c>
      <c r="D24" s="46">
        <f>+'APPENDIX 12'!D24+'APPENDIX 13'!D24</f>
        <v>134244.3701</v>
      </c>
      <c r="E24" s="46">
        <f>+'APPENDIX 12'!E24+'APPENDIX 13'!E24</f>
        <v>134244.3701</v>
      </c>
      <c r="F24" s="46">
        <f>+'APPENDIX 12'!F24+'APPENDIX 13'!F24</f>
        <v>0</v>
      </c>
      <c r="G24" s="46">
        <f>+'APPENDIX 12'!G24+'APPENDIX 13'!G24</f>
        <v>271146.64799999999</v>
      </c>
      <c r="H24" s="46">
        <f>+'APPENDIX 12'!H24+'APPENDIX 13'!H24</f>
        <v>271146.64799999999</v>
      </c>
      <c r="I24" s="46">
        <f>+'APPENDIX 12'!I24+'APPENDIX 13'!I24</f>
        <v>0</v>
      </c>
      <c r="J24" s="46">
        <f>+'APPENDIX 12'!J24+'APPENDIX 13'!J24</f>
        <v>0</v>
      </c>
      <c r="K24" s="46">
        <f>+'APPENDIX 12'!K24+'APPENDIX 13'!K24</f>
        <v>0</v>
      </c>
      <c r="L24" s="46">
        <f>+'APPENDIX 12'!L24+'APPENDIX 13'!L24</f>
        <v>701.03306999999995</v>
      </c>
      <c r="M24" s="46">
        <f>+'APPENDIX 12'!M24+'APPENDIX 13'!M24</f>
        <v>18665.81664372022</v>
      </c>
      <c r="N24" s="46">
        <f>+'APPENDIX 12'!N24+'APPENDIX 13'!N24</f>
        <v>454046.96712502179</v>
      </c>
      <c r="O24" s="46">
        <f>+'APPENDIX 12'!O24+'APPENDIX 13'!O24</f>
        <v>0</v>
      </c>
      <c r="P24" s="46">
        <f>+'APPENDIX 12'!P24+'APPENDIX 13'!P24</f>
        <v>0</v>
      </c>
      <c r="Q24" s="58">
        <f>+'APPENDIX 12'!Q24+'APPENDIX 13'!Q24</f>
        <v>6699456.1052243235</v>
      </c>
    </row>
    <row r="25" spans="2:17" ht="32.25" customHeight="1" x14ac:dyDescent="0.35">
      <c r="B25" s="3" t="s">
        <v>116</v>
      </c>
      <c r="C25" s="46">
        <f>+'APPENDIX 12'!C25+'APPENDIX 13'!C25</f>
        <v>7489190.2537281141</v>
      </c>
      <c r="D25" s="46">
        <f>+'APPENDIX 12'!D25+'APPENDIX 13'!D25</f>
        <v>164687.15599999999</v>
      </c>
      <c r="E25" s="46">
        <f>+'APPENDIX 12'!E25+'APPENDIX 13'!E25</f>
        <v>164687.15599999999</v>
      </c>
      <c r="F25" s="46">
        <f>+'APPENDIX 12'!F25+'APPENDIX 13'!F25</f>
        <v>0</v>
      </c>
      <c r="G25" s="46">
        <f>+'APPENDIX 12'!G25+'APPENDIX 13'!G25</f>
        <v>126737.68000000001</v>
      </c>
      <c r="H25" s="46">
        <f>+'APPENDIX 12'!H25+'APPENDIX 13'!H25</f>
        <v>126737.68000000001</v>
      </c>
      <c r="I25" s="46">
        <f>+'APPENDIX 12'!I25+'APPENDIX 13'!I25</f>
        <v>0</v>
      </c>
      <c r="J25" s="46">
        <f>+'APPENDIX 12'!J25+'APPENDIX 13'!J25</f>
        <v>0</v>
      </c>
      <c r="K25" s="46">
        <f>+'APPENDIX 12'!K25+'APPENDIX 13'!K25</f>
        <v>0</v>
      </c>
      <c r="L25" s="46">
        <f>+'APPENDIX 12'!L25+'APPENDIX 13'!L25</f>
        <v>0</v>
      </c>
      <c r="M25" s="46">
        <f>+'APPENDIX 12'!M25+'APPENDIX 13'!M25</f>
        <v>0</v>
      </c>
      <c r="N25" s="46">
        <f>+'APPENDIX 12'!N25+'APPENDIX 13'!N25</f>
        <v>0</v>
      </c>
      <c r="O25" s="46">
        <f>+'APPENDIX 12'!O25+'APPENDIX 13'!O25</f>
        <v>0</v>
      </c>
      <c r="P25" s="46">
        <f>+'APPENDIX 12'!P25+'APPENDIX 13'!P25</f>
        <v>0</v>
      </c>
      <c r="Q25" s="58">
        <f>+'APPENDIX 12'!Q25+'APPENDIX 13'!Q25</f>
        <v>7527139.7297281139</v>
      </c>
    </row>
    <row r="26" spans="2:17" ht="32.25" customHeight="1" x14ac:dyDescent="0.35">
      <c r="B26" s="3" t="s">
        <v>117</v>
      </c>
      <c r="C26" s="46">
        <f>+'APPENDIX 12'!C26+'APPENDIX 13'!C26</f>
        <v>2556426.154304483</v>
      </c>
      <c r="D26" s="46">
        <f>+'APPENDIX 12'!D26+'APPENDIX 13'!D26</f>
        <v>348446.7668000001</v>
      </c>
      <c r="E26" s="46">
        <f>+'APPENDIX 12'!E26+'APPENDIX 13'!E26</f>
        <v>348446.7668000001</v>
      </c>
      <c r="F26" s="46">
        <f>+'APPENDIX 12'!F26+'APPENDIX 13'!F26</f>
        <v>0</v>
      </c>
      <c r="G26" s="46">
        <f>+'APPENDIX 12'!G26+'APPENDIX 13'!G26</f>
        <v>50268.118999999999</v>
      </c>
      <c r="H26" s="46">
        <f>+'APPENDIX 12'!H26+'APPENDIX 13'!H26</f>
        <v>50268.118999999999</v>
      </c>
      <c r="I26" s="46">
        <f>+'APPENDIX 12'!I26+'APPENDIX 13'!I26</f>
        <v>0</v>
      </c>
      <c r="J26" s="46">
        <f>+'APPENDIX 12'!J26+'APPENDIX 13'!J26</f>
        <v>0</v>
      </c>
      <c r="K26" s="46">
        <f>+'APPENDIX 12'!K26+'APPENDIX 13'!K26</f>
        <v>0</v>
      </c>
      <c r="L26" s="46">
        <f>+'APPENDIX 12'!L26+'APPENDIX 13'!L26</f>
        <v>0</v>
      </c>
      <c r="M26" s="46">
        <f>+'APPENDIX 12'!M26+'APPENDIX 13'!M26</f>
        <v>3305.3773259247041</v>
      </c>
      <c r="N26" s="46">
        <f>+'APPENDIX 12'!N26+'APPENDIX 13'!N26</f>
        <v>94196.545312719085</v>
      </c>
      <c r="O26" s="46">
        <f>+'APPENDIX 12'!O26+'APPENDIX 13'!O26</f>
        <v>2780.4827299999997</v>
      </c>
      <c r="P26" s="46">
        <f>+'APPENDIX 12'!P26+'APPENDIX 13'!P26</f>
        <v>0</v>
      </c>
      <c r="Q26" s="58">
        <f>+'APPENDIX 12'!Q26+'APPENDIX 13'!Q26</f>
        <v>2942715.487361277</v>
      </c>
    </row>
    <row r="27" spans="2:17" ht="32.25" customHeight="1" x14ac:dyDescent="0.35">
      <c r="B27" s="3" t="s">
        <v>118</v>
      </c>
      <c r="C27" s="46">
        <f>+'APPENDIX 12'!C27+'APPENDIX 13'!C27</f>
        <v>3935282.0684653246</v>
      </c>
      <c r="D27" s="46">
        <f>+'APPENDIX 12'!D27+'APPENDIX 13'!D27</f>
        <v>111428.95991294262</v>
      </c>
      <c r="E27" s="46">
        <f>+'APPENDIX 12'!E27+'APPENDIX 13'!E27</f>
        <v>111428.95991294262</v>
      </c>
      <c r="F27" s="46">
        <f>+'APPENDIX 12'!F27+'APPENDIX 13'!F27</f>
        <v>0</v>
      </c>
      <c r="G27" s="46">
        <f>+'APPENDIX 12'!G27+'APPENDIX 13'!G27</f>
        <v>258509.75615</v>
      </c>
      <c r="H27" s="46">
        <f>+'APPENDIX 12'!H27+'APPENDIX 13'!H27</f>
        <v>258509.75615</v>
      </c>
      <c r="I27" s="46">
        <f>+'APPENDIX 12'!I27+'APPENDIX 13'!I27</f>
        <v>0</v>
      </c>
      <c r="J27" s="46">
        <f>+'APPENDIX 12'!J27+'APPENDIX 13'!J27</f>
        <v>0</v>
      </c>
      <c r="K27" s="46">
        <f>+'APPENDIX 12'!K27+'APPENDIX 13'!K27</f>
        <v>0</v>
      </c>
      <c r="L27" s="46">
        <f>+'APPENDIX 12'!L27+'APPENDIX 13'!L27</f>
        <v>1330.73</v>
      </c>
      <c r="M27" s="46">
        <f>+'APPENDIX 12'!M27+'APPENDIX 13'!M27</f>
        <v>10783.81191333459</v>
      </c>
      <c r="N27" s="46">
        <f>+'APPENDIX 12'!N27+'APPENDIX 13'!N27</f>
        <v>378541.52444000001</v>
      </c>
      <c r="O27" s="46">
        <f>+'APPENDIX 12'!O27+'APPENDIX 13'!O27</f>
        <v>0</v>
      </c>
      <c r="P27" s="46">
        <f>+'APPENDIX 12'!P27+'APPENDIX 13'!P27</f>
        <v>0</v>
      </c>
      <c r="Q27" s="58">
        <f>+'APPENDIX 12'!Q27+'APPENDIX 13'!Q27</f>
        <v>4154628.2547549321</v>
      </c>
    </row>
    <row r="28" spans="2:17" ht="32.25" customHeight="1" x14ac:dyDescent="0.35">
      <c r="B28" s="3" t="s">
        <v>119</v>
      </c>
      <c r="C28" s="46">
        <f>+'APPENDIX 12'!C28+'APPENDIX 13'!C28</f>
        <v>0</v>
      </c>
      <c r="D28" s="46">
        <f>+'APPENDIX 12'!D28+'APPENDIX 13'!D28</f>
        <v>0</v>
      </c>
      <c r="E28" s="46">
        <f>+'APPENDIX 12'!E28+'APPENDIX 13'!E28</f>
        <v>0</v>
      </c>
      <c r="F28" s="46">
        <f>+'APPENDIX 12'!F28+'APPENDIX 13'!F28</f>
        <v>0</v>
      </c>
      <c r="G28" s="46">
        <f>+'APPENDIX 12'!G28+'APPENDIX 13'!G28</f>
        <v>0</v>
      </c>
      <c r="H28" s="46">
        <f>+'APPENDIX 12'!H28+'APPENDIX 13'!H28</f>
        <v>0</v>
      </c>
      <c r="I28" s="46">
        <f>+'APPENDIX 12'!I28+'APPENDIX 13'!I28</f>
        <v>0</v>
      </c>
      <c r="J28" s="46">
        <f>+'APPENDIX 12'!J28+'APPENDIX 13'!J28</f>
        <v>0</v>
      </c>
      <c r="K28" s="46">
        <f>+'APPENDIX 12'!K28+'APPENDIX 13'!K28</f>
        <v>0</v>
      </c>
      <c r="L28" s="46">
        <f>+'APPENDIX 12'!L28+'APPENDIX 13'!L28</f>
        <v>0</v>
      </c>
      <c r="M28" s="46">
        <f>+'APPENDIX 12'!M28+'APPENDIX 13'!M28</f>
        <v>0</v>
      </c>
      <c r="N28" s="46">
        <f>+'APPENDIX 12'!N28+'APPENDIX 13'!N28</f>
        <v>0</v>
      </c>
      <c r="O28" s="46">
        <f>+'APPENDIX 12'!O28+'APPENDIX 13'!O28</f>
        <v>0</v>
      </c>
      <c r="P28" s="46">
        <f>+'APPENDIX 12'!P28+'APPENDIX 13'!P28</f>
        <v>0</v>
      </c>
      <c r="Q28" s="58">
        <f>+'APPENDIX 12'!Q28+'APPENDIX 13'!Q28</f>
        <v>0</v>
      </c>
    </row>
    <row r="29" spans="2:17" ht="32.25" customHeight="1" x14ac:dyDescent="0.35">
      <c r="B29" s="3" t="s">
        <v>120</v>
      </c>
      <c r="C29" s="46">
        <f>+'APPENDIX 12'!C29+'APPENDIX 13'!C29</f>
        <v>4357115.7327998299</v>
      </c>
      <c r="D29" s="46">
        <f>+'APPENDIX 12'!D29+'APPENDIX 13'!D29</f>
        <v>152296.01990000001</v>
      </c>
      <c r="E29" s="46">
        <f>+'APPENDIX 12'!E29+'APPENDIX 13'!E29</f>
        <v>152296.01990000001</v>
      </c>
      <c r="F29" s="46">
        <f>+'APPENDIX 12'!F29+'APPENDIX 13'!F29</f>
        <v>0</v>
      </c>
      <c r="G29" s="46">
        <f>+'APPENDIX 12'!G29+'APPENDIX 13'!G29</f>
        <v>39778.789053963301</v>
      </c>
      <c r="H29" s="46">
        <f>+'APPENDIX 12'!H29+'APPENDIX 13'!H29</f>
        <v>106385.01860000001</v>
      </c>
      <c r="I29" s="46">
        <f>+'APPENDIX 12'!I29+'APPENDIX 13'!I29</f>
        <v>0</v>
      </c>
      <c r="J29" s="46">
        <f>+'APPENDIX 12'!J29+'APPENDIX 13'!J29</f>
        <v>-66606.229546036702</v>
      </c>
      <c r="K29" s="46">
        <f>+'APPENDIX 12'!K29+'APPENDIX 13'!K29</f>
        <v>0</v>
      </c>
      <c r="L29" s="46">
        <f>+'APPENDIX 12'!L29+'APPENDIX 13'!L29</f>
        <v>0</v>
      </c>
      <c r="M29" s="46">
        <f>+'APPENDIX 12'!M29+'APPENDIX 13'!M29</f>
        <v>21133.8513816958</v>
      </c>
      <c r="N29" s="46">
        <f>+'APPENDIX 12'!N29+'APPENDIX 13'!N29</f>
        <v>25310.626735828402</v>
      </c>
      <c r="O29" s="46">
        <f>+'APPENDIX 12'!O29+'APPENDIX 13'!O29</f>
        <v>0</v>
      </c>
      <c r="P29" s="46">
        <f>+'APPENDIX 12'!P29+'APPENDIX 13'!P29</f>
        <v>0</v>
      </c>
      <c r="Q29" s="58">
        <f>+'APPENDIX 12'!Q29+'APPENDIX 13'!Q29</f>
        <v>4473809.7390000001</v>
      </c>
    </row>
    <row r="30" spans="2:17" ht="32.25" customHeight="1" x14ac:dyDescent="0.35">
      <c r="B30" s="3" t="s">
        <v>121</v>
      </c>
      <c r="C30" s="46">
        <f>+'APPENDIX 12'!C30+'APPENDIX 13'!C30</f>
        <v>0</v>
      </c>
      <c r="D30" s="46">
        <f>+'APPENDIX 12'!D30+'APPENDIX 13'!D30</f>
        <v>0</v>
      </c>
      <c r="E30" s="46">
        <f>+'APPENDIX 12'!E30+'APPENDIX 13'!E30</f>
        <v>0</v>
      </c>
      <c r="F30" s="46">
        <f>+'APPENDIX 12'!F30+'APPENDIX 13'!F30</f>
        <v>0</v>
      </c>
      <c r="G30" s="46">
        <f>+'APPENDIX 12'!G30+'APPENDIX 13'!G30</f>
        <v>0</v>
      </c>
      <c r="H30" s="46">
        <f>+'APPENDIX 12'!H30+'APPENDIX 13'!H30</f>
        <v>0</v>
      </c>
      <c r="I30" s="46">
        <f>+'APPENDIX 12'!I30+'APPENDIX 13'!I30</f>
        <v>0</v>
      </c>
      <c r="J30" s="46">
        <f>+'APPENDIX 12'!J30+'APPENDIX 13'!J30</f>
        <v>0</v>
      </c>
      <c r="K30" s="46">
        <f>+'APPENDIX 12'!K30+'APPENDIX 13'!K30</f>
        <v>0</v>
      </c>
      <c r="L30" s="46">
        <f>+'APPENDIX 12'!L30+'APPENDIX 13'!L30</f>
        <v>0</v>
      </c>
      <c r="M30" s="46">
        <f>+'APPENDIX 12'!M30+'APPENDIX 13'!M30</f>
        <v>0</v>
      </c>
      <c r="N30" s="46">
        <f>+'APPENDIX 12'!N30+'APPENDIX 13'!N30</f>
        <v>0</v>
      </c>
      <c r="O30" s="46">
        <f>+'APPENDIX 12'!O30+'APPENDIX 13'!O30</f>
        <v>0</v>
      </c>
      <c r="P30" s="46">
        <f>+'APPENDIX 12'!P30+'APPENDIX 13'!P30</f>
        <v>0</v>
      </c>
      <c r="Q30" s="58">
        <f>+'APPENDIX 12'!Q30+'APPENDIX 13'!Q30</f>
        <v>0</v>
      </c>
    </row>
    <row r="31" spans="2:17" ht="32.25" customHeight="1" x14ac:dyDescent="0.35">
      <c r="B31" s="37" t="s">
        <v>90</v>
      </c>
      <c r="C31" s="57">
        <f t="shared" ref="C31:Q31" si="0">SUM(C6:C30)</f>
        <v>500640756.94298762</v>
      </c>
      <c r="D31" s="57">
        <f t="shared" si="0"/>
        <v>21533755.589994125</v>
      </c>
      <c r="E31" s="57">
        <f t="shared" si="0"/>
        <v>21533755.589994125</v>
      </c>
      <c r="F31" s="57">
        <f t="shared" si="0"/>
        <v>0</v>
      </c>
      <c r="G31" s="57">
        <f t="shared" si="0"/>
        <v>14239871.327733964</v>
      </c>
      <c r="H31" s="57">
        <f t="shared" si="0"/>
        <v>14306477.55728</v>
      </c>
      <c r="I31" s="57">
        <f t="shared" si="0"/>
        <v>0</v>
      </c>
      <c r="J31" s="57">
        <f t="shared" si="0"/>
        <v>-66606.229546036702</v>
      </c>
      <c r="K31" s="57">
        <f t="shared" si="0"/>
        <v>0</v>
      </c>
      <c r="L31" s="57">
        <f t="shared" si="0"/>
        <v>209473.90538000004</v>
      </c>
      <c r="M31" s="57">
        <f t="shared" si="0"/>
        <v>874414.01013913634</v>
      </c>
      <c r="N31" s="57">
        <f t="shared" si="0"/>
        <v>18905108.051104438</v>
      </c>
      <c r="O31" s="57">
        <f t="shared" si="0"/>
        <v>516026.25476364809</v>
      </c>
      <c r="P31" s="57">
        <f t="shared" si="0"/>
        <v>1284211.4890000001</v>
      </c>
      <c r="Q31" s="57">
        <f t="shared" si="0"/>
        <v>523955623.59706938</v>
      </c>
    </row>
    <row r="32" spans="2:17" ht="32.25" customHeight="1" x14ac:dyDescent="0.35">
      <c r="B32" s="266" t="s">
        <v>91</v>
      </c>
      <c r="C32" s="252"/>
      <c r="D32" s="252"/>
      <c r="E32" s="252"/>
      <c r="F32" s="252"/>
      <c r="G32" s="252"/>
      <c r="H32" s="252"/>
      <c r="I32" s="252"/>
      <c r="J32" s="252"/>
      <c r="K32" s="252"/>
      <c r="L32" s="252"/>
      <c r="M32" s="252"/>
      <c r="N32" s="252"/>
      <c r="O32" s="252"/>
      <c r="P32" s="252"/>
      <c r="Q32" s="253"/>
    </row>
    <row r="33" spans="2:17" ht="32.25" customHeight="1" x14ac:dyDescent="0.35">
      <c r="B33" s="3" t="s">
        <v>92</v>
      </c>
      <c r="C33" s="46">
        <f>+'APPENDIX 12'!C33+'APPENDIX 13'!C33</f>
        <v>0</v>
      </c>
      <c r="D33" s="46">
        <f>+'APPENDIX 12'!D33+'APPENDIX 13'!D33</f>
        <v>0</v>
      </c>
      <c r="E33" s="46">
        <f>+'APPENDIX 12'!E33+'APPENDIX 13'!E33</f>
        <v>0</v>
      </c>
      <c r="F33" s="46">
        <f>+'APPENDIX 12'!F33+'APPENDIX 13'!F33</f>
        <v>0</v>
      </c>
      <c r="G33" s="46">
        <f>+'APPENDIX 12'!G33+'APPENDIX 13'!G33</f>
        <v>0</v>
      </c>
      <c r="H33" s="46">
        <f>+'APPENDIX 12'!H33+'APPENDIX 13'!H33</f>
        <v>0</v>
      </c>
      <c r="I33" s="46">
        <f>+'APPENDIX 12'!I33+'APPENDIX 13'!I33</f>
        <v>0</v>
      </c>
      <c r="J33" s="46">
        <f>+'APPENDIX 12'!J33+'APPENDIX 13'!J33</f>
        <v>0</v>
      </c>
      <c r="K33" s="46">
        <f>+'APPENDIX 12'!K33+'APPENDIX 13'!K33</f>
        <v>0</v>
      </c>
      <c r="L33" s="46">
        <f>+'APPENDIX 12'!L33+'APPENDIX 13'!L33</f>
        <v>0</v>
      </c>
      <c r="M33" s="46">
        <f>+'APPENDIX 12'!M33+'APPENDIX 13'!M33</f>
        <v>0</v>
      </c>
      <c r="N33" s="46">
        <f>+'APPENDIX 12'!N33+'APPENDIX 13'!N33</f>
        <v>0</v>
      </c>
      <c r="O33" s="46">
        <f>+'APPENDIX 12'!O33+'APPENDIX 13'!O33</f>
        <v>0</v>
      </c>
      <c r="P33" s="46">
        <f>+'APPENDIX 12'!P33+'APPENDIX 13'!P33</f>
        <v>0</v>
      </c>
      <c r="Q33" s="58">
        <f>+'APPENDIX 12'!Q33+'APPENDIX 13'!Q33</f>
        <v>0</v>
      </c>
    </row>
    <row r="34" spans="2:17" ht="32.25" customHeight="1" x14ac:dyDescent="0.35">
      <c r="B34" s="3" t="s">
        <v>93</v>
      </c>
      <c r="C34" s="46">
        <f>+'APPENDIX 12'!C34+'APPENDIX 13'!C34</f>
        <v>0</v>
      </c>
      <c r="D34" s="46">
        <f>+'APPENDIX 12'!D34+'APPENDIX 13'!D34</f>
        <v>0</v>
      </c>
      <c r="E34" s="46">
        <f>+'APPENDIX 12'!E34+'APPENDIX 13'!E34</f>
        <v>0</v>
      </c>
      <c r="F34" s="46">
        <f>+'APPENDIX 12'!F34+'APPENDIX 13'!F34</f>
        <v>0</v>
      </c>
      <c r="G34" s="46">
        <f>+'APPENDIX 12'!G34+'APPENDIX 13'!G34</f>
        <v>0</v>
      </c>
      <c r="H34" s="46">
        <f>+'APPENDIX 12'!H34+'APPENDIX 13'!H34</f>
        <v>0</v>
      </c>
      <c r="I34" s="46">
        <f>+'APPENDIX 12'!I34+'APPENDIX 13'!I34</f>
        <v>0</v>
      </c>
      <c r="J34" s="46">
        <f>+'APPENDIX 12'!J34+'APPENDIX 13'!J34</f>
        <v>0</v>
      </c>
      <c r="K34" s="46">
        <f>+'APPENDIX 12'!K34+'APPENDIX 13'!K34</f>
        <v>0</v>
      </c>
      <c r="L34" s="46">
        <f>+'APPENDIX 12'!L34+'APPENDIX 13'!L34</f>
        <v>0</v>
      </c>
      <c r="M34" s="46">
        <f>+'APPENDIX 12'!M34+'APPENDIX 13'!M34</f>
        <v>0</v>
      </c>
      <c r="N34" s="46">
        <f>+'APPENDIX 12'!N34+'APPENDIX 13'!N34</f>
        <v>0</v>
      </c>
      <c r="O34" s="46">
        <f>+'APPENDIX 12'!O34+'APPENDIX 13'!O34</f>
        <v>0</v>
      </c>
      <c r="P34" s="46">
        <f>+'APPENDIX 12'!P34+'APPENDIX 13'!P34</f>
        <v>0</v>
      </c>
      <c r="Q34" s="58">
        <f>+'APPENDIX 12'!Q34+'APPENDIX 13'!Q34</f>
        <v>0</v>
      </c>
    </row>
    <row r="35" spans="2:17" ht="32.25" customHeight="1" x14ac:dyDescent="0.35">
      <c r="B35" s="3" t="s">
        <v>95</v>
      </c>
      <c r="C35" s="46">
        <f>+'APPENDIX 12'!C35+'APPENDIX 13'!C35</f>
        <v>0</v>
      </c>
      <c r="D35" s="46">
        <f>+'APPENDIX 12'!D35+'APPENDIX 13'!D35</f>
        <v>0</v>
      </c>
      <c r="E35" s="46">
        <f>+'APPENDIX 12'!E35+'APPENDIX 13'!E35</f>
        <v>0</v>
      </c>
      <c r="F35" s="46">
        <f>+'APPENDIX 12'!F35+'APPENDIX 13'!F35</f>
        <v>0</v>
      </c>
      <c r="G35" s="46">
        <f>+'APPENDIX 12'!G35+'APPENDIX 13'!G35</f>
        <v>0</v>
      </c>
      <c r="H35" s="46">
        <f>+'APPENDIX 12'!H35+'APPENDIX 13'!H35</f>
        <v>0</v>
      </c>
      <c r="I35" s="46">
        <f>+'APPENDIX 12'!I35+'APPENDIX 13'!I35</f>
        <v>0</v>
      </c>
      <c r="J35" s="46">
        <f>+'APPENDIX 12'!J35+'APPENDIX 13'!J35</f>
        <v>0</v>
      </c>
      <c r="K35" s="46">
        <f>+'APPENDIX 12'!K35+'APPENDIX 13'!K35</f>
        <v>0</v>
      </c>
      <c r="L35" s="46">
        <f>+'APPENDIX 12'!L35+'APPENDIX 13'!L35</f>
        <v>0</v>
      </c>
      <c r="M35" s="46">
        <f>+'APPENDIX 12'!M35+'APPENDIX 13'!M35</f>
        <v>0</v>
      </c>
      <c r="N35" s="46">
        <f>+'APPENDIX 12'!N35+'APPENDIX 13'!N35</f>
        <v>0</v>
      </c>
      <c r="O35" s="46">
        <f>+'APPENDIX 12'!O35+'APPENDIX 13'!O35</f>
        <v>0</v>
      </c>
      <c r="P35" s="46">
        <f>+'APPENDIX 12'!P35+'APPENDIX 13'!P35</f>
        <v>0</v>
      </c>
      <c r="Q35" s="58">
        <f>+'APPENDIX 12'!Q35+'APPENDIX 13'!Q35</f>
        <v>0</v>
      </c>
    </row>
    <row r="36" spans="2:17" ht="32.25" customHeight="1" x14ac:dyDescent="0.35">
      <c r="B36" s="37" t="s">
        <v>90</v>
      </c>
      <c r="C36" s="57">
        <f t="shared" ref="C36:Q36" si="1">SUM(C33:C35)</f>
        <v>0</v>
      </c>
      <c r="D36" s="57">
        <f t="shared" si="1"/>
        <v>0</v>
      </c>
      <c r="E36" s="57">
        <f t="shared" si="1"/>
        <v>0</v>
      </c>
      <c r="F36" s="57">
        <f t="shared" si="1"/>
        <v>0</v>
      </c>
      <c r="G36" s="57">
        <f t="shared" si="1"/>
        <v>0</v>
      </c>
      <c r="H36" s="57">
        <f t="shared" si="1"/>
        <v>0</v>
      </c>
      <c r="I36" s="57">
        <f t="shared" si="1"/>
        <v>0</v>
      </c>
      <c r="J36" s="57">
        <f t="shared" si="1"/>
        <v>0</v>
      </c>
      <c r="K36" s="57">
        <f t="shared" si="1"/>
        <v>0</v>
      </c>
      <c r="L36" s="57">
        <f t="shared" si="1"/>
        <v>0</v>
      </c>
      <c r="M36" s="57">
        <f t="shared" si="1"/>
        <v>0</v>
      </c>
      <c r="N36" s="57">
        <f t="shared" si="1"/>
        <v>0</v>
      </c>
      <c r="O36" s="57">
        <f t="shared" si="1"/>
        <v>0</v>
      </c>
      <c r="P36" s="57">
        <f t="shared" si="1"/>
        <v>0</v>
      </c>
      <c r="Q36" s="57">
        <f t="shared" si="1"/>
        <v>0</v>
      </c>
    </row>
    <row r="37" spans="2:17" ht="23.25" customHeight="1" x14ac:dyDescent="0.35">
      <c r="B37" s="265" t="s">
        <v>98</v>
      </c>
      <c r="C37" s="255"/>
      <c r="D37" s="255"/>
      <c r="E37" s="255"/>
      <c r="F37" s="255"/>
      <c r="G37" s="255"/>
      <c r="H37" s="255"/>
      <c r="I37" s="255"/>
      <c r="J37" s="255"/>
      <c r="K37" s="255"/>
      <c r="L37" s="255"/>
      <c r="M37" s="255"/>
      <c r="N37" s="255"/>
      <c r="O37" s="255"/>
      <c r="P37" s="255"/>
      <c r="Q37" s="255"/>
    </row>
  </sheetData>
  <sheetProtection algorithmName="SHA-512" hashValue="BFx+Gx2rAOcb7gPg6HpsmCtgJ4z9e8BybJXnfrr0yvXglbP69tJos/Qj6SODjWlUK3t564lIvEvLZhftZW5FWg==" saltValue="wIgyPpIKiTqC6NdaxWTNVw==" spinCount="100000" sheet="1" objects="1" scenarios="1"/>
  <mergeCells count="4">
    <mergeCell ref="B32:Q32"/>
    <mergeCell ref="B37:Q37"/>
    <mergeCell ref="B3:Q3"/>
    <mergeCell ref="B5:Q5"/>
  </mergeCells>
  <pageMargins left="0.7" right="0.7" top="0.75" bottom="0.75" header="0.3" footer="0.3"/>
  <pageSetup paperSize="9" scale="36"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39">
    <tabColor rgb="FF92D050"/>
  </sheetPr>
  <dimension ref="B3:Q37"/>
  <sheetViews>
    <sheetView zoomScale="70" zoomScaleNormal="70" workbookViewId="0">
      <pane xSplit="2" ySplit="5" topLeftCell="C6" activePane="bottomRight" state="frozen"/>
      <selection pane="topRight" activeCell="C1" sqref="C1"/>
      <selection pane="bottomLeft" activeCell="A6" sqref="A6"/>
      <selection pane="bottomRight" activeCell="C6" sqref="C6"/>
    </sheetView>
  </sheetViews>
  <sheetFormatPr defaultColWidth="14.36328125" defaultRowHeight="14" x14ac:dyDescent="0.3"/>
  <cols>
    <col min="1" max="1" width="9.6328125" style="81" customWidth="1"/>
    <col min="2" max="2" width="43.54296875" style="81" customWidth="1"/>
    <col min="3" max="16" width="17.90625" style="81" customWidth="1"/>
    <col min="17" max="17" width="17.90625" style="82" customWidth="1"/>
    <col min="18" max="18" width="15.453125" style="81" bestFit="1" customWidth="1"/>
    <col min="19" max="19" width="15.90625" style="81" bestFit="1" customWidth="1"/>
    <col min="20" max="256" width="14.36328125" style="81" customWidth="1"/>
    <col min="257" max="257" width="9.6328125" style="81" customWidth="1"/>
    <col min="258" max="258" width="43.54296875" style="81" customWidth="1"/>
    <col min="259" max="273" width="17.90625" style="81" customWidth="1"/>
    <col min="274" max="274" width="15.453125" style="81" bestFit="1" customWidth="1"/>
    <col min="275" max="275" width="15.90625" style="81" bestFit="1" customWidth="1"/>
    <col min="276" max="512" width="14.36328125" style="81" customWidth="1"/>
    <col min="513" max="513" width="9.6328125" style="81" customWidth="1"/>
    <col min="514" max="514" width="43.54296875" style="81" customWidth="1"/>
    <col min="515" max="529" width="17.90625" style="81" customWidth="1"/>
    <col min="530" max="530" width="15.453125" style="81" bestFit="1" customWidth="1"/>
    <col min="531" max="531" width="15.90625" style="81" bestFit="1" customWidth="1"/>
    <col min="532" max="768" width="14.36328125" style="81" customWidth="1"/>
    <col min="769" max="769" width="9.6328125" style="81" customWidth="1"/>
    <col min="770" max="770" width="43.54296875" style="81" customWidth="1"/>
    <col min="771" max="785" width="17.90625" style="81" customWidth="1"/>
    <col min="786" max="786" width="15.453125" style="81" bestFit="1" customWidth="1"/>
    <col min="787" max="787" width="15.90625" style="81" bestFit="1" customWidth="1"/>
    <col min="788" max="1024" width="14.36328125" style="81" customWidth="1"/>
    <col min="1025" max="1025" width="9.6328125" style="81" customWidth="1"/>
    <col min="1026" max="1026" width="43.54296875" style="81" customWidth="1"/>
    <col min="1027" max="1041" width="17.90625" style="81" customWidth="1"/>
    <col min="1042" max="1042" width="15.453125" style="81" bestFit="1" customWidth="1"/>
    <col min="1043" max="1043" width="15.90625" style="81" bestFit="1" customWidth="1"/>
    <col min="1044" max="1280" width="14.36328125" style="81" customWidth="1"/>
    <col min="1281" max="1281" width="9.6328125" style="81" customWidth="1"/>
    <col min="1282" max="1282" width="43.54296875" style="81" customWidth="1"/>
    <col min="1283" max="1297" width="17.90625" style="81" customWidth="1"/>
    <col min="1298" max="1298" width="15.453125" style="81" bestFit="1" customWidth="1"/>
    <col min="1299" max="1299" width="15.90625" style="81" bestFit="1" customWidth="1"/>
    <col min="1300" max="1536" width="14.36328125" style="81" customWidth="1"/>
    <col min="1537" max="1537" width="9.6328125" style="81" customWidth="1"/>
    <col min="1538" max="1538" width="43.54296875" style="81" customWidth="1"/>
    <col min="1539" max="1553" width="17.90625" style="81" customWidth="1"/>
    <col min="1554" max="1554" width="15.453125" style="81" bestFit="1" customWidth="1"/>
    <col min="1555" max="1555" width="15.90625" style="81" bestFit="1" customWidth="1"/>
    <col min="1556" max="1792" width="14.36328125" style="81" customWidth="1"/>
    <col min="1793" max="1793" width="9.6328125" style="81" customWidth="1"/>
    <col min="1794" max="1794" width="43.54296875" style="81" customWidth="1"/>
    <col min="1795" max="1809" width="17.90625" style="81" customWidth="1"/>
    <col min="1810" max="1810" width="15.453125" style="81" bestFit="1" customWidth="1"/>
    <col min="1811" max="1811" width="15.90625" style="81" bestFit="1" customWidth="1"/>
    <col min="1812" max="2048" width="14.36328125" style="81" customWidth="1"/>
    <col min="2049" max="2049" width="9.6328125" style="81" customWidth="1"/>
    <col min="2050" max="2050" width="43.54296875" style="81" customWidth="1"/>
    <col min="2051" max="2065" width="17.90625" style="81" customWidth="1"/>
    <col min="2066" max="2066" width="15.453125" style="81" bestFit="1" customWidth="1"/>
    <col min="2067" max="2067" width="15.90625" style="81" bestFit="1" customWidth="1"/>
    <col min="2068" max="2304" width="14.36328125" style="81" customWidth="1"/>
    <col min="2305" max="2305" width="9.6328125" style="81" customWidth="1"/>
    <col min="2306" max="2306" width="43.54296875" style="81" customWidth="1"/>
    <col min="2307" max="2321" width="17.90625" style="81" customWidth="1"/>
    <col min="2322" max="2322" width="15.453125" style="81" bestFit="1" customWidth="1"/>
    <col min="2323" max="2323" width="15.90625" style="81" bestFit="1" customWidth="1"/>
    <col min="2324" max="2560" width="14.36328125" style="81" customWidth="1"/>
    <col min="2561" max="2561" width="9.6328125" style="81" customWidth="1"/>
    <col min="2562" max="2562" width="43.54296875" style="81" customWidth="1"/>
    <col min="2563" max="2577" width="17.90625" style="81" customWidth="1"/>
    <col min="2578" max="2578" width="15.453125" style="81" bestFit="1" customWidth="1"/>
    <col min="2579" max="2579" width="15.90625" style="81" bestFit="1" customWidth="1"/>
    <col min="2580" max="2816" width="14.36328125" style="81" customWidth="1"/>
    <col min="2817" max="2817" width="9.6328125" style="81" customWidth="1"/>
    <col min="2818" max="2818" width="43.54296875" style="81" customWidth="1"/>
    <col min="2819" max="2833" width="17.90625" style="81" customWidth="1"/>
    <col min="2834" max="2834" width="15.453125" style="81" bestFit="1" customWidth="1"/>
    <col min="2835" max="2835" width="15.90625" style="81" bestFit="1" customWidth="1"/>
    <col min="2836" max="3072" width="14.36328125" style="81" customWidth="1"/>
    <col min="3073" max="3073" width="9.6328125" style="81" customWidth="1"/>
    <col min="3074" max="3074" width="43.54296875" style="81" customWidth="1"/>
    <col min="3075" max="3089" width="17.90625" style="81" customWidth="1"/>
    <col min="3090" max="3090" width="15.453125" style="81" bestFit="1" customWidth="1"/>
    <col min="3091" max="3091" width="15.90625" style="81" bestFit="1" customWidth="1"/>
    <col min="3092" max="3328" width="14.36328125" style="81" customWidth="1"/>
    <col min="3329" max="3329" width="9.6328125" style="81" customWidth="1"/>
    <col min="3330" max="3330" width="43.54296875" style="81" customWidth="1"/>
    <col min="3331" max="3345" width="17.90625" style="81" customWidth="1"/>
    <col min="3346" max="3346" width="15.453125" style="81" bestFit="1" customWidth="1"/>
    <col min="3347" max="3347" width="15.90625" style="81" bestFit="1" customWidth="1"/>
    <col min="3348" max="3584" width="14.36328125" style="81" customWidth="1"/>
    <col min="3585" max="3585" width="9.6328125" style="81" customWidth="1"/>
    <col min="3586" max="3586" width="43.54296875" style="81" customWidth="1"/>
    <col min="3587" max="3601" width="17.90625" style="81" customWidth="1"/>
    <col min="3602" max="3602" width="15.453125" style="81" bestFit="1" customWidth="1"/>
    <col min="3603" max="3603" width="15.90625" style="81" bestFit="1" customWidth="1"/>
    <col min="3604" max="3840" width="14.36328125" style="81" customWidth="1"/>
    <col min="3841" max="3841" width="9.6328125" style="81" customWidth="1"/>
    <col min="3842" max="3842" width="43.54296875" style="81" customWidth="1"/>
    <col min="3843" max="3857" width="17.90625" style="81" customWidth="1"/>
    <col min="3858" max="3858" width="15.453125" style="81" bestFit="1" customWidth="1"/>
    <col min="3859" max="3859" width="15.90625" style="81" bestFit="1" customWidth="1"/>
    <col min="3860" max="4096" width="14.36328125" style="81" customWidth="1"/>
    <col min="4097" max="4097" width="9.6328125" style="81" customWidth="1"/>
    <col min="4098" max="4098" width="43.54296875" style="81" customWidth="1"/>
    <col min="4099" max="4113" width="17.90625" style="81" customWidth="1"/>
    <col min="4114" max="4114" width="15.453125" style="81" bestFit="1" customWidth="1"/>
    <col min="4115" max="4115" width="15.90625" style="81" bestFit="1" customWidth="1"/>
    <col min="4116" max="4352" width="14.36328125" style="81" customWidth="1"/>
    <col min="4353" max="4353" width="9.6328125" style="81" customWidth="1"/>
    <col min="4354" max="4354" width="43.54296875" style="81" customWidth="1"/>
    <col min="4355" max="4369" width="17.90625" style="81" customWidth="1"/>
    <col min="4370" max="4370" width="15.453125" style="81" bestFit="1" customWidth="1"/>
    <col min="4371" max="4371" width="15.90625" style="81" bestFit="1" customWidth="1"/>
    <col min="4372" max="4608" width="14.36328125" style="81" customWidth="1"/>
    <col min="4609" max="4609" width="9.6328125" style="81" customWidth="1"/>
    <col min="4610" max="4610" width="43.54296875" style="81" customWidth="1"/>
    <col min="4611" max="4625" width="17.90625" style="81" customWidth="1"/>
    <col min="4626" max="4626" width="15.453125" style="81" bestFit="1" customWidth="1"/>
    <col min="4627" max="4627" width="15.90625" style="81" bestFit="1" customWidth="1"/>
    <col min="4628" max="4864" width="14.36328125" style="81" customWidth="1"/>
    <col min="4865" max="4865" width="9.6328125" style="81" customWidth="1"/>
    <col min="4866" max="4866" width="43.54296875" style="81" customWidth="1"/>
    <col min="4867" max="4881" width="17.90625" style="81" customWidth="1"/>
    <col min="4882" max="4882" width="15.453125" style="81" bestFit="1" customWidth="1"/>
    <col min="4883" max="4883" width="15.90625" style="81" bestFit="1" customWidth="1"/>
    <col min="4884" max="5120" width="14.36328125" style="81" customWidth="1"/>
    <col min="5121" max="5121" width="9.6328125" style="81" customWidth="1"/>
    <col min="5122" max="5122" width="43.54296875" style="81" customWidth="1"/>
    <col min="5123" max="5137" width="17.90625" style="81" customWidth="1"/>
    <col min="5138" max="5138" width="15.453125" style="81" bestFit="1" customWidth="1"/>
    <col min="5139" max="5139" width="15.90625" style="81" bestFit="1" customWidth="1"/>
    <col min="5140" max="5376" width="14.36328125" style="81" customWidth="1"/>
    <col min="5377" max="5377" width="9.6328125" style="81" customWidth="1"/>
    <col min="5378" max="5378" width="43.54296875" style="81" customWidth="1"/>
    <col min="5379" max="5393" width="17.90625" style="81" customWidth="1"/>
    <col min="5394" max="5394" width="15.453125" style="81" bestFit="1" customWidth="1"/>
    <col min="5395" max="5395" width="15.90625" style="81" bestFit="1" customWidth="1"/>
    <col min="5396" max="5632" width="14.36328125" style="81" customWidth="1"/>
    <col min="5633" max="5633" width="9.6328125" style="81" customWidth="1"/>
    <col min="5634" max="5634" width="43.54296875" style="81" customWidth="1"/>
    <col min="5635" max="5649" width="17.90625" style="81" customWidth="1"/>
    <col min="5650" max="5650" width="15.453125" style="81" bestFit="1" customWidth="1"/>
    <col min="5651" max="5651" width="15.90625" style="81" bestFit="1" customWidth="1"/>
    <col min="5652" max="5888" width="14.36328125" style="81" customWidth="1"/>
    <col min="5889" max="5889" width="9.6328125" style="81" customWidth="1"/>
    <col min="5890" max="5890" width="43.54296875" style="81" customWidth="1"/>
    <col min="5891" max="5905" width="17.90625" style="81" customWidth="1"/>
    <col min="5906" max="5906" width="15.453125" style="81" bestFit="1" customWidth="1"/>
    <col min="5907" max="5907" width="15.90625" style="81" bestFit="1" customWidth="1"/>
    <col min="5908" max="6144" width="14.36328125" style="81" customWidth="1"/>
    <col min="6145" max="6145" width="9.6328125" style="81" customWidth="1"/>
    <col min="6146" max="6146" width="43.54296875" style="81" customWidth="1"/>
    <col min="6147" max="6161" width="17.90625" style="81" customWidth="1"/>
    <col min="6162" max="6162" width="15.453125" style="81" bestFit="1" customWidth="1"/>
    <col min="6163" max="6163" width="15.90625" style="81" bestFit="1" customWidth="1"/>
    <col min="6164" max="6400" width="14.36328125" style="81" customWidth="1"/>
    <col min="6401" max="6401" width="9.6328125" style="81" customWidth="1"/>
    <col min="6402" max="6402" width="43.54296875" style="81" customWidth="1"/>
    <col min="6403" max="6417" width="17.90625" style="81" customWidth="1"/>
    <col min="6418" max="6418" width="15.453125" style="81" bestFit="1" customWidth="1"/>
    <col min="6419" max="6419" width="15.90625" style="81" bestFit="1" customWidth="1"/>
    <col min="6420" max="6656" width="14.36328125" style="81" customWidth="1"/>
    <col min="6657" max="6657" width="9.6328125" style="81" customWidth="1"/>
    <col min="6658" max="6658" width="43.54296875" style="81" customWidth="1"/>
    <col min="6659" max="6673" width="17.90625" style="81" customWidth="1"/>
    <col min="6674" max="6674" width="15.453125" style="81" bestFit="1" customWidth="1"/>
    <col min="6675" max="6675" width="15.90625" style="81" bestFit="1" customWidth="1"/>
    <col min="6676" max="6912" width="14.36328125" style="81" customWidth="1"/>
    <col min="6913" max="6913" width="9.6328125" style="81" customWidth="1"/>
    <col min="6914" max="6914" width="43.54296875" style="81" customWidth="1"/>
    <col min="6915" max="6929" width="17.90625" style="81" customWidth="1"/>
    <col min="6930" max="6930" width="15.453125" style="81" bestFit="1" customWidth="1"/>
    <col min="6931" max="6931" width="15.90625" style="81" bestFit="1" customWidth="1"/>
    <col min="6932" max="7168" width="14.36328125" style="81" customWidth="1"/>
    <col min="7169" max="7169" width="9.6328125" style="81" customWidth="1"/>
    <col min="7170" max="7170" width="43.54296875" style="81" customWidth="1"/>
    <col min="7171" max="7185" width="17.90625" style="81" customWidth="1"/>
    <col min="7186" max="7186" width="15.453125" style="81" bestFit="1" customWidth="1"/>
    <col min="7187" max="7187" width="15.90625" style="81" bestFit="1" customWidth="1"/>
    <col min="7188" max="7424" width="14.36328125" style="81" customWidth="1"/>
    <col min="7425" max="7425" width="9.6328125" style="81" customWidth="1"/>
    <col min="7426" max="7426" width="43.54296875" style="81" customWidth="1"/>
    <col min="7427" max="7441" width="17.90625" style="81" customWidth="1"/>
    <col min="7442" max="7442" width="15.453125" style="81" bestFit="1" customWidth="1"/>
    <col min="7443" max="7443" width="15.90625" style="81" bestFit="1" customWidth="1"/>
    <col min="7444" max="7680" width="14.36328125" style="81" customWidth="1"/>
    <col min="7681" max="7681" width="9.6328125" style="81" customWidth="1"/>
    <col min="7682" max="7682" width="43.54296875" style="81" customWidth="1"/>
    <col min="7683" max="7697" width="17.90625" style="81" customWidth="1"/>
    <col min="7698" max="7698" width="15.453125" style="81" bestFit="1" customWidth="1"/>
    <col min="7699" max="7699" width="15.90625" style="81" bestFit="1" customWidth="1"/>
    <col min="7700" max="7936" width="14.36328125" style="81" customWidth="1"/>
    <col min="7937" max="7937" width="9.6328125" style="81" customWidth="1"/>
    <col min="7938" max="7938" width="43.54296875" style="81" customWidth="1"/>
    <col min="7939" max="7953" width="17.90625" style="81" customWidth="1"/>
    <col min="7954" max="7954" width="15.453125" style="81" bestFit="1" customWidth="1"/>
    <col min="7955" max="7955" width="15.90625" style="81" bestFit="1" customWidth="1"/>
    <col min="7956" max="8192" width="14.36328125" style="81" customWidth="1"/>
    <col min="8193" max="8193" width="9.6328125" style="81" customWidth="1"/>
    <col min="8194" max="8194" width="43.54296875" style="81" customWidth="1"/>
    <col min="8195" max="8209" width="17.90625" style="81" customWidth="1"/>
    <col min="8210" max="8210" width="15.453125" style="81" bestFit="1" customWidth="1"/>
    <col min="8211" max="8211" width="15.90625" style="81" bestFit="1" customWidth="1"/>
    <col min="8212" max="8448" width="14.36328125" style="81" customWidth="1"/>
    <col min="8449" max="8449" width="9.6328125" style="81" customWidth="1"/>
    <col min="8450" max="8450" width="43.54296875" style="81" customWidth="1"/>
    <col min="8451" max="8465" width="17.90625" style="81" customWidth="1"/>
    <col min="8466" max="8466" width="15.453125" style="81" bestFit="1" customWidth="1"/>
    <col min="8467" max="8467" width="15.90625" style="81" bestFit="1" customWidth="1"/>
    <col min="8468" max="8704" width="14.36328125" style="81" customWidth="1"/>
    <col min="8705" max="8705" width="9.6328125" style="81" customWidth="1"/>
    <col min="8706" max="8706" width="43.54296875" style="81" customWidth="1"/>
    <col min="8707" max="8721" width="17.90625" style="81" customWidth="1"/>
    <col min="8722" max="8722" width="15.453125" style="81" bestFit="1" customWidth="1"/>
    <col min="8723" max="8723" width="15.90625" style="81" bestFit="1" customWidth="1"/>
    <col min="8724" max="8960" width="14.36328125" style="81" customWidth="1"/>
    <col min="8961" max="8961" width="9.6328125" style="81" customWidth="1"/>
    <col min="8962" max="8962" width="43.54296875" style="81" customWidth="1"/>
    <col min="8963" max="8977" width="17.90625" style="81" customWidth="1"/>
    <col min="8978" max="8978" width="15.453125" style="81" bestFit="1" customWidth="1"/>
    <col min="8979" max="8979" width="15.90625" style="81" bestFit="1" customWidth="1"/>
    <col min="8980" max="9216" width="14.36328125" style="81" customWidth="1"/>
    <col min="9217" max="9217" width="9.6328125" style="81" customWidth="1"/>
    <col min="9218" max="9218" width="43.54296875" style="81" customWidth="1"/>
    <col min="9219" max="9233" width="17.90625" style="81" customWidth="1"/>
    <col min="9234" max="9234" width="15.453125" style="81" bestFit="1" customWidth="1"/>
    <col min="9235" max="9235" width="15.90625" style="81" bestFit="1" customWidth="1"/>
    <col min="9236" max="9472" width="14.36328125" style="81" customWidth="1"/>
    <col min="9473" max="9473" width="9.6328125" style="81" customWidth="1"/>
    <col min="9474" max="9474" width="43.54296875" style="81" customWidth="1"/>
    <col min="9475" max="9489" width="17.90625" style="81" customWidth="1"/>
    <col min="9490" max="9490" width="15.453125" style="81" bestFit="1" customWidth="1"/>
    <col min="9491" max="9491" width="15.90625" style="81" bestFit="1" customWidth="1"/>
    <col min="9492" max="9728" width="14.36328125" style="81" customWidth="1"/>
    <col min="9729" max="9729" width="9.6328125" style="81" customWidth="1"/>
    <col min="9730" max="9730" width="43.54296875" style="81" customWidth="1"/>
    <col min="9731" max="9745" width="17.90625" style="81" customWidth="1"/>
    <col min="9746" max="9746" width="15.453125" style="81" bestFit="1" customWidth="1"/>
    <col min="9747" max="9747" width="15.90625" style="81" bestFit="1" customWidth="1"/>
    <col min="9748" max="9984" width="14.36328125" style="81" customWidth="1"/>
    <col min="9985" max="9985" width="9.6328125" style="81" customWidth="1"/>
    <col min="9986" max="9986" width="43.54296875" style="81" customWidth="1"/>
    <col min="9987" max="10001" width="17.90625" style="81" customWidth="1"/>
    <col min="10002" max="10002" width="15.453125" style="81" bestFit="1" customWidth="1"/>
    <col min="10003" max="10003" width="15.90625" style="81" bestFit="1" customWidth="1"/>
    <col min="10004" max="10240" width="14.36328125" style="81" customWidth="1"/>
    <col min="10241" max="10241" width="9.6328125" style="81" customWidth="1"/>
    <col min="10242" max="10242" width="43.54296875" style="81" customWidth="1"/>
    <col min="10243" max="10257" width="17.90625" style="81" customWidth="1"/>
    <col min="10258" max="10258" width="15.453125" style="81" bestFit="1" customWidth="1"/>
    <col min="10259" max="10259" width="15.90625" style="81" bestFit="1" customWidth="1"/>
    <col min="10260" max="10496" width="14.36328125" style="81" customWidth="1"/>
    <col min="10497" max="10497" width="9.6328125" style="81" customWidth="1"/>
    <col min="10498" max="10498" width="43.54296875" style="81" customWidth="1"/>
    <col min="10499" max="10513" width="17.90625" style="81" customWidth="1"/>
    <col min="10514" max="10514" width="15.453125" style="81" bestFit="1" customWidth="1"/>
    <col min="10515" max="10515" width="15.90625" style="81" bestFit="1" customWidth="1"/>
    <col min="10516" max="10752" width="14.36328125" style="81" customWidth="1"/>
    <col min="10753" max="10753" width="9.6328125" style="81" customWidth="1"/>
    <col min="10754" max="10754" width="43.54296875" style="81" customWidth="1"/>
    <col min="10755" max="10769" width="17.90625" style="81" customWidth="1"/>
    <col min="10770" max="10770" width="15.453125" style="81" bestFit="1" customWidth="1"/>
    <col min="10771" max="10771" width="15.90625" style="81" bestFit="1" customWidth="1"/>
    <col min="10772" max="11008" width="14.36328125" style="81" customWidth="1"/>
    <col min="11009" max="11009" width="9.6328125" style="81" customWidth="1"/>
    <col min="11010" max="11010" width="43.54296875" style="81" customWidth="1"/>
    <col min="11011" max="11025" width="17.90625" style="81" customWidth="1"/>
    <col min="11026" max="11026" width="15.453125" style="81" bestFit="1" customWidth="1"/>
    <col min="11027" max="11027" width="15.90625" style="81" bestFit="1" customWidth="1"/>
    <col min="11028" max="11264" width="14.36328125" style="81" customWidth="1"/>
    <col min="11265" max="11265" width="9.6328125" style="81" customWidth="1"/>
    <col min="11266" max="11266" width="43.54296875" style="81" customWidth="1"/>
    <col min="11267" max="11281" width="17.90625" style="81" customWidth="1"/>
    <col min="11282" max="11282" width="15.453125" style="81" bestFit="1" customWidth="1"/>
    <col min="11283" max="11283" width="15.90625" style="81" bestFit="1" customWidth="1"/>
    <col min="11284" max="11520" width="14.36328125" style="81" customWidth="1"/>
    <col min="11521" max="11521" width="9.6328125" style="81" customWidth="1"/>
    <col min="11522" max="11522" width="43.54296875" style="81" customWidth="1"/>
    <col min="11523" max="11537" width="17.90625" style="81" customWidth="1"/>
    <col min="11538" max="11538" width="15.453125" style="81" bestFit="1" customWidth="1"/>
    <col min="11539" max="11539" width="15.90625" style="81" bestFit="1" customWidth="1"/>
    <col min="11540" max="11776" width="14.36328125" style="81" customWidth="1"/>
    <col min="11777" max="11777" width="9.6328125" style="81" customWidth="1"/>
    <col min="11778" max="11778" width="43.54296875" style="81" customWidth="1"/>
    <col min="11779" max="11793" width="17.90625" style="81" customWidth="1"/>
    <col min="11794" max="11794" width="15.453125" style="81" bestFit="1" customWidth="1"/>
    <col min="11795" max="11795" width="15.90625" style="81" bestFit="1" customWidth="1"/>
    <col min="11796" max="12032" width="14.36328125" style="81" customWidth="1"/>
    <col min="12033" max="12033" width="9.6328125" style="81" customWidth="1"/>
    <col min="12034" max="12034" width="43.54296875" style="81" customWidth="1"/>
    <col min="12035" max="12049" width="17.90625" style="81" customWidth="1"/>
    <col min="12050" max="12050" width="15.453125" style="81" bestFit="1" customWidth="1"/>
    <col min="12051" max="12051" width="15.90625" style="81" bestFit="1" customWidth="1"/>
    <col min="12052" max="12288" width="14.36328125" style="81" customWidth="1"/>
    <col min="12289" max="12289" width="9.6328125" style="81" customWidth="1"/>
    <col min="12290" max="12290" width="43.54296875" style="81" customWidth="1"/>
    <col min="12291" max="12305" width="17.90625" style="81" customWidth="1"/>
    <col min="12306" max="12306" width="15.453125" style="81" bestFit="1" customWidth="1"/>
    <col min="12307" max="12307" width="15.90625" style="81" bestFit="1" customWidth="1"/>
    <col min="12308" max="12544" width="14.36328125" style="81" customWidth="1"/>
    <col min="12545" max="12545" width="9.6328125" style="81" customWidth="1"/>
    <col min="12546" max="12546" width="43.54296875" style="81" customWidth="1"/>
    <col min="12547" max="12561" width="17.90625" style="81" customWidth="1"/>
    <col min="12562" max="12562" width="15.453125" style="81" bestFit="1" customWidth="1"/>
    <col min="12563" max="12563" width="15.90625" style="81" bestFit="1" customWidth="1"/>
    <col min="12564" max="12800" width="14.36328125" style="81" customWidth="1"/>
    <col min="12801" max="12801" width="9.6328125" style="81" customWidth="1"/>
    <col min="12802" max="12802" width="43.54296875" style="81" customWidth="1"/>
    <col min="12803" max="12817" width="17.90625" style="81" customWidth="1"/>
    <col min="12818" max="12818" width="15.453125" style="81" bestFit="1" customWidth="1"/>
    <col min="12819" max="12819" width="15.90625" style="81" bestFit="1" customWidth="1"/>
    <col min="12820" max="13056" width="14.36328125" style="81" customWidth="1"/>
    <col min="13057" max="13057" width="9.6328125" style="81" customWidth="1"/>
    <col min="13058" max="13058" width="43.54296875" style="81" customWidth="1"/>
    <col min="13059" max="13073" width="17.90625" style="81" customWidth="1"/>
    <col min="13074" max="13074" width="15.453125" style="81" bestFit="1" customWidth="1"/>
    <col min="13075" max="13075" width="15.90625" style="81" bestFit="1" customWidth="1"/>
    <col min="13076" max="13312" width="14.36328125" style="81" customWidth="1"/>
    <col min="13313" max="13313" width="9.6328125" style="81" customWidth="1"/>
    <col min="13314" max="13314" width="43.54296875" style="81" customWidth="1"/>
    <col min="13315" max="13329" width="17.90625" style="81" customWidth="1"/>
    <col min="13330" max="13330" width="15.453125" style="81" bestFit="1" customWidth="1"/>
    <col min="13331" max="13331" width="15.90625" style="81" bestFit="1" customWidth="1"/>
    <col min="13332" max="13568" width="14.36328125" style="81" customWidth="1"/>
    <col min="13569" max="13569" width="9.6328125" style="81" customWidth="1"/>
    <col min="13570" max="13570" width="43.54296875" style="81" customWidth="1"/>
    <col min="13571" max="13585" width="17.90625" style="81" customWidth="1"/>
    <col min="13586" max="13586" width="15.453125" style="81" bestFit="1" customWidth="1"/>
    <col min="13587" max="13587" width="15.90625" style="81" bestFit="1" customWidth="1"/>
    <col min="13588" max="13824" width="14.36328125" style="81" customWidth="1"/>
    <col min="13825" max="13825" width="9.6328125" style="81" customWidth="1"/>
    <col min="13826" max="13826" width="43.54296875" style="81" customWidth="1"/>
    <col min="13827" max="13841" width="17.90625" style="81" customWidth="1"/>
    <col min="13842" max="13842" width="15.453125" style="81" bestFit="1" customWidth="1"/>
    <col min="13843" max="13843" width="15.90625" style="81" bestFit="1" customWidth="1"/>
    <col min="13844" max="14080" width="14.36328125" style="81" customWidth="1"/>
    <col min="14081" max="14081" width="9.6328125" style="81" customWidth="1"/>
    <col min="14082" max="14082" width="43.54296875" style="81" customWidth="1"/>
    <col min="14083" max="14097" width="17.90625" style="81" customWidth="1"/>
    <col min="14098" max="14098" width="15.453125" style="81" bestFit="1" customWidth="1"/>
    <col min="14099" max="14099" width="15.90625" style="81" bestFit="1" customWidth="1"/>
    <col min="14100" max="14336" width="14.36328125" style="81" customWidth="1"/>
    <col min="14337" max="14337" width="9.6328125" style="81" customWidth="1"/>
    <col min="14338" max="14338" width="43.54296875" style="81" customWidth="1"/>
    <col min="14339" max="14353" width="17.90625" style="81" customWidth="1"/>
    <col min="14354" max="14354" width="15.453125" style="81" bestFit="1" customWidth="1"/>
    <col min="14355" max="14355" width="15.90625" style="81" bestFit="1" customWidth="1"/>
    <col min="14356" max="14592" width="14.36328125" style="81" customWidth="1"/>
    <col min="14593" max="14593" width="9.6328125" style="81" customWidth="1"/>
    <col min="14594" max="14594" width="43.54296875" style="81" customWidth="1"/>
    <col min="14595" max="14609" width="17.90625" style="81" customWidth="1"/>
    <col min="14610" max="14610" width="15.453125" style="81" bestFit="1" customWidth="1"/>
    <col min="14611" max="14611" width="15.90625" style="81" bestFit="1" customWidth="1"/>
    <col min="14612" max="14848" width="14.36328125" style="81" customWidth="1"/>
    <col min="14849" max="14849" width="9.6328125" style="81" customWidth="1"/>
    <col min="14850" max="14850" width="43.54296875" style="81" customWidth="1"/>
    <col min="14851" max="14865" width="17.90625" style="81" customWidth="1"/>
    <col min="14866" max="14866" width="15.453125" style="81" bestFit="1" customWidth="1"/>
    <col min="14867" max="14867" width="15.90625" style="81" bestFit="1" customWidth="1"/>
    <col min="14868" max="15104" width="14.36328125" style="81" customWidth="1"/>
    <col min="15105" max="15105" width="9.6328125" style="81" customWidth="1"/>
    <col min="15106" max="15106" width="43.54296875" style="81" customWidth="1"/>
    <col min="15107" max="15121" width="17.90625" style="81" customWidth="1"/>
    <col min="15122" max="15122" width="15.453125" style="81" bestFit="1" customWidth="1"/>
    <col min="15123" max="15123" width="15.90625" style="81" bestFit="1" customWidth="1"/>
    <col min="15124" max="15360" width="14.36328125" style="81" customWidth="1"/>
    <col min="15361" max="15361" width="9.6328125" style="81" customWidth="1"/>
    <col min="15362" max="15362" width="43.54296875" style="81" customWidth="1"/>
    <col min="15363" max="15377" width="17.90625" style="81" customWidth="1"/>
    <col min="15378" max="15378" width="15.453125" style="81" bestFit="1" customWidth="1"/>
    <col min="15379" max="15379" width="15.90625" style="81" bestFit="1" customWidth="1"/>
    <col min="15380" max="15616" width="14.36328125" style="81" customWidth="1"/>
    <col min="15617" max="15617" width="9.6328125" style="81" customWidth="1"/>
    <col min="15618" max="15618" width="43.54296875" style="81" customWidth="1"/>
    <col min="15619" max="15633" width="17.90625" style="81" customWidth="1"/>
    <col min="15634" max="15634" width="15.453125" style="81" bestFit="1" customWidth="1"/>
    <col min="15635" max="15635" width="15.90625" style="81" bestFit="1" customWidth="1"/>
    <col min="15636" max="15872" width="14.36328125" style="81" customWidth="1"/>
    <col min="15873" max="15873" width="9.6328125" style="81" customWidth="1"/>
    <col min="15874" max="15874" width="43.54296875" style="81" customWidth="1"/>
    <col min="15875" max="15889" width="17.90625" style="81" customWidth="1"/>
    <col min="15890" max="15890" width="15.453125" style="81" bestFit="1" customWidth="1"/>
    <col min="15891" max="15891" width="15.90625" style="81" bestFit="1" customWidth="1"/>
    <col min="15892" max="16128" width="14.36328125" style="81" customWidth="1"/>
    <col min="16129" max="16129" width="9.6328125" style="81" customWidth="1"/>
    <col min="16130" max="16130" width="43.54296875" style="81" customWidth="1"/>
    <col min="16131" max="16145" width="17.90625" style="81" customWidth="1"/>
    <col min="16146" max="16146" width="15.453125" style="81" bestFit="1" customWidth="1"/>
    <col min="16147" max="16147" width="15.90625" style="81" bestFit="1" customWidth="1"/>
    <col min="16148" max="16384" width="14.36328125" style="81" customWidth="1"/>
  </cols>
  <sheetData>
    <row r="3" spans="2:17" ht="18.75" customHeight="1" x14ac:dyDescent="0.35">
      <c r="B3" s="270" t="str">
        <f>_xlfn.CONCAT('Table of Contents'!B19,": ",'Table of Contents'!C19)</f>
        <v>APPENDIX 12: SUMMARY OF PERSONAL PENSIONS BUSINESS REVENUE ACCOUNTS FOR THE PERIOD ENDED 31.03.2025</v>
      </c>
      <c r="C3" s="252"/>
      <c r="D3" s="252"/>
      <c r="E3" s="252"/>
      <c r="F3" s="252"/>
      <c r="G3" s="252"/>
      <c r="H3" s="252"/>
      <c r="I3" s="252"/>
      <c r="J3" s="252"/>
      <c r="K3" s="252"/>
      <c r="L3" s="252"/>
      <c r="M3" s="252"/>
      <c r="N3" s="252"/>
      <c r="O3" s="252"/>
      <c r="P3" s="252"/>
      <c r="Q3" s="253"/>
    </row>
    <row r="4" spans="2:17" s="87" customFormat="1" ht="26" customHeight="1" x14ac:dyDescent="0.3">
      <c r="B4" s="83" t="s">
        <v>36</v>
      </c>
      <c r="C4" s="84" t="s">
        <v>140</v>
      </c>
      <c r="D4" s="84" t="s">
        <v>141</v>
      </c>
      <c r="E4" s="84" t="s">
        <v>142</v>
      </c>
      <c r="F4" s="84" t="s">
        <v>143</v>
      </c>
      <c r="G4" s="84" t="s">
        <v>144</v>
      </c>
      <c r="H4" s="84" t="s">
        <v>145</v>
      </c>
      <c r="I4" s="85" t="s">
        <v>146</v>
      </c>
      <c r="J4" s="84" t="s">
        <v>147</v>
      </c>
      <c r="K4" s="86" t="s">
        <v>148</v>
      </c>
      <c r="L4" s="86" t="s">
        <v>149</v>
      </c>
      <c r="M4" s="86" t="s">
        <v>150</v>
      </c>
      <c r="N4" s="86" t="s">
        <v>151</v>
      </c>
      <c r="O4" s="86" t="s">
        <v>152</v>
      </c>
      <c r="P4" s="86" t="s">
        <v>153</v>
      </c>
      <c r="Q4" s="86" t="s">
        <v>154</v>
      </c>
    </row>
    <row r="5" spans="2:17" ht="15" customHeight="1" x14ac:dyDescent="0.35">
      <c r="B5" s="268" t="s">
        <v>53</v>
      </c>
      <c r="C5" s="252"/>
      <c r="D5" s="252"/>
      <c r="E5" s="252"/>
      <c r="F5" s="252"/>
      <c r="G5" s="252"/>
      <c r="H5" s="252"/>
      <c r="I5" s="252"/>
      <c r="J5" s="252"/>
      <c r="K5" s="252"/>
      <c r="L5" s="252"/>
      <c r="M5" s="252"/>
      <c r="N5" s="252"/>
      <c r="O5" s="252"/>
      <c r="P5" s="252"/>
      <c r="Q5" s="253"/>
    </row>
    <row r="6" spans="2:17" ht="24" customHeight="1" x14ac:dyDescent="0.3">
      <c r="B6" s="3" t="s">
        <v>99</v>
      </c>
      <c r="C6" s="89">
        <v>0</v>
      </c>
      <c r="D6" s="89">
        <v>0</v>
      </c>
      <c r="E6" s="89">
        <v>0</v>
      </c>
      <c r="F6" s="89">
        <v>0</v>
      </c>
      <c r="G6" s="89">
        <v>0</v>
      </c>
      <c r="H6" s="89">
        <v>0</v>
      </c>
      <c r="I6" s="89">
        <v>0</v>
      </c>
      <c r="J6" s="89">
        <v>0</v>
      </c>
      <c r="K6" s="89">
        <v>0</v>
      </c>
      <c r="L6" s="89">
        <v>0</v>
      </c>
      <c r="M6" s="89">
        <v>0</v>
      </c>
      <c r="N6" s="89">
        <v>0</v>
      </c>
      <c r="O6" s="89">
        <v>0</v>
      </c>
      <c r="P6" s="89">
        <v>0</v>
      </c>
      <c r="Q6" s="90">
        <v>0</v>
      </c>
    </row>
    <row r="7" spans="2:17" ht="24" customHeight="1" x14ac:dyDescent="0.3">
      <c r="B7" s="3" t="s">
        <v>100</v>
      </c>
      <c r="C7" s="89">
        <v>0</v>
      </c>
      <c r="D7" s="89">
        <v>51601.347000000002</v>
      </c>
      <c r="E7" s="89">
        <v>51601.347000000002</v>
      </c>
      <c r="F7" s="89">
        <v>0</v>
      </c>
      <c r="G7" s="89">
        <v>17677.848000000002</v>
      </c>
      <c r="H7" s="89">
        <v>17677.848000000002</v>
      </c>
      <c r="I7" s="89">
        <v>0</v>
      </c>
      <c r="J7" s="89">
        <v>0</v>
      </c>
      <c r="K7" s="89">
        <v>0</v>
      </c>
      <c r="L7" s="89">
        <v>1032.027</v>
      </c>
      <c r="M7" s="89">
        <v>0</v>
      </c>
      <c r="N7" s="89">
        <v>59889.420882423743</v>
      </c>
      <c r="O7" s="89">
        <v>1090.9046515609471</v>
      </c>
      <c r="P7" s="89">
        <v>0</v>
      </c>
      <c r="Q7" s="90">
        <v>91689.988230862786</v>
      </c>
    </row>
    <row r="8" spans="2:17" ht="24" customHeight="1" x14ac:dyDescent="0.3">
      <c r="B8" s="3" t="s">
        <v>101</v>
      </c>
      <c r="C8" s="89">
        <v>33293701.547664311</v>
      </c>
      <c r="D8" s="89">
        <v>979427.71889999998</v>
      </c>
      <c r="E8" s="89">
        <v>979427.71889999998</v>
      </c>
      <c r="F8" s="89">
        <v>0</v>
      </c>
      <c r="G8" s="89">
        <v>1266424.2186499999</v>
      </c>
      <c r="H8" s="89">
        <v>1266424.2186499999</v>
      </c>
      <c r="I8" s="89">
        <v>0</v>
      </c>
      <c r="J8" s="89">
        <v>0</v>
      </c>
      <c r="K8" s="89">
        <v>0</v>
      </c>
      <c r="L8" s="89">
        <v>8648.8566699999992</v>
      </c>
      <c r="M8" s="89">
        <v>81558.989000000001</v>
      </c>
      <c r="N8" s="89">
        <v>1532303.571</v>
      </c>
      <c r="O8" s="89">
        <v>2608.5549999999998</v>
      </c>
      <c r="P8" s="89">
        <v>150124.2736086653</v>
      </c>
      <c r="Q8" s="90">
        <v>34296067.944635637</v>
      </c>
    </row>
    <row r="9" spans="2:17" ht="24" customHeight="1" x14ac:dyDescent="0.3">
      <c r="B9" s="3" t="s">
        <v>102</v>
      </c>
      <c r="C9" s="89">
        <v>0</v>
      </c>
      <c r="D9" s="89">
        <v>0</v>
      </c>
      <c r="E9" s="89">
        <v>0</v>
      </c>
      <c r="F9" s="89">
        <v>0</v>
      </c>
      <c r="G9" s="89">
        <v>0</v>
      </c>
      <c r="H9" s="89">
        <v>0</v>
      </c>
      <c r="I9" s="89">
        <v>0</v>
      </c>
      <c r="J9" s="89">
        <v>0</v>
      </c>
      <c r="K9" s="89">
        <v>0</v>
      </c>
      <c r="L9" s="89">
        <v>0</v>
      </c>
      <c r="M9" s="89">
        <v>0</v>
      </c>
      <c r="N9" s="89">
        <v>0</v>
      </c>
      <c r="O9" s="89">
        <v>0</v>
      </c>
      <c r="P9" s="89">
        <v>0</v>
      </c>
      <c r="Q9" s="90">
        <v>0</v>
      </c>
    </row>
    <row r="10" spans="2:17" ht="24" customHeight="1" x14ac:dyDescent="0.3">
      <c r="B10" s="3" t="s">
        <v>103</v>
      </c>
      <c r="C10" s="89">
        <v>0</v>
      </c>
      <c r="D10" s="89">
        <v>0</v>
      </c>
      <c r="E10" s="89">
        <v>0</v>
      </c>
      <c r="F10" s="89">
        <v>0</v>
      </c>
      <c r="G10" s="89">
        <v>0</v>
      </c>
      <c r="H10" s="89">
        <v>0</v>
      </c>
      <c r="I10" s="89">
        <v>0</v>
      </c>
      <c r="J10" s="89">
        <v>0</v>
      </c>
      <c r="K10" s="89">
        <v>0</v>
      </c>
      <c r="L10" s="89">
        <v>0</v>
      </c>
      <c r="M10" s="89">
        <v>0</v>
      </c>
      <c r="N10" s="89">
        <v>0</v>
      </c>
      <c r="O10" s="89">
        <v>0</v>
      </c>
      <c r="P10" s="89">
        <v>0</v>
      </c>
      <c r="Q10" s="90">
        <v>0</v>
      </c>
    </row>
    <row r="11" spans="2:17" ht="24" customHeight="1" x14ac:dyDescent="0.3">
      <c r="B11" s="3" t="s">
        <v>104</v>
      </c>
      <c r="C11" s="89">
        <v>0</v>
      </c>
      <c r="D11" s="89">
        <v>0</v>
      </c>
      <c r="E11" s="89">
        <v>0</v>
      </c>
      <c r="F11" s="89">
        <v>0</v>
      </c>
      <c r="G11" s="89">
        <v>0</v>
      </c>
      <c r="H11" s="89">
        <v>0</v>
      </c>
      <c r="I11" s="89">
        <v>0</v>
      </c>
      <c r="J11" s="89">
        <v>0</v>
      </c>
      <c r="K11" s="89">
        <v>0</v>
      </c>
      <c r="L11" s="89">
        <v>0</v>
      </c>
      <c r="M11" s="89">
        <v>0</v>
      </c>
      <c r="N11" s="89">
        <v>0</v>
      </c>
      <c r="O11" s="89">
        <v>0</v>
      </c>
      <c r="P11" s="89">
        <v>0</v>
      </c>
      <c r="Q11" s="90">
        <v>0</v>
      </c>
    </row>
    <row r="12" spans="2:17" ht="24" customHeight="1" x14ac:dyDescent="0.3">
      <c r="B12" s="3" t="s">
        <v>60</v>
      </c>
      <c r="C12" s="89">
        <v>0</v>
      </c>
      <c r="D12" s="89">
        <v>0</v>
      </c>
      <c r="E12" s="89">
        <v>0</v>
      </c>
      <c r="F12" s="89">
        <v>0</v>
      </c>
      <c r="G12" s="89">
        <v>0</v>
      </c>
      <c r="H12" s="89">
        <v>0</v>
      </c>
      <c r="I12" s="89">
        <v>0</v>
      </c>
      <c r="J12" s="89">
        <v>0</v>
      </c>
      <c r="K12" s="89">
        <v>0</v>
      </c>
      <c r="L12" s="89">
        <v>0</v>
      </c>
      <c r="M12" s="89">
        <v>0</v>
      </c>
      <c r="N12" s="89">
        <v>0</v>
      </c>
      <c r="O12" s="89">
        <v>0</v>
      </c>
      <c r="P12" s="89">
        <v>0</v>
      </c>
      <c r="Q12" s="90">
        <v>0</v>
      </c>
    </row>
    <row r="13" spans="2:17" ht="24" customHeight="1" x14ac:dyDescent="0.3">
      <c r="B13" s="3" t="s">
        <v>105</v>
      </c>
      <c r="C13" s="89">
        <v>374887.38500000001</v>
      </c>
      <c r="D13" s="89">
        <v>59723.999000000003</v>
      </c>
      <c r="E13" s="89">
        <v>59723.999000000003</v>
      </c>
      <c r="F13" s="89">
        <v>0</v>
      </c>
      <c r="G13" s="89">
        <v>0</v>
      </c>
      <c r="H13" s="89">
        <v>0</v>
      </c>
      <c r="I13" s="89">
        <v>0</v>
      </c>
      <c r="J13" s="89">
        <v>0</v>
      </c>
      <c r="K13" s="89">
        <v>0</v>
      </c>
      <c r="L13" s="89">
        <v>0</v>
      </c>
      <c r="M13" s="89">
        <v>0</v>
      </c>
      <c r="N13" s="89">
        <v>0</v>
      </c>
      <c r="O13" s="89">
        <v>0</v>
      </c>
      <c r="P13" s="89">
        <v>0</v>
      </c>
      <c r="Q13" s="90">
        <v>434611.38400000002</v>
      </c>
    </row>
    <row r="14" spans="2:17" ht="24" customHeight="1" x14ac:dyDescent="0.3">
      <c r="B14" s="3" t="s">
        <v>106</v>
      </c>
      <c r="C14" s="89">
        <v>5859870.7508197185</v>
      </c>
      <c r="D14" s="89">
        <v>310066.09220999997</v>
      </c>
      <c r="E14" s="89">
        <v>310066.09220999997</v>
      </c>
      <c r="F14" s="89">
        <v>0</v>
      </c>
      <c r="G14" s="89">
        <v>148078.59700000001</v>
      </c>
      <c r="H14" s="89">
        <v>148078.59700000001</v>
      </c>
      <c r="I14" s="89">
        <v>0</v>
      </c>
      <c r="J14" s="89">
        <v>0</v>
      </c>
      <c r="K14" s="89">
        <v>0</v>
      </c>
      <c r="L14" s="89">
        <v>1293.355</v>
      </c>
      <c r="M14" s="89">
        <v>7766.6930748890682</v>
      </c>
      <c r="N14" s="89">
        <v>229471.32632625671</v>
      </c>
      <c r="O14" s="89">
        <v>0</v>
      </c>
      <c r="P14" s="89">
        <v>0</v>
      </c>
      <c r="Q14" s="90">
        <v>6242269.5242810845</v>
      </c>
    </row>
    <row r="15" spans="2:17" ht="24" customHeight="1" x14ac:dyDescent="0.3">
      <c r="B15" s="3" t="s">
        <v>107</v>
      </c>
      <c r="C15" s="89">
        <v>129029.749</v>
      </c>
      <c r="D15" s="89">
        <v>164999.69166932799</v>
      </c>
      <c r="E15" s="89">
        <v>164999.69166932799</v>
      </c>
      <c r="F15" s="89">
        <v>0</v>
      </c>
      <c r="G15" s="89">
        <v>0</v>
      </c>
      <c r="H15" s="89">
        <v>0</v>
      </c>
      <c r="I15" s="89">
        <v>0</v>
      </c>
      <c r="J15" s="89">
        <v>0</v>
      </c>
      <c r="K15" s="89">
        <v>0</v>
      </c>
      <c r="L15" s="89">
        <v>-960.01800000000003</v>
      </c>
      <c r="M15" s="89">
        <v>0</v>
      </c>
      <c r="N15" s="89">
        <v>0</v>
      </c>
      <c r="O15" s="89">
        <v>0</v>
      </c>
      <c r="P15" s="89">
        <v>129989.927</v>
      </c>
      <c r="Q15" s="90">
        <v>164999.53166932799</v>
      </c>
    </row>
    <row r="16" spans="2:17" ht="24" customHeight="1" x14ac:dyDescent="0.3">
      <c r="B16" s="3" t="s">
        <v>108</v>
      </c>
      <c r="C16" s="89">
        <v>48450961.466773599</v>
      </c>
      <c r="D16" s="89">
        <v>1903461.8055054841</v>
      </c>
      <c r="E16" s="89">
        <v>1903461.8055054841</v>
      </c>
      <c r="F16" s="89">
        <v>0</v>
      </c>
      <c r="G16" s="89">
        <v>1265009.3940000001</v>
      </c>
      <c r="H16" s="89">
        <v>1265009.3940000001</v>
      </c>
      <c r="I16" s="89">
        <v>0</v>
      </c>
      <c r="J16" s="89">
        <v>0</v>
      </c>
      <c r="K16" s="89">
        <v>0</v>
      </c>
      <c r="L16" s="89">
        <v>9384.3369999999995</v>
      </c>
      <c r="M16" s="89">
        <v>72858.322968942841</v>
      </c>
      <c r="N16" s="89">
        <v>1835821.814</v>
      </c>
      <c r="O16" s="89">
        <v>0</v>
      </c>
      <c r="P16" s="89">
        <v>0</v>
      </c>
      <c r="Q16" s="90">
        <v>50842993.032310143</v>
      </c>
    </row>
    <row r="17" spans="2:17" ht="24" customHeight="1" x14ac:dyDescent="0.3">
      <c r="B17" s="3" t="s">
        <v>109</v>
      </c>
      <c r="C17" s="89">
        <v>10414912.012950139</v>
      </c>
      <c r="D17" s="89">
        <v>670804.02655999991</v>
      </c>
      <c r="E17" s="89">
        <v>670804.02655999991</v>
      </c>
      <c r="F17" s="89">
        <v>0</v>
      </c>
      <c r="G17" s="89">
        <v>524497.57200000004</v>
      </c>
      <c r="H17" s="89">
        <v>524497.57200000004</v>
      </c>
      <c r="I17" s="89">
        <v>0</v>
      </c>
      <c r="J17" s="89">
        <v>0</v>
      </c>
      <c r="K17" s="89">
        <v>0</v>
      </c>
      <c r="L17" s="89">
        <v>0</v>
      </c>
      <c r="M17" s="89">
        <v>14298.679999999989</v>
      </c>
      <c r="N17" s="89">
        <v>74031.883000000002</v>
      </c>
      <c r="O17" s="89">
        <v>856.35900000000004</v>
      </c>
      <c r="P17" s="89">
        <v>0</v>
      </c>
      <c r="Q17" s="90">
        <v>10620095.31151014</v>
      </c>
    </row>
    <row r="18" spans="2:17" ht="24" customHeight="1" x14ac:dyDescent="0.3">
      <c r="B18" s="3" t="s">
        <v>110</v>
      </c>
      <c r="C18" s="89">
        <v>0</v>
      </c>
      <c r="D18" s="89">
        <v>337442.00900000002</v>
      </c>
      <c r="E18" s="89">
        <v>337442.00900000002</v>
      </c>
      <c r="F18" s="89">
        <v>0</v>
      </c>
      <c r="G18" s="89">
        <v>0</v>
      </c>
      <c r="H18" s="89">
        <v>0</v>
      </c>
      <c r="I18" s="89">
        <v>0</v>
      </c>
      <c r="J18" s="89">
        <v>0</v>
      </c>
      <c r="K18" s="89">
        <v>0</v>
      </c>
      <c r="L18" s="89">
        <v>0</v>
      </c>
      <c r="M18" s="89">
        <v>0</v>
      </c>
      <c r="N18" s="89">
        <v>0</v>
      </c>
      <c r="O18" s="89">
        <v>0</v>
      </c>
      <c r="P18" s="89">
        <v>0</v>
      </c>
      <c r="Q18" s="90">
        <v>337442.00900000002</v>
      </c>
    </row>
    <row r="19" spans="2:17" ht="24" customHeight="1" x14ac:dyDescent="0.3">
      <c r="B19" s="3" t="s">
        <v>111</v>
      </c>
      <c r="C19" s="89">
        <v>380379.24238707533</v>
      </c>
      <c r="D19" s="89">
        <v>14559.57172</v>
      </c>
      <c r="E19" s="89">
        <v>14559.57172</v>
      </c>
      <c r="F19" s="89">
        <v>0</v>
      </c>
      <c r="G19" s="89">
        <v>13147.87815</v>
      </c>
      <c r="H19" s="89">
        <v>13147.87815</v>
      </c>
      <c r="I19" s="89">
        <v>0</v>
      </c>
      <c r="J19" s="89">
        <v>0</v>
      </c>
      <c r="K19" s="89">
        <v>0</v>
      </c>
      <c r="L19" s="89">
        <v>0</v>
      </c>
      <c r="M19" s="89">
        <v>29.632999999999999</v>
      </c>
      <c r="N19" s="89">
        <v>11414.170108847489</v>
      </c>
      <c r="O19" s="89">
        <v>0</v>
      </c>
      <c r="P19" s="89">
        <v>0</v>
      </c>
      <c r="Q19" s="90">
        <v>393175.47306592279</v>
      </c>
    </row>
    <row r="20" spans="2:17" ht="24" customHeight="1" x14ac:dyDescent="0.3">
      <c r="B20" s="3" t="s">
        <v>112</v>
      </c>
      <c r="C20" s="93">
        <v>0</v>
      </c>
      <c r="D20" s="89">
        <v>0</v>
      </c>
      <c r="E20" s="89">
        <v>0</v>
      </c>
      <c r="F20" s="89">
        <v>0</v>
      </c>
      <c r="G20" s="89">
        <v>0</v>
      </c>
      <c r="H20" s="89">
        <v>0</v>
      </c>
      <c r="I20" s="89">
        <v>0</v>
      </c>
      <c r="J20" s="89">
        <v>0</v>
      </c>
      <c r="K20" s="89">
        <v>0</v>
      </c>
      <c r="L20" s="89">
        <v>0</v>
      </c>
      <c r="M20" s="89">
        <v>0</v>
      </c>
      <c r="N20" s="89">
        <v>0</v>
      </c>
      <c r="O20" s="89">
        <v>0</v>
      </c>
      <c r="P20" s="89">
        <v>0</v>
      </c>
      <c r="Q20" s="90">
        <v>0</v>
      </c>
    </row>
    <row r="21" spans="2:17" ht="24" customHeight="1" x14ac:dyDescent="0.3">
      <c r="B21" s="3" t="s">
        <v>113</v>
      </c>
      <c r="C21" s="46">
        <v>887694.70957469172</v>
      </c>
      <c r="D21" s="89">
        <v>296115.37862999999</v>
      </c>
      <c r="E21" s="89">
        <v>296115.37862999999</v>
      </c>
      <c r="F21" s="89">
        <v>0</v>
      </c>
      <c r="G21" s="89">
        <v>0</v>
      </c>
      <c r="H21" s="89">
        <v>0</v>
      </c>
      <c r="I21" s="89">
        <v>0</v>
      </c>
      <c r="J21" s="89">
        <v>0</v>
      </c>
      <c r="K21" s="89">
        <v>0</v>
      </c>
      <c r="L21" s="89">
        <v>3804.5476399999998</v>
      </c>
      <c r="M21" s="89">
        <v>36676.361103524847</v>
      </c>
      <c r="N21" s="89">
        <v>507495.55047000002</v>
      </c>
      <c r="O21" s="89">
        <v>6854.2092228595529</v>
      </c>
      <c r="P21" s="89">
        <v>0</v>
      </c>
      <c r="Q21" s="90">
        <v>1643970.5207083069</v>
      </c>
    </row>
    <row r="22" spans="2:17" ht="24" customHeight="1" x14ac:dyDescent="0.3">
      <c r="B22" s="3" t="s">
        <v>74</v>
      </c>
      <c r="C22" s="93">
        <v>1435827.5120000001</v>
      </c>
      <c r="D22" s="89">
        <v>32984</v>
      </c>
      <c r="E22" s="89">
        <v>32984</v>
      </c>
      <c r="F22" s="89">
        <v>0</v>
      </c>
      <c r="G22" s="89">
        <v>60895</v>
      </c>
      <c r="H22" s="89">
        <v>60895</v>
      </c>
      <c r="I22" s="89">
        <v>0</v>
      </c>
      <c r="J22" s="89">
        <v>0</v>
      </c>
      <c r="K22" s="89">
        <v>0</v>
      </c>
      <c r="L22" s="89">
        <v>442</v>
      </c>
      <c r="M22" s="89">
        <v>28024.409</v>
      </c>
      <c r="N22" s="89">
        <v>19209</v>
      </c>
      <c r="O22" s="89">
        <v>0</v>
      </c>
      <c r="P22" s="89">
        <v>0</v>
      </c>
      <c r="Q22" s="90">
        <v>1398659.1029999999</v>
      </c>
    </row>
    <row r="23" spans="2:17" ht="24" customHeight="1" x14ac:dyDescent="0.3">
      <c r="B23" s="3" t="s">
        <v>114</v>
      </c>
      <c r="C23" s="93">
        <v>0</v>
      </c>
      <c r="D23" s="89">
        <v>0</v>
      </c>
      <c r="E23" s="89">
        <v>0</v>
      </c>
      <c r="F23" s="89">
        <v>0</v>
      </c>
      <c r="G23" s="89">
        <v>0</v>
      </c>
      <c r="H23" s="89">
        <v>0</v>
      </c>
      <c r="I23" s="89">
        <v>0</v>
      </c>
      <c r="J23" s="89">
        <v>0</v>
      </c>
      <c r="K23" s="89">
        <v>0</v>
      </c>
      <c r="L23" s="89">
        <v>0</v>
      </c>
      <c r="M23" s="89">
        <v>0</v>
      </c>
      <c r="N23" s="89">
        <v>0</v>
      </c>
      <c r="O23" s="89">
        <v>0</v>
      </c>
      <c r="P23" s="89">
        <v>0</v>
      </c>
      <c r="Q23" s="90">
        <v>0</v>
      </c>
    </row>
    <row r="24" spans="2:17" ht="24" customHeight="1" x14ac:dyDescent="0.3">
      <c r="B24" s="3" t="s">
        <v>115</v>
      </c>
      <c r="C24" s="93">
        <v>0</v>
      </c>
      <c r="D24" s="89">
        <v>0</v>
      </c>
      <c r="E24" s="89">
        <v>0</v>
      </c>
      <c r="F24" s="89">
        <v>0</v>
      </c>
      <c r="G24" s="89">
        <v>0</v>
      </c>
      <c r="H24" s="89">
        <v>0</v>
      </c>
      <c r="I24" s="89">
        <v>0</v>
      </c>
      <c r="J24" s="89">
        <v>0</v>
      </c>
      <c r="K24" s="89">
        <v>0</v>
      </c>
      <c r="L24" s="89">
        <v>0</v>
      </c>
      <c r="M24" s="89">
        <v>0</v>
      </c>
      <c r="N24" s="89">
        <v>0</v>
      </c>
      <c r="O24" s="89">
        <v>0</v>
      </c>
      <c r="P24" s="89">
        <v>0</v>
      </c>
      <c r="Q24" s="90">
        <v>0</v>
      </c>
    </row>
    <row r="25" spans="2:17" ht="24" customHeight="1" x14ac:dyDescent="0.3">
      <c r="B25" s="3" t="s">
        <v>116</v>
      </c>
      <c r="C25" s="93">
        <v>19485.731640000002</v>
      </c>
      <c r="D25" s="89">
        <v>47513.101000000002</v>
      </c>
      <c r="E25" s="89">
        <v>47513.101000000002</v>
      </c>
      <c r="F25" s="89">
        <v>0</v>
      </c>
      <c r="G25" s="89">
        <v>29482.989000000001</v>
      </c>
      <c r="H25" s="89">
        <v>29482.989000000001</v>
      </c>
      <c r="I25" s="89">
        <v>0</v>
      </c>
      <c r="J25" s="89">
        <v>0</v>
      </c>
      <c r="K25" s="89">
        <v>0</v>
      </c>
      <c r="L25" s="89">
        <v>0</v>
      </c>
      <c r="M25" s="89">
        <v>0</v>
      </c>
      <c r="N25" s="89">
        <v>0</v>
      </c>
      <c r="O25" s="89">
        <v>0</v>
      </c>
      <c r="P25" s="89">
        <v>0</v>
      </c>
      <c r="Q25" s="90">
        <v>37515.843639999999</v>
      </c>
    </row>
    <row r="26" spans="2:17" ht="24" customHeight="1" x14ac:dyDescent="0.3">
      <c r="B26" s="3" t="s">
        <v>117</v>
      </c>
      <c r="C26" s="93">
        <v>1505583.447675375</v>
      </c>
      <c r="D26" s="89">
        <v>0</v>
      </c>
      <c r="E26" s="89">
        <v>0</v>
      </c>
      <c r="F26" s="89">
        <v>0</v>
      </c>
      <c r="G26" s="89">
        <v>0</v>
      </c>
      <c r="H26" s="89">
        <v>0</v>
      </c>
      <c r="I26" s="89">
        <v>0</v>
      </c>
      <c r="J26" s="89">
        <v>0</v>
      </c>
      <c r="K26" s="89">
        <v>0</v>
      </c>
      <c r="L26" s="89">
        <v>0</v>
      </c>
      <c r="M26" s="89">
        <v>2966.378237567626</v>
      </c>
      <c r="N26" s="89">
        <v>37678.617989490624</v>
      </c>
      <c r="O26" s="89">
        <v>1112.1929560265301</v>
      </c>
      <c r="P26" s="89">
        <v>0</v>
      </c>
      <c r="Q26" s="90">
        <v>1539183.4944712711</v>
      </c>
    </row>
    <row r="27" spans="2:17" ht="24" customHeight="1" x14ac:dyDescent="0.3">
      <c r="B27" s="3" t="s">
        <v>118</v>
      </c>
      <c r="C27" s="93">
        <v>-549673.42676257028</v>
      </c>
      <c r="D27" s="89">
        <v>95916.567162942622</v>
      </c>
      <c r="E27" s="89">
        <v>95916.567162942622</v>
      </c>
      <c r="F27" s="89">
        <v>0</v>
      </c>
      <c r="G27" s="89">
        <v>222318.390289</v>
      </c>
      <c r="H27" s="89">
        <v>222318.390289</v>
      </c>
      <c r="I27" s="89">
        <v>0</v>
      </c>
      <c r="J27" s="89">
        <v>0</v>
      </c>
      <c r="K27" s="89">
        <v>0</v>
      </c>
      <c r="L27" s="89">
        <v>1142.1279999999999</v>
      </c>
      <c r="M27" s="89">
        <v>0</v>
      </c>
      <c r="N27" s="89">
        <v>0</v>
      </c>
      <c r="O27" s="89">
        <v>0</v>
      </c>
      <c r="P27" s="89">
        <v>0</v>
      </c>
      <c r="Q27" s="90">
        <v>-677217.3778886277</v>
      </c>
    </row>
    <row r="28" spans="2:17" ht="24" customHeight="1" x14ac:dyDescent="0.3">
      <c r="B28" s="3" t="s">
        <v>119</v>
      </c>
      <c r="C28" s="93">
        <v>0</v>
      </c>
      <c r="D28" s="89">
        <v>0</v>
      </c>
      <c r="E28" s="89">
        <v>0</v>
      </c>
      <c r="F28" s="89">
        <v>0</v>
      </c>
      <c r="G28" s="89">
        <v>0</v>
      </c>
      <c r="H28" s="89">
        <v>0</v>
      </c>
      <c r="I28" s="89">
        <v>0</v>
      </c>
      <c r="J28" s="89">
        <v>0</v>
      </c>
      <c r="K28" s="89">
        <v>0</v>
      </c>
      <c r="L28" s="89">
        <v>0</v>
      </c>
      <c r="M28" s="89">
        <v>0</v>
      </c>
      <c r="N28" s="89">
        <v>0</v>
      </c>
      <c r="O28" s="89">
        <v>0</v>
      </c>
      <c r="P28" s="89">
        <v>0</v>
      </c>
      <c r="Q28" s="90">
        <v>0</v>
      </c>
    </row>
    <row r="29" spans="2:17" ht="24" customHeight="1" x14ac:dyDescent="0.3">
      <c r="B29" s="3" t="s">
        <v>120</v>
      </c>
      <c r="C29" s="93">
        <v>1719285.48211041</v>
      </c>
      <c r="D29" s="89">
        <v>78831.294020000001</v>
      </c>
      <c r="E29" s="89">
        <v>78831.294020000001</v>
      </c>
      <c r="F29" s="89">
        <v>0</v>
      </c>
      <c r="G29" s="89">
        <v>71962.522400000002</v>
      </c>
      <c r="H29" s="89">
        <v>71962.522400000002</v>
      </c>
      <c r="I29" s="89">
        <v>0</v>
      </c>
      <c r="J29" s="89">
        <v>0</v>
      </c>
      <c r="K29" s="89">
        <v>0</v>
      </c>
      <c r="L29" s="89">
        <v>0</v>
      </c>
      <c r="M29" s="89">
        <v>10939.280299919899</v>
      </c>
      <c r="N29" s="89">
        <v>13101.258058829701</v>
      </c>
      <c r="O29" s="89">
        <v>0</v>
      </c>
      <c r="P29" s="89">
        <v>0</v>
      </c>
      <c r="Q29" s="90">
        <v>1728316.2314893201</v>
      </c>
    </row>
    <row r="30" spans="2:17" ht="24" customHeight="1" x14ac:dyDescent="0.3">
      <c r="B30" s="3" t="s">
        <v>121</v>
      </c>
      <c r="C30" s="93">
        <v>0</v>
      </c>
      <c r="D30" s="89">
        <v>0</v>
      </c>
      <c r="E30" s="89">
        <v>0</v>
      </c>
      <c r="F30" s="89">
        <v>0</v>
      </c>
      <c r="G30" s="89">
        <v>0</v>
      </c>
      <c r="H30" s="89">
        <v>0</v>
      </c>
      <c r="I30" s="89">
        <v>0</v>
      </c>
      <c r="J30" s="89">
        <v>0</v>
      </c>
      <c r="K30" s="89">
        <v>0</v>
      </c>
      <c r="L30" s="89">
        <v>0</v>
      </c>
      <c r="M30" s="89">
        <v>0</v>
      </c>
      <c r="N30" s="89">
        <v>0</v>
      </c>
      <c r="O30" s="89">
        <v>0</v>
      </c>
      <c r="P30" s="89">
        <v>0</v>
      </c>
      <c r="Q30" s="90">
        <v>0</v>
      </c>
    </row>
    <row r="31" spans="2:17" ht="24" customHeight="1" x14ac:dyDescent="0.3">
      <c r="B31" s="91" t="s">
        <v>90</v>
      </c>
      <c r="C31" s="92">
        <f t="shared" ref="C31:Q31" si="0">SUM(C6:C30)</f>
        <v>103921945.61083274</v>
      </c>
      <c r="D31" s="92">
        <f t="shared" si="0"/>
        <v>5043446.6023777546</v>
      </c>
      <c r="E31" s="92">
        <f t="shared" si="0"/>
        <v>5043446.6023777546</v>
      </c>
      <c r="F31" s="92">
        <f t="shared" si="0"/>
        <v>0</v>
      </c>
      <c r="G31" s="92">
        <f t="shared" si="0"/>
        <v>3619494.4094890002</v>
      </c>
      <c r="H31" s="92">
        <f t="shared" si="0"/>
        <v>3619494.4094890002</v>
      </c>
      <c r="I31" s="92">
        <f t="shared" si="0"/>
        <v>0</v>
      </c>
      <c r="J31" s="92">
        <f t="shared" si="0"/>
        <v>0</v>
      </c>
      <c r="K31" s="92">
        <f t="shared" si="0"/>
        <v>0</v>
      </c>
      <c r="L31" s="92">
        <f t="shared" si="0"/>
        <v>24787.23331</v>
      </c>
      <c r="M31" s="92">
        <f t="shared" si="0"/>
        <v>255118.74668484429</v>
      </c>
      <c r="N31" s="92">
        <f t="shared" si="0"/>
        <v>4320416.6118358485</v>
      </c>
      <c r="O31" s="92">
        <f t="shared" si="0"/>
        <v>12522.22083044703</v>
      </c>
      <c r="P31" s="92">
        <f t="shared" si="0"/>
        <v>280114.2006086653</v>
      </c>
      <c r="Q31" s="92">
        <f t="shared" si="0"/>
        <v>109093772.01412338</v>
      </c>
    </row>
    <row r="32" spans="2:17" ht="24" customHeight="1" x14ac:dyDescent="0.35">
      <c r="B32" s="268" t="s">
        <v>91</v>
      </c>
      <c r="C32" s="252"/>
      <c r="D32" s="252"/>
      <c r="E32" s="252"/>
      <c r="F32" s="252"/>
      <c r="G32" s="252"/>
      <c r="H32" s="252"/>
      <c r="I32" s="252"/>
      <c r="J32" s="252"/>
      <c r="K32" s="252"/>
      <c r="L32" s="252"/>
      <c r="M32" s="252"/>
      <c r="N32" s="252"/>
      <c r="O32" s="252"/>
      <c r="P32" s="252"/>
      <c r="Q32" s="253"/>
    </row>
    <row r="33" spans="2:17" ht="24" customHeight="1" x14ac:dyDescent="0.3">
      <c r="B33" s="88" t="s">
        <v>92</v>
      </c>
      <c r="C33" s="89">
        <v>0</v>
      </c>
      <c r="D33" s="89">
        <v>0</v>
      </c>
      <c r="E33" s="89">
        <v>0</v>
      </c>
      <c r="F33" s="89">
        <v>0</v>
      </c>
      <c r="G33" s="89">
        <v>0</v>
      </c>
      <c r="H33" s="89">
        <v>0</v>
      </c>
      <c r="I33" s="89">
        <v>0</v>
      </c>
      <c r="J33" s="89">
        <v>0</v>
      </c>
      <c r="K33" s="89">
        <v>0</v>
      </c>
      <c r="L33" s="89">
        <v>0</v>
      </c>
      <c r="M33" s="89">
        <v>0</v>
      </c>
      <c r="N33" s="89">
        <v>0</v>
      </c>
      <c r="O33" s="89">
        <v>0</v>
      </c>
      <c r="P33" s="89">
        <v>0</v>
      </c>
      <c r="Q33" s="90">
        <v>0</v>
      </c>
    </row>
    <row r="34" spans="2:17" ht="24" customHeight="1" x14ac:dyDescent="0.3">
      <c r="B34" s="88" t="s">
        <v>93</v>
      </c>
      <c r="C34" s="89">
        <v>0</v>
      </c>
      <c r="D34" s="89">
        <v>0</v>
      </c>
      <c r="E34" s="89">
        <v>0</v>
      </c>
      <c r="F34" s="89">
        <v>0</v>
      </c>
      <c r="G34" s="89">
        <v>0</v>
      </c>
      <c r="H34" s="89">
        <v>0</v>
      </c>
      <c r="I34" s="89">
        <v>0</v>
      </c>
      <c r="J34" s="89">
        <v>0</v>
      </c>
      <c r="K34" s="89">
        <v>0</v>
      </c>
      <c r="L34" s="89">
        <v>0</v>
      </c>
      <c r="M34" s="89">
        <v>0</v>
      </c>
      <c r="N34" s="89">
        <v>0</v>
      </c>
      <c r="O34" s="89">
        <v>0</v>
      </c>
      <c r="P34" s="89">
        <v>0</v>
      </c>
      <c r="Q34" s="90">
        <v>0</v>
      </c>
    </row>
    <row r="35" spans="2:17" ht="24" customHeight="1" x14ac:dyDescent="0.3">
      <c r="B35" s="88" t="s">
        <v>95</v>
      </c>
      <c r="C35" s="89">
        <v>0</v>
      </c>
      <c r="D35" s="89">
        <v>0</v>
      </c>
      <c r="E35" s="89">
        <v>0</v>
      </c>
      <c r="F35" s="89">
        <v>0</v>
      </c>
      <c r="G35" s="89">
        <v>0</v>
      </c>
      <c r="H35" s="89">
        <v>0</v>
      </c>
      <c r="I35" s="89">
        <v>0</v>
      </c>
      <c r="J35" s="89">
        <v>0</v>
      </c>
      <c r="K35" s="89">
        <v>0</v>
      </c>
      <c r="L35" s="89">
        <v>0</v>
      </c>
      <c r="M35" s="89">
        <v>0</v>
      </c>
      <c r="N35" s="89">
        <v>0</v>
      </c>
      <c r="O35" s="89">
        <v>0</v>
      </c>
      <c r="P35" s="89">
        <v>0</v>
      </c>
      <c r="Q35" s="90">
        <v>0</v>
      </c>
    </row>
    <row r="36" spans="2:17" ht="24" customHeight="1" x14ac:dyDescent="0.3">
      <c r="B36" s="91" t="s">
        <v>90</v>
      </c>
      <c r="C36" s="92">
        <f t="shared" ref="C36:Q36" si="1">SUM(C33:C35)</f>
        <v>0</v>
      </c>
      <c r="D36" s="92">
        <f t="shared" si="1"/>
        <v>0</v>
      </c>
      <c r="E36" s="92">
        <f t="shared" si="1"/>
        <v>0</v>
      </c>
      <c r="F36" s="92">
        <f t="shared" si="1"/>
        <v>0</v>
      </c>
      <c r="G36" s="92">
        <f t="shared" si="1"/>
        <v>0</v>
      </c>
      <c r="H36" s="92">
        <f t="shared" si="1"/>
        <v>0</v>
      </c>
      <c r="I36" s="92">
        <f t="shared" si="1"/>
        <v>0</v>
      </c>
      <c r="J36" s="92">
        <f t="shared" si="1"/>
        <v>0</v>
      </c>
      <c r="K36" s="92">
        <f t="shared" si="1"/>
        <v>0</v>
      </c>
      <c r="L36" s="92">
        <f t="shared" si="1"/>
        <v>0</v>
      </c>
      <c r="M36" s="92">
        <f t="shared" si="1"/>
        <v>0</v>
      </c>
      <c r="N36" s="92">
        <f t="shared" si="1"/>
        <v>0</v>
      </c>
      <c r="O36" s="92">
        <f t="shared" si="1"/>
        <v>0</v>
      </c>
      <c r="P36" s="92">
        <f t="shared" si="1"/>
        <v>0</v>
      </c>
      <c r="Q36" s="92">
        <f t="shared" si="1"/>
        <v>0</v>
      </c>
    </row>
    <row r="37" spans="2:17" ht="24" customHeight="1" x14ac:dyDescent="0.35">
      <c r="B37" s="269" t="s">
        <v>98</v>
      </c>
      <c r="C37" s="255"/>
      <c r="D37" s="255"/>
      <c r="E37" s="255"/>
      <c r="F37" s="255"/>
      <c r="G37" s="255"/>
      <c r="H37" s="255"/>
      <c r="I37" s="255"/>
      <c r="J37" s="255"/>
      <c r="K37" s="255"/>
      <c r="L37" s="255"/>
      <c r="M37" s="255"/>
      <c r="N37" s="255"/>
      <c r="O37" s="255"/>
      <c r="P37" s="255"/>
      <c r="Q37" s="255"/>
    </row>
  </sheetData>
  <sheetProtection algorithmName="SHA-512" hashValue="+719q6cDdBIkjzMc+LJR2ZiizWfC3spoFmNaJMaF3LpwL08qhDDydO0djLjOYo1ta8JLijuFDE4UTS6lN7QM0g==" saltValue="9GKIzf8N/rKr9i1ANjU1iQ==" spinCount="100000" sheet="1" objects="1" scenarios="1"/>
  <mergeCells count="4">
    <mergeCell ref="B32:Q32"/>
    <mergeCell ref="B37:Q37"/>
    <mergeCell ref="B3:Q3"/>
    <mergeCell ref="B5:Q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0">
    <tabColor rgb="FF92D050"/>
  </sheetPr>
  <dimension ref="B3:Q37"/>
  <sheetViews>
    <sheetView zoomScale="69" workbookViewId="0">
      <selection activeCell="K16" sqref="K16"/>
    </sheetView>
  </sheetViews>
  <sheetFormatPr defaultColWidth="14.36328125" defaultRowHeight="14" x14ac:dyDescent="0.3"/>
  <cols>
    <col min="1" max="1" width="9.6328125" style="116" customWidth="1"/>
    <col min="2" max="2" width="43.54296875" style="116" customWidth="1"/>
    <col min="3" max="16" width="17.90625" style="116" customWidth="1"/>
    <col min="17" max="17" width="17.90625" style="118" customWidth="1"/>
    <col min="18" max="18" width="15.08984375" style="116" bestFit="1" customWidth="1"/>
    <col min="19" max="19" width="15.90625" style="116" bestFit="1" customWidth="1"/>
    <col min="20" max="256" width="14.36328125" style="116" customWidth="1"/>
    <col min="257" max="257" width="9.6328125" style="116" customWidth="1"/>
    <col min="258" max="258" width="43.54296875" style="116" customWidth="1"/>
    <col min="259" max="273" width="17.90625" style="116" customWidth="1"/>
    <col min="274" max="274" width="14.36328125" style="116" customWidth="1"/>
    <col min="275" max="275" width="15.90625" style="116" bestFit="1" customWidth="1"/>
    <col min="276" max="512" width="14.36328125" style="116" customWidth="1"/>
    <col min="513" max="513" width="9.6328125" style="116" customWidth="1"/>
    <col min="514" max="514" width="43.54296875" style="116" customWidth="1"/>
    <col min="515" max="529" width="17.90625" style="116" customWidth="1"/>
    <col min="530" max="530" width="14.36328125" style="116" customWidth="1"/>
    <col min="531" max="531" width="15.90625" style="116" bestFit="1" customWidth="1"/>
    <col min="532" max="768" width="14.36328125" style="116" customWidth="1"/>
    <col min="769" max="769" width="9.6328125" style="116" customWidth="1"/>
    <col min="770" max="770" width="43.54296875" style="116" customWidth="1"/>
    <col min="771" max="785" width="17.90625" style="116" customWidth="1"/>
    <col min="786" max="786" width="14.36328125" style="116" customWidth="1"/>
    <col min="787" max="787" width="15.90625" style="116" bestFit="1" customWidth="1"/>
    <col min="788" max="1024" width="14.36328125" style="116" customWidth="1"/>
    <col min="1025" max="1025" width="9.6328125" style="116" customWidth="1"/>
    <col min="1026" max="1026" width="43.54296875" style="116" customWidth="1"/>
    <col min="1027" max="1041" width="17.90625" style="116" customWidth="1"/>
    <col min="1042" max="1042" width="14.36328125" style="116" customWidth="1"/>
    <col min="1043" max="1043" width="15.90625" style="116" bestFit="1" customWidth="1"/>
    <col min="1044" max="1280" width="14.36328125" style="116" customWidth="1"/>
    <col min="1281" max="1281" width="9.6328125" style="116" customWidth="1"/>
    <col min="1282" max="1282" width="43.54296875" style="116" customWidth="1"/>
    <col min="1283" max="1297" width="17.90625" style="116" customWidth="1"/>
    <col min="1298" max="1298" width="14.36328125" style="116" customWidth="1"/>
    <col min="1299" max="1299" width="15.90625" style="116" bestFit="1" customWidth="1"/>
    <col min="1300" max="1536" width="14.36328125" style="116" customWidth="1"/>
    <col min="1537" max="1537" width="9.6328125" style="116" customWidth="1"/>
    <col min="1538" max="1538" width="43.54296875" style="116" customWidth="1"/>
    <col min="1539" max="1553" width="17.90625" style="116" customWidth="1"/>
    <col min="1554" max="1554" width="14.36328125" style="116" customWidth="1"/>
    <col min="1555" max="1555" width="15.90625" style="116" bestFit="1" customWidth="1"/>
    <col min="1556" max="1792" width="14.36328125" style="116" customWidth="1"/>
    <col min="1793" max="1793" width="9.6328125" style="116" customWidth="1"/>
    <col min="1794" max="1794" width="43.54296875" style="116" customWidth="1"/>
    <col min="1795" max="1809" width="17.90625" style="116" customWidth="1"/>
    <col min="1810" max="1810" width="14.36328125" style="116" customWidth="1"/>
    <col min="1811" max="1811" width="15.90625" style="116" bestFit="1" customWidth="1"/>
    <col min="1812" max="2048" width="14.36328125" style="116" customWidth="1"/>
    <col min="2049" max="2049" width="9.6328125" style="116" customWidth="1"/>
    <col min="2050" max="2050" width="43.54296875" style="116" customWidth="1"/>
    <col min="2051" max="2065" width="17.90625" style="116" customWidth="1"/>
    <col min="2066" max="2066" width="14.36328125" style="116" customWidth="1"/>
    <col min="2067" max="2067" width="15.90625" style="116" bestFit="1" customWidth="1"/>
    <col min="2068" max="2304" width="14.36328125" style="116" customWidth="1"/>
    <col min="2305" max="2305" width="9.6328125" style="116" customWidth="1"/>
    <col min="2306" max="2306" width="43.54296875" style="116" customWidth="1"/>
    <col min="2307" max="2321" width="17.90625" style="116" customWidth="1"/>
    <col min="2322" max="2322" width="14.36328125" style="116" customWidth="1"/>
    <col min="2323" max="2323" width="15.90625" style="116" bestFit="1" customWidth="1"/>
    <col min="2324" max="2560" width="14.36328125" style="116" customWidth="1"/>
    <col min="2561" max="2561" width="9.6328125" style="116" customWidth="1"/>
    <col min="2562" max="2562" width="43.54296875" style="116" customWidth="1"/>
    <col min="2563" max="2577" width="17.90625" style="116" customWidth="1"/>
    <col min="2578" max="2578" width="14.36328125" style="116" customWidth="1"/>
    <col min="2579" max="2579" width="15.90625" style="116" bestFit="1" customWidth="1"/>
    <col min="2580" max="2816" width="14.36328125" style="116" customWidth="1"/>
    <col min="2817" max="2817" width="9.6328125" style="116" customWidth="1"/>
    <col min="2818" max="2818" width="43.54296875" style="116" customWidth="1"/>
    <col min="2819" max="2833" width="17.90625" style="116" customWidth="1"/>
    <col min="2834" max="2834" width="14.36328125" style="116" customWidth="1"/>
    <col min="2835" max="2835" width="15.90625" style="116" bestFit="1" customWidth="1"/>
    <col min="2836" max="3072" width="14.36328125" style="116" customWidth="1"/>
    <col min="3073" max="3073" width="9.6328125" style="116" customWidth="1"/>
    <col min="3074" max="3074" width="43.54296875" style="116" customWidth="1"/>
    <col min="3075" max="3089" width="17.90625" style="116" customWidth="1"/>
    <col min="3090" max="3090" width="14.36328125" style="116" customWidth="1"/>
    <col min="3091" max="3091" width="15.90625" style="116" bestFit="1" customWidth="1"/>
    <col min="3092" max="3328" width="14.36328125" style="116" customWidth="1"/>
    <col min="3329" max="3329" width="9.6328125" style="116" customWidth="1"/>
    <col min="3330" max="3330" width="43.54296875" style="116" customWidth="1"/>
    <col min="3331" max="3345" width="17.90625" style="116" customWidth="1"/>
    <col min="3346" max="3346" width="14.36328125" style="116" customWidth="1"/>
    <col min="3347" max="3347" width="15.90625" style="116" bestFit="1" customWidth="1"/>
    <col min="3348" max="3584" width="14.36328125" style="116" customWidth="1"/>
    <col min="3585" max="3585" width="9.6328125" style="116" customWidth="1"/>
    <col min="3586" max="3586" width="43.54296875" style="116" customWidth="1"/>
    <col min="3587" max="3601" width="17.90625" style="116" customWidth="1"/>
    <col min="3602" max="3602" width="14.36328125" style="116" customWidth="1"/>
    <col min="3603" max="3603" width="15.90625" style="116" bestFit="1" customWidth="1"/>
    <col min="3604" max="3840" width="14.36328125" style="116" customWidth="1"/>
    <col min="3841" max="3841" width="9.6328125" style="116" customWidth="1"/>
    <col min="3842" max="3842" width="43.54296875" style="116" customWidth="1"/>
    <col min="3843" max="3857" width="17.90625" style="116" customWidth="1"/>
    <col min="3858" max="3858" width="14.36328125" style="116" customWidth="1"/>
    <col min="3859" max="3859" width="15.90625" style="116" bestFit="1" customWidth="1"/>
    <col min="3860" max="4096" width="14.36328125" style="116" customWidth="1"/>
    <col min="4097" max="4097" width="9.6328125" style="116" customWidth="1"/>
    <col min="4098" max="4098" width="43.54296875" style="116" customWidth="1"/>
    <col min="4099" max="4113" width="17.90625" style="116" customWidth="1"/>
    <col min="4114" max="4114" width="14.36328125" style="116" customWidth="1"/>
    <col min="4115" max="4115" width="15.90625" style="116" bestFit="1" customWidth="1"/>
    <col min="4116" max="4352" width="14.36328125" style="116" customWidth="1"/>
    <col min="4353" max="4353" width="9.6328125" style="116" customWidth="1"/>
    <col min="4354" max="4354" width="43.54296875" style="116" customWidth="1"/>
    <col min="4355" max="4369" width="17.90625" style="116" customWidth="1"/>
    <col min="4370" max="4370" width="14.36328125" style="116" customWidth="1"/>
    <col min="4371" max="4371" width="15.90625" style="116" bestFit="1" customWidth="1"/>
    <col min="4372" max="4608" width="14.36328125" style="116" customWidth="1"/>
    <col min="4609" max="4609" width="9.6328125" style="116" customWidth="1"/>
    <col min="4610" max="4610" width="43.54296875" style="116" customWidth="1"/>
    <col min="4611" max="4625" width="17.90625" style="116" customWidth="1"/>
    <col min="4626" max="4626" width="14.36328125" style="116" customWidth="1"/>
    <col min="4627" max="4627" width="15.90625" style="116" bestFit="1" customWidth="1"/>
    <col min="4628" max="4864" width="14.36328125" style="116" customWidth="1"/>
    <col min="4865" max="4865" width="9.6328125" style="116" customWidth="1"/>
    <col min="4866" max="4866" width="43.54296875" style="116" customWidth="1"/>
    <col min="4867" max="4881" width="17.90625" style="116" customWidth="1"/>
    <col min="4882" max="4882" width="14.36328125" style="116" customWidth="1"/>
    <col min="4883" max="4883" width="15.90625" style="116" bestFit="1" customWidth="1"/>
    <col min="4884" max="5120" width="14.36328125" style="116" customWidth="1"/>
    <col min="5121" max="5121" width="9.6328125" style="116" customWidth="1"/>
    <col min="5122" max="5122" width="43.54296875" style="116" customWidth="1"/>
    <col min="5123" max="5137" width="17.90625" style="116" customWidth="1"/>
    <col min="5138" max="5138" width="14.36328125" style="116" customWidth="1"/>
    <col min="5139" max="5139" width="15.90625" style="116" bestFit="1" customWidth="1"/>
    <col min="5140" max="5376" width="14.36328125" style="116" customWidth="1"/>
    <col min="5377" max="5377" width="9.6328125" style="116" customWidth="1"/>
    <col min="5378" max="5378" width="43.54296875" style="116" customWidth="1"/>
    <col min="5379" max="5393" width="17.90625" style="116" customWidth="1"/>
    <col min="5394" max="5394" width="14.36328125" style="116" customWidth="1"/>
    <col min="5395" max="5395" width="15.90625" style="116" bestFit="1" customWidth="1"/>
    <col min="5396" max="5632" width="14.36328125" style="116" customWidth="1"/>
    <col min="5633" max="5633" width="9.6328125" style="116" customWidth="1"/>
    <col min="5634" max="5634" width="43.54296875" style="116" customWidth="1"/>
    <col min="5635" max="5649" width="17.90625" style="116" customWidth="1"/>
    <col min="5650" max="5650" width="14.36328125" style="116" customWidth="1"/>
    <col min="5651" max="5651" width="15.90625" style="116" bestFit="1" customWidth="1"/>
    <col min="5652" max="5888" width="14.36328125" style="116" customWidth="1"/>
    <col min="5889" max="5889" width="9.6328125" style="116" customWidth="1"/>
    <col min="5890" max="5890" width="43.54296875" style="116" customWidth="1"/>
    <col min="5891" max="5905" width="17.90625" style="116" customWidth="1"/>
    <col min="5906" max="5906" width="14.36328125" style="116" customWidth="1"/>
    <col min="5907" max="5907" width="15.90625" style="116" bestFit="1" customWidth="1"/>
    <col min="5908" max="6144" width="14.36328125" style="116" customWidth="1"/>
    <col min="6145" max="6145" width="9.6328125" style="116" customWidth="1"/>
    <col min="6146" max="6146" width="43.54296875" style="116" customWidth="1"/>
    <col min="6147" max="6161" width="17.90625" style="116" customWidth="1"/>
    <col min="6162" max="6162" width="14.36328125" style="116" customWidth="1"/>
    <col min="6163" max="6163" width="15.90625" style="116" bestFit="1" customWidth="1"/>
    <col min="6164" max="6400" width="14.36328125" style="116" customWidth="1"/>
    <col min="6401" max="6401" width="9.6328125" style="116" customWidth="1"/>
    <col min="6402" max="6402" width="43.54296875" style="116" customWidth="1"/>
    <col min="6403" max="6417" width="17.90625" style="116" customWidth="1"/>
    <col min="6418" max="6418" width="14.36328125" style="116" customWidth="1"/>
    <col min="6419" max="6419" width="15.90625" style="116" bestFit="1" customWidth="1"/>
    <col min="6420" max="6656" width="14.36328125" style="116" customWidth="1"/>
    <col min="6657" max="6657" width="9.6328125" style="116" customWidth="1"/>
    <col min="6658" max="6658" width="43.54296875" style="116" customWidth="1"/>
    <col min="6659" max="6673" width="17.90625" style="116" customWidth="1"/>
    <col min="6674" max="6674" width="14.36328125" style="116" customWidth="1"/>
    <col min="6675" max="6675" width="15.90625" style="116" bestFit="1" customWidth="1"/>
    <col min="6676" max="6912" width="14.36328125" style="116" customWidth="1"/>
    <col min="6913" max="6913" width="9.6328125" style="116" customWidth="1"/>
    <col min="6914" max="6914" width="43.54296875" style="116" customWidth="1"/>
    <col min="6915" max="6929" width="17.90625" style="116" customWidth="1"/>
    <col min="6930" max="6930" width="14.36328125" style="116" customWidth="1"/>
    <col min="6931" max="6931" width="15.90625" style="116" bestFit="1" customWidth="1"/>
    <col min="6932" max="7168" width="14.36328125" style="116" customWidth="1"/>
    <col min="7169" max="7169" width="9.6328125" style="116" customWidth="1"/>
    <col min="7170" max="7170" width="43.54296875" style="116" customWidth="1"/>
    <col min="7171" max="7185" width="17.90625" style="116" customWidth="1"/>
    <col min="7186" max="7186" width="14.36328125" style="116" customWidth="1"/>
    <col min="7187" max="7187" width="15.90625" style="116" bestFit="1" customWidth="1"/>
    <col min="7188" max="7424" width="14.36328125" style="116" customWidth="1"/>
    <col min="7425" max="7425" width="9.6328125" style="116" customWidth="1"/>
    <col min="7426" max="7426" width="43.54296875" style="116" customWidth="1"/>
    <col min="7427" max="7441" width="17.90625" style="116" customWidth="1"/>
    <col min="7442" max="7442" width="14.36328125" style="116" customWidth="1"/>
    <col min="7443" max="7443" width="15.90625" style="116" bestFit="1" customWidth="1"/>
    <col min="7444" max="7680" width="14.36328125" style="116" customWidth="1"/>
    <col min="7681" max="7681" width="9.6328125" style="116" customWidth="1"/>
    <col min="7682" max="7682" width="43.54296875" style="116" customWidth="1"/>
    <col min="7683" max="7697" width="17.90625" style="116" customWidth="1"/>
    <col min="7698" max="7698" width="14.36328125" style="116" customWidth="1"/>
    <col min="7699" max="7699" width="15.90625" style="116" bestFit="1" customWidth="1"/>
    <col min="7700" max="7936" width="14.36328125" style="116" customWidth="1"/>
    <col min="7937" max="7937" width="9.6328125" style="116" customWidth="1"/>
    <col min="7938" max="7938" width="43.54296875" style="116" customWidth="1"/>
    <col min="7939" max="7953" width="17.90625" style="116" customWidth="1"/>
    <col min="7954" max="7954" width="14.36328125" style="116" customWidth="1"/>
    <col min="7955" max="7955" width="15.90625" style="116" bestFit="1" customWidth="1"/>
    <col min="7956" max="8192" width="14.36328125" style="116" customWidth="1"/>
    <col min="8193" max="8193" width="9.6328125" style="116" customWidth="1"/>
    <col min="8194" max="8194" width="43.54296875" style="116" customWidth="1"/>
    <col min="8195" max="8209" width="17.90625" style="116" customWidth="1"/>
    <col min="8210" max="8210" width="14.36328125" style="116" customWidth="1"/>
    <col min="8211" max="8211" width="15.90625" style="116" bestFit="1" customWidth="1"/>
    <col min="8212" max="8448" width="14.36328125" style="116" customWidth="1"/>
    <col min="8449" max="8449" width="9.6328125" style="116" customWidth="1"/>
    <col min="8450" max="8450" width="43.54296875" style="116" customWidth="1"/>
    <col min="8451" max="8465" width="17.90625" style="116" customWidth="1"/>
    <col min="8466" max="8466" width="14.36328125" style="116" customWidth="1"/>
    <col min="8467" max="8467" width="15.90625" style="116" bestFit="1" customWidth="1"/>
    <col min="8468" max="8704" width="14.36328125" style="116" customWidth="1"/>
    <col min="8705" max="8705" width="9.6328125" style="116" customWidth="1"/>
    <col min="8706" max="8706" width="43.54296875" style="116" customWidth="1"/>
    <col min="8707" max="8721" width="17.90625" style="116" customWidth="1"/>
    <col min="8722" max="8722" width="14.36328125" style="116" customWidth="1"/>
    <col min="8723" max="8723" width="15.90625" style="116" bestFit="1" customWidth="1"/>
    <col min="8724" max="8960" width="14.36328125" style="116" customWidth="1"/>
    <col min="8961" max="8961" width="9.6328125" style="116" customWidth="1"/>
    <col min="8962" max="8962" width="43.54296875" style="116" customWidth="1"/>
    <col min="8963" max="8977" width="17.90625" style="116" customWidth="1"/>
    <col min="8978" max="8978" width="14.36328125" style="116" customWidth="1"/>
    <col min="8979" max="8979" width="15.90625" style="116" bestFit="1" customWidth="1"/>
    <col min="8980" max="9216" width="14.36328125" style="116" customWidth="1"/>
    <col min="9217" max="9217" width="9.6328125" style="116" customWidth="1"/>
    <col min="9218" max="9218" width="43.54296875" style="116" customWidth="1"/>
    <col min="9219" max="9233" width="17.90625" style="116" customWidth="1"/>
    <col min="9234" max="9234" width="14.36328125" style="116" customWidth="1"/>
    <col min="9235" max="9235" width="15.90625" style="116" bestFit="1" customWidth="1"/>
    <col min="9236" max="9472" width="14.36328125" style="116" customWidth="1"/>
    <col min="9473" max="9473" width="9.6328125" style="116" customWidth="1"/>
    <col min="9474" max="9474" width="43.54296875" style="116" customWidth="1"/>
    <col min="9475" max="9489" width="17.90625" style="116" customWidth="1"/>
    <col min="9490" max="9490" width="14.36328125" style="116" customWidth="1"/>
    <col min="9491" max="9491" width="15.90625" style="116" bestFit="1" customWidth="1"/>
    <col min="9492" max="9728" width="14.36328125" style="116" customWidth="1"/>
    <col min="9729" max="9729" width="9.6328125" style="116" customWidth="1"/>
    <col min="9730" max="9730" width="43.54296875" style="116" customWidth="1"/>
    <col min="9731" max="9745" width="17.90625" style="116" customWidth="1"/>
    <col min="9746" max="9746" width="14.36328125" style="116" customWidth="1"/>
    <col min="9747" max="9747" width="15.90625" style="116" bestFit="1" customWidth="1"/>
    <col min="9748" max="9984" width="14.36328125" style="116" customWidth="1"/>
    <col min="9985" max="9985" width="9.6328125" style="116" customWidth="1"/>
    <col min="9986" max="9986" width="43.54296875" style="116" customWidth="1"/>
    <col min="9987" max="10001" width="17.90625" style="116" customWidth="1"/>
    <col min="10002" max="10002" width="14.36328125" style="116" customWidth="1"/>
    <col min="10003" max="10003" width="15.90625" style="116" bestFit="1" customWidth="1"/>
    <col min="10004" max="10240" width="14.36328125" style="116" customWidth="1"/>
    <col min="10241" max="10241" width="9.6328125" style="116" customWidth="1"/>
    <col min="10242" max="10242" width="43.54296875" style="116" customWidth="1"/>
    <col min="10243" max="10257" width="17.90625" style="116" customWidth="1"/>
    <col min="10258" max="10258" width="14.36328125" style="116" customWidth="1"/>
    <col min="10259" max="10259" width="15.90625" style="116" bestFit="1" customWidth="1"/>
    <col min="10260" max="10496" width="14.36328125" style="116" customWidth="1"/>
    <col min="10497" max="10497" width="9.6328125" style="116" customWidth="1"/>
    <col min="10498" max="10498" width="43.54296875" style="116" customWidth="1"/>
    <col min="10499" max="10513" width="17.90625" style="116" customWidth="1"/>
    <col min="10514" max="10514" width="14.36328125" style="116" customWidth="1"/>
    <col min="10515" max="10515" width="15.90625" style="116" bestFit="1" customWidth="1"/>
    <col min="10516" max="10752" width="14.36328125" style="116" customWidth="1"/>
    <col min="10753" max="10753" width="9.6328125" style="116" customWidth="1"/>
    <col min="10754" max="10754" width="43.54296875" style="116" customWidth="1"/>
    <col min="10755" max="10769" width="17.90625" style="116" customWidth="1"/>
    <col min="10770" max="10770" width="14.36328125" style="116" customWidth="1"/>
    <col min="10771" max="10771" width="15.90625" style="116" bestFit="1" customWidth="1"/>
    <col min="10772" max="11008" width="14.36328125" style="116" customWidth="1"/>
    <col min="11009" max="11009" width="9.6328125" style="116" customWidth="1"/>
    <col min="11010" max="11010" width="43.54296875" style="116" customWidth="1"/>
    <col min="11011" max="11025" width="17.90625" style="116" customWidth="1"/>
    <col min="11026" max="11026" width="14.36328125" style="116" customWidth="1"/>
    <col min="11027" max="11027" width="15.90625" style="116" bestFit="1" customWidth="1"/>
    <col min="11028" max="11264" width="14.36328125" style="116" customWidth="1"/>
    <col min="11265" max="11265" width="9.6328125" style="116" customWidth="1"/>
    <col min="11266" max="11266" width="43.54296875" style="116" customWidth="1"/>
    <col min="11267" max="11281" width="17.90625" style="116" customWidth="1"/>
    <col min="11282" max="11282" width="14.36328125" style="116" customWidth="1"/>
    <col min="11283" max="11283" width="15.90625" style="116" bestFit="1" customWidth="1"/>
    <col min="11284" max="11520" width="14.36328125" style="116" customWidth="1"/>
    <col min="11521" max="11521" width="9.6328125" style="116" customWidth="1"/>
    <col min="11522" max="11522" width="43.54296875" style="116" customWidth="1"/>
    <col min="11523" max="11537" width="17.90625" style="116" customWidth="1"/>
    <col min="11538" max="11538" width="14.36328125" style="116" customWidth="1"/>
    <col min="11539" max="11539" width="15.90625" style="116" bestFit="1" customWidth="1"/>
    <col min="11540" max="11776" width="14.36328125" style="116" customWidth="1"/>
    <col min="11777" max="11777" width="9.6328125" style="116" customWidth="1"/>
    <col min="11778" max="11778" width="43.54296875" style="116" customWidth="1"/>
    <col min="11779" max="11793" width="17.90625" style="116" customWidth="1"/>
    <col min="11794" max="11794" width="14.36328125" style="116" customWidth="1"/>
    <col min="11795" max="11795" width="15.90625" style="116" bestFit="1" customWidth="1"/>
    <col min="11796" max="12032" width="14.36328125" style="116" customWidth="1"/>
    <col min="12033" max="12033" width="9.6328125" style="116" customWidth="1"/>
    <col min="12034" max="12034" width="43.54296875" style="116" customWidth="1"/>
    <col min="12035" max="12049" width="17.90625" style="116" customWidth="1"/>
    <col min="12050" max="12050" width="14.36328125" style="116" customWidth="1"/>
    <col min="12051" max="12051" width="15.90625" style="116" bestFit="1" customWidth="1"/>
    <col min="12052" max="12288" width="14.36328125" style="116" customWidth="1"/>
    <col min="12289" max="12289" width="9.6328125" style="116" customWidth="1"/>
    <col min="12290" max="12290" width="43.54296875" style="116" customWidth="1"/>
    <col min="12291" max="12305" width="17.90625" style="116" customWidth="1"/>
    <col min="12306" max="12306" width="14.36328125" style="116" customWidth="1"/>
    <col min="12307" max="12307" width="15.90625" style="116" bestFit="1" customWidth="1"/>
    <col min="12308" max="12544" width="14.36328125" style="116" customWidth="1"/>
    <col min="12545" max="12545" width="9.6328125" style="116" customWidth="1"/>
    <col min="12546" max="12546" width="43.54296875" style="116" customWidth="1"/>
    <col min="12547" max="12561" width="17.90625" style="116" customWidth="1"/>
    <col min="12562" max="12562" width="14.36328125" style="116" customWidth="1"/>
    <col min="12563" max="12563" width="15.90625" style="116" bestFit="1" customWidth="1"/>
    <col min="12564" max="12800" width="14.36328125" style="116" customWidth="1"/>
    <col min="12801" max="12801" width="9.6328125" style="116" customWidth="1"/>
    <col min="12802" max="12802" width="43.54296875" style="116" customWidth="1"/>
    <col min="12803" max="12817" width="17.90625" style="116" customWidth="1"/>
    <col min="12818" max="12818" width="14.36328125" style="116" customWidth="1"/>
    <col min="12819" max="12819" width="15.90625" style="116" bestFit="1" customWidth="1"/>
    <col min="12820" max="13056" width="14.36328125" style="116" customWidth="1"/>
    <col min="13057" max="13057" width="9.6328125" style="116" customWidth="1"/>
    <col min="13058" max="13058" width="43.54296875" style="116" customWidth="1"/>
    <col min="13059" max="13073" width="17.90625" style="116" customWidth="1"/>
    <col min="13074" max="13074" width="14.36328125" style="116" customWidth="1"/>
    <col min="13075" max="13075" width="15.90625" style="116" bestFit="1" customWidth="1"/>
    <col min="13076" max="13312" width="14.36328125" style="116" customWidth="1"/>
    <col min="13313" max="13313" width="9.6328125" style="116" customWidth="1"/>
    <col min="13314" max="13314" width="43.54296875" style="116" customWidth="1"/>
    <col min="13315" max="13329" width="17.90625" style="116" customWidth="1"/>
    <col min="13330" max="13330" width="14.36328125" style="116" customWidth="1"/>
    <col min="13331" max="13331" width="15.90625" style="116" bestFit="1" customWidth="1"/>
    <col min="13332" max="13568" width="14.36328125" style="116" customWidth="1"/>
    <col min="13569" max="13569" width="9.6328125" style="116" customWidth="1"/>
    <col min="13570" max="13570" width="43.54296875" style="116" customWidth="1"/>
    <col min="13571" max="13585" width="17.90625" style="116" customWidth="1"/>
    <col min="13586" max="13586" width="14.36328125" style="116" customWidth="1"/>
    <col min="13587" max="13587" width="15.90625" style="116" bestFit="1" customWidth="1"/>
    <col min="13588" max="13824" width="14.36328125" style="116" customWidth="1"/>
    <col min="13825" max="13825" width="9.6328125" style="116" customWidth="1"/>
    <col min="13826" max="13826" width="43.54296875" style="116" customWidth="1"/>
    <col min="13827" max="13841" width="17.90625" style="116" customWidth="1"/>
    <col min="13842" max="13842" width="14.36328125" style="116" customWidth="1"/>
    <col min="13843" max="13843" width="15.90625" style="116" bestFit="1" customWidth="1"/>
    <col min="13844" max="14080" width="14.36328125" style="116" customWidth="1"/>
    <col min="14081" max="14081" width="9.6328125" style="116" customWidth="1"/>
    <col min="14082" max="14082" width="43.54296875" style="116" customWidth="1"/>
    <col min="14083" max="14097" width="17.90625" style="116" customWidth="1"/>
    <col min="14098" max="14098" width="14.36328125" style="116" customWidth="1"/>
    <col min="14099" max="14099" width="15.90625" style="116" bestFit="1" customWidth="1"/>
    <col min="14100" max="14336" width="14.36328125" style="116" customWidth="1"/>
    <col min="14337" max="14337" width="9.6328125" style="116" customWidth="1"/>
    <col min="14338" max="14338" width="43.54296875" style="116" customWidth="1"/>
    <col min="14339" max="14353" width="17.90625" style="116" customWidth="1"/>
    <col min="14354" max="14354" width="14.36328125" style="116" customWidth="1"/>
    <col min="14355" max="14355" width="15.90625" style="116" bestFit="1" customWidth="1"/>
    <col min="14356" max="14592" width="14.36328125" style="116" customWidth="1"/>
    <col min="14593" max="14593" width="9.6328125" style="116" customWidth="1"/>
    <col min="14594" max="14594" width="43.54296875" style="116" customWidth="1"/>
    <col min="14595" max="14609" width="17.90625" style="116" customWidth="1"/>
    <col min="14610" max="14610" width="14.36328125" style="116" customWidth="1"/>
    <col min="14611" max="14611" width="15.90625" style="116" bestFit="1" customWidth="1"/>
    <col min="14612" max="14848" width="14.36328125" style="116" customWidth="1"/>
    <col min="14849" max="14849" width="9.6328125" style="116" customWidth="1"/>
    <col min="14850" max="14850" width="43.54296875" style="116" customWidth="1"/>
    <col min="14851" max="14865" width="17.90625" style="116" customWidth="1"/>
    <col min="14866" max="14866" width="14.36328125" style="116" customWidth="1"/>
    <col min="14867" max="14867" width="15.90625" style="116" bestFit="1" customWidth="1"/>
    <col min="14868" max="15104" width="14.36328125" style="116" customWidth="1"/>
    <col min="15105" max="15105" width="9.6328125" style="116" customWidth="1"/>
    <col min="15106" max="15106" width="43.54296875" style="116" customWidth="1"/>
    <col min="15107" max="15121" width="17.90625" style="116" customWidth="1"/>
    <col min="15122" max="15122" width="14.36328125" style="116" customWidth="1"/>
    <col min="15123" max="15123" width="15.90625" style="116" bestFit="1" customWidth="1"/>
    <col min="15124" max="15360" width="14.36328125" style="116" customWidth="1"/>
    <col min="15361" max="15361" width="9.6328125" style="116" customWidth="1"/>
    <col min="15362" max="15362" width="43.54296875" style="116" customWidth="1"/>
    <col min="15363" max="15377" width="17.90625" style="116" customWidth="1"/>
    <col min="15378" max="15378" width="14.36328125" style="116" customWidth="1"/>
    <col min="15379" max="15379" width="15.90625" style="116" bestFit="1" customWidth="1"/>
    <col min="15380" max="15616" width="14.36328125" style="116" customWidth="1"/>
    <col min="15617" max="15617" width="9.6328125" style="116" customWidth="1"/>
    <col min="15618" max="15618" width="43.54296875" style="116" customWidth="1"/>
    <col min="15619" max="15633" width="17.90625" style="116" customWidth="1"/>
    <col min="15634" max="15634" width="14.36328125" style="116" customWidth="1"/>
    <col min="15635" max="15635" width="15.90625" style="116" bestFit="1" customWidth="1"/>
    <col min="15636" max="15872" width="14.36328125" style="116" customWidth="1"/>
    <col min="15873" max="15873" width="9.6328125" style="116" customWidth="1"/>
    <col min="15874" max="15874" width="43.54296875" style="116" customWidth="1"/>
    <col min="15875" max="15889" width="17.90625" style="116" customWidth="1"/>
    <col min="15890" max="15890" width="14.36328125" style="116" customWidth="1"/>
    <col min="15891" max="15891" width="15.90625" style="116" bestFit="1" customWidth="1"/>
    <col min="15892" max="16128" width="14.36328125" style="116" customWidth="1"/>
    <col min="16129" max="16129" width="9.6328125" style="116" customWidth="1"/>
    <col min="16130" max="16130" width="43.54296875" style="116" customWidth="1"/>
    <col min="16131" max="16145" width="17.90625" style="116" customWidth="1"/>
    <col min="16146" max="16146" width="14.36328125" style="116" customWidth="1"/>
    <col min="16147" max="16147" width="15.90625" style="116" bestFit="1" customWidth="1"/>
    <col min="16148" max="16384" width="14.36328125" style="116" customWidth="1"/>
  </cols>
  <sheetData>
    <row r="3" spans="2:17" ht="18.75" customHeight="1" x14ac:dyDescent="0.35">
      <c r="B3" s="267" t="str">
        <f>_xlfn.CONCAT('Table of Contents'!B20,": ",'Table of Contents'!C20)</f>
        <v>APPENDIX 13: SUMMARY OF DEPOSIT ADMINISTRATION BUSINESS REVENUE ACCOUNTS FOR THE PERIOD ENDED 31.03.2025</v>
      </c>
      <c r="C3" s="252"/>
      <c r="D3" s="252"/>
      <c r="E3" s="252"/>
      <c r="F3" s="252"/>
      <c r="G3" s="252"/>
      <c r="H3" s="252"/>
      <c r="I3" s="252"/>
      <c r="J3" s="252"/>
      <c r="K3" s="252"/>
      <c r="L3" s="252"/>
      <c r="M3" s="252"/>
      <c r="N3" s="252"/>
      <c r="O3" s="252"/>
      <c r="P3" s="252"/>
      <c r="Q3" s="253"/>
    </row>
    <row r="4" spans="2:17" s="117" customFormat="1" ht="15.75" customHeight="1" x14ac:dyDescent="0.3">
      <c r="B4" s="120" t="s">
        <v>36</v>
      </c>
      <c r="C4" s="121" t="s">
        <v>140</v>
      </c>
      <c r="D4" s="121" t="s">
        <v>141</v>
      </c>
      <c r="E4" s="121" t="s">
        <v>142</v>
      </c>
      <c r="F4" s="121" t="s">
        <v>143</v>
      </c>
      <c r="G4" s="121" t="s">
        <v>144</v>
      </c>
      <c r="H4" s="121" t="s">
        <v>145</v>
      </c>
      <c r="I4" s="122" t="s">
        <v>146</v>
      </c>
      <c r="J4" s="121" t="s">
        <v>147</v>
      </c>
      <c r="K4" s="123" t="s">
        <v>148</v>
      </c>
      <c r="L4" s="123" t="s">
        <v>149</v>
      </c>
      <c r="M4" s="123" t="s">
        <v>150</v>
      </c>
      <c r="N4" s="123" t="s">
        <v>151</v>
      </c>
      <c r="O4" s="123" t="s">
        <v>152</v>
      </c>
      <c r="P4" s="123" t="s">
        <v>153</v>
      </c>
      <c r="Q4" s="123" t="s">
        <v>154</v>
      </c>
    </row>
    <row r="5" spans="2:17" ht="15" customHeight="1" x14ac:dyDescent="0.35">
      <c r="B5" s="261" t="s">
        <v>53</v>
      </c>
      <c r="C5" s="252"/>
      <c r="D5" s="252"/>
      <c r="E5" s="252"/>
      <c r="F5" s="252"/>
      <c r="G5" s="252"/>
      <c r="H5" s="252"/>
      <c r="I5" s="252"/>
      <c r="J5" s="252"/>
      <c r="K5" s="252"/>
      <c r="L5" s="252"/>
      <c r="M5" s="252"/>
      <c r="N5" s="252"/>
      <c r="O5" s="252"/>
      <c r="P5" s="252"/>
      <c r="Q5" s="253"/>
    </row>
    <row r="6" spans="2:17" ht="24" customHeight="1" x14ac:dyDescent="0.3">
      <c r="B6" s="124" t="s">
        <v>99</v>
      </c>
      <c r="C6" s="119">
        <v>0</v>
      </c>
      <c r="D6" s="119">
        <v>0</v>
      </c>
      <c r="E6" s="119">
        <v>0</v>
      </c>
      <c r="F6" s="119">
        <v>0</v>
      </c>
      <c r="G6" s="119">
        <v>0</v>
      </c>
      <c r="H6" s="119">
        <v>0</v>
      </c>
      <c r="I6" s="119">
        <v>0</v>
      </c>
      <c r="J6" s="119">
        <v>0</v>
      </c>
      <c r="K6" s="119">
        <v>0</v>
      </c>
      <c r="L6" s="119">
        <v>0</v>
      </c>
      <c r="M6" s="119">
        <v>0</v>
      </c>
      <c r="N6" s="119">
        <v>0</v>
      </c>
      <c r="O6" s="119">
        <v>0</v>
      </c>
      <c r="P6" s="119">
        <v>0</v>
      </c>
      <c r="Q6" s="125">
        <v>0</v>
      </c>
    </row>
    <row r="7" spans="2:17" ht="24" customHeight="1" x14ac:dyDescent="0.3">
      <c r="B7" s="126" t="s">
        <v>100</v>
      </c>
      <c r="C7" s="119">
        <v>9733226.7571580485</v>
      </c>
      <c r="D7" s="119">
        <v>253912.34400000001</v>
      </c>
      <c r="E7" s="119">
        <v>253912.34400000001</v>
      </c>
      <c r="F7" s="119">
        <v>0</v>
      </c>
      <c r="G7" s="119">
        <v>189950.33265999999</v>
      </c>
      <c r="H7" s="119">
        <v>189950.33265999999</v>
      </c>
      <c r="I7" s="119">
        <v>0</v>
      </c>
      <c r="J7" s="119">
        <v>0</v>
      </c>
      <c r="K7" s="119">
        <v>0</v>
      </c>
      <c r="L7" s="119">
        <v>27827.802100000001</v>
      </c>
      <c r="M7" s="119">
        <v>10297.57186453079</v>
      </c>
      <c r="N7" s="119">
        <v>323440.32894113899</v>
      </c>
      <c r="O7" s="119">
        <v>4935.9309795977942</v>
      </c>
      <c r="P7" s="119">
        <v>0</v>
      </c>
      <c r="Q7" s="125">
        <v>10077567.792495061</v>
      </c>
    </row>
    <row r="8" spans="2:17" ht="24" customHeight="1" x14ac:dyDescent="0.3">
      <c r="B8" s="126" t="s">
        <v>101</v>
      </c>
      <c r="C8" s="119">
        <v>44336570.286239967</v>
      </c>
      <c r="D8" s="119">
        <v>1291968.0301900001</v>
      </c>
      <c r="E8" s="119">
        <v>1291968.0301900001</v>
      </c>
      <c r="F8" s="119">
        <v>0</v>
      </c>
      <c r="G8" s="119">
        <v>3093331.1547400001</v>
      </c>
      <c r="H8" s="119">
        <v>3093331.1547400001</v>
      </c>
      <c r="I8" s="119">
        <v>0</v>
      </c>
      <c r="J8" s="119">
        <v>0</v>
      </c>
      <c r="K8" s="119">
        <v>0</v>
      </c>
      <c r="L8" s="119">
        <v>11410.225270000001</v>
      </c>
      <c r="M8" s="119">
        <v>117849.33199999999</v>
      </c>
      <c r="N8" s="119">
        <v>2241833.9440000001</v>
      </c>
      <c r="O8" s="119">
        <v>3816.442</v>
      </c>
      <c r="P8" s="119">
        <v>198029.68439133471</v>
      </c>
      <c r="Q8" s="125">
        <v>44445935.422028638</v>
      </c>
    </row>
    <row r="9" spans="2:17" ht="24" customHeight="1" x14ac:dyDescent="0.3">
      <c r="B9" s="126" t="s">
        <v>102</v>
      </c>
      <c r="C9" s="119">
        <v>0</v>
      </c>
      <c r="D9" s="119">
        <v>0</v>
      </c>
      <c r="E9" s="119">
        <v>0</v>
      </c>
      <c r="F9" s="119">
        <v>0</v>
      </c>
      <c r="G9" s="119">
        <v>0</v>
      </c>
      <c r="H9" s="119">
        <v>0</v>
      </c>
      <c r="I9" s="119">
        <v>0</v>
      </c>
      <c r="J9" s="119">
        <v>0</v>
      </c>
      <c r="K9" s="119">
        <v>0</v>
      </c>
      <c r="L9" s="119">
        <v>0</v>
      </c>
      <c r="M9" s="119">
        <v>0</v>
      </c>
      <c r="N9" s="119">
        <v>0</v>
      </c>
      <c r="O9" s="119">
        <v>0</v>
      </c>
      <c r="P9" s="119">
        <v>0</v>
      </c>
      <c r="Q9" s="125">
        <v>0</v>
      </c>
    </row>
    <row r="10" spans="2:17" ht="24" customHeight="1" x14ac:dyDescent="0.3">
      <c r="B10" s="126" t="s">
        <v>103</v>
      </c>
      <c r="C10" s="119">
        <v>0</v>
      </c>
      <c r="D10" s="119">
        <v>0</v>
      </c>
      <c r="E10" s="119">
        <v>0</v>
      </c>
      <c r="F10" s="119">
        <v>0</v>
      </c>
      <c r="G10" s="119">
        <v>0</v>
      </c>
      <c r="H10" s="119">
        <v>0</v>
      </c>
      <c r="I10" s="119">
        <v>0</v>
      </c>
      <c r="J10" s="119">
        <v>0</v>
      </c>
      <c r="K10" s="119">
        <v>0</v>
      </c>
      <c r="L10" s="119">
        <v>0</v>
      </c>
      <c r="M10" s="119">
        <v>0</v>
      </c>
      <c r="N10" s="119">
        <v>0</v>
      </c>
      <c r="O10" s="119">
        <v>0</v>
      </c>
      <c r="P10" s="119">
        <v>0</v>
      </c>
      <c r="Q10" s="125">
        <v>0</v>
      </c>
    </row>
    <row r="11" spans="2:17" ht="24" customHeight="1" x14ac:dyDescent="0.3">
      <c r="B11" s="126" t="s">
        <v>104</v>
      </c>
      <c r="C11" s="119">
        <v>13492769.514529999</v>
      </c>
      <c r="D11" s="119">
        <v>863483.15692999994</v>
      </c>
      <c r="E11" s="119">
        <v>863483.15692999994</v>
      </c>
      <c r="F11" s="119">
        <v>0</v>
      </c>
      <c r="G11" s="119">
        <v>363697.98700000002</v>
      </c>
      <c r="H11" s="119">
        <v>363697.98700000002</v>
      </c>
      <c r="I11" s="119">
        <v>0</v>
      </c>
      <c r="J11" s="119">
        <v>0</v>
      </c>
      <c r="K11" s="119">
        <v>0</v>
      </c>
      <c r="L11" s="119">
        <v>13216.58933000001</v>
      </c>
      <c r="M11" s="119">
        <v>29948.26585</v>
      </c>
      <c r="N11" s="119">
        <v>0</v>
      </c>
      <c r="O11" s="119">
        <v>0</v>
      </c>
      <c r="P11" s="119">
        <v>0</v>
      </c>
      <c r="Q11" s="125">
        <v>13949389.829279991</v>
      </c>
    </row>
    <row r="12" spans="2:17" ht="24" customHeight="1" x14ac:dyDescent="0.3">
      <c r="B12" s="126" t="s">
        <v>60</v>
      </c>
      <c r="C12" s="119">
        <v>0</v>
      </c>
      <c r="D12" s="119">
        <v>0</v>
      </c>
      <c r="E12" s="119">
        <v>0</v>
      </c>
      <c r="F12" s="119">
        <v>0</v>
      </c>
      <c r="G12" s="119">
        <v>0</v>
      </c>
      <c r="H12" s="119">
        <v>0</v>
      </c>
      <c r="I12" s="119">
        <v>0</v>
      </c>
      <c r="J12" s="119">
        <v>0</v>
      </c>
      <c r="K12" s="119">
        <v>0</v>
      </c>
      <c r="L12" s="119">
        <v>0</v>
      </c>
      <c r="M12" s="119">
        <v>0</v>
      </c>
      <c r="N12" s="119">
        <v>0</v>
      </c>
      <c r="O12" s="119">
        <v>0</v>
      </c>
      <c r="P12" s="119">
        <v>0</v>
      </c>
      <c r="Q12" s="125">
        <v>0</v>
      </c>
    </row>
    <row r="13" spans="2:17" ht="24" customHeight="1" x14ac:dyDescent="0.3">
      <c r="B13" s="126" t="s">
        <v>105</v>
      </c>
      <c r="C13" s="119">
        <v>13454089.475404469</v>
      </c>
      <c r="D13" s="119">
        <v>633735.15</v>
      </c>
      <c r="E13" s="119">
        <v>633735.15</v>
      </c>
      <c r="F13" s="119">
        <v>0</v>
      </c>
      <c r="G13" s="119">
        <v>0</v>
      </c>
      <c r="H13" s="119">
        <v>0</v>
      </c>
      <c r="I13" s="119">
        <v>0</v>
      </c>
      <c r="J13" s="119">
        <v>0</v>
      </c>
      <c r="K13" s="119">
        <v>0</v>
      </c>
      <c r="L13" s="119">
        <v>0</v>
      </c>
      <c r="M13" s="119">
        <v>1492.8275100000001</v>
      </c>
      <c r="N13" s="119">
        <v>507949.93871832901</v>
      </c>
      <c r="O13" s="119">
        <v>457154.9448464961</v>
      </c>
      <c r="P13" s="119">
        <v>0</v>
      </c>
      <c r="Q13" s="125">
        <v>14137126.791766301</v>
      </c>
    </row>
    <row r="14" spans="2:17" ht="24" customHeight="1" x14ac:dyDescent="0.3">
      <c r="B14" s="127" t="s">
        <v>106</v>
      </c>
      <c r="C14" s="119">
        <v>35579878.229000002</v>
      </c>
      <c r="D14" s="119">
        <v>5040249.0165799996</v>
      </c>
      <c r="E14" s="119">
        <v>5040249.0165799996</v>
      </c>
      <c r="F14" s="119">
        <v>0</v>
      </c>
      <c r="G14" s="119">
        <v>652509.58900000004</v>
      </c>
      <c r="H14" s="119">
        <v>652509.58900000004</v>
      </c>
      <c r="I14" s="119">
        <v>0</v>
      </c>
      <c r="J14" s="119">
        <v>0</v>
      </c>
      <c r="K14" s="119">
        <v>0</v>
      </c>
      <c r="L14" s="119">
        <v>10747.901529999999</v>
      </c>
      <c r="M14" s="119">
        <v>46886.124226210937</v>
      </c>
      <c r="N14" s="119">
        <v>1385276.978083743</v>
      </c>
      <c r="O14" s="119">
        <v>0</v>
      </c>
      <c r="P14" s="119">
        <v>0</v>
      </c>
      <c r="Q14" s="125">
        <v>41295260.608907528</v>
      </c>
    </row>
    <row r="15" spans="2:17" ht="24" customHeight="1" x14ac:dyDescent="0.3">
      <c r="B15" s="126" t="s">
        <v>107</v>
      </c>
      <c r="C15" s="119">
        <v>743623.69900000002</v>
      </c>
      <c r="D15" s="119">
        <v>598310.40787057695</v>
      </c>
      <c r="E15" s="119">
        <v>598310.40787057695</v>
      </c>
      <c r="F15" s="119">
        <v>0</v>
      </c>
      <c r="G15" s="119">
        <v>0</v>
      </c>
      <c r="H15" s="119">
        <v>0</v>
      </c>
      <c r="I15" s="119">
        <v>0</v>
      </c>
      <c r="J15" s="119">
        <v>0</v>
      </c>
      <c r="K15" s="119">
        <v>0</v>
      </c>
      <c r="L15" s="119">
        <v>0</v>
      </c>
      <c r="M15" s="119">
        <v>56.394599999999997</v>
      </c>
      <c r="N15" s="119">
        <v>0</v>
      </c>
      <c r="O15" s="119">
        <v>0</v>
      </c>
      <c r="P15" s="119">
        <v>743567.60400000005</v>
      </c>
      <c r="Q15" s="125">
        <v>598310.10827057692</v>
      </c>
    </row>
    <row r="16" spans="2:17" ht="24" customHeight="1" x14ac:dyDescent="0.3">
      <c r="B16" s="126" t="s">
        <v>108</v>
      </c>
      <c r="C16" s="119">
        <v>81041405.224100396</v>
      </c>
      <c r="D16" s="119">
        <v>2474247.934475794</v>
      </c>
      <c r="E16" s="119">
        <v>2474247.934475794</v>
      </c>
      <c r="F16" s="119">
        <v>0</v>
      </c>
      <c r="G16" s="119">
        <v>2405948.5430000001</v>
      </c>
      <c r="H16" s="119">
        <v>2405948.5430000001</v>
      </c>
      <c r="I16" s="119">
        <v>0</v>
      </c>
      <c r="J16" s="119">
        <v>0</v>
      </c>
      <c r="K16" s="119">
        <v>0</v>
      </c>
      <c r="L16" s="119">
        <v>49464.474740000012</v>
      </c>
      <c r="M16" s="119">
        <v>115681.1304534143</v>
      </c>
      <c r="N16" s="119">
        <v>3066236.7609999999</v>
      </c>
      <c r="O16" s="119">
        <v>0</v>
      </c>
      <c r="P16" s="119">
        <v>0</v>
      </c>
      <c r="Q16" s="125">
        <v>84010795.771382779</v>
      </c>
    </row>
    <row r="17" spans="2:17" ht="24" customHeight="1" x14ac:dyDescent="0.3">
      <c r="B17" s="126" t="s">
        <v>109</v>
      </c>
      <c r="C17" s="119">
        <v>97867123.040489405</v>
      </c>
      <c r="D17" s="119">
        <v>3614808.5039300001</v>
      </c>
      <c r="E17" s="119">
        <v>3614808.5039300001</v>
      </c>
      <c r="F17" s="119">
        <v>0</v>
      </c>
      <c r="G17" s="119">
        <v>1631401.7390000001</v>
      </c>
      <c r="H17" s="119">
        <v>1631401.7390000001</v>
      </c>
      <c r="I17" s="119">
        <v>0</v>
      </c>
      <c r="J17" s="119">
        <v>0</v>
      </c>
      <c r="K17" s="119">
        <v>0</v>
      </c>
      <c r="L17" s="119">
        <v>48820.038999999997</v>
      </c>
      <c r="M17" s="119">
        <v>105936.51798990001</v>
      </c>
      <c r="N17" s="119">
        <v>3549826.2368974779</v>
      </c>
      <c r="O17" s="119">
        <v>27022.407374124901</v>
      </c>
      <c r="P17" s="119">
        <v>0</v>
      </c>
      <c r="Q17" s="125">
        <v>103218577.07795291</v>
      </c>
    </row>
    <row r="18" spans="2:17" ht="24" customHeight="1" x14ac:dyDescent="0.3">
      <c r="B18" s="126" t="s">
        <v>110</v>
      </c>
      <c r="C18" s="119">
        <v>63665705.278999999</v>
      </c>
      <c r="D18" s="119">
        <v>793582.28493000008</v>
      </c>
      <c r="E18" s="119">
        <v>793582.28493000008</v>
      </c>
      <c r="F18" s="119">
        <v>0</v>
      </c>
      <c r="G18" s="119">
        <v>1287562.8740000001</v>
      </c>
      <c r="H18" s="119">
        <v>1287562.8740000001</v>
      </c>
      <c r="I18" s="119">
        <v>0</v>
      </c>
      <c r="J18" s="119">
        <v>0</v>
      </c>
      <c r="K18" s="119">
        <v>0</v>
      </c>
      <c r="L18" s="119">
        <v>21783.106</v>
      </c>
      <c r="M18" s="119">
        <v>52272.099000000002</v>
      </c>
      <c r="N18" s="119">
        <v>2211100.7489999998</v>
      </c>
      <c r="O18" s="119">
        <v>5996.8609999999999</v>
      </c>
      <c r="P18" s="119">
        <v>62500</v>
      </c>
      <c r="Q18" s="125">
        <v>65240273.372929998</v>
      </c>
    </row>
    <row r="19" spans="2:17" ht="24" customHeight="1" x14ac:dyDescent="0.3">
      <c r="B19" s="126" t="s">
        <v>111</v>
      </c>
      <c r="C19" s="119">
        <v>1493637.3485127359</v>
      </c>
      <c r="D19" s="119">
        <v>51180.959000000003</v>
      </c>
      <c r="E19" s="119">
        <v>51180.959000000003</v>
      </c>
      <c r="F19" s="119">
        <v>0</v>
      </c>
      <c r="G19" s="119">
        <v>20556.95250000001</v>
      </c>
      <c r="H19" s="119">
        <v>20556.95250000001</v>
      </c>
      <c r="I19" s="119">
        <v>0</v>
      </c>
      <c r="J19" s="119">
        <v>0</v>
      </c>
      <c r="K19" s="119">
        <v>0</v>
      </c>
      <c r="L19" s="119">
        <v>0</v>
      </c>
      <c r="M19" s="119">
        <v>117.435</v>
      </c>
      <c r="N19" s="119">
        <v>49511.283102649148</v>
      </c>
      <c r="O19" s="119">
        <v>0</v>
      </c>
      <c r="P19" s="119">
        <v>0</v>
      </c>
      <c r="Q19" s="125">
        <v>1573655.203115385</v>
      </c>
    </row>
    <row r="20" spans="2:17" ht="24" customHeight="1" x14ac:dyDescent="0.3">
      <c r="B20" s="126" t="s">
        <v>112</v>
      </c>
      <c r="C20" s="128">
        <v>0</v>
      </c>
      <c r="D20" s="119">
        <v>0</v>
      </c>
      <c r="E20" s="119">
        <v>0</v>
      </c>
      <c r="F20" s="119">
        <v>0</v>
      </c>
      <c r="G20" s="119">
        <v>0</v>
      </c>
      <c r="H20" s="119">
        <v>0</v>
      </c>
      <c r="I20" s="119">
        <v>0</v>
      </c>
      <c r="J20" s="119">
        <v>0</v>
      </c>
      <c r="K20" s="119">
        <v>0</v>
      </c>
      <c r="L20" s="119">
        <v>0</v>
      </c>
      <c r="M20" s="119">
        <v>0</v>
      </c>
      <c r="N20" s="119">
        <v>0</v>
      </c>
      <c r="O20" s="119">
        <v>0</v>
      </c>
      <c r="P20" s="119">
        <v>0</v>
      </c>
      <c r="Q20" s="125">
        <v>0</v>
      </c>
    </row>
    <row r="21" spans="2:17" ht="24" customHeight="1" x14ac:dyDescent="0.3">
      <c r="B21" s="126" t="s">
        <v>113</v>
      </c>
      <c r="C21" s="128">
        <v>9507984.5763722025</v>
      </c>
      <c r="D21" s="119">
        <v>59850.889179999998</v>
      </c>
      <c r="E21" s="119">
        <v>59850.889179999998</v>
      </c>
      <c r="F21" s="119">
        <v>0</v>
      </c>
      <c r="G21" s="119">
        <v>449316.65583</v>
      </c>
      <c r="H21" s="119">
        <v>449316.65583</v>
      </c>
      <c r="I21" s="119">
        <v>0</v>
      </c>
      <c r="J21" s="119">
        <v>0</v>
      </c>
      <c r="K21" s="119">
        <v>0</v>
      </c>
      <c r="L21" s="119">
        <v>526.89903000000004</v>
      </c>
      <c r="M21" s="119">
        <v>80177.65423304819</v>
      </c>
      <c r="N21" s="119">
        <v>274739.43196000002</v>
      </c>
      <c r="O21" s="119">
        <v>2909.1579590087808</v>
      </c>
      <c r="P21" s="119">
        <v>0</v>
      </c>
      <c r="Q21" s="125">
        <v>9309644.5304601453</v>
      </c>
    </row>
    <row r="22" spans="2:17" ht="24" customHeight="1" x14ac:dyDescent="0.3">
      <c r="B22" s="126" t="s">
        <v>74</v>
      </c>
      <c r="C22" s="128">
        <v>3757786.662</v>
      </c>
      <c r="D22" s="119">
        <v>126138</v>
      </c>
      <c r="E22" s="119">
        <v>126138</v>
      </c>
      <c r="F22" s="119">
        <v>0</v>
      </c>
      <c r="G22" s="119">
        <v>103424</v>
      </c>
      <c r="H22" s="119">
        <v>103424</v>
      </c>
      <c r="I22" s="119">
        <v>0</v>
      </c>
      <c r="J22" s="119">
        <v>0</v>
      </c>
      <c r="K22" s="119">
        <v>0</v>
      </c>
      <c r="L22" s="119">
        <v>0</v>
      </c>
      <c r="M22" s="119">
        <v>18596.712</v>
      </c>
      <c r="N22" s="119">
        <v>73460</v>
      </c>
      <c r="O22" s="119">
        <v>0</v>
      </c>
      <c r="P22" s="119">
        <v>0</v>
      </c>
      <c r="Q22" s="125">
        <v>3835363.95</v>
      </c>
    </row>
    <row r="23" spans="2:17" ht="24" customHeight="1" x14ac:dyDescent="0.3">
      <c r="B23" s="126" t="s">
        <v>114</v>
      </c>
      <c r="C23" s="128">
        <v>0</v>
      </c>
      <c r="D23" s="119">
        <v>0</v>
      </c>
      <c r="E23" s="119">
        <v>0</v>
      </c>
      <c r="F23" s="119">
        <v>0</v>
      </c>
      <c r="G23" s="119">
        <v>0</v>
      </c>
      <c r="H23" s="119">
        <v>0</v>
      </c>
      <c r="I23" s="119">
        <v>0</v>
      </c>
      <c r="J23" s="119">
        <v>0</v>
      </c>
      <c r="K23" s="119">
        <v>0</v>
      </c>
      <c r="L23" s="119">
        <v>0</v>
      </c>
      <c r="M23" s="119">
        <v>0</v>
      </c>
      <c r="N23" s="119">
        <v>0</v>
      </c>
      <c r="O23" s="119">
        <v>0</v>
      </c>
      <c r="P23" s="119">
        <v>0</v>
      </c>
      <c r="Q23" s="125">
        <v>0</v>
      </c>
    </row>
    <row r="24" spans="2:17" ht="24" customHeight="1" x14ac:dyDescent="0.3">
      <c r="B24" s="126" t="s">
        <v>115</v>
      </c>
      <c r="C24" s="128">
        <v>6401678.2657130212</v>
      </c>
      <c r="D24" s="119">
        <v>134244.3701</v>
      </c>
      <c r="E24" s="119">
        <v>134244.3701</v>
      </c>
      <c r="F24" s="119">
        <v>0</v>
      </c>
      <c r="G24" s="119">
        <v>271146.64799999999</v>
      </c>
      <c r="H24" s="119">
        <v>271146.64799999999</v>
      </c>
      <c r="I24" s="119">
        <v>0</v>
      </c>
      <c r="J24" s="119">
        <v>0</v>
      </c>
      <c r="K24" s="119">
        <v>0</v>
      </c>
      <c r="L24" s="119">
        <v>701.03306999999995</v>
      </c>
      <c r="M24" s="119">
        <v>18665.81664372022</v>
      </c>
      <c r="N24" s="119">
        <v>454046.96712502179</v>
      </c>
      <c r="O24" s="119">
        <v>0</v>
      </c>
      <c r="P24" s="119">
        <v>0</v>
      </c>
      <c r="Q24" s="125">
        <v>6699456.1052243235</v>
      </c>
    </row>
    <row r="25" spans="2:17" ht="24" customHeight="1" x14ac:dyDescent="0.3">
      <c r="B25" s="126" t="s">
        <v>116</v>
      </c>
      <c r="C25" s="128">
        <v>7469704.5220881142</v>
      </c>
      <c r="D25" s="119">
        <v>117174.05499999999</v>
      </c>
      <c r="E25" s="119">
        <v>117174.05499999999</v>
      </c>
      <c r="F25" s="119">
        <v>0</v>
      </c>
      <c r="G25" s="119">
        <v>97254.691000000006</v>
      </c>
      <c r="H25" s="119">
        <v>97254.691000000006</v>
      </c>
      <c r="I25" s="119">
        <v>0</v>
      </c>
      <c r="J25" s="119">
        <v>0</v>
      </c>
      <c r="K25" s="119">
        <v>0</v>
      </c>
      <c r="L25" s="119">
        <v>0</v>
      </c>
      <c r="M25" s="119">
        <v>0</v>
      </c>
      <c r="N25" s="119">
        <v>0</v>
      </c>
      <c r="O25" s="119">
        <v>0</v>
      </c>
      <c r="P25" s="119">
        <v>0</v>
      </c>
      <c r="Q25" s="125">
        <v>7489623.8860881142</v>
      </c>
    </row>
    <row r="26" spans="2:17" ht="24" customHeight="1" x14ac:dyDescent="0.3">
      <c r="B26" s="126" t="s">
        <v>117</v>
      </c>
      <c r="C26" s="128">
        <v>1050842.7066291079</v>
      </c>
      <c r="D26" s="119">
        <v>348446.7668000001</v>
      </c>
      <c r="E26" s="119">
        <v>348446.7668000001</v>
      </c>
      <c r="F26" s="119">
        <v>0</v>
      </c>
      <c r="G26" s="119">
        <v>50268.118999999999</v>
      </c>
      <c r="H26" s="119">
        <v>50268.118999999999</v>
      </c>
      <c r="I26" s="119">
        <v>0</v>
      </c>
      <c r="J26" s="119">
        <v>0</v>
      </c>
      <c r="K26" s="119">
        <v>0</v>
      </c>
      <c r="L26" s="119">
        <v>0</v>
      </c>
      <c r="M26" s="119">
        <v>338.99908835707822</v>
      </c>
      <c r="N26" s="119">
        <v>56517.927323228461</v>
      </c>
      <c r="O26" s="119">
        <v>1668.2897739734699</v>
      </c>
      <c r="P26" s="119">
        <v>0</v>
      </c>
      <c r="Q26" s="125">
        <v>1403531.9928900059</v>
      </c>
    </row>
    <row r="27" spans="2:17" ht="24" customHeight="1" x14ac:dyDescent="0.3">
      <c r="B27" s="126" t="s">
        <v>118</v>
      </c>
      <c r="C27" s="128">
        <v>4484955.4952278947</v>
      </c>
      <c r="D27" s="119">
        <v>15512.392750000001</v>
      </c>
      <c r="E27" s="119">
        <v>15512.392750000001</v>
      </c>
      <c r="F27" s="119">
        <v>0</v>
      </c>
      <c r="G27" s="119">
        <v>36191.365860999998</v>
      </c>
      <c r="H27" s="119">
        <v>36191.365860999998</v>
      </c>
      <c r="I27" s="119">
        <v>0</v>
      </c>
      <c r="J27" s="119">
        <v>0</v>
      </c>
      <c r="K27" s="119">
        <v>0</v>
      </c>
      <c r="L27" s="119">
        <v>188.602</v>
      </c>
      <c r="M27" s="119">
        <v>10783.81191333459</v>
      </c>
      <c r="N27" s="119">
        <v>378541.52444000001</v>
      </c>
      <c r="O27" s="119">
        <v>0</v>
      </c>
      <c r="P27" s="119">
        <v>0</v>
      </c>
      <c r="Q27" s="125">
        <v>4831845.6326435599</v>
      </c>
    </row>
    <row r="28" spans="2:17" ht="24" customHeight="1" x14ac:dyDescent="0.3">
      <c r="B28" s="126" t="s">
        <v>119</v>
      </c>
      <c r="C28" s="128">
        <v>0</v>
      </c>
      <c r="D28" s="119">
        <v>0</v>
      </c>
      <c r="E28" s="119">
        <v>0</v>
      </c>
      <c r="F28" s="119">
        <v>0</v>
      </c>
      <c r="G28" s="119">
        <v>0</v>
      </c>
      <c r="H28" s="119">
        <v>0</v>
      </c>
      <c r="I28" s="119">
        <v>0</v>
      </c>
      <c r="J28" s="119">
        <v>0</v>
      </c>
      <c r="K28" s="119">
        <v>0</v>
      </c>
      <c r="L28" s="119">
        <v>0</v>
      </c>
      <c r="M28" s="119">
        <v>0</v>
      </c>
      <c r="N28" s="119">
        <v>0</v>
      </c>
      <c r="O28" s="119">
        <v>0</v>
      </c>
      <c r="P28" s="119">
        <v>0</v>
      </c>
      <c r="Q28" s="125">
        <v>0</v>
      </c>
    </row>
    <row r="29" spans="2:17" ht="24" customHeight="1" x14ac:dyDescent="0.3">
      <c r="B29" s="126" t="s">
        <v>120</v>
      </c>
      <c r="C29" s="128">
        <v>2637830.2506894199</v>
      </c>
      <c r="D29" s="119">
        <v>73464.725879999998</v>
      </c>
      <c r="E29" s="119">
        <v>73464.725879999998</v>
      </c>
      <c r="F29" s="119">
        <v>0</v>
      </c>
      <c r="G29" s="119">
        <v>-32183.733346036701</v>
      </c>
      <c r="H29" s="119">
        <v>34422.496200000001</v>
      </c>
      <c r="I29" s="119">
        <v>0</v>
      </c>
      <c r="J29" s="119">
        <v>-66606.229546036702</v>
      </c>
      <c r="K29" s="119">
        <v>0</v>
      </c>
      <c r="L29" s="119">
        <v>0</v>
      </c>
      <c r="M29" s="119">
        <v>10194.571081775901</v>
      </c>
      <c r="N29" s="119">
        <v>12209.3686769987</v>
      </c>
      <c r="O29" s="119">
        <v>0</v>
      </c>
      <c r="P29" s="119">
        <v>0</v>
      </c>
      <c r="Q29" s="125">
        <v>2745493.5075106798</v>
      </c>
    </row>
    <row r="30" spans="2:17" ht="24" customHeight="1" x14ac:dyDescent="0.3">
      <c r="B30" s="126" t="s">
        <v>121</v>
      </c>
      <c r="C30" s="128">
        <v>0</v>
      </c>
      <c r="D30" s="119">
        <v>0</v>
      </c>
      <c r="E30" s="119">
        <v>0</v>
      </c>
      <c r="F30" s="119">
        <v>0</v>
      </c>
      <c r="G30" s="119">
        <v>0</v>
      </c>
      <c r="H30" s="119">
        <v>0</v>
      </c>
      <c r="I30" s="119">
        <v>0</v>
      </c>
      <c r="J30" s="119">
        <v>0</v>
      </c>
      <c r="K30" s="119">
        <v>0</v>
      </c>
      <c r="L30" s="119">
        <v>0</v>
      </c>
      <c r="M30" s="119">
        <v>0</v>
      </c>
      <c r="N30" s="119">
        <v>0</v>
      </c>
      <c r="O30" s="119">
        <v>0</v>
      </c>
      <c r="P30" s="119">
        <v>0</v>
      </c>
      <c r="Q30" s="125">
        <v>0</v>
      </c>
    </row>
    <row r="31" spans="2:17" ht="24" customHeight="1" x14ac:dyDescent="0.3">
      <c r="B31" s="37" t="s">
        <v>90</v>
      </c>
      <c r="C31" s="130">
        <f t="shared" ref="C31:Q31" si="0">SUM(C6:C30)</f>
        <v>396718811.33215475</v>
      </c>
      <c r="D31" s="130">
        <f t="shared" si="0"/>
        <v>16490308.987616375</v>
      </c>
      <c r="E31" s="130">
        <f t="shared" si="0"/>
        <v>16490308.987616375</v>
      </c>
      <c r="F31" s="130">
        <f t="shared" si="0"/>
        <v>0</v>
      </c>
      <c r="G31" s="130">
        <f t="shared" si="0"/>
        <v>10620376.918244964</v>
      </c>
      <c r="H31" s="130">
        <f t="shared" si="0"/>
        <v>10686983.147791002</v>
      </c>
      <c r="I31" s="130">
        <f t="shared" si="0"/>
        <v>0</v>
      </c>
      <c r="J31" s="130">
        <f t="shared" si="0"/>
        <v>-66606.229546036702</v>
      </c>
      <c r="K31" s="130">
        <f t="shared" si="0"/>
        <v>0</v>
      </c>
      <c r="L31" s="130">
        <f t="shared" si="0"/>
        <v>184686.67207000003</v>
      </c>
      <c r="M31" s="130">
        <f t="shared" si="0"/>
        <v>619295.2634542922</v>
      </c>
      <c r="N31" s="130">
        <f t="shared" si="0"/>
        <v>14584691.439268585</v>
      </c>
      <c r="O31" s="130">
        <f t="shared" si="0"/>
        <v>503504.03393320099</v>
      </c>
      <c r="P31" s="130">
        <f t="shared" si="0"/>
        <v>1004097.2883913347</v>
      </c>
      <c r="Q31" s="130">
        <f t="shared" si="0"/>
        <v>414861851.582946</v>
      </c>
    </row>
    <row r="32" spans="2:17" ht="24" customHeight="1" x14ac:dyDescent="0.35">
      <c r="B32" s="261" t="s">
        <v>91</v>
      </c>
      <c r="C32" s="252"/>
      <c r="D32" s="252"/>
      <c r="E32" s="252"/>
      <c r="F32" s="252"/>
      <c r="G32" s="252"/>
      <c r="H32" s="252"/>
      <c r="I32" s="252"/>
      <c r="J32" s="252"/>
      <c r="K32" s="252"/>
      <c r="L32" s="252"/>
      <c r="M32" s="252"/>
      <c r="N32" s="252"/>
      <c r="O32" s="252"/>
      <c r="P32" s="252"/>
      <c r="Q32" s="253"/>
    </row>
    <row r="33" spans="2:17" ht="24" customHeight="1" x14ac:dyDescent="0.3">
      <c r="B33" s="126" t="s">
        <v>92</v>
      </c>
      <c r="C33" s="119">
        <v>0</v>
      </c>
      <c r="D33" s="119">
        <v>0</v>
      </c>
      <c r="E33" s="119">
        <v>0</v>
      </c>
      <c r="F33" s="119">
        <v>0</v>
      </c>
      <c r="G33" s="119">
        <v>0</v>
      </c>
      <c r="H33" s="119">
        <v>0</v>
      </c>
      <c r="I33" s="119">
        <v>0</v>
      </c>
      <c r="J33" s="119">
        <v>0</v>
      </c>
      <c r="K33" s="119">
        <v>0</v>
      </c>
      <c r="L33" s="119">
        <v>0</v>
      </c>
      <c r="M33" s="119">
        <v>0</v>
      </c>
      <c r="N33" s="119">
        <v>0</v>
      </c>
      <c r="O33" s="119">
        <v>0</v>
      </c>
      <c r="P33" s="119">
        <v>0</v>
      </c>
      <c r="Q33" s="125">
        <v>0</v>
      </c>
    </row>
    <row r="34" spans="2:17" ht="24" customHeight="1" x14ac:dyDescent="0.3">
      <c r="B34" s="126" t="s">
        <v>93</v>
      </c>
      <c r="C34" s="119">
        <v>0</v>
      </c>
      <c r="D34" s="119">
        <v>0</v>
      </c>
      <c r="E34" s="119">
        <v>0</v>
      </c>
      <c r="F34" s="119">
        <v>0</v>
      </c>
      <c r="G34" s="119">
        <v>0</v>
      </c>
      <c r="H34" s="119">
        <v>0</v>
      </c>
      <c r="I34" s="119">
        <v>0</v>
      </c>
      <c r="J34" s="119">
        <v>0</v>
      </c>
      <c r="K34" s="119">
        <v>0</v>
      </c>
      <c r="L34" s="119">
        <v>0</v>
      </c>
      <c r="M34" s="119">
        <v>0</v>
      </c>
      <c r="N34" s="119">
        <v>0</v>
      </c>
      <c r="O34" s="119">
        <v>0</v>
      </c>
      <c r="P34" s="119">
        <v>0</v>
      </c>
      <c r="Q34" s="125">
        <v>0</v>
      </c>
    </row>
    <row r="35" spans="2:17" ht="24" customHeight="1" x14ac:dyDescent="0.3">
      <c r="B35" s="126" t="s">
        <v>95</v>
      </c>
      <c r="C35" s="119">
        <v>0</v>
      </c>
      <c r="D35" s="119">
        <v>0</v>
      </c>
      <c r="E35" s="119">
        <v>0</v>
      </c>
      <c r="F35" s="119">
        <v>0</v>
      </c>
      <c r="G35" s="119">
        <v>0</v>
      </c>
      <c r="H35" s="119">
        <v>0</v>
      </c>
      <c r="I35" s="119">
        <v>0</v>
      </c>
      <c r="J35" s="119">
        <v>0</v>
      </c>
      <c r="K35" s="119">
        <v>0</v>
      </c>
      <c r="L35" s="119">
        <v>0</v>
      </c>
      <c r="M35" s="119">
        <v>0</v>
      </c>
      <c r="N35" s="119">
        <v>0</v>
      </c>
      <c r="O35" s="119">
        <v>0</v>
      </c>
      <c r="P35" s="119">
        <v>0</v>
      </c>
      <c r="Q35" s="125">
        <v>0</v>
      </c>
    </row>
    <row r="36" spans="2:17" ht="24" customHeight="1" x14ac:dyDescent="0.3">
      <c r="B36" s="37" t="s">
        <v>90</v>
      </c>
      <c r="C36" s="129">
        <f t="shared" ref="C36:Q36" si="1">SUM(C33:C35)</f>
        <v>0</v>
      </c>
      <c r="D36" s="129">
        <f t="shared" si="1"/>
        <v>0</v>
      </c>
      <c r="E36" s="129">
        <f t="shared" si="1"/>
        <v>0</v>
      </c>
      <c r="F36" s="129">
        <f t="shared" si="1"/>
        <v>0</v>
      </c>
      <c r="G36" s="129">
        <f t="shared" si="1"/>
        <v>0</v>
      </c>
      <c r="H36" s="129">
        <f t="shared" si="1"/>
        <v>0</v>
      </c>
      <c r="I36" s="129">
        <f t="shared" si="1"/>
        <v>0</v>
      </c>
      <c r="J36" s="129">
        <f t="shared" si="1"/>
        <v>0</v>
      </c>
      <c r="K36" s="129">
        <f t="shared" si="1"/>
        <v>0</v>
      </c>
      <c r="L36" s="129">
        <f t="shared" si="1"/>
        <v>0</v>
      </c>
      <c r="M36" s="129">
        <f t="shared" si="1"/>
        <v>0</v>
      </c>
      <c r="N36" s="129">
        <f t="shared" si="1"/>
        <v>0</v>
      </c>
      <c r="O36" s="129">
        <f t="shared" si="1"/>
        <v>0</v>
      </c>
      <c r="P36" s="129">
        <f t="shared" si="1"/>
        <v>0</v>
      </c>
      <c r="Q36" s="129">
        <f t="shared" si="1"/>
        <v>0</v>
      </c>
    </row>
    <row r="37" spans="2:17" ht="24" customHeight="1" x14ac:dyDescent="0.35">
      <c r="B37" s="271" t="s">
        <v>98</v>
      </c>
      <c r="C37" s="255"/>
      <c r="D37" s="255"/>
      <c r="E37" s="255"/>
      <c r="F37" s="255"/>
      <c r="G37" s="255"/>
      <c r="H37" s="255"/>
      <c r="I37" s="255"/>
      <c r="J37" s="255"/>
      <c r="K37" s="255"/>
      <c r="L37" s="255"/>
      <c r="M37" s="255"/>
      <c r="N37" s="255"/>
      <c r="O37" s="255"/>
      <c r="P37" s="255"/>
      <c r="Q37" s="255"/>
    </row>
  </sheetData>
  <sheetProtection algorithmName="SHA-512" hashValue="ZpWpKa2gC8nO+91KksoVtK/tsUrvME4Ek2hiR1wNbdr6bXPVKnW6Q9h/5huhIZPo/hvrlAgbrPAxvPw8Y6lLlg==" saltValue="Si5mjPB9bMuotDSbtPTGYw==" spinCount="100000" sheet="1" objects="1" scenarios="1"/>
  <mergeCells count="4">
    <mergeCell ref="B32:Q32"/>
    <mergeCell ref="B37:Q37"/>
    <mergeCell ref="B3:Q3"/>
    <mergeCell ref="B5:Q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tabColor rgb="FF92D050"/>
    <pageSetUpPr fitToPage="1"/>
  </sheetPr>
  <dimension ref="B3:Q37"/>
  <sheetViews>
    <sheetView zoomScale="70" zoomScaleNormal="70" workbookViewId="0">
      <pane xSplit="2" ySplit="5" topLeftCell="C6" activePane="bottomRight" state="frozen"/>
      <selection pane="topRight" activeCell="C1" sqref="C1"/>
      <selection pane="bottomLeft" activeCell="A6" sqref="A6"/>
      <selection pane="bottomRight" activeCell="L36" sqref="L36"/>
    </sheetView>
  </sheetViews>
  <sheetFormatPr defaultColWidth="16.54296875" defaultRowHeight="18" customHeight="1" x14ac:dyDescent="0.35"/>
  <cols>
    <col min="2" max="2" width="45.453125" bestFit="1" customWidth="1"/>
    <col min="3" max="3" width="18.54296875" customWidth="1"/>
    <col min="4" max="4" width="21" customWidth="1"/>
    <col min="5" max="16" width="18.54296875" customWidth="1"/>
    <col min="17" max="17" width="18.54296875" style="1" customWidth="1"/>
  </cols>
  <sheetData>
    <row r="3" spans="2:17" ht="25.5" customHeight="1" x14ac:dyDescent="0.35">
      <c r="B3" s="267" t="str">
        <f>_xlfn.CONCAT('Table of Contents'!B21,": ",'Table of Contents'!C21)</f>
        <v>APPENDIX 14: SUMMARY OF COMBINED LONG TERM BUSINESS REVENUE ACCOUNTS FOR THE PERIOD ENDED 31.03.2025</v>
      </c>
      <c r="C3" s="252"/>
      <c r="D3" s="252"/>
      <c r="E3" s="252"/>
      <c r="F3" s="252"/>
      <c r="G3" s="252"/>
      <c r="H3" s="252"/>
      <c r="I3" s="252"/>
      <c r="J3" s="252"/>
      <c r="K3" s="252"/>
      <c r="L3" s="252"/>
      <c r="M3" s="252"/>
      <c r="N3" s="252"/>
      <c r="O3" s="252"/>
      <c r="P3" s="252"/>
      <c r="Q3" s="253"/>
    </row>
    <row r="4" spans="2:17" s="65" customFormat="1" ht="28.5" customHeight="1" x14ac:dyDescent="0.35">
      <c r="B4" s="43" t="s">
        <v>36</v>
      </c>
      <c r="C4" s="45" t="s">
        <v>140</v>
      </c>
      <c r="D4" s="45" t="s">
        <v>141</v>
      </c>
      <c r="E4" s="45" t="s">
        <v>142</v>
      </c>
      <c r="F4" s="45" t="s">
        <v>143</v>
      </c>
      <c r="G4" s="45" t="s">
        <v>144</v>
      </c>
      <c r="H4" s="45" t="s">
        <v>145</v>
      </c>
      <c r="I4" s="66" t="s">
        <v>146</v>
      </c>
      <c r="J4" s="45" t="s">
        <v>147</v>
      </c>
      <c r="K4" s="45" t="s">
        <v>148</v>
      </c>
      <c r="L4" s="45" t="s">
        <v>149</v>
      </c>
      <c r="M4" s="45" t="s">
        <v>150</v>
      </c>
      <c r="N4" s="45" t="s">
        <v>151</v>
      </c>
      <c r="O4" s="45" t="s">
        <v>152</v>
      </c>
      <c r="P4" s="45" t="s">
        <v>153</v>
      </c>
      <c r="Q4" s="45" t="s">
        <v>154</v>
      </c>
    </row>
    <row r="5" spans="2:17" ht="29.25" customHeight="1" x14ac:dyDescent="0.35">
      <c r="B5" s="261" t="s">
        <v>53</v>
      </c>
      <c r="C5" s="252"/>
      <c r="D5" s="252"/>
      <c r="E5" s="252"/>
      <c r="F5" s="252"/>
      <c r="G5" s="252"/>
      <c r="H5" s="252"/>
      <c r="I5" s="252"/>
      <c r="J5" s="252"/>
      <c r="K5" s="252"/>
      <c r="L5" s="252"/>
      <c r="M5" s="252"/>
      <c r="N5" s="252"/>
      <c r="O5" s="252"/>
      <c r="P5" s="252"/>
      <c r="Q5" s="253"/>
    </row>
    <row r="6" spans="2:17" ht="29.25" customHeight="1" x14ac:dyDescent="0.35">
      <c r="B6" s="6" t="str">
        <f>'APPENDIX 13'!B6</f>
        <v>ABSA LIFE ASSURANCE</v>
      </c>
      <c r="C6" s="67">
        <f>'APPENDIX 6'!C6+'APPENDIX 7'!C6+'APPENDIX 8'!C6+'APPENDIX 9'!C6+'APPENDIX 10'!C6+'APPENDIX 11'!C6+PENSIONS!C6</f>
        <v>12993436.422526006</v>
      </c>
      <c r="D6" s="67">
        <f>'APPENDIX 6'!D6+'APPENDIX 7'!D6+'APPENDIX 8'!D6+'APPENDIX 9'!D6+'APPENDIX 10'!D6+'APPENDIX 11'!D6+PENSIONS!D6</f>
        <v>2973072.0151775</v>
      </c>
      <c r="E6" s="67">
        <f>'APPENDIX 6'!E6+'APPENDIX 7'!E6+'APPENDIX 8'!E6+'APPENDIX 9'!E6+'APPENDIX 10'!E6+'APPENDIX 11'!E6+PENSIONS!E6</f>
        <v>2199973.8211774998</v>
      </c>
      <c r="F6" s="67">
        <f>'APPENDIX 6'!F6+'APPENDIX 7'!F6+'APPENDIX 8'!F6+'APPENDIX 9'!F6+'APPENDIX 10'!F6+'APPENDIX 11'!F6+PENSIONS!F6</f>
        <v>0</v>
      </c>
      <c r="G6" s="67">
        <f>'APPENDIX 6'!G6+'APPENDIX 7'!G6+'APPENDIX 8'!G6+'APPENDIX 9'!G6+'APPENDIX 10'!G6+'APPENDIX 11'!G6+PENSIONS!G6</f>
        <v>1201072.6039999998</v>
      </c>
      <c r="H6" s="67">
        <f>'APPENDIX 6'!H6+'APPENDIX 7'!H6+'APPENDIX 8'!H6+'APPENDIX 9'!H6+'APPENDIX 10'!H6+'APPENDIX 11'!H6+PENSIONS!H6</f>
        <v>1201072.6039999998</v>
      </c>
      <c r="I6" s="67">
        <f>'APPENDIX 6'!I6+'APPENDIX 7'!I6+'APPENDIX 8'!I6+'APPENDIX 9'!I6+'APPENDIX 10'!I6+'APPENDIX 11'!I6+PENSIONS!I6</f>
        <v>0</v>
      </c>
      <c r="J6" s="67">
        <f>'APPENDIX 6'!J6+'APPENDIX 7'!J6+'APPENDIX 8'!J6+'APPENDIX 9'!J6+'APPENDIX 10'!J6+'APPENDIX 11'!J6+PENSIONS!J6</f>
        <v>0</v>
      </c>
      <c r="K6" s="67">
        <f>'APPENDIX 6'!K6+'APPENDIX 7'!K6+'APPENDIX 8'!K6+'APPENDIX 9'!K6+'APPENDIX 10'!K6+'APPENDIX 11'!K6+PENSIONS!K6</f>
        <v>0</v>
      </c>
      <c r="L6" s="67">
        <f>'APPENDIX 6'!L6+'APPENDIX 7'!L6+'APPENDIX 8'!L6+'APPENDIX 9'!L6+'APPENDIX 10'!L6+'APPENDIX 11'!L6+PENSIONS!L6</f>
        <v>327061.68699999998</v>
      </c>
      <c r="M6" s="67">
        <f>'APPENDIX 6'!M6+'APPENDIX 7'!M6+'APPENDIX 8'!M6+'APPENDIX 9'!M6+'APPENDIX 10'!M6+'APPENDIX 11'!M6+PENSIONS!M6</f>
        <v>265731.70749000006</v>
      </c>
      <c r="N6" s="67">
        <f>'APPENDIX 6'!N6+'APPENDIX 7'!N6+'APPENDIX 8'!N6+'APPENDIX 9'!N6+'APPENDIX 10'!N6+'APPENDIX 11'!N6+PENSIONS!N6</f>
        <v>459692.36736000003</v>
      </c>
      <c r="O6" s="67">
        <f>'APPENDIX 6'!O6+'APPENDIX 7'!O6+'APPENDIX 8'!O6+'APPENDIX 9'!O6+'APPENDIX 10'!O6+'APPENDIX 11'!O6+PENSIONS!O6</f>
        <v>0</v>
      </c>
      <c r="P6" s="67">
        <f>'APPENDIX 6'!P6+'APPENDIX 7'!P6+'APPENDIX 8'!P6+'APPENDIX 9'!P6+'APPENDIX 10'!P6+'APPENDIX 11'!P6+PENSIONS!P6</f>
        <v>0</v>
      </c>
      <c r="Q6" s="68">
        <f>'APPENDIX 6'!Q6+'APPENDIX 7'!Q6+'APPENDIX 8'!Q6+'APPENDIX 9'!Q6+'APPENDIX 10'!Q6+'APPENDIX 11'!Q6+PENSIONS!Q6</f>
        <v>13859236.612573499</v>
      </c>
    </row>
    <row r="7" spans="2:17" ht="29.25" customHeight="1" x14ac:dyDescent="0.35">
      <c r="B7" s="6" t="str">
        <f>'APPENDIX 13'!B7</f>
        <v xml:space="preserve">APA LIFE ASSURANCE COMPANY </v>
      </c>
      <c r="C7" s="67">
        <f>'APPENDIX 6'!C7+'APPENDIX 7'!C7+'APPENDIX 8'!C7+'APPENDIX 9'!C7+'APPENDIX 10'!C7+'APPENDIX 11'!C7+PENSIONS!C7</f>
        <v>15210031.681766573</v>
      </c>
      <c r="D7" s="67">
        <f>'APPENDIX 6'!D7+'APPENDIX 7'!D7+'APPENDIX 8'!D7+'APPENDIX 9'!D7+'APPENDIX 10'!D7+'APPENDIX 11'!D7+PENSIONS!D7</f>
        <v>2499436.76468</v>
      </c>
      <c r="E7" s="67">
        <f>'APPENDIX 6'!E7+'APPENDIX 7'!E7+'APPENDIX 8'!E7+'APPENDIX 9'!E7+'APPENDIX 10'!E7+'APPENDIX 11'!E7+PENSIONS!E7</f>
        <v>1949852.9361962709</v>
      </c>
      <c r="F7" s="67">
        <f>'APPENDIX 6'!F7+'APPENDIX 7'!F7+'APPENDIX 8'!F7+'APPENDIX 9'!F7+'APPENDIX 10'!F7+'APPENDIX 11'!F7+PENSIONS!F7</f>
        <v>0</v>
      </c>
      <c r="G7" s="67">
        <f>'APPENDIX 6'!G7+'APPENDIX 7'!G7+'APPENDIX 8'!G7+'APPENDIX 9'!G7+'APPENDIX 10'!G7+'APPENDIX 11'!G7+PENSIONS!G7</f>
        <v>579038.64847250003</v>
      </c>
      <c r="H7" s="67">
        <f>'APPENDIX 6'!H7+'APPENDIX 7'!H7+'APPENDIX 8'!H7+'APPENDIX 9'!H7+'APPENDIX 10'!H7+'APPENDIX 11'!H7+PENSIONS!H7</f>
        <v>579038.64847250003</v>
      </c>
      <c r="I7" s="67">
        <f>'APPENDIX 6'!I7+'APPENDIX 7'!I7+'APPENDIX 8'!I7+'APPENDIX 9'!I7+'APPENDIX 10'!I7+'APPENDIX 11'!I7+PENSIONS!I7</f>
        <v>0</v>
      </c>
      <c r="J7" s="67">
        <f>'APPENDIX 6'!J7+'APPENDIX 7'!J7+'APPENDIX 8'!J7+'APPENDIX 9'!J7+'APPENDIX 10'!J7+'APPENDIX 11'!J7+PENSIONS!J7</f>
        <v>0</v>
      </c>
      <c r="K7" s="67">
        <f>'APPENDIX 6'!K7+'APPENDIX 7'!K7+'APPENDIX 8'!K7+'APPENDIX 9'!K7+'APPENDIX 10'!K7+'APPENDIX 11'!K7+PENSIONS!K7</f>
        <v>0</v>
      </c>
      <c r="L7" s="67">
        <f>'APPENDIX 6'!L7+'APPENDIX 7'!L7+'APPENDIX 8'!L7+'APPENDIX 9'!L7+'APPENDIX 10'!L7+'APPENDIX 11'!L7+PENSIONS!L7</f>
        <v>133817.03786455587</v>
      </c>
      <c r="M7" s="67">
        <f>'APPENDIX 6'!M7+'APPENDIX 7'!M7+'APPENDIX 8'!M7+'APPENDIX 9'!M7+'APPENDIX 10'!M7+'APPENDIX 11'!M7+PENSIONS!M7</f>
        <v>105541.36886820581</v>
      </c>
      <c r="N7" s="67">
        <f>'APPENDIX 6'!N7+'APPENDIX 7'!N7+'APPENDIX 8'!N7+'APPENDIX 9'!N7+'APPENDIX 10'!N7+'APPENDIX 11'!N7+PENSIONS!N7</f>
        <v>612949.41456337133</v>
      </c>
      <c r="O7" s="67">
        <f>'APPENDIX 6'!O7+'APPENDIX 7'!O7+'APPENDIX 8'!O7+'APPENDIX 9'!O7+'APPENDIX 10'!O7+'APPENDIX 11'!O7+PENSIONS!O7</f>
        <v>11720.104090182896</v>
      </c>
      <c r="P7" s="67">
        <f>'APPENDIX 6'!P7+'APPENDIX 7'!P7+'APPENDIX 8'!P7+'APPENDIX 9'!P7+'APPENDIX 10'!P7+'APPENDIX 11'!P7+PENSIONS!P7</f>
        <v>0</v>
      </c>
      <c r="Q7" s="68">
        <f>'APPENDIX 6'!Q7+'APPENDIX 7'!Q7+'APPENDIX 8'!Q7+'APPENDIX 9'!Q7+'APPENDIX 10'!Q7+'APPENDIX 11'!Q7+PENSIONS!Q7</f>
        <v>16942716.873230774</v>
      </c>
    </row>
    <row r="8" spans="2:17" ht="29.25" customHeight="1" x14ac:dyDescent="0.35">
      <c r="B8" s="6" t="str">
        <f>'APPENDIX 13'!B8</f>
        <v>BRITAM LIFE ASSURANCE</v>
      </c>
      <c r="C8" s="67">
        <f>'APPENDIX 6'!C8+'APPENDIX 7'!C8+'APPENDIX 8'!C8+'APPENDIX 9'!C8+'APPENDIX 10'!C8+'APPENDIX 11'!C8+PENSIONS!C8</f>
        <v>155452635.56244725</v>
      </c>
      <c r="D8" s="67">
        <f>'APPENDIX 6'!D8+'APPENDIX 7'!D8+'APPENDIX 8'!D8+'APPENDIX 9'!D8+'APPENDIX 10'!D8+'APPENDIX 11'!D8+PENSIONS!D8</f>
        <v>9658378.6703200005</v>
      </c>
      <c r="E8" s="67">
        <f>'APPENDIX 6'!E8+'APPENDIX 7'!E8+'APPENDIX 8'!E8+'APPENDIX 9'!E8+'APPENDIX 10'!E8+'APPENDIX 11'!E8+PENSIONS!E8</f>
        <v>9444296.9226300009</v>
      </c>
      <c r="F8" s="67">
        <f>'APPENDIX 6'!F8+'APPENDIX 7'!F8+'APPENDIX 8'!F8+'APPENDIX 9'!F8+'APPENDIX 10'!F8+'APPENDIX 11'!F8+PENSIONS!F8</f>
        <v>-15078.8712</v>
      </c>
      <c r="G8" s="67">
        <f>'APPENDIX 6'!G8+'APPENDIX 7'!G8+'APPENDIX 8'!G8+'APPENDIX 9'!G8+'APPENDIX 10'!G8+'APPENDIX 11'!G8+PENSIONS!G8</f>
        <v>8397188.5282100011</v>
      </c>
      <c r="H8" s="67">
        <f>'APPENDIX 6'!H8+'APPENDIX 7'!H8+'APPENDIX 8'!H8+'APPENDIX 9'!H8+'APPENDIX 10'!H8+'APPENDIX 11'!H8+PENSIONS!H8</f>
        <v>8397188.5282100011</v>
      </c>
      <c r="I8" s="67">
        <f>'APPENDIX 6'!I8+'APPENDIX 7'!I8+'APPENDIX 8'!I8+'APPENDIX 9'!I8+'APPENDIX 10'!I8+'APPENDIX 11'!I8+PENSIONS!I8</f>
        <v>0</v>
      </c>
      <c r="J8" s="67">
        <f>'APPENDIX 6'!J8+'APPENDIX 7'!J8+'APPENDIX 8'!J8+'APPENDIX 9'!J8+'APPENDIX 10'!J8+'APPENDIX 11'!J8+PENSIONS!J8</f>
        <v>0</v>
      </c>
      <c r="K8" s="67">
        <f>'APPENDIX 6'!K8+'APPENDIX 7'!K8+'APPENDIX 8'!K8+'APPENDIX 9'!K8+'APPENDIX 10'!K8+'APPENDIX 11'!K8+PENSIONS!K8</f>
        <v>0</v>
      </c>
      <c r="L8" s="67">
        <f>'APPENDIX 6'!L8+'APPENDIX 7'!L8+'APPENDIX 8'!L8+'APPENDIX 9'!L8+'APPENDIX 10'!L8+'APPENDIX 11'!L8+PENSIONS!L8</f>
        <v>377568.17745000002</v>
      </c>
      <c r="M8" s="67">
        <f>'APPENDIX 6'!M8+'APPENDIX 7'!M8+'APPENDIX 8'!M8+'APPENDIX 9'!M8+'APPENDIX 10'!M8+'APPENDIX 11'!M8+PENSIONS!M8</f>
        <v>961400.47399999993</v>
      </c>
      <c r="N8" s="67">
        <f>'APPENDIX 6'!N8+'APPENDIX 7'!N8+'APPENDIX 8'!N8+'APPENDIX 9'!N8+'APPENDIX 10'!N8+'APPENDIX 11'!N8+PENSIONS!N8</f>
        <v>10010047.598877948</v>
      </c>
      <c r="O8" s="67">
        <f>'APPENDIX 6'!O8+'APPENDIX 7'!O8+'APPENDIX 8'!O8+'APPENDIX 9'!O8+'APPENDIX 10'!O8+'APPENDIX 11'!O8+PENSIONS!O8</f>
        <v>55505.460889619339</v>
      </c>
      <c r="P8" s="67">
        <f>'APPENDIX 6'!P8+'APPENDIX 7'!P8+'APPENDIX 8'!P8+'APPENDIX 9'!P8+'APPENDIX 10'!P8+'APPENDIX 11'!P8+PENSIONS!P8</f>
        <v>808456.89500000002</v>
      </c>
      <c r="Q8" s="68">
        <f>'APPENDIX 6'!Q8+'APPENDIX 7'!Q8+'APPENDIX 8'!Q8+'APPENDIX 9'!Q8+'APPENDIX 10'!Q8+'APPENDIX 11'!Q8+PENSIONS!Q8</f>
        <v>164291781.67720553</v>
      </c>
    </row>
    <row r="9" spans="2:17" ht="29.25" customHeight="1" x14ac:dyDescent="0.35">
      <c r="B9" s="6" t="str">
        <f>'APPENDIX 13'!B9</f>
        <v>CANNON LIFE ASSURANCE (K) LIMITED</v>
      </c>
      <c r="C9" s="67">
        <f>'APPENDIX 6'!C9+'APPENDIX 7'!C9+'APPENDIX 8'!C9+'APPENDIX 9'!C9+'APPENDIX 10'!C9+'APPENDIX 11'!C9+PENSIONS!C9</f>
        <v>820846.5866102326</v>
      </c>
      <c r="D9" s="67">
        <f>'APPENDIX 6'!D9+'APPENDIX 7'!D9+'APPENDIX 8'!D9+'APPENDIX 9'!D9+'APPENDIX 10'!D9+'APPENDIX 11'!D9+PENSIONS!D9</f>
        <v>236998.21118999989</v>
      </c>
      <c r="E9" s="67">
        <f>'APPENDIX 6'!E9+'APPENDIX 7'!E9+'APPENDIX 8'!E9+'APPENDIX 9'!E9+'APPENDIX 10'!E9+'APPENDIX 11'!E9+PENSIONS!E9</f>
        <v>172748.5070014486</v>
      </c>
      <c r="F9" s="67">
        <f>'APPENDIX 6'!F9+'APPENDIX 7'!F9+'APPENDIX 8'!F9+'APPENDIX 9'!F9+'APPENDIX 10'!F9+'APPENDIX 11'!F9+PENSIONS!F9</f>
        <v>0</v>
      </c>
      <c r="G9" s="67">
        <f>'APPENDIX 6'!G9+'APPENDIX 7'!G9+'APPENDIX 8'!G9+'APPENDIX 9'!G9+'APPENDIX 10'!G9+'APPENDIX 11'!G9+PENSIONS!G9</f>
        <v>44199.137549933497</v>
      </c>
      <c r="H9" s="67">
        <f>'APPENDIX 6'!H9+'APPENDIX 7'!H9+'APPENDIX 8'!H9+'APPENDIX 9'!H9+'APPENDIX 10'!H9+'APPENDIX 11'!H9+PENSIONS!H9</f>
        <v>44199.137549933497</v>
      </c>
      <c r="I9" s="67">
        <f>'APPENDIX 6'!I9+'APPENDIX 7'!I9+'APPENDIX 8'!I9+'APPENDIX 9'!I9+'APPENDIX 10'!I9+'APPENDIX 11'!I9+PENSIONS!I9</f>
        <v>0</v>
      </c>
      <c r="J9" s="67">
        <f>'APPENDIX 6'!J9+'APPENDIX 7'!J9+'APPENDIX 8'!J9+'APPENDIX 9'!J9+'APPENDIX 10'!J9+'APPENDIX 11'!J9+PENSIONS!J9</f>
        <v>0</v>
      </c>
      <c r="K9" s="67">
        <f>'APPENDIX 6'!K9+'APPENDIX 7'!K9+'APPENDIX 8'!K9+'APPENDIX 9'!K9+'APPENDIX 10'!K9+'APPENDIX 11'!K9+PENSIONS!K9</f>
        <v>0</v>
      </c>
      <c r="L9" s="67">
        <f>'APPENDIX 6'!L9+'APPENDIX 7'!L9+'APPENDIX 8'!L9+'APPENDIX 9'!L9+'APPENDIX 10'!L9+'APPENDIX 11'!L9+PENSIONS!L9</f>
        <v>16386.990163557319</v>
      </c>
      <c r="M9" s="67">
        <f>'APPENDIX 6'!M9+'APPENDIX 7'!M9+'APPENDIX 8'!M9+'APPENDIX 9'!M9+'APPENDIX 10'!M9+'APPENDIX 11'!M9+PENSIONS!M9</f>
        <v>58097.892999999996</v>
      </c>
      <c r="N9" s="67">
        <f>'APPENDIX 6'!N9+'APPENDIX 7'!N9+'APPENDIX 8'!N9+'APPENDIX 9'!N9+'APPENDIX 10'!N9+'APPENDIX 11'!N9+PENSIONS!N9</f>
        <v>42165.486000000004</v>
      </c>
      <c r="O9" s="67">
        <f>'APPENDIX 6'!O9+'APPENDIX 7'!O9+'APPENDIX 8'!O9+'APPENDIX 9'!O9+'APPENDIX 10'!O9+'APPENDIX 11'!O9+PENSIONS!O9</f>
        <v>0</v>
      </c>
      <c r="P9" s="67">
        <f>'APPENDIX 6'!P9+'APPENDIX 7'!P9+'APPENDIX 8'!P9+'APPENDIX 9'!P9+'APPENDIX 10'!P9+'APPENDIX 11'!P9+PENSIONS!P9</f>
        <v>0</v>
      </c>
      <c r="Q9" s="68">
        <f>'APPENDIX 6'!Q9+'APPENDIX 7'!Q9+'APPENDIX 8'!Q9+'APPENDIX 9'!Q9+'APPENDIX 10'!Q9+'APPENDIX 11'!Q9+PENSIONS!Q9</f>
        <v>917076.55889819039</v>
      </c>
    </row>
    <row r="10" spans="2:17" ht="29.25" customHeight="1" x14ac:dyDescent="0.35">
      <c r="B10" s="6" t="str">
        <f>'APPENDIX 13'!B10</f>
        <v>CAPEX LIFE ASSURANCE COMPANY</v>
      </c>
      <c r="C10" s="67">
        <f>'APPENDIX 6'!C10+'APPENDIX 7'!C10+'APPENDIX 8'!C10+'APPENDIX 9'!C10+'APPENDIX 10'!C10+'APPENDIX 11'!C10+PENSIONS!C10</f>
        <v>1260505.5027326995</v>
      </c>
      <c r="D10" s="67">
        <f>'APPENDIX 6'!D10+'APPENDIX 7'!D10+'APPENDIX 8'!D10+'APPENDIX 9'!D10+'APPENDIX 10'!D10+'APPENDIX 11'!D10+PENSIONS!D10</f>
        <v>378449.98</v>
      </c>
      <c r="E10" s="67">
        <f>'APPENDIX 6'!E10+'APPENDIX 7'!E10+'APPENDIX 8'!E10+'APPENDIX 9'!E10+'APPENDIX 10'!E10+'APPENDIX 11'!E10+PENSIONS!E10</f>
        <v>313245.17586628348</v>
      </c>
      <c r="F10" s="67">
        <f>'APPENDIX 6'!F10+'APPENDIX 7'!F10+'APPENDIX 8'!F10+'APPENDIX 9'!F10+'APPENDIX 10'!F10+'APPENDIX 11'!F10+PENSIONS!F10</f>
        <v>0</v>
      </c>
      <c r="G10" s="67">
        <f>'APPENDIX 6'!G10+'APPENDIX 7'!G10+'APPENDIX 8'!G10+'APPENDIX 9'!G10+'APPENDIX 10'!G10+'APPENDIX 11'!G10+PENSIONS!G10</f>
        <v>212888.30048615998</v>
      </c>
      <c r="H10" s="67">
        <f>'APPENDIX 6'!H10+'APPENDIX 7'!H10+'APPENDIX 8'!H10+'APPENDIX 9'!H10+'APPENDIX 10'!H10+'APPENDIX 11'!H10+PENSIONS!H10</f>
        <v>212888.30048615998</v>
      </c>
      <c r="I10" s="67">
        <f>'APPENDIX 6'!I10+'APPENDIX 7'!I10+'APPENDIX 8'!I10+'APPENDIX 9'!I10+'APPENDIX 10'!I10+'APPENDIX 11'!I10+PENSIONS!I10</f>
        <v>0</v>
      </c>
      <c r="J10" s="67">
        <f>'APPENDIX 6'!J10+'APPENDIX 7'!J10+'APPENDIX 8'!J10+'APPENDIX 9'!J10+'APPENDIX 10'!J10+'APPENDIX 11'!J10+PENSIONS!J10</f>
        <v>0</v>
      </c>
      <c r="K10" s="67">
        <f>'APPENDIX 6'!K10+'APPENDIX 7'!K10+'APPENDIX 8'!K10+'APPENDIX 9'!K10+'APPENDIX 10'!K10+'APPENDIX 11'!K10+PENSIONS!K10</f>
        <v>0</v>
      </c>
      <c r="L10" s="67">
        <f>'APPENDIX 6'!L10+'APPENDIX 7'!L10+'APPENDIX 8'!L10+'APPENDIX 9'!L10+'APPENDIX 10'!L10+'APPENDIX 11'!L10+PENSIONS!L10</f>
        <v>62810.067330696533</v>
      </c>
      <c r="M10" s="67">
        <f>'APPENDIX 6'!M10+'APPENDIX 7'!M10+'APPENDIX 8'!M10+'APPENDIX 9'!M10+'APPENDIX 10'!M10+'APPENDIX 11'!M10+PENSIONS!M10</f>
        <v>102002.39300000001</v>
      </c>
      <c r="N10" s="67">
        <f>'APPENDIX 6'!N10+'APPENDIX 7'!N10+'APPENDIX 8'!N10+'APPENDIX 9'!N10+'APPENDIX 10'!N10+'APPENDIX 11'!N10+PENSIONS!N10</f>
        <v>13332.821999999998</v>
      </c>
      <c r="O10" s="67">
        <f>'APPENDIX 6'!O10+'APPENDIX 7'!O10+'APPENDIX 8'!O10+'APPENDIX 9'!O10+'APPENDIX 10'!O10+'APPENDIX 11'!O10+PENSIONS!O10</f>
        <v>0</v>
      </c>
      <c r="P10" s="67">
        <f>'APPENDIX 6'!P10+'APPENDIX 7'!P10+'APPENDIX 8'!P10+'APPENDIX 9'!P10+'APPENDIX 10'!P10+'APPENDIX 11'!P10+PENSIONS!P10</f>
        <v>0</v>
      </c>
      <c r="Q10" s="68">
        <f>'APPENDIX 6'!Q20+'APPENDIX 7'!Q20+'APPENDIX 8'!Q20+'APPENDIX 9'!Q20+'APPENDIX 10'!Q20+'APPENDIX 11'!Q20+PENSIONS!Q20</f>
        <v>201471.6603499999</v>
      </c>
    </row>
    <row r="11" spans="2:17" ht="29.25" customHeight="1" x14ac:dyDescent="0.35">
      <c r="B11" s="6" t="str">
        <f>'APPENDIX 13'!B11</f>
        <v>CIC LIFE ASSURANCE COMPANY</v>
      </c>
      <c r="C11" s="67">
        <f>'APPENDIX 6'!C11+'APPENDIX 7'!C11+'APPENDIX 8'!C11+'APPENDIX 9'!C11+'APPENDIX 10'!C11+'APPENDIX 11'!C11+PENSIONS!C11</f>
        <v>28739369.144234244</v>
      </c>
      <c r="D11" s="67">
        <f>'APPENDIX 6'!D11+'APPENDIX 7'!D11+'APPENDIX 8'!D11+'APPENDIX 9'!D11+'APPENDIX 10'!D11+'APPENDIX 11'!D11+PENSIONS!D11</f>
        <v>4049849.7944199992</v>
      </c>
      <c r="E11" s="67">
        <f>'APPENDIX 6'!E11+'APPENDIX 7'!E11+'APPENDIX 8'!E11+'APPENDIX 9'!E11+'APPENDIX 10'!E11+'APPENDIX 11'!E11+PENSIONS!E11</f>
        <v>4962290.3592399992</v>
      </c>
      <c r="F11" s="67">
        <f>'APPENDIX 6'!F11+'APPENDIX 7'!F11+'APPENDIX 8'!F11+'APPENDIX 9'!F11+'APPENDIX 10'!F11+'APPENDIX 11'!F11+PENSIONS!F11</f>
        <v>0</v>
      </c>
      <c r="G11" s="67">
        <f>'APPENDIX 6'!G11+'APPENDIX 7'!G11+'APPENDIX 8'!G11+'APPENDIX 9'!G11+'APPENDIX 10'!G11+'APPENDIX 11'!G11+PENSIONS!G11</f>
        <v>1381045.5535300002</v>
      </c>
      <c r="H11" s="67">
        <f>'APPENDIX 6'!H11+'APPENDIX 7'!H11+'APPENDIX 8'!H11+'APPENDIX 9'!H11+'APPENDIX 10'!H11+'APPENDIX 11'!H11+PENSIONS!H11</f>
        <v>1381045.5535300002</v>
      </c>
      <c r="I11" s="67">
        <f>'APPENDIX 6'!I11+'APPENDIX 7'!I11+'APPENDIX 8'!I11+'APPENDIX 9'!I11+'APPENDIX 10'!I11+'APPENDIX 11'!I11+PENSIONS!I11</f>
        <v>0</v>
      </c>
      <c r="J11" s="67">
        <f>'APPENDIX 6'!J11+'APPENDIX 7'!J11+'APPENDIX 8'!J11+'APPENDIX 9'!J11+'APPENDIX 10'!J11+'APPENDIX 11'!J11+PENSIONS!J11</f>
        <v>0</v>
      </c>
      <c r="K11" s="67">
        <f>'APPENDIX 6'!K11+'APPENDIX 7'!K11+'APPENDIX 8'!K11+'APPENDIX 9'!K11+'APPENDIX 10'!K11+'APPENDIX 11'!K11+PENSIONS!K11</f>
        <v>0</v>
      </c>
      <c r="L11" s="67">
        <f>'APPENDIX 6'!L11+'APPENDIX 7'!L11+'APPENDIX 8'!L11+'APPENDIX 9'!L11+'APPENDIX 10'!L11+'APPENDIX 11'!L11+PENSIONS!L11</f>
        <v>-122506.99601999999</v>
      </c>
      <c r="M11" s="67">
        <f>'APPENDIX 6'!M11+'APPENDIX 7'!M11+'APPENDIX 8'!M11+'APPENDIX 9'!M11+'APPENDIX 10'!M11+'APPENDIX 11'!M11+PENSIONS!M11</f>
        <v>538429.4675899999</v>
      </c>
      <c r="N11" s="67">
        <f>'APPENDIX 6'!N11+'APPENDIX 7'!N11+'APPENDIX 8'!N11+'APPENDIX 9'!N11+'APPENDIX 10'!N11+'APPENDIX 11'!N11+PENSIONS!N11</f>
        <v>480686.20640999998</v>
      </c>
      <c r="O11" s="67">
        <f>'APPENDIX 6'!O11+'APPENDIX 7'!O11+'APPENDIX 8'!O11+'APPENDIX 9'!O11+'APPENDIX 10'!O11+'APPENDIX 11'!O11+PENSIONS!O11</f>
        <v>0</v>
      </c>
      <c r="P11" s="67">
        <f>'APPENDIX 6'!P11+'APPENDIX 7'!P11+'APPENDIX 8'!P11+'APPENDIX 9'!P11+'APPENDIX 10'!P11+'APPENDIX 11'!P11+PENSIONS!P11</f>
        <v>0</v>
      </c>
      <c r="Q11" s="68">
        <f>'APPENDIX 6'!Q21+'APPENDIX 7'!Q21+'APPENDIX 8'!Q21+'APPENDIX 9'!Q21+'APPENDIX 10'!Q21+'APPENDIX 11'!Q21+PENSIONS!Q21</f>
        <v>26864198.13425003</v>
      </c>
    </row>
    <row r="12" spans="2:17" ht="29.25" customHeight="1" x14ac:dyDescent="0.35">
      <c r="B12" s="6" t="str">
        <f>'APPENDIX 13'!B12</f>
        <v>CORPORATE INSURANCE COMPANY</v>
      </c>
      <c r="C12" s="67">
        <f>'APPENDIX 6'!C12+'APPENDIX 7'!C12+'APPENDIX 8'!C12+'APPENDIX 9'!C12+'APPENDIX 10'!C12+'APPENDIX 11'!C12+PENSIONS!C12</f>
        <v>73832.620082901572</v>
      </c>
      <c r="D12" s="67">
        <f>'APPENDIX 6'!D12+'APPENDIX 7'!D12+'APPENDIX 8'!D12+'APPENDIX 9'!D12+'APPENDIX 10'!D12+'APPENDIX 11'!D12+PENSIONS!D12</f>
        <v>8452.4385000000002</v>
      </c>
      <c r="E12" s="67">
        <f>'APPENDIX 6'!E12+'APPENDIX 7'!E12+'APPENDIX 8'!E12+'APPENDIX 9'!E12+'APPENDIX 10'!E12+'APPENDIX 11'!E12+PENSIONS!E12</f>
        <v>8452.4385000000002</v>
      </c>
      <c r="F12" s="67">
        <f>'APPENDIX 6'!F12+'APPENDIX 7'!F12+'APPENDIX 8'!F12+'APPENDIX 9'!F12+'APPENDIX 10'!F12+'APPENDIX 11'!F12+PENSIONS!F12</f>
        <v>0</v>
      </c>
      <c r="G12" s="67">
        <f>'APPENDIX 6'!G12+'APPENDIX 7'!G12+'APPENDIX 8'!G12+'APPENDIX 9'!G12+'APPENDIX 10'!G12+'APPENDIX 11'!G12+PENSIONS!G12</f>
        <v>51459.936845925236</v>
      </c>
      <c r="H12" s="67">
        <f>'APPENDIX 6'!H12+'APPENDIX 7'!H12+'APPENDIX 8'!H12+'APPENDIX 9'!H12+'APPENDIX 10'!H12+'APPENDIX 11'!H12+PENSIONS!H12</f>
        <v>51459.936845925236</v>
      </c>
      <c r="I12" s="67">
        <f>'APPENDIX 6'!I12+'APPENDIX 7'!I12+'APPENDIX 8'!I12+'APPENDIX 9'!I12+'APPENDIX 10'!I12+'APPENDIX 11'!I12+PENSIONS!I12</f>
        <v>0</v>
      </c>
      <c r="J12" s="67">
        <f>'APPENDIX 6'!J12+'APPENDIX 7'!J12+'APPENDIX 8'!J12+'APPENDIX 9'!J12+'APPENDIX 10'!J12+'APPENDIX 11'!J12+PENSIONS!J12</f>
        <v>0</v>
      </c>
      <c r="K12" s="67">
        <f>'APPENDIX 6'!K12+'APPENDIX 7'!K12+'APPENDIX 8'!K12+'APPENDIX 9'!K12+'APPENDIX 10'!K12+'APPENDIX 11'!K12+PENSIONS!K12</f>
        <v>0</v>
      </c>
      <c r="L12" s="67">
        <f>'APPENDIX 6'!L12+'APPENDIX 7'!L12+'APPENDIX 8'!L12+'APPENDIX 9'!L12+'APPENDIX 10'!L12+'APPENDIX 11'!L12+PENSIONS!L12</f>
        <v>0</v>
      </c>
      <c r="M12" s="67">
        <f>'APPENDIX 6'!M12+'APPENDIX 7'!M12+'APPENDIX 8'!M12+'APPENDIX 9'!M12+'APPENDIX 10'!M12+'APPENDIX 11'!M12+PENSIONS!M12</f>
        <v>1795.07583</v>
      </c>
      <c r="N12" s="67">
        <f>'APPENDIX 6'!N12+'APPENDIX 7'!N12+'APPENDIX 8'!N12+'APPENDIX 9'!N12+'APPENDIX 10'!N12+'APPENDIX 11'!N12+PENSIONS!N12</f>
        <v>0</v>
      </c>
      <c r="O12" s="67">
        <f>'APPENDIX 6'!O12+'APPENDIX 7'!O12+'APPENDIX 8'!O12+'APPENDIX 9'!O12+'APPENDIX 10'!O12+'APPENDIX 11'!O12+PENSIONS!O12</f>
        <v>0</v>
      </c>
      <c r="P12" s="67">
        <f>'APPENDIX 6'!P12+'APPENDIX 7'!P12+'APPENDIX 8'!P12+'APPENDIX 9'!P12+'APPENDIX 10'!P12+'APPENDIX 11'!P12+PENSIONS!P12</f>
        <v>0</v>
      </c>
      <c r="Q12" s="68">
        <f>'APPENDIX 6'!Q22+'APPENDIX 7'!Q22+'APPENDIX 8'!Q22+'APPENDIX 9'!Q22+'APPENDIX 10'!Q22+'APPENDIX 11'!Q22+PENSIONS!Q22</f>
        <v>15034582.111710005</v>
      </c>
    </row>
    <row r="13" spans="2:17" ht="29.25" customHeight="1" x14ac:dyDescent="0.35">
      <c r="B13" s="6" t="str">
        <f>'APPENDIX 13'!B13</f>
        <v xml:space="preserve">EQUITY LIFE ASSURANCE </v>
      </c>
      <c r="C13" s="67">
        <f>'APPENDIX 6'!C13+'APPENDIX 7'!C13+'APPENDIX 8'!C13+'APPENDIX 9'!C13+'APPENDIX 10'!C13+'APPENDIX 11'!C13+PENSIONS!C13</f>
        <v>21017255.430048052</v>
      </c>
      <c r="D13" s="67">
        <f>'APPENDIX 6'!D13+'APPENDIX 7'!D13+'APPENDIX 8'!D13+'APPENDIX 9'!D13+'APPENDIX 10'!D13+'APPENDIX 11'!D13+PENSIONS!D13</f>
        <v>2076417.4620000001</v>
      </c>
      <c r="E13" s="67">
        <f>'APPENDIX 6'!E13+'APPENDIX 7'!E13+'APPENDIX 8'!E13+'APPENDIX 9'!E13+'APPENDIX 10'!E13+'APPENDIX 11'!E13+PENSIONS!E13</f>
        <v>1746152.6059999999</v>
      </c>
      <c r="F13" s="67">
        <f>'APPENDIX 6'!F13+'APPENDIX 7'!F13+'APPENDIX 8'!F13+'APPENDIX 9'!F13+'APPENDIX 10'!F13+'APPENDIX 11'!F13+PENSIONS!F13</f>
        <v>0</v>
      </c>
      <c r="G13" s="67">
        <f>'APPENDIX 6'!G13+'APPENDIX 7'!G13+'APPENDIX 8'!G13+'APPENDIX 9'!G13+'APPENDIX 10'!G13+'APPENDIX 11'!G13+PENSIONS!G13</f>
        <v>86414.620190000001</v>
      </c>
      <c r="H13" s="67">
        <f>'APPENDIX 6'!H13+'APPENDIX 7'!H13+'APPENDIX 8'!H13+'APPENDIX 9'!H13+'APPENDIX 10'!H13+'APPENDIX 11'!H13+PENSIONS!H13</f>
        <v>86414.620190000001</v>
      </c>
      <c r="I13" s="67">
        <f>'APPENDIX 6'!I13+'APPENDIX 7'!I13+'APPENDIX 8'!I13+'APPENDIX 9'!I13+'APPENDIX 10'!I13+'APPENDIX 11'!I13+PENSIONS!I13</f>
        <v>0</v>
      </c>
      <c r="J13" s="67">
        <f>'APPENDIX 6'!J13+'APPENDIX 7'!J13+'APPENDIX 8'!J13+'APPENDIX 9'!J13+'APPENDIX 10'!J13+'APPENDIX 11'!J13+PENSIONS!J13</f>
        <v>0</v>
      </c>
      <c r="K13" s="67">
        <f>'APPENDIX 6'!K13+'APPENDIX 7'!K13+'APPENDIX 8'!K13+'APPENDIX 9'!K13+'APPENDIX 10'!K13+'APPENDIX 11'!K13+PENSIONS!K13</f>
        <v>0</v>
      </c>
      <c r="L13" s="67">
        <f>'APPENDIX 6'!L13+'APPENDIX 7'!L13+'APPENDIX 8'!L13+'APPENDIX 9'!L13+'APPENDIX 10'!L13+'APPENDIX 11'!L13+PENSIONS!L13</f>
        <v>-33827.007284542771</v>
      </c>
      <c r="M13" s="67">
        <f>'APPENDIX 6'!M13+'APPENDIX 7'!M13+'APPENDIX 8'!M13+'APPENDIX 9'!M13+'APPENDIX 10'!M13+'APPENDIX 11'!M13+PENSIONS!M13</f>
        <v>149282.75253000003</v>
      </c>
      <c r="N13" s="67">
        <f>'APPENDIX 6'!N13+'APPENDIX 7'!N13+'APPENDIX 8'!N13+'APPENDIX 9'!N13+'APPENDIX 10'!N13+'APPENDIX 11'!N13+PENSIONS!N13</f>
        <v>767664.7397796656</v>
      </c>
      <c r="O13" s="67">
        <f>'APPENDIX 6'!O13+'APPENDIX 7'!O13+'APPENDIX 8'!O13+'APPENDIX 9'!O13+'APPENDIX 10'!O13+'APPENDIX 11'!O13+PENSIONS!O13</f>
        <v>457154.9448464961</v>
      </c>
      <c r="P13" s="67">
        <f>'APPENDIX 6'!P13+'APPENDIX 7'!P13+'APPENDIX 8'!P13+'APPENDIX 9'!P13+'APPENDIX 10'!P13+'APPENDIX 11'!P13+PENSIONS!P13</f>
        <v>0</v>
      </c>
      <c r="Q13" s="68">
        <f>'APPENDIX 6'!Q23+'APPENDIX 7'!Q23+'APPENDIX 8'!Q23+'APPENDIX 9'!Q23+'APPENDIX 10'!Q23+'APPENDIX 11'!Q23+PENSIONS!Q23</f>
        <v>10131138.594854994</v>
      </c>
    </row>
    <row r="14" spans="2:17" ht="29.25" customHeight="1" x14ac:dyDescent="0.35">
      <c r="B14" s="6" t="str">
        <f>'APPENDIX 13'!B14</f>
        <v xml:space="preserve">GA LIFE ASSURANCE COMPANY </v>
      </c>
      <c r="C14" s="67">
        <f>'APPENDIX 6'!C14+'APPENDIX 7'!C14+'APPENDIX 8'!C14+'APPENDIX 9'!C14+'APPENDIX 10'!C14+'APPENDIX 11'!C14+PENSIONS!C14</f>
        <v>45563227.21381972</v>
      </c>
      <c r="D14" s="67">
        <f>'APPENDIX 6'!D14+'APPENDIX 7'!D14+'APPENDIX 8'!D14+'APPENDIX 9'!D14+'APPENDIX 10'!D14+'APPENDIX 11'!D14+PENSIONS!D14</f>
        <v>5403777.3502688026</v>
      </c>
      <c r="E14" s="67">
        <f>'APPENDIX 6'!E14+'APPENDIX 7'!E14+'APPENDIX 8'!E14+'APPENDIX 9'!E14+'APPENDIX 10'!E14+'APPENDIX 11'!E14+PENSIONS!E14</f>
        <v>5370552.256268803</v>
      </c>
      <c r="F14" s="67">
        <f>'APPENDIX 6'!F14+'APPENDIX 7'!F14+'APPENDIX 8'!F14+'APPENDIX 9'!F14+'APPENDIX 10'!F14+'APPENDIX 11'!F14+PENSIONS!F14</f>
        <v>0</v>
      </c>
      <c r="G14" s="67">
        <f>'APPENDIX 6'!G14+'APPENDIX 7'!G14+'APPENDIX 8'!G14+'APPENDIX 9'!G14+'APPENDIX 10'!G14+'APPENDIX 11'!G14+PENSIONS!G14</f>
        <v>818074.21566310828</v>
      </c>
      <c r="H14" s="67">
        <f>'APPENDIX 6'!H14+'APPENDIX 7'!H14+'APPENDIX 8'!H14+'APPENDIX 9'!H14+'APPENDIX 10'!H14+'APPENDIX 11'!H14+PENSIONS!H14</f>
        <v>818074.21566310828</v>
      </c>
      <c r="I14" s="67">
        <f>'APPENDIX 6'!I14+'APPENDIX 7'!I14+'APPENDIX 8'!I14+'APPENDIX 9'!I14+'APPENDIX 10'!I14+'APPENDIX 11'!I14+PENSIONS!I14</f>
        <v>0</v>
      </c>
      <c r="J14" s="67">
        <f>'APPENDIX 6'!J14+'APPENDIX 7'!J14+'APPENDIX 8'!J14+'APPENDIX 9'!J14+'APPENDIX 10'!J14+'APPENDIX 11'!J14+PENSIONS!J14</f>
        <v>0</v>
      </c>
      <c r="K14" s="67">
        <f>'APPENDIX 6'!K14+'APPENDIX 7'!K14+'APPENDIX 8'!K14+'APPENDIX 9'!K14+'APPENDIX 10'!K14+'APPENDIX 11'!K14+PENSIONS!K14</f>
        <v>0</v>
      </c>
      <c r="L14" s="67">
        <f>'APPENDIX 6'!L14+'APPENDIX 7'!L14+'APPENDIX 8'!L14+'APPENDIX 9'!L14+'APPENDIX 10'!L14+'APPENDIX 11'!L14+PENSIONS!L14</f>
        <v>-12466.085480000002</v>
      </c>
      <c r="M14" s="67">
        <f>'APPENDIX 6'!M14+'APPENDIX 7'!M14+'APPENDIX 8'!M14+'APPENDIX 9'!M14+'APPENDIX 10'!M14+'APPENDIX 11'!M14+PENSIONS!M14</f>
        <v>61208.068689700005</v>
      </c>
      <c r="N14" s="67">
        <f>'APPENDIX 6'!N14+'APPENDIX 7'!N14+'APPENDIX 8'!N14+'APPENDIX 9'!N14+'APPENDIX 10'!N14+'APPENDIX 11'!N14+PENSIONS!N14</f>
        <v>1930012.6233299996</v>
      </c>
      <c r="O14" s="67">
        <f>'APPENDIX 6'!O14+'APPENDIX 7'!O14+'APPENDIX 8'!O14+'APPENDIX 9'!O14+'APPENDIX 10'!O14+'APPENDIX 11'!O14+PENSIONS!O14</f>
        <v>0</v>
      </c>
      <c r="P14" s="67">
        <f>'APPENDIX 6'!P14+'APPENDIX 7'!P14+'APPENDIX 8'!P14+'APPENDIX 9'!P14+'APPENDIX 10'!P14+'APPENDIX 11'!P14+PENSIONS!P14</f>
        <v>0</v>
      </c>
      <c r="Q14" s="68">
        <f>'APPENDIX 6'!Q24+'APPENDIX 7'!Q24+'APPENDIX 8'!Q24+'APPENDIX 9'!Q24+'APPENDIX 10'!Q24+'APPENDIX 11'!Q24+PENSIONS!Q24</f>
        <v>14562561.214870587</v>
      </c>
    </row>
    <row r="15" spans="2:17" ht="29.25" customHeight="1" x14ac:dyDescent="0.35">
      <c r="B15" s="6" t="str">
        <f>'APPENDIX 13'!B15</f>
        <v>GEMINIA LIFE INSURANCE COMPANY</v>
      </c>
      <c r="C15" s="67">
        <f>'APPENDIX 6'!C15+'APPENDIX 7'!C15+'APPENDIX 8'!C15+'APPENDIX 9'!C15+'APPENDIX 10'!C15+'APPENDIX 11'!C15+PENSIONS!C15</f>
        <v>2778646.64</v>
      </c>
      <c r="D15" s="46">
        <f>'APPENDIX 6'!D15+'APPENDIX 7'!D15+'APPENDIX 8'!D15+'APPENDIX 9'!D15+'APPENDIX 10'!D15+'APPENDIX 11'!D15+PENSIONS!D15</f>
        <v>1152177.476029905</v>
      </c>
      <c r="E15" s="67">
        <f>'APPENDIX 6'!E15+'APPENDIX 7'!E15+'APPENDIX 8'!E15+'APPENDIX 9'!E15+'APPENDIX 10'!E15+'APPENDIX 11'!E15+PENSIONS!E15</f>
        <v>1120439.4750099049</v>
      </c>
      <c r="F15" s="67">
        <f>'APPENDIX 6'!F15+'APPENDIX 7'!F15+'APPENDIX 8'!F15+'APPENDIX 9'!F15+'APPENDIX 10'!F15+'APPENDIX 11'!F15+PENSIONS!F15</f>
        <v>0</v>
      </c>
      <c r="G15" s="67">
        <f>'APPENDIX 6'!G15+'APPENDIX 7'!G15+'APPENDIX 8'!G15+'APPENDIX 9'!G15+'APPENDIX 10'!G15+'APPENDIX 11'!G15+PENSIONS!G15</f>
        <v>155004.70443999997</v>
      </c>
      <c r="H15" s="67">
        <f>'APPENDIX 6'!H15+'APPENDIX 7'!H15+'APPENDIX 8'!H15+'APPENDIX 9'!H15+'APPENDIX 10'!H15+'APPENDIX 11'!H15+PENSIONS!H15</f>
        <v>155004.70443999997</v>
      </c>
      <c r="I15" s="67">
        <f>'APPENDIX 6'!I15+'APPENDIX 7'!I15+'APPENDIX 8'!I15+'APPENDIX 9'!I15+'APPENDIX 10'!I15+'APPENDIX 11'!I15+PENSIONS!I15</f>
        <v>0</v>
      </c>
      <c r="J15" s="67">
        <f>'APPENDIX 6'!J15+'APPENDIX 7'!J15+'APPENDIX 8'!J15+'APPENDIX 9'!J15+'APPENDIX 10'!J15+'APPENDIX 11'!J15+PENSIONS!J15</f>
        <v>0</v>
      </c>
      <c r="K15" s="67">
        <f>'APPENDIX 6'!K15+'APPENDIX 7'!K15+'APPENDIX 8'!K15+'APPENDIX 9'!K15+'APPENDIX 10'!K15+'APPENDIX 11'!K15+PENSIONS!K15</f>
        <v>0</v>
      </c>
      <c r="L15" s="67">
        <f>'APPENDIX 6'!L15+'APPENDIX 7'!L15+'APPENDIX 8'!L15+'APPENDIX 9'!L15+'APPENDIX 10'!L15+'APPENDIX 11'!L15+PENSIONS!L15</f>
        <v>27826.335029999998</v>
      </c>
      <c r="M15" s="67">
        <f>'APPENDIX 6'!M15+'APPENDIX 7'!M15+'APPENDIX 8'!M15+'APPENDIX 9'!M15+'APPENDIX 10'!M15+'APPENDIX 11'!M15+PENSIONS!M15</f>
        <v>65311.718099999998</v>
      </c>
      <c r="N15" s="67">
        <f>'APPENDIX 6'!N15+'APPENDIX 7'!N15+'APPENDIX 8'!N15+'APPENDIX 9'!N15+'APPENDIX 10'!N15+'APPENDIX 11'!N15+PENSIONS!N15</f>
        <v>6146.8950000000004</v>
      </c>
      <c r="O15" s="67">
        <f>'APPENDIX 6'!O15+'APPENDIX 7'!O15+'APPENDIX 8'!O15+'APPENDIX 9'!O15+'APPENDIX 10'!O15+'APPENDIX 11'!O15+PENSIONS!O15</f>
        <v>0</v>
      </c>
      <c r="P15" s="67">
        <f>'APPENDIX 6'!P15+'APPENDIX 7'!P15+'APPENDIX 8'!P15+'APPENDIX 9'!P15+'APPENDIX 10'!P15+'APPENDIX 11'!P15+PENSIONS!P15</f>
        <v>873557.53100000008</v>
      </c>
      <c r="Q15" s="68">
        <f>'APPENDIX 6'!Q25+'APPENDIX 7'!Q25+'APPENDIX 8'!Q25+'APPENDIX 9'!Q25+'APPENDIX 10'!Q25+'APPENDIX 11'!Q25+PENSIONS!Q25</f>
        <v>11825301.659083955</v>
      </c>
    </row>
    <row r="16" spans="2:17" ht="29.25" customHeight="1" x14ac:dyDescent="0.35">
      <c r="B16" s="6" t="str">
        <f>'APPENDIX 13'!B16</f>
        <v xml:space="preserve">ICEA LION LIFE ASSURANCE </v>
      </c>
      <c r="C16" s="67">
        <f>'APPENDIX 6'!C16+'APPENDIX 7'!C16+'APPENDIX 8'!C16+'APPENDIX 9'!C16+'APPENDIX 10'!C16+'APPENDIX 11'!C16+PENSIONS!C16</f>
        <v>175541546.56620452</v>
      </c>
      <c r="D16" s="46">
        <f>'APPENDIX 6'!D16+'APPENDIX 7'!D16+'APPENDIX 8'!D16+'APPENDIX 9'!D16+'APPENDIX 10'!D16+'APPENDIX 11'!D16+PENSIONS!D16</f>
        <v>6982762.1688112775</v>
      </c>
      <c r="E16" s="67">
        <f>'APPENDIX 6'!E16+'APPENDIX 7'!E16+'APPENDIX 8'!E16+'APPENDIX 9'!E16+'APPENDIX 10'!E16+'APPENDIX 11'!E16+PENSIONS!E16</f>
        <v>6864725.5591864884</v>
      </c>
      <c r="F16" s="67">
        <f>'APPENDIX 6'!F16+'APPENDIX 7'!F16+'APPENDIX 8'!F16+'APPENDIX 9'!F16+'APPENDIX 10'!F16+'APPENDIX 11'!F16+PENSIONS!F16</f>
        <v>0</v>
      </c>
      <c r="G16" s="67">
        <f>'APPENDIX 6'!G16+'APPENDIX 7'!G16+'APPENDIX 8'!G16+'APPENDIX 9'!G16+'APPENDIX 10'!G16+'APPENDIX 11'!G16+PENSIONS!G16</f>
        <v>5373811.73147</v>
      </c>
      <c r="H16" s="67">
        <f>'APPENDIX 6'!H16+'APPENDIX 7'!H16+'APPENDIX 8'!H16+'APPENDIX 9'!H16+'APPENDIX 10'!H16+'APPENDIX 11'!H16+PENSIONS!H16</f>
        <v>4565713.9544700002</v>
      </c>
      <c r="I16" s="67">
        <f>'APPENDIX 6'!I16+'APPENDIX 7'!I16+'APPENDIX 8'!I16+'APPENDIX 9'!I16+'APPENDIX 10'!I16+'APPENDIX 11'!I16+PENSIONS!I16</f>
        <v>183701.56</v>
      </c>
      <c r="J16" s="67">
        <f>'APPENDIX 6'!J16+'APPENDIX 7'!J16+'APPENDIX 8'!J16+'APPENDIX 9'!J16+'APPENDIX 10'!J16+'APPENDIX 11'!J16+PENSIONS!J16</f>
        <v>0</v>
      </c>
      <c r="K16" s="67">
        <f>'APPENDIX 6'!K16+'APPENDIX 7'!K16+'APPENDIX 8'!K16+'APPENDIX 9'!K16+'APPENDIX 10'!K16+'APPENDIX 11'!K16+PENSIONS!K16</f>
        <v>624396.21699999995</v>
      </c>
      <c r="L16" s="67">
        <f>'APPENDIX 6'!L16+'APPENDIX 7'!L16+'APPENDIX 8'!L16+'APPENDIX 9'!L16+'APPENDIX 10'!L16+'APPENDIX 11'!L16+PENSIONS!L16</f>
        <v>420452.81646000012</v>
      </c>
      <c r="M16" s="67">
        <f>'APPENDIX 6'!M16+'APPENDIX 7'!M16+'APPENDIX 8'!M16+'APPENDIX 9'!M16+'APPENDIX 10'!M16+'APPENDIX 11'!M16+PENSIONS!M16</f>
        <v>612268.98788785702</v>
      </c>
      <c r="N16" s="67">
        <f>'APPENDIX 6'!N16+'APPENDIX 7'!N16+'APPENDIX 8'!N16+'APPENDIX 9'!N16+'APPENDIX 10'!N16+'APPENDIX 11'!N16+PENSIONS!N16</f>
        <v>7986208.6270000003</v>
      </c>
      <c r="O16" s="67">
        <f>'APPENDIX 6'!O16+'APPENDIX 7'!O16+'APPENDIX 8'!O16+'APPENDIX 9'!O16+'APPENDIX 10'!O16+'APPENDIX 11'!O16+PENSIONS!O16</f>
        <v>0</v>
      </c>
      <c r="P16" s="67">
        <f>'APPENDIX 6'!P16+'APPENDIX 7'!P16+'APPENDIX 8'!P16+'APPENDIX 9'!P16+'APPENDIX 10'!P16+'APPENDIX 11'!P16+PENSIONS!P16</f>
        <v>0</v>
      </c>
      <c r="Q16" s="68">
        <f>'APPENDIX 6'!Q26+'APPENDIX 7'!Q26+'APPENDIX 8'!Q26+'APPENDIX 9'!Q26+'APPENDIX 10'!Q26+'APPENDIX 11'!Q26+PENSIONS!Q26</f>
        <v>4706068.5170343667</v>
      </c>
    </row>
    <row r="17" spans="2:17" ht="29.25" customHeight="1" x14ac:dyDescent="0.35">
      <c r="B17" s="6" t="str">
        <f>'APPENDIX 13'!B17</f>
        <v>JUBILEE LIFE INSURANCE</v>
      </c>
      <c r="C17" s="67">
        <f>'APPENDIX 6'!C17+'APPENDIX 7'!C17+'APPENDIX 8'!C17+'APPENDIX 9'!C17+'APPENDIX 10'!C17+'APPENDIX 11'!C17+PENSIONS!C17</f>
        <v>135446990.36466971</v>
      </c>
      <c r="D17" s="46">
        <f>'APPENDIX 6'!D17+'APPENDIX 7'!D17+'APPENDIX 8'!D17+'APPENDIX 9'!D17+'APPENDIX 10'!D17+'APPENDIX 11'!D17+PENSIONS!D17</f>
        <v>7074577.7693500016</v>
      </c>
      <c r="E17" s="67">
        <f>'APPENDIX 6'!E17+'APPENDIX 7'!E17+'APPENDIX 8'!E17+'APPENDIX 9'!E17+'APPENDIX 10'!E17+'APPENDIX 11'!E17+PENSIONS!E17</f>
        <v>6831891.8753500003</v>
      </c>
      <c r="F17" s="67">
        <f>'APPENDIX 6'!F17+'APPENDIX 7'!F17+'APPENDIX 8'!F17+'APPENDIX 9'!F17+'APPENDIX 10'!F17+'APPENDIX 11'!F17+PENSIONS!F17</f>
        <v>0</v>
      </c>
      <c r="G17" s="67">
        <f>'APPENDIX 6'!G17+'APPENDIX 7'!G17+'APPENDIX 8'!G17+'APPENDIX 9'!G17+'APPENDIX 10'!G17+'APPENDIX 11'!G17+PENSIONS!G17</f>
        <v>3888128.3310000002</v>
      </c>
      <c r="H17" s="67">
        <f>'APPENDIX 6'!H17+'APPENDIX 7'!H17+'APPENDIX 8'!H17+'APPENDIX 9'!H17+'APPENDIX 10'!H17+'APPENDIX 11'!H17+PENSIONS!H17</f>
        <v>3888128.3310000002</v>
      </c>
      <c r="I17" s="67">
        <f>'APPENDIX 6'!I17+'APPENDIX 7'!I17+'APPENDIX 8'!I17+'APPENDIX 9'!I17+'APPENDIX 10'!I17+'APPENDIX 11'!I17+PENSIONS!I17</f>
        <v>0</v>
      </c>
      <c r="J17" s="67">
        <f>'APPENDIX 6'!J17+'APPENDIX 7'!J17+'APPENDIX 8'!J17+'APPENDIX 9'!J17+'APPENDIX 10'!J17+'APPENDIX 11'!J17+PENSIONS!J17</f>
        <v>0</v>
      </c>
      <c r="K17" s="67">
        <f>'APPENDIX 6'!K17+'APPENDIX 7'!K17+'APPENDIX 8'!K17+'APPENDIX 9'!K17+'APPENDIX 10'!K17+'APPENDIX 11'!K17+PENSIONS!K17</f>
        <v>0</v>
      </c>
      <c r="L17" s="67">
        <f>'APPENDIX 6'!L17+'APPENDIX 7'!L17+'APPENDIX 8'!L17+'APPENDIX 9'!L17+'APPENDIX 10'!L17+'APPENDIX 11'!L17+PENSIONS!L17</f>
        <v>279943.07299999997</v>
      </c>
      <c r="M17" s="46">
        <f>'APPENDIX 6'!M17+'APPENDIX 7'!M17+'APPENDIX 8'!M17+'APPENDIX 9'!M17+'APPENDIX 10'!M17+'APPENDIX 11'!M17+PENSIONS!M17</f>
        <v>350946.92749880004</v>
      </c>
      <c r="N17" s="46">
        <f>'APPENDIX 6'!N17+'APPENDIX 7'!N17+'APPENDIX 8'!N17+'APPENDIX 9'!N17+'APPENDIX 10'!N17+'APPENDIX 11'!N17+PENSIONS!N17</f>
        <v>6094252.3161979867</v>
      </c>
      <c r="O17" s="67">
        <f>'APPENDIX 6'!O17+'APPENDIX 7'!O17+'APPENDIX 8'!O17+'APPENDIX 9'!O17+'APPENDIX 10'!O17+'APPENDIX 11'!O17+PENSIONS!O17</f>
        <v>35904.246622382503</v>
      </c>
      <c r="P17" s="67">
        <f>'APPENDIX 6'!P17+'APPENDIX 7'!P17+'APPENDIX 8'!P17+'APPENDIX 9'!P17+'APPENDIX 10'!P17+'APPENDIX 11'!P17+PENSIONS!P17</f>
        <v>0</v>
      </c>
      <c r="Q17" s="68">
        <f>'APPENDIX 6'!Q27+'APPENDIX 7'!Q27+'APPENDIX 8'!Q27+'APPENDIX 9'!Q27+'APPENDIX 10'!Q27+'APPENDIX 11'!Q27+PENSIONS!Q27</f>
        <v>32700493.995150983</v>
      </c>
    </row>
    <row r="18" spans="2:17" ht="29.25" customHeight="1" x14ac:dyDescent="0.35">
      <c r="B18" s="6" t="str">
        <f>'APPENDIX 13'!B18</f>
        <v>KENINDIA ASSURANCE COMPANY</v>
      </c>
      <c r="C18" s="67">
        <f>'APPENDIX 6'!C18+'APPENDIX 7'!C18+'APPENDIX 8'!C18+'APPENDIX 9'!C18+'APPENDIX 10'!C18+'APPENDIX 11'!C18+PENSIONS!C18</f>
        <v>89269516.444000006</v>
      </c>
      <c r="D18" s="46">
        <f>'APPENDIX 6'!D18+'APPENDIX 7'!D18+'APPENDIX 8'!D18+'APPENDIX 9'!D18+'APPENDIX 10'!D18+'APPENDIX 11'!D18+PENSIONS!D18</f>
        <v>1932826.1200299999</v>
      </c>
      <c r="E18" s="67">
        <f>'APPENDIX 6'!E18+'APPENDIX 7'!E18+'APPENDIX 8'!E18+'APPENDIX 9'!E18+'APPENDIX 10'!E18+'APPENDIX 11'!E18+PENSIONS!E18</f>
        <v>1899263.80803</v>
      </c>
      <c r="F18" s="67">
        <f>'APPENDIX 6'!F18+'APPENDIX 7'!F18+'APPENDIX 8'!F18+'APPENDIX 9'!F18+'APPENDIX 10'!F18+'APPENDIX 11'!F18+PENSIONS!F18</f>
        <v>0</v>
      </c>
      <c r="G18" s="67">
        <f>'APPENDIX 6'!G18+'APPENDIX 7'!G18+'APPENDIX 8'!G18+'APPENDIX 9'!G18+'APPENDIX 10'!G18+'APPENDIX 11'!G18+PENSIONS!G18</f>
        <v>2034084.7929799999</v>
      </c>
      <c r="H18" s="67">
        <f>'APPENDIX 6'!H18+'APPENDIX 7'!H18+'APPENDIX 8'!H18+'APPENDIX 9'!H18+'APPENDIX 10'!H18+'APPENDIX 11'!H18+PENSIONS!H18</f>
        <v>2034084.7929799999</v>
      </c>
      <c r="I18" s="67">
        <f>'APPENDIX 6'!I18+'APPENDIX 7'!I18+'APPENDIX 8'!I18+'APPENDIX 9'!I18+'APPENDIX 10'!I18+'APPENDIX 11'!I18+PENSIONS!I18</f>
        <v>0</v>
      </c>
      <c r="J18" s="67">
        <f>'APPENDIX 6'!J18+'APPENDIX 7'!J18+'APPENDIX 8'!J18+'APPENDIX 9'!J18+'APPENDIX 10'!J18+'APPENDIX 11'!J18+PENSIONS!J18</f>
        <v>0</v>
      </c>
      <c r="K18" s="67">
        <f>'APPENDIX 6'!K18+'APPENDIX 7'!K18+'APPENDIX 8'!K18+'APPENDIX 9'!K18+'APPENDIX 10'!K18+'APPENDIX 11'!K18+PENSIONS!K18</f>
        <v>0</v>
      </c>
      <c r="L18" s="67">
        <f>'APPENDIX 6'!L18+'APPENDIX 7'!L18+'APPENDIX 8'!L18+'APPENDIX 9'!L18+'APPENDIX 10'!L18+'APPENDIX 11'!L18+PENSIONS!L18</f>
        <v>57203.919000000002</v>
      </c>
      <c r="M18" s="67">
        <f>'APPENDIX 6'!M18+'APPENDIX 7'!M18+'APPENDIX 8'!M18+'APPENDIX 9'!M18+'APPENDIX 10'!M18+'APPENDIX 11'!M18+PENSIONS!M18</f>
        <v>165008.60200000001</v>
      </c>
      <c r="N18" s="67">
        <f>'APPENDIX 6'!N18+'APPENDIX 7'!N18+'APPENDIX 8'!N18+'APPENDIX 9'!N18+'APPENDIX 10'!N18+'APPENDIX 11'!N18+PENSIONS!N18</f>
        <v>3232477.29</v>
      </c>
      <c r="O18" s="67">
        <f>'APPENDIX 6'!O18+'APPENDIX 7'!O18+'APPENDIX 8'!O18+'APPENDIX 9'!O18+'APPENDIX 10'!O18+'APPENDIX 11'!O18+PENSIONS!O18</f>
        <v>8566.9439999999995</v>
      </c>
      <c r="P18" s="67">
        <f>'APPENDIX 6'!P18+'APPENDIX 7'!P18+'APPENDIX 8'!P18+'APPENDIX 9'!P18+'APPENDIX 10'!P18+'APPENDIX 11'!P18+PENSIONS!P18</f>
        <v>163250</v>
      </c>
      <c r="Q18" s="68">
        <f>'APPENDIX 6'!Q28+'APPENDIX 7'!Q28+'APPENDIX 8'!Q28+'APPENDIX 9'!Q28+'APPENDIX 10'!Q28+'APPENDIX 11'!Q28+PENSIONS!Q28</f>
        <v>522454.21585393377</v>
      </c>
    </row>
    <row r="19" spans="2:17" ht="29.25" customHeight="1" x14ac:dyDescent="0.35">
      <c r="B19" s="6" t="str">
        <f>'APPENDIX 13'!B19</f>
        <v>KENYA ORIENT LIFE ASSURANCE</v>
      </c>
      <c r="C19" s="67">
        <f>'APPENDIX 6'!C19+'APPENDIX 7'!C19+'APPENDIX 8'!C19+'APPENDIX 9'!C19+'APPENDIX 10'!C19+'APPENDIX 11'!C19+PENSIONS!C19</f>
        <v>4391298.0203489959</v>
      </c>
      <c r="D19" s="46">
        <f>'APPENDIX 6'!D19+'APPENDIX 7'!D19+'APPENDIX 8'!D19+'APPENDIX 9'!D19+'APPENDIX 10'!D19+'APPENDIX 11'!D19+PENSIONS!D19</f>
        <v>365287.84586</v>
      </c>
      <c r="E19" s="67">
        <f>'APPENDIX 6'!E19+'APPENDIX 7'!E19+'APPENDIX 8'!E19+'APPENDIX 9'!E19+'APPENDIX 10'!E19+'APPENDIX 11'!E19+PENSIONS!E19</f>
        <v>342329.24686000007</v>
      </c>
      <c r="F19" s="67">
        <f>'APPENDIX 6'!F19+'APPENDIX 7'!F19+'APPENDIX 8'!F19+'APPENDIX 9'!F19+'APPENDIX 10'!F19+'APPENDIX 11'!F19+PENSIONS!F19</f>
        <v>0</v>
      </c>
      <c r="G19" s="67">
        <f>'APPENDIX 6'!G19+'APPENDIX 7'!G19+'APPENDIX 8'!G19+'APPENDIX 9'!G19+'APPENDIX 10'!G19+'APPENDIX 11'!G19+PENSIONS!G19</f>
        <v>117122.85938000001</v>
      </c>
      <c r="H19" s="67">
        <f>'APPENDIX 6'!H19+'APPENDIX 7'!H19+'APPENDIX 8'!H19+'APPENDIX 9'!H19+'APPENDIX 10'!H19+'APPENDIX 11'!H19+PENSIONS!H19</f>
        <v>117122.85938000001</v>
      </c>
      <c r="I19" s="67">
        <f>'APPENDIX 6'!I19+'APPENDIX 7'!I19+'APPENDIX 8'!I19+'APPENDIX 9'!I19+'APPENDIX 10'!I19+'APPENDIX 11'!I19+PENSIONS!I19</f>
        <v>0</v>
      </c>
      <c r="J19" s="67">
        <f>'APPENDIX 6'!J19+'APPENDIX 7'!J19+'APPENDIX 8'!J19+'APPENDIX 9'!J19+'APPENDIX 10'!J19+'APPENDIX 11'!J19+PENSIONS!J19</f>
        <v>0</v>
      </c>
      <c r="K19" s="67">
        <f>'APPENDIX 6'!K19+'APPENDIX 7'!K19+'APPENDIX 8'!K19+'APPENDIX 9'!K19+'APPENDIX 10'!K19+'APPENDIX 11'!K19+PENSIONS!K19</f>
        <v>0</v>
      </c>
      <c r="L19" s="67">
        <f>'APPENDIX 6'!L19+'APPENDIX 7'!L19+'APPENDIX 8'!L19+'APPENDIX 9'!L19+'APPENDIX 10'!L19+'APPENDIX 11'!L19+PENSIONS!L19</f>
        <v>12996.396339999999</v>
      </c>
      <c r="M19" s="67">
        <f>'APPENDIX 6'!M19+'APPENDIX 7'!M19+'APPENDIX 8'!M19+'APPENDIX 9'!M19+'APPENDIX 10'!M19+'APPENDIX 11'!M19+PENSIONS!M19</f>
        <v>87705.660822551901</v>
      </c>
      <c r="N19" s="67">
        <f>'APPENDIX 6'!N19+'APPENDIX 7'!N19+'APPENDIX 8'!N19+'APPENDIX 9'!N19+'APPENDIX 10'!N19+'APPENDIX 11'!N19+PENSIONS!N19</f>
        <v>125649.943199</v>
      </c>
      <c r="O19" s="67">
        <f>'APPENDIX 6'!O19+'APPENDIX 7'!O19+'APPENDIX 8'!O19+'APPENDIX 9'!O19+'APPENDIX 10'!O19+'APPENDIX 11'!O19+PENSIONS!O19</f>
        <v>0</v>
      </c>
      <c r="P19" s="67">
        <f>'APPENDIX 6'!P19+'APPENDIX 7'!P19+'APPENDIX 8'!P19+'APPENDIX 9'!P19+'APPENDIX 10'!P19+'APPENDIX 11'!P19+PENSIONS!P19</f>
        <v>0</v>
      </c>
      <c r="Q19" s="68">
        <f>'APPENDIX 6'!Q29+'APPENDIX 7'!Q29+'APPENDIX 8'!Q29+'APPENDIX 9'!Q29+'APPENDIX 10'!Q29+'APPENDIX 11'!Q29+PENSIONS!Q29</f>
        <v>5610906.3960000006</v>
      </c>
    </row>
    <row r="20" spans="2:17" ht="29.25" customHeight="1" x14ac:dyDescent="0.35">
      <c r="B20" s="6" t="str">
        <f>'APPENDIX 13'!B20</f>
        <v>KUSCCO MUTUAL ASSURANCE LIMITED</v>
      </c>
      <c r="C20" s="67">
        <f>'APPENDIX 6'!C20+'APPENDIX 7'!C20+'APPENDIX 8'!C20+'APPENDIX 9'!C20+'APPENDIX 10'!C20+'APPENDIX 11'!C20+PENSIONS!C20</f>
        <v>529729.79899999988</v>
      </c>
      <c r="D20" s="46">
        <f>'APPENDIX 6'!D20+'APPENDIX 7'!D20+'APPENDIX 8'!D20+'APPENDIX 9'!D20+'APPENDIX 10'!D20+'APPENDIX 11'!D20+PENSIONS!D20</f>
        <v>436999.9559</v>
      </c>
      <c r="E20" s="67">
        <f>'APPENDIX 6'!E20+'APPENDIX 7'!E20+'APPENDIX 8'!E20+'APPENDIX 9'!E20+'APPENDIX 10'!E20+'APPENDIX 11'!E20+PENSIONS!E20</f>
        <v>343222.26015000005</v>
      </c>
      <c r="F20" s="67">
        <f>'APPENDIX 6'!F20+'APPENDIX 7'!F20+'APPENDIX 8'!F20+'APPENDIX 9'!F20+'APPENDIX 10'!F20+'APPENDIX 11'!F20+PENSIONS!F20</f>
        <v>0</v>
      </c>
      <c r="G20" s="67">
        <f>'APPENDIX 6'!G20+'APPENDIX 7'!G20+'APPENDIX 8'!G20+'APPENDIX 9'!G20+'APPENDIX 10'!G20+'APPENDIX 11'!G20+PENSIONS!G20</f>
        <v>505637.179</v>
      </c>
      <c r="H20" s="67">
        <f>'APPENDIX 6'!H20+'APPENDIX 7'!H20+'APPENDIX 8'!H20+'APPENDIX 9'!H20+'APPENDIX 10'!H20+'APPENDIX 11'!H20+PENSIONS!H20</f>
        <v>505637.179</v>
      </c>
      <c r="I20" s="67">
        <f>'APPENDIX 6'!I20+'APPENDIX 7'!I20+'APPENDIX 8'!I20+'APPENDIX 9'!I20+'APPENDIX 10'!I20+'APPENDIX 11'!I20+PENSIONS!I20</f>
        <v>0</v>
      </c>
      <c r="J20" s="67">
        <f>'APPENDIX 6'!J20+'APPENDIX 7'!J20+'APPENDIX 8'!J20+'APPENDIX 9'!J20+'APPENDIX 10'!J20+'APPENDIX 11'!J20+PENSIONS!J20</f>
        <v>0</v>
      </c>
      <c r="K20" s="67">
        <f>'APPENDIX 6'!K20+'APPENDIX 7'!K20+'APPENDIX 8'!K20+'APPENDIX 9'!K20+'APPENDIX 10'!K20+'APPENDIX 11'!K20+PENSIONS!K20</f>
        <v>0</v>
      </c>
      <c r="L20" s="67">
        <f>'APPENDIX 6'!L20+'APPENDIX 7'!L20+'APPENDIX 8'!L20+'APPENDIX 9'!L20+'APPENDIX 10'!L20+'APPENDIX 11'!L20+PENSIONS!L20</f>
        <v>6076.0569500000047</v>
      </c>
      <c r="M20" s="67">
        <f>'APPENDIX 6'!M20+'APPENDIX 7'!M20+'APPENDIX 8'!M20+'APPENDIX 9'!M20+'APPENDIX 10'!M20+'APPENDIX 11'!M20+PENSIONS!M20</f>
        <v>159767.16284999996</v>
      </c>
      <c r="N20" s="67">
        <f>'APPENDIX 6'!N20+'APPENDIX 7'!N20+'APPENDIX 8'!N20+'APPENDIX 9'!N20+'APPENDIX 10'!N20+'APPENDIX 11'!N20+PENSIONS!N20</f>
        <v>0</v>
      </c>
      <c r="O20" s="67">
        <f>'APPENDIX 6'!O20+'APPENDIX 7'!O20+'APPENDIX 8'!O20+'APPENDIX 9'!O20+'APPENDIX 10'!O20+'APPENDIX 11'!O20+PENSIONS!O20</f>
        <v>0</v>
      </c>
      <c r="P20" s="67">
        <f>'APPENDIX 6'!P20+'APPENDIX 7'!P20+'APPENDIX 8'!P20+'APPENDIX 9'!P20+'APPENDIX 10'!P20+'APPENDIX 11'!P20+PENSIONS!P20</f>
        <v>0</v>
      </c>
      <c r="Q20" s="68">
        <f>'APPENDIX 6'!Q20+'APPENDIX 7'!Q20+'APPENDIX 8'!Q20+'APPENDIX 9'!Q20+'APPENDIX 10'!Q20+'APPENDIX 11'!Q20+PENSIONS!Q20</f>
        <v>201471.6603499999</v>
      </c>
    </row>
    <row r="21" spans="2:17" ht="29.25" customHeight="1" x14ac:dyDescent="0.35">
      <c r="B21" s="6" t="str">
        <f>'APPENDIX 13'!B21</f>
        <v>LIBERTY LIFE ASSURANCE COMPANY</v>
      </c>
      <c r="C21" s="67">
        <f>'APPENDIX 6'!C21+'APPENDIX 7'!C21+'APPENDIX 8'!C21+'APPENDIX 9'!C21+'APPENDIX 10'!C21+'APPENDIX 11'!C21+PENSIONS!C21</f>
        <v>25879670.557460032</v>
      </c>
      <c r="D21" s="46">
        <f>'APPENDIX 6'!D21+'APPENDIX 7'!D21+'APPENDIX 8'!D21+'APPENDIX 9'!D21+'APPENDIX 10'!D21+'APPENDIX 11'!D21+PENSIONS!D21</f>
        <v>1442556.4825800001</v>
      </c>
      <c r="E21" s="67">
        <f>'APPENDIX 6'!E21+'APPENDIX 7'!E21+'APPENDIX 8'!E21+'APPENDIX 9'!E21+'APPENDIX 10'!E21+'APPENDIX 11'!E21+PENSIONS!E21</f>
        <v>1321036.4455800001</v>
      </c>
      <c r="F21" s="67">
        <f>'APPENDIX 6'!F21+'APPENDIX 7'!F21+'APPENDIX 8'!F21+'APPENDIX 9'!F21+'APPENDIX 10'!F21+'APPENDIX 11'!F21+PENSIONS!F21</f>
        <v>0</v>
      </c>
      <c r="G21" s="67">
        <f>'APPENDIX 6'!G21+'APPENDIX 7'!G21+'APPENDIX 8'!G21+'APPENDIX 9'!G21+'APPENDIX 10'!G21+'APPENDIX 11'!G21+PENSIONS!G21</f>
        <v>1212410.1394499999</v>
      </c>
      <c r="H21" s="67">
        <f>'APPENDIX 6'!H21+'APPENDIX 7'!H21+'APPENDIX 8'!H21+'APPENDIX 9'!H21+'APPENDIX 10'!H21+'APPENDIX 11'!H21+PENSIONS!H21</f>
        <v>1212410.1394499999</v>
      </c>
      <c r="I21" s="67">
        <f>'APPENDIX 6'!I21+'APPENDIX 7'!I21+'APPENDIX 8'!I21+'APPENDIX 9'!I21+'APPENDIX 10'!I21+'APPENDIX 11'!I21+PENSIONS!I21</f>
        <v>0</v>
      </c>
      <c r="J21" s="67">
        <f>'APPENDIX 6'!J21+'APPENDIX 7'!J21+'APPENDIX 8'!J21+'APPENDIX 9'!J21+'APPENDIX 10'!J21+'APPENDIX 11'!J21+PENSIONS!J21</f>
        <v>0</v>
      </c>
      <c r="K21" s="67">
        <f>'APPENDIX 6'!K21+'APPENDIX 7'!K21+'APPENDIX 8'!K21+'APPENDIX 9'!K21+'APPENDIX 10'!K21+'APPENDIX 11'!K21+PENSIONS!K21</f>
        <v>0</v>
      </c>
      <c r="L21" s="67">
        <f>'APPENDIX 6'!L21+'APPENDIX 7'!L21+'APPENDIX 8'!L21+'APPENDIX 9'!L21+'APPENDIX 10'!L21+'APPENDIX 11'!L21+PENSIONS!L21</f>
        <v>119805.8907</v>
      </c>
      <c r="M21" s="67">
        <f>'APPENDIX 6'!M21+'APPENDIX 7'!M21+'APPENDIX 8'!M21+'APPENDIX 9'!M21+'APPENDIX 10'!M21+'APPENDIX 11'!M21+PENSIONS!M21</f>
        <v>432574.93532999966</v>
      </c>
      <c r="N21" s="67">
        <f>'APPENDIX 6'!N21+'APPENDIX 7'!N21+'APPENDIX 8'!N21+'APPENDIX 9'!N21+'APPENDIX 10'!N21+'APPENDIX 11'!N21+PENSIONS!N21</f>
        <v>1465854.4802200003</v>
      </c>
      <c r="O21" s="67">
        <f>'APPENDIX 6'!O21+'APPENDIX 7'!O21+'APPENDIX 8'!O21+'APPENDIX 9'!O21+'APPENDIX 10'!O21+'APPENDIX 11'!O21+PENSIONS!O21</f>
        <v>37572.383530000014</v>
      </c>
      <c r="P21" s="67">
        <f>'APPENDIX 6'!P21+'APPENDIX 7'!P21+'APPENDIX 8'!P21+'APPENDIX 9'!P21+'APPENDIX 10'!P21+'APPENDIX 11'!P21+PENSIONS!P21</f>
        <v>0</v>
      </c>
      <c r="Q21" s="68">
        <f>'APPENDIX 6'!Q21+'APPENDIX 7'!Q21+'APPENDIX 8'!Q21+'APPENDIX 9'!Q21+'APPENDIX 10'!Q21+'APPENDIX 11'!Q21+PENSIONS!Q21</f>
        <v>26864198.13425003</v>
      </c>
    </row>
    <row r="22" spans="2:17" ht="29.25" customHeight="1" x14ac:dyDescent="0.35">
      <c r="B22" s="6" t="str">
        <f>'APPENDIX 13'!B22</f>
        <v>MADISON INSURANCE COMPANY</v>
      </c>
      <c r="C22" s="67">
        <f>'APPENDIX 6'!C22+'APPENDIX 7'!C22+'APPENDIX 8'!C22+'APPENDIX 9'!C22+'APPENDIX 10'!C22+'APPENDIX 11'!C22+PENSIONS!C22</f>
        <v>15136526.29071</v>
      </c>
      <c r="D22" s="46">
        <f>'APPENDIX 6'!D22+'APPENDIX 7'!D22+'APPENDIX 8'!D22+'APPENDIX 9'!D22+'APPENDIX 10'!D22+'APPENDIX 11'!D22+PENSIONS!D22</f>
        <v>1279940</v>
      </c>
      <c r="E22" s="67">
        <f>'APPENDIX 6'!E22+'APPENDIX 7'!E22+'APPENDIX 8'!E22+'APPENDIX 9'!E22+'APPENDIX 10'!E22+'APPENDIX 11'!E22+PENSIONS!E22</f>
        <v>1146577</v>
      </c>
      <c r="F22" s="67">
        <f>'APPENDIX 6'!F22+'APPENDIX 7'!F22+'APPENDIX 8'!F22+'APPENDIX 9'!F22+'APPENDIX 10'!F22+'APPENDIX 11'!F22+PENSIONS!F22</f>
        <v>0</v>
      </c>
      <c r="G22" s="67">
        <f>'APPENDIX 6'!G22+'APPENDIX 7'!G22+'APPENDIX 8'!G22+'APPENDIX 9'!G22+'APPENDIX 10'!G22+'APPENDIX 11'!G22+PENSIONS!G22</f>
        <v>1020412</v>
      </c>
      <c r="H22" s="67">
        <f>'APPENDIX 6'!H22+'APPENDIX 7'!H22+'APPENDIX 8'!H22+'APPENDIX 9'!H22+'APPENDIX 10'!H22+'APPENDIX 11'!H22+PENSIONS!H22</f>
        <v>1020412</v>
      </c>
      <c r="I22" s="67">
        <f>'APPENDIX 6'!I22+'APPENDIX 7'!I22+'APPENDIX 8'!I22+'APPENDIX 9'!I22+'APPENDIX 10'!I22+'APPENDIX 11'!I22+PENSIONS!I22</f>
        <v>0</v>
      </c>
      <c r="J22" s="67">
        <f>'APPENDIX 6'!J22+'APPENDIX 7'!J22+'APPENDIX 8'!J22+'APPENDIX 9'!J22+'APPENDIX 10'!J22+'APPENDIX 11'!J22+PENSIONS!J22</f>
        <v>0</v>
      </c>
      <c r="K22" s="67">
        <f>'APPENDIX 6'!K22+'APPENDIX 7'!K22+'APPENDIX 8'!K22+'APPENDIX 9'!K22+'APPENDIX 10'!K22+'APPENDIX 11'!K22+PENSIONS!K22</f>
        <v>0</v>
      </c>
      <c r="L22" s="67">
        <f>'APPENDIX 6'!L22+'APPENDIX 7'!L22+'APPENDIX 8'!L22+'APPENDIX 9'!L22+'APPENDIX 10'!L22+'APPENDIX 11'!L22+PENSIONS!L22</f>
        <v>110845</v>
      </c>
      <c r="M22" s="67">
        <f>'APPENDIX 6'!M22+'APPENDIX 7'!M22+'APPENDIX 8'!M22+'APPENDIX 9'!M22+'APPENDIX 10'!M22+'APPENDIX 11'!M22+PENSIONS!M22</f>
        <v>340542.179</v>
      </c>
      <c r="N22" s="67">
        <f>'APPENDIX 6'!N22+'APPENDIX 7'!N22+'APPENDIX 8'!N22+'APPENDIX 9'!N22+'APPENDIX 10'!N22+'APPENDIX 11'!N22+PENSIONS!N22</f>
        <v>223278</v>
      </c>
      <c r="O22" s="67">
        <f>'APPENDIX 6'!O22+'APPENDIX 7'!O22+'APPENDIX 8'!O22+'APPENDIX 9'!O22+'APPENDIX 10'!O22+'APPENDIX 11'!O22+PENSIONS!O22</f>
        <v>0</v>
      </c>
      <c r="P22" s="67">
        <f>'APPENDIX 6'!P22+'APPENDIX 7'!P22+'APPENDIX 8'!P22+'APPENDIX 9'!P22+'APPENDIX 10'!P22+'APPENDIX 11'!P22+PENSIONS!P22</f>
        <v>0</v>
      </c>
      <c r="Q22" s="68">
        <f>'APPENDIX 6'!Q22+'APPENDIX 7'!Q22+'APPENDIX 8'!Q22+'APPENDIX 9'!Q22+'APPENDIX 10'!Q22+'APPENDIX 11'!Q22+PENSIONS!Q22</f>
        <v>15034582.111710005</v>
      </c>
    </row>
    <row r="23" spans="2:17" ht="29.25" customHeight="1" x14ac:dyDescent="0.35">
      <c r="B23" s="6" t="str">
        <f>'APPENDIX 13'!B23</f>
        <v>OLD MUTUAL ASSURANCE COMPANY</v>
      </c>
      <c r="C23" s="67">
        <f>'APPENDIX 6'!C23+'APPENDIX 7'!C23+'APPENDIX 8'!C23+'APPENDIX 9'!C23+'APPENDIX 10'!C23+'APPENDIX 11'!C23+PENSIONS!C23</f>
        <v>9933649.6162056383</v>
      </c>
      <c r="D23" s="46">
        <f>'APPENDIX 6'!D23+'APPENDIX 7'!D23+'APPENDIX 8'!D23+'APPENDIX 9'!D23+'APPENDIX 10'!D23+'APPENDIX 11'!D23+PENSIONS!D23</f>
        <v>229915.14454000001</v>
      </c>
      <c r="E23" s="67">
        <f>'APPENDIX 6'!E23+'APPENDIX 7'!E23+'APPENDIX 8'!E23+'APPENDIX 9'!E23+'APPENDIX 10'!E23+'APPENDIX 11'!E23+PENSIONS!E23</f>
        <v>211929.56955000001</v>
      </c>
      <c r="F23" s="67">
        <f>'APPENDIX 6'!F23+'APPENDIX 7'!F23+'APPENDIX 8'!F23+'APPENDIX 9'!F23+'APPENDIX 10'!F23+'APPENDIX 11'!F23+PENSIONS!F23</f>
        <v>66783.009217249986</v>
      </c>
      <c r="G23" s="67">
        <f>'APPENDIX 6'!G23+'APPENDIX 7'!G23+'APPENDIX 8'!G23+'APPENDIX 9'!G23+'APPENDIX 10'!G23+'APPENDIX 11'!G23+PENSIONS!G23</f>
        <v>555084.00526000001</v>
      </c>
      <c r="H23" s="67">
        <f>'APPENDIX 6'!H23+'APPENDIX 7'!H23+'APPENDIX 8'!H23+'APPENDIX 9'!H23+'APPENDIX 10'!H23+'APPENDIX 11'!H23+PENSIONS!H23</f>
        <v>555084.00526000001</v>
      </c>
      <c r="I23" s="67">
        <f>'APPENDIX 6'!I23+'APPENDIX 7'!I23+'APPENDIX 8'!I23+'APPENDIX 9'!I23+'APPENDIX 10'!I23+'APPENDIX 11'!I23+PENSIONS!I23</f>
        <v>0</v>
      </c>
      <c r="J23" s="67">
        <f>'APPENDIX 6'!J23+'APPENDIX 7'!J23+'APPENDIX 8'!J23+'APPENDIX 9'!J23+'APPENDIX 10'!J23+'APPENDIX 11'!J23+PENSIONS!J23</f>
        <v>0</v>
      </c>
      <c r="K23" s="67">
        <f>'APPENDIX 6'!K23+'APPENDIX 7'!K23+'APPENDIX 8'!K23+'APPENDIX 9'!K23+'APPENDIX 10'!K23+'APPENDIX 11'!K23+PENSIONS!K23</f>
        <v>0</v>
      </c>
      <c r="L23" s="67">
        <f>'APPENDIX 6'!L23+'APPENDIX 7'!L23+'APPENDIX 8'!L23+'APPENDIX 9'!L23+'APPENDIX 10'!L23+'APPENDIX 11'!L23+PENSIONS!L23</f>
        <v>-1127.7007400000009</v>
      </c>
      <c r="M23" s="67">
        <f>'APPENDIX 6'!M23+'APPENDIX 7'!M23+'APPENDIX 8'!M23+'APPENDIX 9'!M23+'APPENDIX 10'!M23+'APPENDIX 11'!M23+PENSIONS!M23</f>
        <v>65184.741670000018</v>
      </c>
      <c r="N23" s="67">
        <f>'APPENDIX 6'!N23+'APPENDIX 7'!N23+'APPENDIX 8'!N23+'APPENDIX 9'!N23+'APPENDIX 10'!N23+'APPENDIX 11'!N23+PENSIONS!N23</f>
        <v>537609.44372295728</v>
      </c>
      <c r="O23" s="67">
        <f>'APPENDIX 6'!O23+'APPENDIX 7'!O23+'APPENDIX 8'!O23+'APPENDIX 9'!O23+'APPENDIX 10'!O23+'APPENDIX 11'!O23+PENSIONS!O23</f>
        <v>-308.00234914790576</v>
      </c>
      <c r="P23" s="67">
        <f>'APPENDIX 6'!P23+'APPENDIX 7'!P23+'APPENDIX 8'!P23+'APPENDIX 9'!P23+'APPENDIX 10'!P23+'APPENDIX 11'!P23+PENSIONS!P23</f>
        <v>0</v>
      </c>
      <c r="Q23" s="68">
        <f>'APPENDIX 6'!Q23+'APPENDIX 7'!Q23+'APPENDIX 8'!Q23+'APPENDIX 9'!Q23+'APPENDIX 10'!Q23+'APPENDIX 11'!Q23+PENSIONS!Q23</f>
        <v>10131138.594854994</v>
      </c>
    </row>
    <row r="24" spans="2:17" ht="29.25" customHeight="1" x14ac:dyDescent="0.35">
      <c r="B24" s="6" t="str">
        <f>'APPENDIX 13'!B24</f>
        <v>OLD MUTUAL LIFE ASSURANCE KENYA</v>
      </c>
      <c r="C24" s="67">
        <f>'APPENDIX 6'!C24+'APPENDIX 7'!C24+'APPENDIX 8'!C24+'APPENDIX 9'!C24+'APPENDIX 10'!C24+'APPENDIX 11'!C24+PENSIONS!C24</f>
        <v>13951331.227804821</v>
      </c>
      <c r="D24" s="46">
        <f>'APPENDIX 6'!D24+'APPENDIX 7'!D24+'APPENDIX 8'!D24+'APPENDIX 9'!D24+'APPENDIX 10'!D24+'APPENDIX 11'!D24+PENSIONS!D24</f>
        <v>1546331.4739000001</v>
      </c>
      <c r="E24" s="67">
        <f>'APPENDIX 6'!E24+'APPENDIX 7'!E24+'APPENDIX 8'!E24+'APPENDIX 9'!E24+'APPENDIX 10'!E24+'APPENDIX 11'!E24+PENSIONS!E24</f>
        <v>1212825.8752500003</v>
      </c>
      <c r="F24" s="67">
        <f>'APPENDIX 6'!F24+'APPENDIX 7'!F24+'APPENDIX 8'!F24+'APPENDIX 9'!F24+'APPENDIX 10'!F24+'APPENDIX 11'!F24+PENSIONS!F24</f>
        <v>-315698.11076422298</v>
      </c>
      <c r="G24" s="67">
        <f>'APPENDIX 6'!G24+'APPENDIX 7'!G24+'APPENDIX 8'!G24+'APPENDIX 9'!G24+'APPENDIX 10'!G24+'APPENDIX 11'!G24+PENSIONS!G24</f>
        <v>933092.02338199993</v>
      </c>
      <c r="H24" s="67">
        <f>'APPENDIX 6'!H24+'APPENDIX 7'!H24+'APPENDIX 8'!H24+'APPENDIX 9'!H24+'APPENDIX 10'!H24+'APPENDIX 11'!H24+PENSIONS!H24</f>
        <v>933092.02338199993</v>
      </c>
      <c r="I24" s="67">
        <f>'APPENDIX 6'!I24+'APPENDIX 7'!I24+'APPENDIX 8'!I24+'APPENDIX 9'!I24+'APPENDIX 10'!I24+'APPENDIX 11'!I24+PENSIONS!I24</f>
        <v>0</v>
      </c>
      <c r="J24" s="67">
        <f>'APPENDIX 6'!J24+'APPENDIX 7'!J24+'APPENDIX 8'!J24+'APPENDIX 9'!J24+'APPENDIX 10'!J24+'APPENDIX 11'!J24+PENSIONS!J24</f>
        <v>0</v>
      </c>
      <c r="K24" s="67">
        <f>'APPENDIX 6'!K24+'APPENDIX 7'!K24+'APPENDIX 8'!K24+'APPENDIX 9'!K24+'APPENDIX 10'!K24+'APPENDIX 11'!K24+PENSIONS!K24</f>
        <v>0</v>
      </c>
      <c r="L24" s="67">
        <f>'APPENDIX 6'!L24+'APPENDIX 7'!L24+'APPENDIX 8'!L24+'APPENDIX 9'!L24+'APPENDIX 10'!L24+'APPENDIX 11'!L24+PENSIONS!L24</f>
        <v>1639.4071271141806</v>
      </c>
      <c r="M24" s="67">
        <f>'APPENDIX 6'!M24+'APPENDIX 7'!M24+'APPENDIX 8'!M24+'APPENDIX 9'!M24+'APPENDIX 10'!M24+'APPENDIX 11'!M24+PENSIONS!M24</f>
        <v>332585.93264999986</v>
      </c>
      <c r="N24" s="67">
        <f>'APPENDIX 6'!N24+'APPENDIX 7'!N24+'APPENDIX 8'!N24+'APPENDIX 9'!N24+'APPENDIX 10'!N24+'APPENDIX 11'!N24+PENSIONS!N24</f>
        <v>981419.58573910221</v>
      </c>
      <c r="O24" s="67">
        <f>'APPENDIX 6'!O24+'APPENDIX 7'!O24+'APPENDIX 8'!O24+'APPENDIX 9'!O24+'APPENDIX 10'!O24+'APPENDIX 11'!O24+PENSIONS!O24</f>
        <v>0</v>
      </c>
      <c r="P24" s="67">
        <f>'APPENDIX 6'!P24+'APPENDIX 7'!P24+'APPENDIX 8'!P24+'APPENDIX 9'!P24+'APPENDIX 10'!P24+'APPENDIX 11'!P24+PENSIONS!P24</f>
        <v>0</v>
      </c>
      <c r="Q24" s="68">
        <f>'APPENDIX 6'!Q24+'APPENDIX 7'!Q24+'APPENDIX 8'!Q24+'APPENDIX 9'!Q24+'APPENDIX 10'!Q24+'APPENDIX 11'!Q24+PENSIONS!Q24</f>
        <v>14562561.214870587</v>
      </c>
    </row>
    <row r="25" spans="2:17" ht="29.25" customHeight="1" x14ac:dyDescent="0.35">
      <c r="B25" s="6" t="str">
        <f>'APPENDIX 13'!B25</f>
        <v xml:space="preserve">PIONEER ASSURANCE COMPANY </v>
      </c>
      <c r="C25" s="67">
        <f>'APPENDIX 6'!C25+'APPENDIX 7'!C25+'APPENDIX 8'!C25+'APPENDIX 9'!C25+'APPENDIX 10'!C25+'APPENDIX 11'!C25+PENSIONS!C25</f>
        <v>11240259.206</v>
      </c>
      <c r="D25" s="67">
        <f>'APPENDIX 6'!D25+'APPENDIX 7'!D25+'APPENDIX 8'!D25+'APPENDIX 9'!D25+'APPENDIX 10'!D25+'APPENDIX 11'!D25+PENSIONS!D25</f>
        <v>833917.51199999999</v>
      </c>
      <c r="E25" s="67">
        <f>'APPENDIX 6'!E25+'APPENDIX 7'!E25+'APPENDIX 8'!E25+'APPENDIX 9'!E25+'APPENDIX 10'!E25+'APPENDIX 11'!E25+PENSIONS!E25</f>
        <v>779621.79899999988</v>
      </c>
      <c r="F25" s="67">
        <f>'APPENDIX 6'!F25+'APPENDIX 7'!F25+'APPENDIX 8'!F25+'APPENDIX 9'!F25+'APPENDIX 10'!F25+'APPENDIX 11'!F25+PENSIONS!F25</f>
        <v>0</v>
      </c>
      <c r="G25" s="67">
        <f>'APPENDIX 6'!G25+'APPENDIX 7'!G25+'APPENDIX 8'!G25+'APPENDIX 9'!G25+'APPENDIX 10'!G25+'APPENDIX 11'!G25+PENSIONS!G25</f>
        <v>429062.51829604548</v>
      </c>
      <c r="H25" s="67">
        <f>'APPENDIX 6'!H25+'APPENDIX 7'!H25+'APPENDIX 8'!H25+'APPENDIX 9'!H25+'APPENDIX 10'!H25+'APPENDIX 11'!H25+PENSIONS!H25</f>
        <v>429062.51829604548</v>
      </c>
      <c r="I25" s="67">
        <f>'APPENDIX 6'!I25+'APPENDIX 7'!I25+'APPENDIX 8'!I25+'APPENDIX 9'!I25+'APPENDIX 10'!I25+'APPENDIX 11'!I25+PENSIONS!I25</f>
        <v>0</v>
      </c>
      <c r="J25" s="67">
        <f>'APPENDIX 6'!J25+'APPENDIX 7'!J25+'APPENDIX 8'!J25+'APPENDIX 9'!J25+'APPENDIX 10'!J25+'APPENDIX 11'!J25+PENSIONS!J25</f>
        <v>0</v>
      </c>
      <c r="K25" s="67">
        <f>'APPENDIX 6'!K25+'APPENDIX 7'!K25+'APPENDIX 8'!K25+'APPENDIX 9'!K25+'APPENDIX 10'!K25+'APPENDIX 11'!K25+PENSIONS!K25</f>
        <v>0</v>
      </c>
      <c r="L25" s="67">
        <f>'APPENDIX 6'!L25+'APPENDIX 7'!L25+'APPENDIX 8'!L25+'APPENDIX 9'!L25+'APPENDIX 10'!L25+'APPENDIX 11'!L25+PENSIONS!L25</f>
        <v>120990.97962</v>
      </c>
      <c r="M25" s="67">
        <f>'APPENDIX 6'!M25+'APPENDIX 7'!M25+'APPENDIX 8'!M25+'APPENDIX 9'!M25+'APPENDIX 10'!M25+'APPENDIX 11'!M25+PENSIONS!M25</f>
        <v>154960.16500000001</v>
      </c>
      <c r="N25" s="67">
        <f>'APPENDIX 6'!N25+'APPENDIX 7'!N25+'APPENDIX 8'!N25+'APPENDIX 9'!N25+'APPENDIX 10'!N25+'APPENDIX 11'!N25+PENSIONS!N25</f>
        <v>510434.31700000004</v>
      </c>
      <c r="O25" s="67">
        <f>'APPENDIX 6'!O25+'APPENDIX 7'!O25+'APPENDIX 8'!O25+'APPENDIX 9'!O25+'APPENDIX 10'!O25+'APPENDIX 11'!O25+PENSIONS!O25</f>
        <v>0</v>
      </c>
      <c r="P25" s="67">
        <f>'APPENDIX 6'!P25+'APPENDIX 7'!P25+'APPENDIX 8'!P25+'APPENDIX 9'!P25+'APPENDIX 10'!P25+'APPENDIX 11'!P25+PENSIONS!P25</f>
        <v>0</v>
      </c>
      <c r="Q25" s="68">
        <f>'APPENDIX 6'!Q25+'APPENDIX 7'!Q25+'APPENDIX 8'!Q25+'APPENDIX 9'!Q25+'APPENDIX 10'!Q25+'APPENDIX 11'!Q25+PENSIONS!Q25</f>
        <v>11825301.659083955</v>
      </c>
    </row>
    <row r="26" spans="2:17" ht="29.25" customHeight="1" x14ac:dyDescent="0.35">
      <c r="B26" s="6" t="str">
        <f>'APPENDIX 13'!B26</f>
        <v>PRUDENTIAL LIFE ASSURANCE</v>
      </c>
      <c r="C26" s="67">
        <f>'APPENDIX 6'!C26+'APPENDIX 7'!C26+'APPENDIX 8'!C26+'APPENDIX 9'!C26+'APPENDIX 10'!C26+'APPENDIX 11'!C26+PENSIONS!C26</f>
        <v>3919507.511761867</v>
      </c>
      <c r="D26" s="67">
        <f>'APPENDIX 6'!D26+'APPENDIX 7'!D26+'APPENDIX 8'!D26+'APPENDIX 9'!D26+'APPENDIX 10'!D26+'APPENDIX 11'!D26+PENSIONS!D26</f>
        <v>1092660.9218800003</v>
      </c>
      <c r="E26" s="67">
        <f>'APPENDIX 6'!E26+'APPENDIX 7'!E26+'APPENDIX 8'!E26+'APPENDIX 9'!E26+'APPENDIX 10'!E26+'APPENDIX 11'!E26+PENSIONS!E26</f>
        <v>1017505.85898</v>
      </c>
      <c r="F26" s="67">
        <f>'APPENDIX 6'!F26+'APPENDIX 7'!F26+'APPENDIX 8'!F26+'APPENDIX 9'!F26+'APPENDIX 10'!F26+'APPENDIX 11'!F26+PENSIONS!F26</f>
        <v>0</v>
      </c>
      <c r="G26" s="67">
        <f>'APPENDIX 6'!G26+'APPENDIX 7'!G26+'APPENDIX 8'!G26+'APPENDIX 9'!G26+'APPENDIX 10'!G26+'APPENDIX 11'!G26+PENSIONS!G26</f>
        <v>227635.34197000001</v>
      </c>
      <c r="H26" s="67">
        <f>'APPENDIX 6'!H26+'APPENDIX 7'!H26+'APPENDIX 8'!H26+'APPENDIX 9'!H26+'APPENDIX 10'!H26+'APPENDIX 11'!H26+PENSIONS!H26</f>
        <v>227635.34197000001</v>
      </c>
      <c r="I26" s="67">
        <f>'APPENDIX 6'!I26+'APPENDIX 7'!I26+'APPENDIX 8'!I26+'APPENDIX 9'!I26+'APPENDIX 10'!I26+'APPENDIX 11'!I26+PENSIONS!I26</f>
        <v>0</v>
      </c>
      <c r="J26" s="67">
        <f>'APPENDIX 6'!J26+'APPENDIX 7'!J26+'APPENDIX 8'!J26+'APPENDIX 9'!J26+'APPENDIX 10'!J26+'APPENDIX 11'!J26+PENSIONS!J26</f>
        <v>0</v>
      </c>
      <c r="K26" s="67">
        <f>'APPENDIX 6'!K26+'APPENDIX 7'!K26+'APPENDIX 8'!K26+'APPENDIX 9'!K26+'APPENDIX 10'!K26+'APPENDIX 11'!K26+PENSIONS!K26</f>
        <v>0</v>
      </c>
      <c r="L26" s="67">
        <f>'APPENDIX 6'!L26+'APPENDIX 7'!L26+'APPENDIX 8'!L26+'APPENDIX 9'!L26+'APPENDIX 10'!L26+'APPENDIX 11'!L26+PENSIONS!L26</f>
        <v>60594.122459999999</v>
      </c>
      <c r="M26" s="67">
        <f>'APPENDIX 6'!M26+'APPENDIX 7'!M26+'APPENDIX 8'!M26+'APPENDIX 9'!M26+'APPENDIX 10'!M26+'APPENDIX 11'!M26+PENSIONS!M26</f>
        <v>221232.07151750024</v>
      </c>
      <c r="N26" s="67">
        <f>'APPENDIX 6'!N26+'APPENDIX 7'!N26+'APPENDIX 8'!N26+'APPENDIX 9'!N26+'APPENDIX 10'!N26+'APPENDIX 11'!N26+PENSIONS!N26</f>
        <v>281297.16497000004</v>
      </c>
      <c r="O26" s="67">
        <f>'APPENDIX 6'!O26+'APPENDIX 7'!O26+'APPENDIX 8'!O26+'APPENDIX 9'!O26+'APPENDIX 10'!O26+'APPENDIX 11'!O26+PENSIONS!O26</f>
        <v>2780.4827299999997</v>
      </c>
      <c r="P26" s="67">
        <f>'APPENDIX 6'!P26+'APPENDIX 7'!P26+'APPENDIX 8'!P26+'APPENDIX 9'!P26+'APPENDIX 10'!P26+'APPENDIX 11'!P26+PENSIONS!P26</f>
        <v>0</v>
      </c>
      <c r="Q26" s="68">
        <f>'APPENDIX 6'!Q26+'APPENDIX 7'!Q26+'APPENDIX 8'!Q26+'APPENDIX 9'!Q26+'APPENDIX 10'!Q26+'APPENDIX 11'!Q26+PENSIONS!Q26</f>
        <v>4706068.5170343667</v>
      </c>
    </row>
    <row r="27" spans="2:17" ht="29.25" customHeight="1" x14ac:dyDescent="0.35">
      <c r="B27" s="6" t="str">
        <f>'APPENDIX 13'!B27</f>
        <v>SANLAM LIFE ASSURANCE</v>
      </c>
      <c r="C27" s="67">
        <f>'APPENDIX 6'!C27+'APPENDIX 7'!C27+'APPENDIX 8'!C27+'APPENDIX 9'!C27+'APPENDIX 10'!C27+'APPENDIX 11'!C27+PENSIONS!C27</f>
        <v>31424042.969337486</v>
      </c>
      <c r="D27" s="67">
        <f>'APPENDIX 6'!D27+'APPENDIX 7'!D27+'APPENDIX 8'!D27+'APPENDIX 9'!D27+'APPENDIX 10'!D27+'APPENDIX 11'!D27+PENSIONS!D27</f>
        <v>1566893.7047223046</v>
      </c>
      <c r="E27" s="67">
        <f>'APPENDIX 6'!E27+'APPENDIX 7'!E27+'APPENDIX 8'!E27+'APPENDIX 9'!E27+'APPENDIX 10'!E27+'APPENDIX 11'!E27+PENSIONS!E27</f>
        <v>1317461.2857223044</v>
      </c>
      <c r="F27" s="67">
        <f>'APPENDIX 6'!F27+'APPENDIX 7'!F27+'APPENDIX 8'!F27+'APPENDIX 9'!F27+'APPENDIX 10'!F27+'APPENDIX 11'!F27+PENSIONS!F27</f>
        <v>0</v>
      </c>
      <c r="G27" s="67">
        <f>'APPENDIX 6'!G27+'APPENDIX 7'!G27+'APPENDIX 8'!G27+'APPENDIX 9'!G27+'APPENDIX 10'!G27+'APPENDIX 11'!G27+PENSIONS!G27</f>
        <v>1410414.3393708349</v>
      </c>
      <c r="H27" s="67">
        <f>'APPENDIX 6'!H27+'APPENDIX 7'!H27+'APPENDIX 8'!H27+'APPENDIX 9'!H27+'APPENDIX 10'!H27+'APPENDIX 11'!H27+PENSIONS!H27</f>
        <v>1410414.3393708349</v>
      </c>
      <c r="I27" s="67">
        <f>'APPENDIX 6'!I27+'APPENDIX 7'!I27+'APPENDIX 8'!I27+'APPENDIX 9'!I27+'APPENDIX 10'!I27+'APPENDIX 11'!I27+PENSIONS!I27</f>
        <v>0</v>
      </c>
      <c r="J27" s="67">
        <f>'APPENDIX 6'!J27+'APPENDIX 7'!J27+'APPENDIX 8'!J27+'APPENDIX 9'!J27+'APPENDIX 10'!J27+'APPENDIX 11'!J27+PENSIONS!J27</f>
        <v>0</v>
      </c>
      <c r="K27" s="67">
        <f>'APPENDIX 6'!K27+'APPENDIX 7'!K27+'APPENDIX 8'!K27+'APPENDIX 9'!K27+'APPENDIX 10'!K27+'APPENDIX 11'!K27+PENSIONS!K27</f>
        <v>0</v>
      </c>
      <c r="L27" s="67">
        <f>'APPENDIX 6'!L27+'APPENDIX 7'!L27+'APPENDIX 8'!L27+'APPENDIX 9'!L27+'APPENDIX 10'!L27+'APPENDIX 11'!L27+PENSIONS!L27</f>
        <v>111833.06284</v>
      </c>
      <c r="M27" s="67">
        <f>'APPENDIX 6'!M27+'APPENDIX 7'!M27+'APPENDIX 8'!M27+'APPENDIX 9'!M27+'APPENDIX 10'!M27+'APPENDIX 11'!M27+PENSIONS!M27</f>
        <v>351583.04398797749</v>
      </c>
      <c r="N27" s="67">
        <f>'APPENDIX 6'!N27+'APPENDIX 7'!N27+'APPENDIX 8'!N27+'APPENDIX 9'!N27+'APPENDIX 10'!N27+'APPENDIX 11'!N27+PENSIONS!N27</f>
        <v>3277783.1862900001</v>
      </c>
      <c r="O27" s="67">
        <f>'APPENDIX 6'!O27+'APPENDIX 7'!O27+'APPENDIX 8'!O27+'APPENDIX 9'!O27+'APPENDIX 10'!O27+'APPENDIX 11'!O27+PENSIONS!O27</f>
        <v>0</v>
      </c>
      <c r="P27" s="67">
        <f>'APPENDIX 6'!P27+'APPENDIX 7'!P27+'APPENDIX 8'!P27+'APPENDIX 9'!P27+'APPENDIX 10'!P27+'APPENDIX 11'!P27+PENSIONS!P27</f>
        <v>1444963</v>
      </c>
      <c r="Q27" s="68">
        <f>'APPENDIX 6'!Q27+'APPENDIX 7'!Q27+'APPENDIX 8'!Q27+'APPENDIX 9'!Q27+'APPENDIX 10'!Q27+'APPENDIX 11'!Q27+PENSIONS!Q27</f>
        <v>32700493.995150983</v>
      </c>
    </row>
    <row r="28" spans="2:17" ht="29.25" customHeight="1" x14ac:dyDescent="0.35">
      <c r="B28" s="6" t="str">
        <f>'APPENDIX 13'!B28</f>
        <v>STAR DISCOVER LIFE INSURANCE</v>
      </c>
      <c r="C28" s="67">
        <f>'APPENDIX 6'!C28+'APPENDIX 7'!C28+'APPENDIX 8'!C28+'APPENDIX 9'!C28+'APPENDIX 10'!C28+'APPENDIX 11'!C28+PENSIONS!C28</f>
        <v>546648.07085393381</v>
      </c>
      <c r="D28" s="67">
        <f>'APPENDIX 6'!D28+'APPENDIX 7'!D28+'APPENDIX 8'!D28+'APPENDIX 9'!D28+'APPENDIX 10'!D28+'APPENDIX 11'!D28+PENSIONS!D28</f>
        <v>1449.3040000000001</v>
      </c>
      <c r="E28" s="67">
        <f>'APPENDIX 6'!E28+'APPENDIX 7'!E28+'APPENDIX 8'!E28+'APPENDIX 9'!E28+'APPENDIX 10'!E28+'APPENDIX 11'!E28+PENSIONS!E28</f>
        <v>256.15699999999998</v>
      </c>
      <c r="F28" s="67">
        <f>'APPENDIX 6'!F28+'APPENDIX 7'!F28+'APPENDIX 8'!F28+'APPENDIX 9'!F28+'APPENDIX 10'!F28+'APPENDIX 11'!F28+PENSIONS!F28</f>
        <v>0</v>
      </c>
      <c r="G28" s="67">
        <f>'APPENDIX 6'!G28+'APPENDIX 7'!G28+'APPENDIX 8'!G28+'APPENDIX 9'!G28+'APPENDIX 10'!G28+'APPENDIX 11'!G28+PENSIONS!G28</f>
        <v>17514.184000000001</v>
      </c>
      <c r="H28" s="67">
        <f>'APPENDIX 6'!H28+'APPENDIX 7'!H28+'APPENDIX 8'!H28+'APPENDIX 9'!H28+'APPENDIX 10'!H28+'APPENDIX 11'!H28+PENSIONS!H28</f>
        <v>17514.184000000001</v>
      </c>
      <c r="I28" s="67">
        <f>'APPENDIX 6'!I28+'APPENDIX 7'!I28+'APPENDIX 8'!I28+'APPENDIX 9'!I28+'APPENDIX 10'!I28+'APPENDIX 11'!I28+PENSIONS!I28</f>
        <v>0</v>
      </c>
      <c r="J28" s="67">
        <f>'APPENDIX 6'!J28+'APPENDIX 7'!J28+'APPENDIX 8'!J28+'APPENDIX 9'!J28+'APPENDIX 10'!J28+'APPENDIX 11'!J28+PENSIONS!J28</f>
        <v>0</v>
      </c>
      <c r="K28" s="67">
        <f>'APPENDIX 6'!K28+'APPENDIX 7'!K28+'APPENDIX 8'!K28+'APPENDIX 9'!K28+'APPENDIX 10'!K28+'APPENDIX 11'!K28+PENSIONS!K28</f>
        <v>0</v>
      </c>
      <c r="L28" s="67">
        <f>'APPENDIX 6'!L28+'APPENDIX 7'!L28+'APPENDIX 8'!L28+'APPENDIX 9'!L28+'APPENDIX 10'!L28+'APPENDIX 11'!L28+PENSIONS!L28</f>
        <v>-238.423</v>
      </c>
      <c r="M28" s="67">
        <f>'APPENDIX 6'!M28+'APPENDIX 7'!M28+'APPENDIX 8'!M28+'APPENDIX 9'!M28+'APPENDIX 10'!M28+'APPENDIX 11'!M28+PENSIONS!M28</f>
        <v>7998.549</v>
      </c>
      <c r="N28" s="67">
        <f>'APPENDIX 6'!N28+'APPENDIX 7'!N28+'APPENDIX 8'!N28+'APPENDIX 9'!N28+'APPENDIX 10'!N28+'APPENDIX 11'!N28+PENSIONS!N28</f>
        <v>824.298</v>
      </c>
      <c r="O28" s="67">
        <f>'APPENDIX 6'!O28+'APPENDIX 7'!O28+'APPENDIX 8'!O28+'APPENDIX 9'!O28+'APPENDIX 10'!O28+'APPENDIX 11'!O28+PENSIONS!O28</f>
        <v>0</v>
      </c>
      <c r="P28" s="67">
        <f>'APPENDIX 6'!P28+'APPENDIX 7'!P28+'APPENDIX 8'!P28+'APPENDIX 9'!P28+'APPENDIX 10'!P28+'APPENDIX 11'!P28+PENSIONS!P28</f>
        <v>0</v>
      </c>
      <c r="Q28" s="68">
        <f>'APPENDIX 6'!Q28+'APPENDIX 7'!Q28+'APPENDIX 8'!Q28+'APPENDIX 9'!Q28+'APPENDIX 10'!Q28+'APPENDIX 11'!Q28+PENSIONS!Q28</f>
        <v>522454.21585393377</v>
      </c>
    </row>
    <row r="29" spans="2:17" ht="29.25" customHeight="1" x14ac:dyDescent="0.35">
      <c r="B29" s="6" t="str">
        <f>'APPENDIX 13'!B29</f>
        <v>THE KENYAN ALLIANCE INSURANCE</v>
      </c>
      <c r="C29" s="67">
        <f>'APPENDIX 6'!C29+'APPENDIX 7'!C29+'APPENDIX 8'!C29+'APPENDIX 9'!C29+'APPENDIX 10'!C29+'APPENDIX 11'!C29+PENSIONS!C29</f>
        <v>5662163.9927998297</v>
      </c>
      <c r="D29" s="67">
        <f>'APPENDIX 6'!D29+'APPENDIX 7'!D29+'APPENDIX 8'!D29+'APPENDIX 9'!D29+'APPENDIX 10'!D29+'APPENDIX 11'!D29+PENSIONS!D29</f>
        <v>218077.79490000001</v>
      </c>
      <c r="E29" s="67">
        <f>'APPENDIX 6'!E29+'APPENDIX 7'!E29+'APPENDIX 8'!E29+'APPENDIX 9'!E29+'APPENDIX 10'!E29+'APPENDIX 11'!E29+PENSIONS!E29</f>
        <v>209030.5209</v>
      </c>
      <c r="F29" s="67">
        <f>'APPENDIX 6'!F29+'APPENDIX 7'!F29+'APPENDIX 8'!F29+'APPENDIX 9'!F29+'APPENDIX 10'!F29+'APPENDIX 11'!F29+PENSIONS!F29</f>
        <v>0</v>
      </c>
      <c r="G29" s="67">
        <f>'APPENDIX 6'!G29+'APPENDIX 7'!G29+'APPENDIX 8'!G29+'APPENDIX 9'!G29+'APPENDIX 10'!G29+'APPENDIX 11'!G29+PENSIONS!G29</f>
        <v>264779.81607172999</v>
      </c>
      <c r="H29" s="67">
        <f>'APPENDIX 6'!H29+'APPENDIX 7'!H29+'APPENDIX 8'!H29+'APPENDIX 9'!H29+'APPENDIX 10'!H29+'APPENDIX 11'!H29+PENSIONS!H29</f>
        <v>152234.17437000002</v>
      </c>
      <c r="I29" s="67">
        <f>'APPENDIX 6'!I29+'APPENDIX 7'!I29+'APPENDIX 8'!I29+'APPENDIX 9'!I29+'APPENDIX 10'!I29+'APPENDIX 11'!I29+PENSIONS!I29</f>
        <v>0</v>
      </c>
      <c r="J29" s="67">
        <f>'APPENDIX 6'!J29+'APPENDIX 7'!J29+'APPENDIX 8'!J29+'APPENDIX 9'!J29+'APPENDIX 10'!J29+'APPENDIX 11'!J29+PENSIONS!J29</f>
        <v>112545.64170173001</v>
      </c>
      <c r="K29" s="67">
        <f>'APPENDIX 6'!K29+'APPENDIX 7'!K29+'APPENDIX 8'!K29+'APPENDIX 9'!K29+'APPENDIX 10'!K29+'APPENDIX 11'!K29+PENSIONS!K29</f>
        <v>0</v>
      </c>
      <c r="L29" s="67">
        <f>'APPENDIX 6'!L29+'APPENDIX 7'!L29+'APPENDIX 8'!L29+'APPENDIX 9'!L29+'APPENDIX 10'!L29+'APPENDIX 11'!L29+PENSIONS!L29</f>
        <v>1492.8</v>
      </c>
      <c r="M29" s="67">
        <f>'APPENDIX 6'!M29+'APPENDIX 7'!M29+'APPENDIX 8'!M29+'APPENDIX 9'!M29+'APPENDIX 10'!M29+'APPENDIX 11'!M29+PENSIONS!M29</f>
        <v>30258.639628100136</v>
      </c>
      <c r="N29" s="67">
        <f>'APPENDIX 6'!N29+'APPENDIX 7'!N29+'APPENDIX 8'!N29+'APPENDIX 9'!N29+'APPENDIX 10'!N29+'APPENDIX 11'!N29+PENSIONS!N29</f>
        <v>36243.137999999977</v>
      </c>
      <c r="O29" s="67">
        <f>'APPENDIX 6'!O29+'APPENDIX 7'!O29+'APPENDIX 8'!O29+'APPENDIX 9'!O29+'APPENDIX 10'!O29+'APPENDIX 11'!O29+PENSIONS!O29</f>
        <v>0</v>
      </c>
      <c r="P29" s="67">
        <f>'APPENDIX 6'!P29+'APPENDIX 7'!P29+'APPENDIX 8'!P29+'APPENDIX 9'!P29+'APPENDIX 10'!P29+'APPENDIX 11'!P29+PENSIONS!P29</f>
        <v>0</v>
      </c>
      <c r="Q29" s="68">
        <f>'APPENDIX 6'!Q29+'APPENDIX 7'!Q29+'APPENDIX 8'!Q29+'APPENDIX 9'!Q29+'APPENDIX 10'!Q29+'APPENDIX 11'!Q29+PENSIONS!Q29</f>
        <v>5610906.3960000006</v>
      </c>
    </row>
    <row r="30" spans="2:17" ht="29.25" customHeight="1" x14ac:dyDescent="0.35">
      <c r="B30" s="6" t="str">
        <f>'APPENDIX 13'!B30</f>
        <v>THE MONARCH INSURANCE</v>
      </c>
      <c r="C30" s="67">
        <f>'APPENDIX 6'!C30+'APPENDIX 7'!C30+'APPENDIX 8'!C30+'APPENDIX 9'!C30+'APPENDIX 10'!C30+'APPENDIX 11'!C30+PENSIONS!C30</f>
        <v>0</v>
      </c>
      <c r="D30" s="67">
        <f>'APPENDIX 6'!D30+'APPENDIX 7'!D30+'APPENDIX 8'!D30+'APPENDIX 9'!D30+'APPENDIX 10'!D30+'APPENDIX 11'!D30+PENSIONS!D30</f>
        <v>0</v>
      </c>
      <c r="E30" s="67">
        <f>'APPENDIX 6'!E30+'APPENDIX 7'!E30+'APPENDIX 8'!E30+'APPENDIX 9'!E30+'APPENDIX 10'!E30+'APPENDIX 11'!E30+PENSIONS!E30</f>
        <v>0</v>
      </c>
      <c r="F30" s="67">
        <f>'APPENDIX 6'!F30+'APPENDIX 7'!F30+'APPENDIX 8'!F30+'APPENDIX 9'!F30+'APPENDIX 10'!F30+'APPENDIX 11'!F30+PENSIONS!F30</f>
        <v>0</v>
      </c>
      <c r="G30" s="67">
        <f>'APPENDIX 6'!G30+'APPENDIX 7'!G30+'APPENDIX 8'!G30+'APPENDIX 9'!G30+'APPENDIX 10'!G30+'APPENDIX 11'!G30+PENSIONS!G30</f>
        <v>0</v>
      </c>
      <c r="H30" s="67">
        <f>'APPENDIX 6'!H30+'APPENDIX 7'!H30+'APPENDIX 8'!H30+'APPENDIX 9'!H30+'APPENDIX 10'!H30+'APPENDIX 11'!H30+PENSIONS!H30</f>
        <v>0</v>
      </c>
      <c r="I30" s="67">
        <f>'APPENDIX 6'!I30+'APPENDIX 7'!I30+'APPENDIX 8'!I30+'APPENDIX 9'!I30+'APPENDIX 10'!I30+'APPENDIX 11'!I30+PENSIONS!I30</f>
        <v>0</v>
      </c>
      <c r="J30" s="67">
        <f>'APPENDIX 6'!J30+'APPENDIX 7'!J30+'APPENDIX 8'!J30+'APPENDIX 9'!J30+'APPENDIX 10'!J30+'APPENDIX 11'!J30+PENSIONS!J30</f>
        <v>0</v>
      </c>
      <c r="K30" s="67">
        <f>'APPENDIX 6'!K30+'APPENDIX 7'!K30+'APPENDIX 8'!K30+'APPENDIX 9'!K30+'APPENDIX 10'!K30+'APPENDIX 11'!K30+PENSIONS!K30</f>
        <v>0</v>
      </c>
      <c r="L30" s="67">
        <f>'APPENDIX 6'!L30+'APPENDIX 7'!L30+'APPENDIX 8'!L30+'APPENDIX 9'!L30+'APPENDIX 10'!L30+'APPENDIX 11'!L30+PENSIONS!L30</f>
        <v>0</v>
      </c>
      <c r="M30" s="67">
        <f>'APPENDIX 6'!M30+'APPENDIX 7'!M30+'APPENDIX 8'!M30+'APPENDIX 9'!M30+'APPENDIX 10'!M30+'APPENDIX 11'!M30+PENSIONS!M30</f>
        <v>0</v>
      </c>
      <c r="N30" s="67">
        <f>'APPENDIX 6'!N30+'APPENDIX 7'!N30+'APPENDIX 8'!N30+'APPENDIX 9'!N30+'APPENDIX 10'!N30+'APPENDIX 11'!N30+PENSIONS!N30</f>
        <v>0</v>
      </c>
      <c r="O30" s="67">
        <f>'APPENDIX 6'!O30+'APPENDIX 7'!O30+'APPENDIX 8'!O30+'APPENDIX 9'!O30+'APPENDIX 10'!O30+'APPENDIX 11'!O30+PENSIONS!O30</f>
        <v>0</v>
      </c>
      <c r="P30" s="67">
        <f>'APPENDIX 6'!P30+'APPENDIX 7'!P30+'APPENDIX 8'!P30+'APPENDIX 9'!P30+'APPENDIX 10'!P30+'APPENDIX 11'!P30+PENSIONS!P30</f>
        <v>0</v>
      </c>
      <c r="Q30" s="68">
        <f>'APPENDIX 6'!Q30+'APPENDIX 7'!Q30+'APPENDIX 8'!Q30+'APPENDIX 9'!Q30+'APPENDIX 10'!Q30+'APPENDIX 11'!Q30+PENSIONS!Q30</f>
        <v>0</v>
      </c>
    </row>
    <row r="31" spans="2:17" ht="29.25" customHeight="1" x14ac:dyDescent="0.35">
      <c r="B31" s="37" t="s">
        <v>90</v>
      </c>
      <c r="C31" s="69">
        <f t="shared" ref="C31:Q31" si="0">SUM(C6:C30)</f>
        <v>806782667.44142461</v>
      </c>
      <c r="D31" s="69">
        <f t="shared" si="0"/>
        <v>53441206.361059785</v>
      </c>
      <c r="E31" s="69">
        <f t="shared" si="0"/>
        <v>50785681.759448998</v>
      </c>
      <c r="F31" s="69">
        <f t="shared" si="0"/>
        <v>-263993.97274697298</v>
      </c>
      <c r="G31" s="69">
        <f t="shared" si="0"/>
        <v>30915575.511018239</v>
      </c>
      <c r="H31" s="69">
        <f t="shared" si="0"/>
        <v>29994932.092316505</v>
      </c>
      <c r="I31" s="69">
        <f t="shared" si="0"/>
        <v>183701.56</v>
      </c>
      <c r="J31" s="69">
        <f t="shared" si="0"/>
        <v>112545.64170173001</v>
      </c>
      <c r="K31" s="69">
        <f t="shared" si="0"/>
        <v>624396.21699999995</v>
      </c>
      <c r="L31" s="69">
        <f t="shared" si="0"/>
        <v>2079177.6068113812</v>
      </c>
      <c r="M31" s="69">
        <f t="shared" si="0"/>
        <v>5621418.5179406926</v>
      </c>
      <c r="N31" s="69">
        <f t="shared" si="0"/>
        <v>39076029.943660043</v>
      </c>
      <c r="O31" s="69">
        <f t="shared" si="0"/>
        <v>608896.56435953302</v>
      </c>
      <c r="P31" s="69">
        <f t="shared" si="0"/>
        <v>3290227.426</v>
      </c>
      <c r="Q31" s="69">
        <f t="shared" si="0"/>
        <v>440329164.72022581</v>
      </c>
    </row>
    <row r="32" spans="2:17" ht="29.25" customHeight="1" x14ac:dyDescent="0.35">
      <c r="B32" s="261" t="s">
        <v>91</v>
      </c>
      <c r="C32" s="252"/>
      <c r="D32" s="252"/>
      <c r="E32" s="252"/>
      <c r="F32" s="252"/>
      <c r="G32" s="252"/>
      <c r="H32" s="252"/>
      <c r="I32" s="252"/>
      <c r="J32" s="252"/>
      <c r="K32" s="252"/>
      <c r="L32" s="252"/>
      <c r="M32" s="252"/>
      <c r="N32" s="252"/>
      <c r="O32" s="252"/>
      <c r="P32" s="252"/>
      <c r="Q32" s="253"/>
    </row>
    <row r="33" spans="2:17" ht="29.25" customHeight="1" x14ac:dyDescent="0.35">
      <c r="B33" s="3" t="str">
        <f>'APPENDIX 13'!B33</f>
        <v>CONTINENTAL REINSURANCE</v>
      </c>
      <c r="C33" s="15">
        <f>'APPENDIX 6'!C33+'APPENDIX 7'!C33+'APPENDIX 8'!C33+'APPENDIX 9'!C33+'APPENDIX 10'!C33+'APPENDIX 11'!C33+PENSIONS!C33</f>
        <v>0</v>
      </c>
      <c r="D33" s="15">
        <f>'APPENDIX 6'!D33+'APPENDIX 7'!D33+'APPENDIX 8'!D33+'APPENDIX 9'!D33+'APPENDIX 10'!D33+'APPENDIX 11'!D33+PENSIONS!D33</f>
        <v>22961.78</v>
      </c>
      <c r="E33" s="15">
        <f>'APPENDIX 6'!E33+'APPENDIX 7'!E33+'APPENDIX 8'!E33+'APPENDIX 9'!E33+'APPENDIX 10'!E33+'APPENDIX 11'!E33+PENSIONS!E33</f>
        <v>22961.78</v>
      </c>
      <c r="F33" s="15">
        <f>'APPENDIX 6'!F33+'APPENDIX 7'!F33+'APPENDIX 8'!F33+'APPENDIX 9'!F33+'APPENDIX 10'!F33+'APPENDIX 11'!F33+PENSIONS!F33</f>
        <v>0</v>
      </c>
      <c r="G33" s="15">
        <f>'APPENDIX 6'!G33+'APPENDIX 7'!G33+'APPENDIX 8'!G33+'APPENDIX 9'!G33+'APPENDIX 10'!G33+'APPENDIX 11'!G33+PENSIONS!G33</f>
        <v>16283.717000000001</v>
      </c>
      <c r="H33" s="15">
        <f>'APPENDIX 6'!H33+'APPENDIX 7'!H33+'APPENDIX 8'!H33+'APPENDIX 9'!H33+'APPENDIX 10'!H33+'APPENDIX 11'!H33+PENSIONS!H33</f>
        <v>16283.717000000001</v>
      </c>
      <c r="I33" s="15">
        <f>'APPENDIX 6'!I33+'APPENDIX 7'!I33+'APPENDIX 8'!I33+'APPENDIX 9'!I33+'APPENDIX 10'!I33+'APPENDIX 11'!I33+PENSIONS!I33</f>
        <v>0</v>
      </c>
      <c r="J33" s="15">
        <f>'APPENDIX 6'!J33+'APPENDIX 7'!J33+'APPENDIX 8'!J33+'APPENDIX 9'!J33+'APPENDIX 10'!J33+'APPENDIX 11'!J33+PENSIONS!J33</f>
        <v>0</v>
      </c>
      <c r="K33" s="15">
        <f>'APPENDIX 6'!K33+'APPENDIX 7'!K33+'APPENDIX 8'!K33+'APPENDIX 9'!K33+'APPENDIX 10'!K33+'APPENDIX 11'!K33+PENSIONS!K33</f>
        <v>0</v>
      </c>
      <c r="L33" s="15">
        <f>'APPENDIX 6'!L33+'APPENDIX 7'!L33+'APPENDIX 8'!L33+'APPENDIX 9'!L33+'APPENDIX 10'!L33+'APPENDIX 11'!L33+PENSIONS!L33</f>
        <v>7104.3720000000003</v>
      </c>
      <c r="M33" s="15">
        <f>'APPENDIX 6'!M33+'APPENDIX 7'!M33+'APPENDIX 8'!M33+'APPENDIX 9'!M33+'APPENDIX 10'!M33+'APPENDIX 11'!M33+PENSIONS!M33</f>
        <v>1924.579</v>
      </c>
      <c r="N33" s="15">
        <f>'APPENDIX 6'!N33+'APPENDIX 7'!N33+'APPENDIX 8'!N33+'APPENDIX 9'!N33+'APPENDIX 10'!N33+'APPENDIX 11'!N33+PENSIONS!N33</f>
        <v>16974.277999999998</v>
      </c>
      <c r="O33" s="15">
        <f>'APPENDIX 6'!O33+'APPENDIX 7'!O33+'APPENDIX 8'!O33+'APPENDIX 9'!O33+'APPENDIX 10'!O33+'APPENDIX 11'!O33+PENSIONS!O33</f>
        <v>0</v>
      </c>
      <c r="P33" s="15">
        <f>'APPENDIX 6'!P33+'APPENDIX 7'!P33+'APPENDIX 8'!P33+'APPENDIX 9'!P33+'APPENDIX 10'!P33+'APPENDIX 11'!P33+PENSIONS!P33</f>
        <v>0</v>
      </c>
      <c r="Q33" s="16">
        <f>'APPENDIX 6'!Q33+'APPENDIX 7'!Q33+'APPENDIX 8'!Q33+'APPENDIX 9'!Q33+'APPENDIX 10'!Q33+'APPENDIX 11'!Q33+PENSIONS!Q33</f>
        <v>14623.39</v>
      </c>
    </row>
    <row r="34" spans="2:17" ht="29.25" customHeight="1" x14ac:dyDescent="0.35">
      <c r="B34" s="3" t="str">
        <f>'APPENDIX 13'!B34</f>
        <v xml:space="preserve">EAST AFRICA REINSURANCE </v>
      </c>
      <c r="C34" s="15">
        <f>'APPENDIX 6'!C34+'APPENDIX 7'!C34+'APPENDIX 8'!C34+'APPENDIX 9'!C34+'APPENDIX 10'!C34+'APPENDIX 11'!C34+PENSIONS!C34</f>
        <v>1179335.9383121007</v>
      </c>
      <c r="D34" s="15">
        <f>'APPENDIX 6'!D34+'APPENDIX 7'!D34+'APPENDIX 8'!D34+'APPENDIX 9'!D34+'APPENDIX 10'!D34+'APPENDIX 11'!D34+PENSIONS!D34</f>
        <v>361178.94578523317</v>
      </c>
      <c r="E34" s="15">
        <f>'APPENDIX 6'!E34+'APPENDIX 7'!E34+'APPENDIX 8'!E34+'APPENDIX 9'!E34+'APPENDIX 10'!E34+'APPENDIX 11'!E34+PENSIONS!E34</f>
        <v>301354.61034612491</v>
      </c>
      <c r="F34" s="15">
        <f>'APPENDIX 6'!F34+'APPENDIX 7'!F34+'APPENDIX 8'!F34+'APPENDIX 9'!F34+'APPENDIX 10'!F34+'APPENDIX 11'!F34+PENSIONS!F34</f>
        <v>0</v>
      </c>
      <c r="G34" s="15">
        <f>'APPENDIX 6'!G34+'APPENDIX 7'!G34+'APPENDIX 8'!G34+'APPENDIX 9'!G34+'APPENDIX 10'!G34+'APPENDIX 11'!G34+PENSIONS!G34</f>
        <v>149866.93351922993</v>
      </c>
      <c r="H34" s="15">
        <f>'APPENDIX 6'!H34+'APPENDIX 7'!H34+'APPENDIX 8'!H34+'APPENDIX 9'!H34+'APPENDIX 10'!H34+'APPENDIX 11'!H34+PENSIONS!H34</f>
        <v>149866.93351922993</v>
      </c>
      <c r="I34" s="15">
        <f>'APPENDIX 6'!I34+'APPENDIX 7'!I34+'APPENDIX 8'!I34+'APPENDIX 9'!I34+'APPENDIX 10'!I34+'APPENDIX 11'!I34+PENSIONS!I34</f>
        <v>0</v>
      </c>
      <c r="J34" s="15">
        <f>'APPENDIX 6'!J34+'APPENDIX 7'!J34+'APPENDIX 8'!J34+'APPENDIX 9'!J34+'APPENDIX 10'!J34+'APPENDIX 11'!J34+PENSIONS!J34</f>
        <v>0</v>
      </c>
      <c r="K34" s="15">
        <f>'APPENDIX 6'!K34+'APPENDIX 7'!K34+'APPENDIX 8'!K34+'APPENDIX 9'!K34+'APPENDIX 10'!K34+'APPENDIX 11'!K34+PENSIONS!K34</f>
        <v>0</v>
      </c>
      <c r="L34" s="15">
        <f>'APPENDIX 6'!L34+'APPENDIX 7'!L34+'APPENDIX 8'!L34+'APPENDIX 9'!L34+'APPENDIX 10'!L34+'APPENDIX 11'!L34+PENSIONS!L34</f>
        <v>77838.872997251703</v>
      </c>
      <c r="M34" s="15">
        <f>'APPENDIX 6'!M34+'APPENDIX 7'!M34+'APPENDIX 8'!M34+'APPENDIX 9'!M34+'APPENDIX 10'!M34+'APPENDIX 11'!M34+PENSIONS!M34</f>
        <v>21046.337787139164</v>
      </c>
      <c r="N34" s="15">
        <f>'APPENDIX 6'!N34+'APPENDIX 7'!N34+'APPENDIX 8'!N34+'APPENDIX 9'!N34+'APPENDIX 10'!N34+'APPENDIX 11'!N34+PENSIONS!N34</f>
        <v>65895.279569999984</v>
      </c>
      <c r="O34" s="15">
        <f>'APPENDIX 6'!O34+'APPENDIX 7'!O34+'APPENDIX 8'!O34+'APPENDIX 9'!O34+'APPENDIX 10'!O34+'APPENDIX 11'!O34+PENSIONS!O34</f>
        <v>2958.6645320000011</v>
      </c>
      <c r="P34" s="15">
        <f>'APPENDIX 6'!P34+'APPENDIX 7'!P34+'APPENDIX 8'!P34+'APPENDIX 9'!P34+'APPENDIX 10'!P34+'APPENDIX 11'!P34+PENSIONS!P34</f>
        <v>0</v>
      </c>
      <c r="Q34" s="16">
        <f>'APPENDIX 6'!Q34+'APPENDIX 7'!Q34+'APPENDIX 8'!Q34+'APPENDIX 9'!Q34+'APPENDIX 10'!Q34+'APPENDIX 11'!Q34+PENSIONS!Q34</f>
        <v>1294875.0193926047</v>
      </c>
    </row>
    <row r="35" spans="2:17" ht="29.25" customHeight="1" x14ac:dyDescent="0.35">
      <c r="B35" s="3" t="str">
        <f>'APPENDIX 13'!B35</f>
        <v>KENYA REINSURANCE CORPORATION</v>
      </c>
      <c r="C35" s="15">
        <f>'APPENDIX 6'!C35+'APPENDIX 7'!C35+'APPENDIX 8'!C35+'APPENDIX 9'!C35+'APPENDIX 10'!C35+'APPENDIX 11'!C35+PENSIONS!C35</f>
        <v>8381894.9945600014</v>
      </c>
      <c r="D35" s="15">
        <f>'APPENDIX 6'!D35+'APPENDIX 7'!D35+'APPENDIX 8'!D35+'APPENDIX 9'!D35+'APPENDIX 10'!D35+'APPENDIX 11'!D35+PENSIONS!D35</f>
        <v>792690.47199999995</v>
      </c>
      <c r="E35" s="15">
        <f>'APPENDIX 6'!E35+'APPENDIX 7'!E35+'APPENDIX 8'!E35+'APPENDIX 9'!E35+'APPENDIX 10'!E35+'APPENDIX 11'!E35+PENSIONS!E35</f>
        <v>792690.47199999995</v>
      </c>
      <c r="F35" s="15">
        <f>'APPENDIX 6'!F35+'APPENDIX 7'!F35+'APPENDIX 8'!F35+'APPENDIX 9'!F35+'APPENDIX 10'!F35+'APPENDIX 11'!F35+PENSIONS!F35</f>
        <v>0</v>
      </c>
      <c r="G35" s="15">
        <f>'APPENDIX 6'!G35+'APPENDIX 7'!G35+'APPENDIX 8'!G35+'APPENDIX 9'!G35+'APPENDIX 10'!G35+'APPENDIX 11'!G35+PENSIONS!G35</f>
        <v>407753.88400000002</v>
      </c>
      <c r="H35" s="15">
        <f>'APPENDIX 6'!H35+'APPENDIX 7'!H35+'APPENDIX 8'!H35+'APPENDIX 9'!H35+'APPENDIX 10'!H35+'APPENDIX 11'!H35+PENSIONS!H35</f>
        <v>407753.88400000002</v>
      </c>
      <c r="I35" s="15">
        <f>'APPENDIX 6'!I35+'APPENDIX 7'!I35+'APPENDIX 8'!I35+'APPENDIX 9'!I35+'APPENDIX 10'!I35+'APPENDIX 11'!I35+PENSIONS!I35</f>
        <v>0</v>
      </c>
      <c r="J35" s="15">
        <f>'APPENDIX 6'!J35+'APPENDIX 7'!J35+'APPENDIX 8'!J35+'APPENDIX 9'!J35+'APPENDIX 10'!J35+'APPENDIX 11'!J35+PENSIONS!J35</f>
        <v>0</v>
      </c>
      <c r="K35" s="15">
        <f>'APPENDIX 6'!K35+'APPENDIX 7'!K35+'APPENDIX 8'!K35+'APPENDIX 9'!K35+'APPENDIX 10'!K35+'APPENDIX 11'!K35+PENSIONS!K35</f>
        <v>0</v>
      </c>
      <c r="L35" s="15">
        <f>'APPENDIX 6'!L35+'APPENDIX 7'!L35+'APPENDIX 8'!L35+'APPENDIX 9'!L35+'APPENDIX 10'!L35+'APPENDIX 11'!L35+PENSIONS!L35</f>
        <v>339991.22600000002</v>
      </c>
      <c r="M35" s="15">
        <f>'APPENDIX 6'!M35+'APPENDIX 7'!M35+'APPENDIX 8'!M35+'APPENDIX 9'!M35+'APPENDIX 10'!M35+'APPENDIX 11'!M35+PENSIONS!M35</f>
        <v>131088.18</v>
      </c>
      <c r="N35" s="15">
        <f>'APPENDIX 6'!N35+'APPENDIX 7'!N35+'APPENDIX 8'!N35+'APPENDIX 9'!N35+'APPENDIX 10'!N35+'APPENDIX 11'!N35+PENSIONS!N35</f>
        <v>205888.07</v>
      </c>
      <c r="O35" s="15">
        <f>'APPENDIX 6'!O35+'APPENDIX 7'!O35+'APPENDIX 8'!O35+'APPENDIX 9'!O35+'APPENDIX 10'!O35+'APPENDIX 11'!O35+PENSIONS!O35</f>
        <v>0</v>
      </c>
      <c r="P35" s="15">
        <f>'APPENDIX 6'!P35+'APPENDIX 7'!P35+'APPENDIX 8'!P35+'APPENDIX 9'!P35+'APPENDIX 10'!P35+'APPENDIX 11'!P35+PENSIONS!P35</f>
        <v>0</v>
      </c>
      <c r="Q35" s="16">
        <f>'APPENDIX 6'!Q35+'APPENDIX 7'!Q35+'APPENDIX 8'!Q35+'APPENDIX 9'!Q35+'APPENDIX 10'!Q35+'APPENDIX 11'!Q35+PENSIONS!Q35</f>
        <v>8501640.2465600017</v>
      </c>
    </row>
    <row r="36" spans="2:17" ht="29.25" customHeight="1" x14ac:dyDescent="0.35">
      <c r="B36" s="37" t="s">
        <v>90</v>
      </c>
      <c r="C36" s="69">
        <f t="shared" ref="C36:Q36" si="1">SUM(C33:C35)</f>
        <v>9561230.9328721017</v>
      </c>
      <c r="D36" s="69">
        <f t="shared" si="1"/>
        <v>1176831.1977852331</v>
      </c>
      <c r="E36" s="69">
        <f t="shared" si="1"/>
        <v>1117006.8623461248</v>
      </c>
      <c r="F36" s="69">
        <f t="shared" si="1"/>
        <v>0</v>
      </c>
      <c r="G36" s="69">
        <f t="shared" si="1"/>
        <v>573904.53451923002</v>
      </c>
      <c r="H36" s="69">
        <f t="shared" si="1"/>
        <v>573904.53451923002</v>
      </c>
      <c r="I36" s="69">
        <f t="shared" si="1"/>
        <v>0</v>
      </c>
      <c r="J36" s="69">
        <f t="shared" si="1"/>
        <v>0</v>
      </c>
      <c r="K36" s="69">
        <f t="shared" si="1"/>
        <v>0</v>
      </c>
      <c r="L36" s="69">
        <f t="shared" si="1"/>
        <v>424934.47099725174</v>
      </c>
      <c r="M36" s="69">
        <f t="shared" si="1"/>
        <v>154059.09678713916</v>
      </c>
      <c r="N36" s="69">
        <f t="shared" si="1"/>
        <v>288757.62757000001</v>
      </c>
      <c r="O36" s="69">
        <f t="shared" si="1"/>
        <v>2958.6645320000011</v>
      </c>
      <c r="P36" s="69">
        <f t="shared" si="1"/>
        <v>0</v>
      </c>
      <c r="Q36" s="69">
        <f t="shared" si="1"/>
        <v>9811138.6559526064</v>
      </c>
    </row>
    <row r="37" spans="2:17" ht="18" customHeight="1" x14ac:dyDescent="0.35">
      <c r="B37" s="265" t="s">
        <v>98</v>
      </c>
      <c r="C37" s="255"/>
      <c r="D37" s="255"/>
      <c r="E37" s="255"/>
      <c r="F37" s="255"/>
      <c r="G37" s="255"/>
      <c r="H37" s="255"/>
      <c r="I37" s="255"/>
      <c r="J37" s="255"/>
      <c r="K37" s="255"/>
      <c r="L37" s="255"/>
      <c r="M37" s="255"/>
      <c r="N37" s="255"/>
      <c r="O37" s="255"/>
      <c r="P37" s="255"/>
      <c r="Q37" s="255"/>
    </row>
  </sheetData>
  <sheetProtection algorithmName="SHA-512" hashValue="yb07kV8qqBJfg/CgJk0Kg1Ketr+6hz1WJQ85sXW6ZEcgMVCdBzDXzY26JXQbW3Mxk2pegHEZC38YipC44hlA8Q==" saltValue="tpBaqcQ0s90JGstrhoHE2Q==" spinCount="100000" sheet="1" objects="1" scenarios="1"/>
  <mergeCells count="4">
    <mergeCell ref="B32:Q32"/>
    <mergeCell ref="B37:Q37"/>
    <mergeCell ref="B3:Q3"/>
    <mergeCell ref="B5:Q5"/>
  </mergeCells>
  <pageMargins left="0.7" right="0.7" top="0.75" bottom="0.75" header="0.3" footer="0.3"/>
  <pageSetup paperSize="9" scale="38"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6">
    <tabColor rgb="FF92D050"/>
    <pageSetUpPr fitToPage="1"/>
  </sheetPr>
  <dimension ref="B3:S50"/>
  <sheetViews>
    <sheetView zoomScale="73" zoomScaleNormal="70" workbookViewId="0">
      <pane xSplit="2" ySplit="5" topLeftCell="C13" activePane="bottomRight" state="frozen"/>
      <selection pane="topRight" activeCell="C1" sqref="C1"/>
      <selection pane="bottomLeft" activeCell="A6" sqref="A6"/>
      <selection pane="bottomRight" activeCell="B20" sqref="B20"/>
    </sheetView>
  </sheetViews>
  <sheetFormatPr defaultColWidth="11.54296875" defaultRowHeight="19.5" customHeight="1" x14ac:dyDescent="0.35"/>
  <cols>
    <col min="1" max="1" width="17.453125" customWidth="1"/>
    <col min="2" max="2" width="52" bestFit="1" customWidth="1"/>
    <col min="3" max="16" width="19.54296875" customWidth="1"/>
    <col min="17" max="17" width="21.453125" customWidth="1"/>
    <col min="18" max="18" width="19.453125" bestFit="1" customWidth="1"/>
    <col min="19" max="19" width="13.54296875" style="62" bestFit="1" customWidth="1"/>
    <col min="20" max="20" width="11.54296875" customWidth="1"/>
  </cols>
  <sheetData>
    <row r="3" spans="2:18" ht="22.5" customHeight="1" x14ac:dyDescent="0.35">
      <c r="B3" s="267" t="str">
        <f>_xlfn.CONCAT('Table of Contents'!B22,": ",'Table of Contents'!C22)</f>
        <v>APPENDIX 15: SUMMARY OF GROSS  PREMIUM INCOME UNDER GENERAL INSURANCE BUSINESS FOR THE PERIOD ENDED 31.03.2025</v>
      </c>
      <c r="C3" s="252"/>
      <c r="D3" s="252"/>
      <c r="E3" s="252"/>
      <c r="F3" s="252"/>
      <c r="G3" s="252"/>
      <c r="H3" s="252"/>
      <c r="I3" s="252"/>
      <c r="J3" s="252"/>
      <c r="K3" s="252"/>
      <c r="L3" s="252"/>
      <c r="M3" s="252"/>
      <c r="N3" s="252"/>
      <c r="O3" s="252"/>
      <c r="P3" s="252"/>
      <c r="Q3" s="252"/>
      <c r="R3" s="253"/>
    </row>
    <row r="4" spans="2:18" s="198" customFormat="1" ht="55" customHeight="1" x14ac:dyDescent="0.35">
      <c r="B4" s="157" t="s">
        <v>36</v>
      </c>
      <c r="C4" s="156" t="s">
        <v>156</v>
      </c>
      <c r="D4" s="156" t="s">
        <v>157</v>
      </c>
      <c r="E4" s="156" t="s">
        <v>158</v>
      </c>
      <c r="F4" s="156" t="s">
        <v>159</v>
      </c>
      <c r="G4" s="156" t="s">
        <v>160</v>
      </c>
      <c r="H4" s="156" t="s">
        <v>161</v>
      </c>
      <c r="I4" s="156" t="s">
        <v>162</v>
      </c>
      <c r="J4" s="156" t="s">
        <v>163</v>
      </c>
      <c r="K4" s="156" t="s">
        <v>164</v>
      </c>
      <c r="L4" s="156" t="s">
        <v>165</v>
      </c>
      <c r="M4" s="156" t="s">
        <v>166</v>
      </c>
      <c r="N4" s="156" t="s">
        <v>167</v>
      </c>
      <c r="O4" s="156" t="s">
        <v>168</v>
      </c>
      <c r="P4" s="156" t="s">
        <v>169</v>
      </c>
      <c r="Q4" s="156" t="s">
        <v>170</v>
      </c>
      <c r="R4" s="156" t="s">
        <v>137</v>
      </c>
    </row>
    <row r="5" spans="2:18" ht="19.5" customHeight="1" x14ac:dyDescent="0.35">
      <c r="B5" s="261" t="s">
        <v>53</v>
      </c>
      <c r="C5" s="252"/>
      <c r="D5" s="252"/>
      <c r="E5" s="252"/>
      <c r="F5" s="252"/>
      <c r="G5" s="252"/>
      <c r="H5" s="252"/>
      <c r="I5" s="252"/>
      <c r="J5" s="252"/>
      <c r="K5" s="252"/>
      <c r="L5" s="252"/>
      <c r="M5" s="252"/>
      <c r="N5" s="252"/>
      <c r="O5" s="252"/>
      <c r="P5" s="252"/>
      <c r="Q5" s="252"/>
      <c r="R5" s="253"/>
    </row>
    <row r="6" spans="2:18" ht="32.25" customHeight="1" x14ac:dyDescent="0.35">
      <c r="B6" s="149" t="str">
        <f>GDP!B6</f>
        <v>AAR INSURANCE KENYA</v>
      </c>
      <c r="C6" s="67">
        <f>GDP!C6+INWARD!C6</f>
        <v>0</v>
      </c>
      <c r="D6" s="67">
        <f>GDP!D6+INWARD!D6</f>
        <v>1119.5712000000001</v>
      </c>
      <c r="E6" s="67">
        <f>GDP!E6+INWARD!E6</f>
        <v>309.63315999999998</v>
      </c>
      <c r="F6" s="67">
        <f>GDP!F6+INWARD!F6</f>
        <v>6656.6433299999999</v>
      </c>
      <c r="G6" s="67">
        <f>GDP!G6+INWARD!G6</f>
        <v>9124.4545999999991</v>
      </c>
      <c r="H6" s="67">
        <f>GDP!H6+INWARD!H6</f>
        <v>48.25</v>
      </c>
      <c r="I6" s="67">
        <f>GDP!I6+INWARD!I6</f>
        <v>0</v>
      </c>
      <c r="J6" s="67">
        <f>GDP!J6+INWARD!J6</f>
        <v>0</v>
      </c>
      <c r="K6" s="67">
        <f>GDP!K6+INWARD!K6</f>
        <v>0</v>
      </c>
      <c r="L6" s="67">
        <f>GDP!L6+INWARD!L6</f>
        <v>3405.4688000000001</v>
      </c>
      <c r="M6" s="67">
        <f>GDP!M6+INWARD!M6</f>
        <v>6070.6072300000014</v>
      </c>
      <c r="N6" s="67">
        <f>GDP!N6+INWARD!N6</f>
        <v>38019.920339999997</v>
      </c>
      <c r="O6" s="67">
        <f>GDP!O6+INWARD!O6</f>
        <v>3219842.4502884191</v>
      </c>
      <c r="P6" s="67">
        <f>GDP!P6+INWARD!P6</f>
        <v>6555.1320799999994</v>
      </c>
      <c r="Q6" s="68">
        <f t="shared" ref="Q6:Q41" si="0">SUM(C6:P6)</f>
        <v>3291152.1310284189</v>
      </c>
      <c r="R6" s="150">
        <f t="shared" ref="R6:R42" si="1">(Q6/$Q$42)*100</f>
        <v>4.3565164074809379</v>
      </c>
    </row>
    <row r="7" spans="2:18" ht="32.25" customHeight="1" x14ac:dyDescent="0.35">
      <c r="B7" s="149" t="str">
        <f>GDP!B7</f>
        <v xml:space="preserve">AFRICAN MERCHANT ASSURANCE </v>
      </c>
      <c r="C7" s="67">
        <f>GDP!C7+INWARD!C7</f>
        <v>0</v>
      </c>
      <c r="D7" s="67">
        <f>GDP!D7+INWARD!D7</f>
        <v>17139.147000000001</v>
      </c>
      <c r="E7" s="67">
        <f>GDP!E7+INWARD!E7</f>
        <v>123.53700000000001</v>
      </c>
      <c r="F7" s="67">
        <f>GDP!F7+INWARD!F7</f>
        <v>925.93200000000002</v>
      </c>
      <c r="G7" s="67">
        <f>GDP!G7+INWARD!G7</f>
        <v>6413.55</v>
      </c>
      <c r="H7" s="67">
        <f>GDP!H7+INWARD!H7</f>
        <v>1912.7090000000001</v>
      </c>
      <c r="I7" s="67">
        <f>GDP!I7+INWARD!I7</f>
        <v>118667.337</v>
      </c>
      <c r="J7" s="67">
        <f>GDP!J7+INWARD!J7</f>
        <v>170748.09400000001</v>
      </c>
      <c r="K7" s="67">
        <f>GDP!K7+INWARD!K7</f>
        <v>755613.81400000001</v>
      </c>
      <c r="L7" s="67">
        <f>GDP!L7+INWARD!L7</f>
        <v>4683.585</v>
      </c>
      <c r="M7" s="67">
        <f>GDP!M7+INWARD!M7</f>
        <v>1420.537</v>
      </c>
      <c r="N7" s="67">
        <f>GDP!N7+INWARD!N7</f>
        <v>54120.591</v>
      </c>
      <c r="O7" s="67">
        <f>GDP!O7+INWARD!O7</f>
        <v>0</v>
      </c>
      <c r="P7" s="67">
        <f>GDP!P7+INWARD!P7</f>
        <v>7780.29</v>
      </c>
      <c r="Q7" s="68">
        <f t="shared" si="0"/>
        <v>1139549.1230000001</v>
      </c>
      <c r="R7" s="150">
        <f t="shared" si="1"/>
        <v>1.5084275213764482</v>
      </c>
    </row>
    <row r="8" spans="2:18" ht="32.25" customHeight="1" x14ac:dyDescent="0.35">
      <c r="B8" s="149" t="str">
        <f>GDP!B8</f>
        <v>APA INSURANCE COMPANY</v>
      </c>
      <c r="C8" s="67">
        <f>GDP!C8+INWARD!C8</f>
        <v>108049.902</v>
      </c>
      <c r="D8" s="67">
        <f>GDP!D8+INWARD!D8</f>
        <v>121056.133</v>
      </c>
      <c r="E8" s="67">
        <f>GDP!E8+INWARD!E8</f>
        <v>42109.841999999997</v>
      </c>
      <c r="F8" s="67">
        <f>GDP!F8+INWARD!F8</f>
        <v>1033869.8019999999</v>
      </c>
      <c r="G8" s="67">
        <f>GDP!G8+INWARD!G8</f>
        <v>193479.74600000001</v>
      </c>
      <c r="H8" s="67">
        <f>GDP!H8+INWARD!H8</f>
        <v>93265.868000000002</v>
      </c>
      <c r="I8" s="67">
        <f>GDP!I8+INWARD!I8</f>
        <v>885955.21799999999</v>
      </c>
      <c r="J8" s="67">
        <f>GDP!J8+INWARD!J8</f>
        <v>766252.11699999997</v>
      </c>
      <c r="K8" s="67">
        <f>GDP!K8+INWARD!K8</f>
        <v>0</v>
      </c>
      <c r="L8" s="67">
        <f>GDP!L8+INWARD!L8</f>
        <v>96001.303</v>
      </c>
      <c r="M8" s="67">
        <f>GDP!M8+INWARD!M8</f>
        <v>120712.96400000001</v>
      </c>
      <c r="N8" s="67">
        <f>GDP!N8+INWARD!N8</f>
        <v>275475.212</v>
      </c>
      <c r="O8" s="67">
        <f>GDP!O8+INWARD!O8</f>
        <v>2892011.5529999998</v>
      </c>
      <c r="P8" s="67">
        <f>GDP!P8+INWARD!P8</f>
        <v>124290.992</v>
      </c>
      <c r="Q8" s="68">
        <f t="shared" si="0"/>
        <v>6752530.6519999998</v>
      </c>
      <c r="R8" s="150">
        <f t="shared" si="1"/>
        <v>8.9383624354865567</v>
      </c>
    </row>
    <row r="9" spans="2:18" ht="32.25" customHeight="1" x14ac:dyDescent="0.35">
      <c r="B9" s="149" t="str">
        <f>GDP!B9</f>
        <v>BRITAM GENERAL INSURANCE</v>
      </c>
      <c r="C9" s="67">
        <f>GDP!C9+INWARD!C9</f>
        <v>36227.084609999998</v>
      </c>
      <c r="D9" s="67">
        <f>GDP!D9+INWARD!D9</f>
        <v>391119.43768000003</v>
      </c>
      <c r="E9" s="67">
        <f>GDP!E9+INWARD!E9</f>
        <v>63255.38147</v>
      </c>
      <c r="F9" s="67">
        <f>GDP!F9+INWARD!F9</f>
        <v>630081.58652000013</v>
      </c>
      <c r="G9" s="67">
        <f>GDP!G9+INWARD!G9</f>
        <v>238011.22107999999</v>
      </c>
      <c r="H9" s="67">
        <f>GDP!H9+INWARD!H9</f>
        <v>142006.4596200001</v>
      </c>
      <c r="I9" s="67">
        <f>GDP!I9+INWARD!I9</f>
        <v>429799.26719999901</v>
      </c>
      <c r="J9" s="67">
        <f>GDP!J9+INWARD!J9</f>
        <v>211326.37179</v>
      </c>
      <c r="K9" s="67">
        <f>GDP!K9+INWARD!K9</f>
        <v>0</v>
      </c>
      <c r="L9" s="67">
        <f>GDP!L9+INWARD!L9</f>
        <v>70428.081277466277</v>
      </c>
      <c r="M9" s="67">
        <f>GDP!M9+INWARD!M9</f>
        <v>399326.43423999997</v>
      </c>
      <c r="N9" s="67">
        <f>GDP!N9+INWARD!N9</f>
        <v>146776.62818999999</v>
      </c>
      <c r="O9" s="67">
        <f>GDP!O9+INWARD!O9</f>
        <v>2047252.2644164269</v>
      </c>
      <c r="P9" s="67">
        <f>GDP!P9+INWARD!P9</f>
        <v>22067.00734</v>
      </c>
      <c r="Q9" s="68">
        <f t="shared" si="0"/>
        <v>4827677.2254338926</v>
      </c>
      <c r="R9" s="150">
        <f t="shared" si="1"/>
        <v>6.3904232333534736</v>
      </c>
    </row>
    <row r="10" spans="2:18" ht="32.25" customHeight="1" x14ac:dyDescent="0.35">
      <c r="B10" s="149" t="str">
        <f>GDP!B10</f>
        <v>CANNON GENERAL INSURANCE (K) LIMITED</v>
      </c>
      <c r="C10" s="67">
        <f>GDP!C10+INWARD!C10</f>
        <v>0</v>
      </c>
      <c r="D10" s="67">
        <f>GDP!D10+INWARD!D10</f>
        <v>42627.41</v>
      </c>
      <c r="E10" s="67">
        <f>GDP!E10+INWARD!E10</f>
        <v>5021.1260000000002</v>
      </c>
      <c r="F10" s="67">
        <f>GDP!F10+INWARD!F10</f>
        <v>20876.229510000001</v>
      </c>
      <c r="G10" s="67">
        <f>GDP!G10+INWARD!G10</f>
        <v>9073.7200000000012</v>
      </c>
      <c r="H10" s="67">
        <f>GDP!H10+INWARD!H10</f>
        <v>14855.732</v>
      </c>
      <c r="I10" s="67">
        <f>GDP!I10+INWARD!I10</f>
        <v>377050.89970999997</v>
      </c>
      <c r="J10" s="67">
        <f>GDP!J10+INWARD!J10</f>
        <v>113456.02100000001</v>
      </c>
      <c r="K10" s="67">
        <f>GDP!K10+INWARD!K10</f>
        <v>0</v>
      </c>
      <c r="L10" s="67">
        <f>GDP!L10+INWARD!L10</f>
        <v>11173.584999999999</v>
      </c>
      <c r="M10" s="67">
        <f>GDP!M10+INWARD!M10</f>
        <v>7309.9639999999999</v>
      </c>
      <c r="N10" s="67">
        <f>GDP!N10+INWARD!N10</f>
        <v>38617.26</v>
      </c>
      <c r="O10" s="67">
        <f>GDP!O10+INWARD!O10</f>
        <v>0</v>
      </c>
      <c r="P10" s="67">
        <f>GDP!P10+INWARD!P10</f>
        <v>10559.630999999999</v>
      </c>
      <c r="Q10" s="68">
        <f t="shared" si="0"/>
        <v>650621.57822000014</v>
      </c>
      <c r="R10" s="150">
        <f t="shared" si="1"/>
        <v>0.86123140703643686</v>
      </c>
    </row>
    <row r="11" spans="2:18" ht="32.25" customHeight="1" x14ac:dyDescent="0.35">
      <c r="B11" s="149" t="str">
        <f>GDP!B11</f>
        <v>CIC GENERAL INSURANCE COMPANY</v>
      </c>
      <c r="C11" s="67">
        <f>GDP!C11+INWARD!C11</f>
        <v>0</v>
      </c>
      <c r="D11" s="67">
        <f>GDP!D11+INWARD!D11</f>
        <v>58747.372730000003</v>
      </c>
      <c r="E11" s="67">
        <f>GDP!E11+INWARD!E11</f>
        <v>38529.770409999997</v>
      </c>
      <c r="F11" s="67">
        <f>GDP!F11+INWARD!F11</f>
        <v>188258.39174000011</v>
      </c>
      <c r="G11" s="67">
        <f>GDP!G11+INWARD!G11</f>
        <v>72114.884680000003</v>
      </c>
      <c r="H11" s="67">
        <f>GDP!H11+INWARD!H11</f>
        <v>35120.502380000005</v>
      </c>
      <c r="I11" s="67">
        <f>GDP!I11+INWARD!I11</f>
        <v>872590.45499000035</v>
      </c>
      <c r="J11" s="67">
        <f>GDP!J11+INWARD!J11</f>
        <v>703727.45675000013</v>
      </c>
      <c r="K11" s="67">
        <f>GDP!K11+INWARD!K11</f>
        <v>0</v>
      </c>
      <c r="L11" s="67">
        <f>GDP!L11+INWARD!L11</f>
        <v>165872.64219000001</v>
      </c>
      <c r="M11" s="67">
        <f>GDP!M11+INWARD!M11</f>
        <v>400790.9679799999</v>
      </c>
      <c r="N11" s="67">
        <f>GDP!N11+INWARD!N11</f>
        <v>209133.73245000001</v>
      </c>
      <c r="O11" s="67">
        <f>GDP!O11+INWARD!O11</f>
        <v>3775590.254579999</v>
      </c>
      <c r="P11" s="67">
        <f>GDP!P11+INWARD!P11</f>
        <v>78636.963119380453</v>
      </c>
      <c r="Q11" s="68">
        <f t="shared" si="0"/>
        <v>6599113.3939993791</v>
      </c>
      <c r="R11" s="150">
        <f t="shared" si="1"/>
        <v>8.7352831565406799</v>
      </c>
    </row>
    <row r="12" spans="2:18" ht="32.25" customHeight="1" x14ac:dyDescent="0.35">
      <c r="B12" s="149" t="str">
        <f>GDP!B12</f>
        <v>CORPORATE INSURANCE COMPANY</v>
      </c>
      <c r="C12" s="67">
        <f>GDP!C12+INWARD!C12</f>
        <v>0</v>
      </c>
      <c r="D12" s="67">
        <f>GDP!D12+INWARD!D12</f>
        <v>3199.4291892417668</v>
      </c>
      <c r="E12" s="67">
        <f>GDP!E12+INWARD!E12</f>
        <v>1207.5994867563554</v>
      </c>
      <c r="F12" s="67">
        <f>GDP!F12+INWARD!F12</f>
        <v>6994.3158595168461</v>
      </c>
      <c r="G12" s="67">
        <f>GDP!G12+INWARD!G12</f>
        <v>2051.4667789229261</v>
      </c>
      <c r="H12" s="67">
        <f>GDP!H12+INWARD!H12</f>
        <v>683.15548678498135</v>
      </c>
      <c r="I12" s="67">
        <f>GDP!I12+INWARD!I12</f>
        <v>14116.570661188816</v>
      </c>
      <c r="J12" s="67">
        <f>GDP!J12+INWARD!J12</f>
        <v>6168.2494478966209</v>
      </c>
      <c r="K12" s="67">
        <f>GDP!K12+INWARD!K12</f>
        <v>0</v>
      </c>
      <c r="L12" s="67">
        <f>GDP!L12+INWARD!L12</f>
        <v>2608.5153199828528</v>
      </c>
      <c r="M12" s="67">
        <f>GDP!M12+INWARD!M12</f>
        <v>1849.9515154124654</v>
      </c>
      <c r="N12" s="67">
        <f>GDP!N12+INWARD!N12</f>
        <v>3752.2722831321107</v>
      </c>
      <c r="O12" s="67">
        <f>GDP!O12+INWARD!O12</f>
        <v>0</v>
      </c>
      <c r="P12" s="67">
        <f>GDP!P12+INWARD!P12</f>
        <v>2362.3360486642705</v>
      </c>
      <c r="Q12" s="68">
        <f t="shared" si="0"/>
        <v>44993.862077500016</v>
      </c>
      <c r="R12" s="150">
        <f t="shared" si="1"/>
        <v>5.9558625846721933E-2</v>
      </c>
    </row>
    <row r="13" spans="2:18" ht="32.25" customHeight="1" x14ac:dyDescent="0.35">
      <c r="B13" s="149" t="str">
        <f>GDP!B13</f>
        <v>DEFINITE ASSURANCE COMPANY</v>
      </c>
      <c r="C13" s="67">
        <f>GDP!C13+INWARD!C13</f>
        <v>0</v>
      </c>
      <c r="D13" s="67">
        <f>GDP!D13+INWARD!D13</f>
        <v>56.4</v>
      </c>
      <c r="E13" s="67">
        <f>GDP!E13+INWARD!E13</f>
        <v>0</v>
      </c>
      <c r="F13" s="67">
        <f>GDP!F13+INWARD!F13</f>
        <v>239.36699999999999</v>
      </c>
      <c r="G13" s="67">
        <f>GDP!G13+INWARD!G13</f>
        <v>0</v>
      </c>
      <c r="H13" s="67">
        <f>GDP!H13+INWARD!H13</f>
        <v>0</v>
      </c>
      <c r="I13" s="67">
        <f>GDP!I13+INWARD!I13</f>
        <v>11605.909460000001</v>
      </c>
      <c r="J13" s="67">
        <f>GDP!J13+INWARD!J13</f>
        <v>5360.2654000000002</v>
      </c>
      <c r="K13" s="67">
        <f>GDP!K13+INWARD!K13</f>
        <v>32408.96631</v>
      </c>
      <c r="L13" s="67">
        <f>GDP!L13+INWARD!L13</f>
        <v>1.246</v>
      </c>
      <c r="M13" s="67">
        <f>GDP!M13+INWARD!M13</f>
        <v>500.54399999999998</v>
      </c>
      <c r="N13" s="67">
        <f>GDP!N13+INWARD!N13</f>
        <v>30.803000000000001</v>
      </c>
      <c r="O13" s="67">
        <f>GDP!O13+INWARD!O13</f>
        <v>0</v>
      </c>
      <c r="P13" s="67">
        <f>GDP!P13+INWARD!P13</f>
        <v>20073.794999999998</v>
      </c>
      <c r="Q13" s="68">
        <f t="shared" si="0"/>
        <v>70277.296169999987</v>
      </c>
      <c r="R13" s="150">
        <f t="shared" si="1"/>
        <v>9.302644838308706E-2</v>
      </c>
    </row>
    <row r="14" spans="2:18" ht="32.25" customHeight="1" x14ac:dyDescent="0.35">
      <c r="B14" s="149" t="str">
        <f>GDP!B14</f>
        <v>DIRECTLINE ASSURANCE COMPANY</v>
      </c>
      <c r="C14" s="67">
        <f>GDP!C14+INWARD!C14</f>
        <v>0</v>
      </c>
      <c r="D14" s="67">
        <f>GDP!D14+INWARD!D14</f>
        <v>0</v>
      </c>
      <c r="E14" s="67">
        <f>GDP!E14+INWARD!E14</f>
        <v>0</v>
      </c>
      <c r="F14" s="67">
        <f>GDP!F14+INWARD!F14</f>
        <v>0</v>
      </c>
      <c r="G14" s="67">
        <f>GDP!G14+INWARD!G14</f>
        <v>0</v>
      </c>
      <c r="H14" s="67">
        <f>GDP!H14+INWARD!H14</f>
        <v>0</v>
      </c>
      <c r="I14" s="67">
        <f>GDP!I14+INWARD!I14</f>
        <v>70428.599379999971</v>
      </c>
      <c r="J14" s="67">
        <f>GDP!J14+INWARD!J14</f>
        <v>24195.188699999999</v>
      </c>
      <c r="K14" s="67">
        <f>GDP!K14+INWARD!K14</f>
        <v>492642.56779000012</v>
      </c>
      <c r="L14" s="67">
        <f>GDP!L14+INWARD!L14</f>
        <v>0</v>
      </c>
      <c r="M14" s="67">
        <f>GDP!M14+INWARD!M14</f>
        <v>0</v>
      </c>
      <c r="N14" s="67">
        <f>GDP!N14+INWARD!N14</f>
        <v>0</v>
      </c>
      <c r="O14" s="67">
        <f>GDP!O14+INWARD!O14</f>
        <v>0</v>
      </c>
      <c r="P14" s="67">
        <f>GDP!P14+INWARD!P14</f>
        <v>0</v>
      </c>
      <c r="Q14" s="68">
        <f t="shared" si="0"/>
        <v>587266.35587000009</v>
      </c>
      <c r="R14" s="150">
        <f t="shared" si="1"/>
        <v>0.77736774632466921</v>
      </c>
    </row>
    <row r="15" spans="2:18" ht="32.25" customHeight="1" x14ac:dyDescent="0.35">
      <c r="B15" s="149" t="str">
        <f>GDP!B15</f>
        <v>EQUITY GENERAL INSURANCE LIMITED</v>
      </c>
      <c r="C15" s="67">
        <f>GDP!C15+INWARD!C15</f>
        <v>0</v>
      </c>
      <c r="D15" s="67">
        <f>GDP!D15+INWARD!D15</f>
        <v>20436.198</v>
      </c>
      <c r="E15" s="67">
        <f>GDP!E15+INWARD!E15</f>
        <v>0</v>
      </c>
      <c r="F15" s="67">
        <f>GDP!F15+INWARD!F15</f>
        <v>33569.195</v>
      </c>
      <c r="G15" s="67">
        <f>GDP!G15+INWARD!G15</f>
        <v>42088.970999999998</v>
      </c>
      <c r="H15" s="67">
        <f>GDP!H15+INWARD!H15</f>
        <v>0</v>
      </c>
      <c r="I15" s="67">
        <f>GDP!I15+INWARD!I15</f>
        <v>0</v>
      </c>
      <c r="J15" s="67">
        <f>GDP!J15+INWARD!J15</f>
        <v>0</v>
      </c>
      <c r="K15" s="67">
        <f>GDP!K15+INWARD!K15</f>
        <v>0</v>
      </c>
      <c r="L15" s="67">
        <f>GDP!L15+INWARD!L15</f>
        <v>0</v>
      </c>
      <c r="M15" s="67">
        <f>GDP!M15+INWARD!M15</f>
        <v>97072.728000000003</v>
      </c>
      <c r="N15" s="67">
        <f>GDP!N15+INWARD!N15</f>
        <v>0</v>
      </c>
      <c r="O15" s="67">
        <f>GDP!O15+INWARD!O15</f>
        <v>1165374.3810000001</v>
      </c>
      <c r="P15" s="67">
        <f>GDP!P15+INWARD!P15</f>
        <v>0</v>
      </c>
      <c r="Q15" s="68">
        <f t="shared" si="0"/>
        <v>1358541.473</v>
      </c>
      <c r="R15" s="150">
        <f t="shared" si="1"/>
        <v>1.7983089148535976</v>
      </c>
    </row>
    <row r="16" spans="2:18" ht="32.25" customHeight="1" x14ac:dyDescent="0.35">
      <c r="B16" s="149" t="str">
        <f>GDP!B16</f>
        <v xml:space="preserve">FIDELITY SHIELD INSURANCE  </v>
      </c>
      <c r="C16" s="67">
        <f>GDP!C16+INWARD!C16</f>
        <v>2366.1909999999998</v>
      </c>
      <c r="D16" s="67">
        <f>GDP!D16+INWARD!D16</f>
        <v>28167.013999999999</v>
      </c>
      <c r="E16" s="67">
        <f>GDP!E16+INWARD!E16</f>
        <v>13590.243</v>
      </c>
      <c r="F16" s="67">
        <f>GDP!F16+INWARD!F16</f>
        <v>143092.391</v>
      </c>
      <c r="G16" s="67">
        <f>GDP!G16+INWARD!G16</f>
        <v>26636.739000000001</v>
      </c>
      <c r="H16" s="67">
        <f>GDP!H16+INWARD!H16</f>
        <v>34615.256999999998</v>
      </c>
      <c r="I16" s="67">
        <f>GDP!I16+INWARD!I16</f>
        <v>378001.51799999998</v>
      </c>
      <c r="J16" s="67">
        <f>GDP!J16+INWARD!J16</f>
        <v>464242.788</v>
      </c>
      <c r="K16" s="67">
        <f>GDP!K16+INWARD!K16</f>
        <v>13029.923000000001</v>
      </c>
      <c r="L16" s="67">
        <f>GDP!L16+INWARD!L16</f>
        <v>3377.34</v>
      </c>
      <c r="M16" s="67">
        <f>GDP!M16+INWARD!M16</f>
        <v>35284.326999999997</v>
      </c>
      <c r="N16" s="67">
        <f>GDP!N16+INWARD!N16</f>
        <v>128901.07399999999</v>
      </c>
      <c r="O16" s="67">
        <f>GDP!O16+INWARD!O16</f>
        <v>130142.989</v>
      </c>
      <c r="P16" s="67">
        <f>GDP!P16+INWARD!P16</f>
        <v>81965.320000000007</v>
      </c>
      <c r="Q16" s="68">
        <f t="shared" si="0"/>
        <v>1483413.1140000003</v>
      </c>
      <c r="R16" s="150">
        <f t="shared" si="1"/>
        <v>1.9636022015773504</v>
      </c>
    </row>
    <row r="17" spans="2:18" ht="32.25" customHeight="1" x14ac:dyDescent="0.35">
      <c r="B17" s="149" t="str">
        <f>GDP!B17</f>
        <v>FIRST ASSURANCE COMPANY</v>
      </c>
      <c r="C17" s="67">
        <f>GDP!C17+INWARD!C17</f>
        <v>0</v>
      </c>
      <c r="D17" s="67">
        <f>GDP!D17+INWARD!D17</f>
        <v>56141.826999999997</v>
      </c>
      <c r="E17" s="67">
        <f>GDP!E17+INWARD!E17</f>
        <v>15720.311</v>
      </c>
      <c r="F17" s="67">
        <f>GDP!F17+INWARD!F17</f>
        <v>242252.413</v>
      </c>
      <c r="G17" s="67">
        <f>GDP!G17+INWARD!G17</f>
        <v>34408.928</v>
      </c>
      <c r="H17" s="67">
        <f>GDP!H17+INWARD!H17</f>
        <v>65226.476999999999</v>
      </c>
      <c r="I17" s="67">
        <f>GDP!I17+INWARD!I17</f>
        <v>221356.821</v>
      </c>
      <c r="J17" s="67">
        <f>GDP!J17+INWARD!J17</f>
        <v>208607.29699999999</v>
      </c>
      <c r="K17" s="67">
        <f>GDP!K17+INWARD!K17</f>
        <v>0</v>
      </c>
      <c r="L17" s="67">
        <f>GDP!L17+INWARD!L17</f>
        <v>66685.94</v>
      </c>
      <c r="M17" s="67">
        <f>GDP!M17+INWARD!M17</f>
        <v>38124.641000000003</v>
      </c>
      <c r="N17" s="67">
        <f>GDP!N17+INWARD!N17</f>
        <v>44003.951000000001</v>
      </c>
      <c r="O17" s="67">
        <f>GDP!O17+INWARD!O17</f>
        <v>1855118.4410000001</v>
      </c>
      <c r="P17" s="67">
        <f>GDP!P17+INWARD!P17</f>
        <v>35898.383999999998</v>
      </c>
      <c r="Q17" s="68">
        <f t="shared" si="0"/>
        <v>2883545.4310000003</v>
      </c>
      <c r="R17" s="150">
        <f t="shared" si="1"/>
        <v>3.8169651482937534</v>
      </c>
    </row>
    <row r="18" spans="2:18" ht="32.25" customHeight="1" x14ac:dyDescent="0.35">
      <c r="B18" s="149" t="str">
        <f>GDP!B18</f>
        <v>GA INSURANCE COMPANY</v>
      </c>
      <c r="C18" s="67">
        <f>GDP!C18+INWARD!C18</f>
        <v>338883.66899999999</v>
      </c>
      <c r="D18" s="67">
        <f>GDP!D18+INWARD!D18</f>
        <v>389858.66599999997</v>
      </c>
      <c r="E18" s="67">
        <f>GDP!E18+INWARD!E18</f>
        <v>74403.430999999997</v>
      </c>
      <c r="F18" s="67">
        <f>GDP!F18+INWARD!F18</f>
        <v>1572389.1229999999</v>
      </c>
      <c r="G18" s="67">
        <f>GDP!G18+INWARD!G18</f>
        <v>102723.266</v>
      </c>
      <c r="H18" s="67">
        <f>GDP!H18+INWARD!H18</f>
        <v>196117.88199999998</v>
      </c>
      <c r="I18" s="67">
        <f>GDP!I18+INWARD!I18</f>
        <v>581216.18799999997</v>
      </c>
      <c r="J18" s="67">
        <f>GDP!J18+INWARD!J18</f>
        <v>589567.25399999996</v>
      </c>
      <c r="K18" s="67">
        <f>GDP!K18+INWARD!K18</f>
        <v>56642.11</v>
      </c>
      <c r="L18" s="67">
        <f>GDP!L18+INWARD!L18</f>
        <v>49247.999000000003</v>
      </c>
      <c r="M18" s="67">
        <f>GDP!M18+INWARD!M18</f>
        <v>304303.57500000001</v>
      </c>
      <c r="N18" s="67">
        <f>GDP!N18+INWARD!N18</f>
        <v>430795.85399999999</v>
      </c>
      <c r="O18" s="67">
        <f>GDP!O18+INWARD!O18</f>
        <v>1910582.0060000001</v>
      </c>
      <c r="P18" s="67">
        <f>GDP!P18+INWARD!P18</f>
        <v>115849.902</v>
      </c>
      <c r="Q18" s="68">
        <f t="shared" si="0"/>
        <v>6712580.9249999989</v>
      </c>
      <c r="R18" s="150">
        <f t="shared" si="1"/>
        <v>8.8854807593376322</v>
      </c>
    </row>
    <row r="19" spans="2:18" ht="32.25" customHeight="1" x14ac:dyDescent="0.35">
      <c r="B19" s="149" t="str">
        <f>GDP!B19</f>
        <v xml:space="preserve">GEMINIA INSURANCE COMPANY </v>
      </c>
      <c r="C19" s="67">
        <f>GDP!C19+INWARD!C19</f>
        <v>101320.652</v>
      </c>
      <c r="D19" s="67">
        <f>GDP!D19+INWARD!D19</f>
        <v>50488.236999999994</v>
      </c>
      <c r="E19" s="67">
        <f>GDP!E19+INWARD!E19</f>
        <v>33722.334999999999</v>
      </c>
      <c r="F19" s="67">
        <f>GDP!F19+INWARD!F19</f>
        <v>240879.304</v>
      </c>
      <c r="G19" s="67">
        <f>GDP!G19+INWARD!G19</f>
        <v>60984.31</v>
      </c>
      <c r="H19" s="67">
        <f>GDP!H19+INWARD!H19</f>
        <v>262285.93</v>
      </c>
      <c r="I19" s="67">
        <f>GDP!I19+INWARD!I19</f>
        <v>353729.22</v>
      </c>
      <c r="J19" s="67">
        <f>GDP!J19+INWARD!J19</f>
        <v>463839.06199999998</v>
      </c>
      <c r="K19" s="67">
        <f>GDP!K19+INWARD!K19</f>
        <v>0</v>
      </c>
      <c r="L19" s="67">
        <f>GDP!L19+INWARD!L19</f>
        <v>56800.567000000003</v>
      </c>
      <c r="M19" s="67">
        <f>GDP!M19+INWARD!M19</f>
        <v>103112.28599999999</v>
      </c>
      <c r="N19" s="67">
        <f>GDP!N19+INWARD!N19</f>
        <v>205962.32200000001</v>
      </c>
      <c r="O19" s="67">
        <f>GDP!O19+INWARD!O19</f>
        <v>0</v>
      </c>
      <c r="P19" s="67">
        <f>GDP!P19+INWARD!P19</f>
        <v>27554.058000000001</v>
      </c>
      <c r="Q19" s="68">
        <f t="shared" si="0"/>
        <v>1960678.2829999998</v>
      </c>
      <c r="R19" s="150">
        <f t="shared" si="1"/>
        <v>2.595360764138221</v>
      </c>
    </row>
    <row r="20" spans="2:18" ht="32.25" customHeight="1" x14ac:dyDescent="0.35">
      <c r="B20" s="149" t="str">
        <f>GDP!B20</f>
        <v>ICEA LION GENERAL INSURANCE</v>
      </c>
      <c r="C20" s="67">
        <f>GDP!C20+INWARD!C20</f>
        <v>297970.93099999998</v>
      </c>
      <c r="D20" s="67">
        <f>GDP!D20+INWARD!D20</f>
        <v>245371.84600000002</v>
      </c>
      <c r="E20" s="67">
        <f>GDP!E20+INWARD!E20</f>
        <v>51591.353999999999</v>
      </c>
      <c r="F20" s="67">
        <f>GDP!F20+INWARD!F20</f>
        <v>636237.12699999998</v>
      </c>
      <c r="G20" s="67">
        <f>GDP!G20+INWARD!G20</f>
        <v>91971.612999999998</v>
      </c>
      <c r="H20" s="67">
        <f>GDP!H20+INWARD!H20</f>
        <v>64390.838000000003</v>
      </c>
      <c r="I20" s="67">
        <f>GDP!I20+INWARD!I20</f>
        <v>724888.45299999998</v>
      </c>
      <c r="J20" s="67">
        <f>GDP!J20+INWARD!J20</f>
        <v>257365.42</v>
      </c>
      <c r="K20" s="67">
        <f>GDP!K20+INWARD!K20</f>
        <v>0</v>
      </c>
      <c r="L20" s="67">
        <f>GDP!L20+INWARD!L20</f>
        <v>95751.474999999991</v>
      </c>
      <c r="M20" s="67">
        <f>GDP!M20+INWARD!M20</f>
        <v>77262.640999999989</v>
      </c>
      <c r="N20" s="67">
        <f>GDP!N20+INWARD!N20</f>
        <v>254791.95200000002</v>
      </c>
      <c r="O20" s="67">
        <f>GDP!O20+INWARD!O20</f>
        <v>128311.68700000001</v>
      </c>
      <c r="P20" s="67">
        <f>GDP!P20+INWARD!P20</f>
        <v>60149.720999999998</v>
      </c>
      <c r="Q20" s="68">
        <f t="shared" si="0"/>
        <v>2986055.0579999993</v>
      </c>
      <c r="R20" s="150">
        <f t="shared" si="1"/>
        <v>3.9526577125298217</v>
      </c>
    </row>
    <row r="21" spans="2:18" ht="32.25" customHeight="1" x14ac:dyDescent="0.35">
      <c r="B21" s="141" t="str">
        <f>GDP!B21</f>
        <v xml:space="preserve">INTRA-AFRICA ASSURANCE </v>
      </c>
      <c r="C21" s="67">
        <f>GDP!C21+INWARD!C21</f>
        <v>0</v>
      </c>
      <c r="D21" s="67">
        <f>GDP!D21+INWARD!D21</f>
        <v>86733.320999999996</v>
      </c>
      <c r="E21" s="67">
        <f>GDP!E21+INWARD!E21</f>
        <v>22532.669000000002</v>
      </c>
      <c r="F21" s="67">
        <f>GDP!F21+INWARD!F21</f>
        <v>239159.74</v>
      </c>
      <c r="G21" s="67">
        <f>GDP!G21+INWARD!G21</f>
        <v>23354.281000000003</v>
      </c>
      <c r="H21" s="67">
        <f>GDP!H21+INWARD!H21</f>
        <v>63439.261999999995</v>
      </c>
      <c r="I21" s="67">
        <f>GDP!I21+INWARD!I21</f>
        <v>259770.81299999999</v>
      </c>
      <c r="J21" s="67">
        <f>GDP!J21+INWARD!J21</f>
        <v>124235.27899999999</v>
      </c>
      <c r="K21" s="67">
        <f>GDP!K21+INWARD!K21</f>
        <v>23259.424999999999</v>
      </c>
      <c r="L21" s="67">
        <f>GDP!L21+INWARD!L21</f>
        <v>9024.9110000000001</v>
      </c>
      <c r="M21" s="67">
        <f>GDP!M21+INWARD!M21</f>
        <v>41964.555999999997</v>
      </c>
      <c r="N21" s="67">
        <f>GDP!N21+INWARD!N21</f>
        <v>145638.84699999998</v>
      </c>
      <c r="O21" s="67">
        <f>GDP!O21+INWARD!O21</f>
        <v>0</v>
      </c>
      <c r="P21" s="67">
        <f>GDP!P21+INWARD!P21</f>
        <v>73609.195999999996</v>
      </c>
      <c r="Q21" s="68">
        <f t="shared" si="0"/>
        <v>1112722.2999999998</v>
      </c>
      <c r="R21" s="150">
        <f t="shared" si="1"/>
        <v>1.4729167063465856</v>
      </c>
    </row>
    <row r="22" spans="2:18" ht="32.25" customHeight="1" x14ac:dyDescent="0.35">
      <c r="B22" s="149" t="str">
        <f>GDP!B22</f>
        <v>JUBILEE ALLIANZ GENERAL INSURANCE</v>
      </c>
      <c r="C22" s="67">
        <f>GDP!C22+INWARD!C22</f>
        <v>0</v>
      </c>
      <c r="D22" s="67">
        <f>GDP!D22+INWARD!D22</f>
        <v>0</v>
      </c>
      <c r="E22" s="67">
        <f>GDP!E22+INWARD!E22</f>
        <v>0</v>
      </c>
      <c r="F22" s="67">
        <f>GDP!F22+INWARD!F22</f>
        <v>0</v>
      </c>
      <c r="G22" s="67">
        <f>GDP!G22+INWARD!G22</f>
        <v>0</v>
      </c>
      <c r="H22" s="67">
        <f>GDP!H22+INWARD!H22</f>
        <v>0</v>
      </c>
      <c r="I22" s="67">
        <f>GDP!I22+INWARD!I22</f>
        <v>0</v>
      </c>
      <c r="J22" s="67">
        <f>GDP!J22+INWARD!J22</f>
        <v>0</v>
      </c>
      <c r="K22" s="67">
        <f>GDP!K22+INWARD!K22</f>
        <v>0</v>
      </c>
      <c r="L22" s="67">
        <f>GDP!L22+INWARD!L22</f>
        <v>0</v>
      </c>
      <c r="M22" s="67">
        <f>GDP!M22+INWARD!M22</f>
        <v>0</v>
      </c>
      <c r="N22" s="67">
        <f>GDP!N22+INWARD!N22</f>
        <v>0</v>
      </c>
      <c r="O22" s="67">
        <f>GDP!O22+INWARD!O22</f>
        <v>0</v>
      </c>
      <c r="P22" s="67">
        <f>GDP!P22+INWARD!P22</f>
        <v>0</v>
      </c>
      <c r="Q22" s="68">
        <f t="shared" si="0"/>
        <v>0</v>
      </c>
      <c r="R22" s="150">
        <f t="shared" si="1"/>
        <v>0</v>
      </c>
    </row>
    <row r="23" spans="2:18" ht="32.25" customHeight="1" x14ac:dyDescent="0.35">
      <c r="B23" s="149" t="str">
        <f>GDP!B23</f>
        <v>JUBILEE HEALTH INSURANCE</v>
      </c>
      <c r="C23" s="67">
        <f>GDP!C23+INWARD!C23</f>
        <v>0</v>
      </c>
      <c r="D23" s="67">
        <f>GDP!D23+INWARD!D23</f>
        <v>0</v>
      </c>
      <c r="E23" s="67">
        <f>GDP!E23+INWARD!E23</f>
        <v>0</v>
      </c>
      <c r="F23" s="67">
        <f>GDP!F23+INWARD!F23</f>
        <v>0</v>
      </c>
      <c r="G23" s="67">
        <f>GDP!G23+INWARD!G23</f>
        <v>0</v>
      </c>
      <c r="H23" s="67">
        <f>GDP!H23+INWARD!H23</f>
        <v>0</v>
      </c>
      <c r="I23" s="67">
        <f>GDP!I23+INWARD!I23</f>
        <v>0</v>
      </c>
      <c r="J23" s="67">
        <f>GDP!J23+INWARD!J23</f>
        <v>0</v>
      </c>
      <c r="K23" s="67">
        <f>GDP!K23+INWARD!K23</f>
        <v>0</v>
      </c>
      <c r="L23" s="67">
        <f>GDP!L23+INWARD!L23</f>
        <v>0</v>
      </c>
      <c r="M23" s="67">
        <f>GDP!M23+INWARD!M23</f>
        <v>0</v>
      </c>
      <c r="N23" s="67">
        <f>GDP!N23+INWARD!N23</f>
        <v>0</v>
      </c>
      <c r="O23" s="67">
        <f>GDP!O23+INWARD!O23</f>
        <v>5633556.4484299989</v>
      </c>
      <c r="P23" s="67">
        <f>GDP!P23+INWARD!P23</f>
        <v>0</v>
      </c>
      <c r="Q23" s="68">
        <f t="shared" si="0"/>
        <v>5633556.4484299989</v>
      </c>
      <c r="R23" s="150">
        <f t="shared" si="1"/>
        <v>7.4571700495614079</v>
      </c>
    </row>
    <row r="24" spans="2:18" ht="32.25" customHeight="1" x14ac:dyDescent="0.35">
      <c r="B24" s="149" t="str">
        <f>GDP!B24</f>
        <v xml:space="preserve">KENINDIA ASSURANCE COMPANY </v>
      </c>
      <c r="C24" s="67">
        <f>GDP!C24+INWARD!C24</f>
        <v>0</v>
      </c>
      <c r="D24" s="67">
        <f>GDP!D24+INWARD!D24</f>
        <v>67603.338000000003</v>
      </c>
      <c r="E24" s="67">
        <f>GDP!E24+INWARD!E24</f>
        <v>11818.121999999999</v>
      </c>
      <c r="F24" s="67">
        <f>GDP!F24+INWARD!F24</f>
        <v>272135.95400000003</v>
      </c>
      <c r="G24" s="67">
        <f>GDP!G24+INWARD!G24</f>
        <v>19341.197</v>
      </c>
      <c r="H24" s="67">
        <f>GDP!H24+INWARD!H24</f>
        <v>30513.732</v>
      </c>
      <c r="I24" s="67">
        <f>GDP!I24+INWARD!I24</f>
        <v>183959.20499999999</v>
      </c>
      <c r="J24" s="67">
        <f>GDP!J24+INWARD!J24</f>
        <v>170630.10399999999</v>
      </c>
      <c r="K24" s="67">
        <f>GDP!K24+INWARD!K24</f>
        <v>0</v>
      </c>
      <c r="L24" s="67">
        <f>GDP!L24+INWARD!L24</f>
        <v>2590.4229999999998</v>
      </c>
      <c r="M24" s="67">
        <f>GDP!M24+INWARD!M24</f>
        <v>84977.285999999993</v>
      </c>
      <c r="N24" s="67">
        <f>GDP!N24+INWARD!N24</f>
        <v>71813.111999999994</v>
      </c>
      <c r="O24" s="67">
        <f>GDP!O24+INWARD!O24</f>
        <v>56048.249000000003</v>
      </c>
      <c r="P24" s="67">
        <f>GDP!P24+INWARD!P24</f>
        <v>3675.248</v>
      </c>
      <c r="Q24" s="68">
        <f t="shared" si="0"/>
        <v>975105.96999999986</v>
      </c>
      <c r="R24" s="150">
        <f t="shared" si="1"/>
        <v>1.2907532038059204</v>
      </c>
    </row>
    <row r="25" spans="2:18" ht="32.25" customHeight="1" x14ac:dyDescent="0.35">
      <c r="B25" s="149" t="str">
        <f>GDP!B25</f>
        <v>KENYA ORIENT INSURANCE</v>
      </c>
      <c r="C25" s="67">
        <f>GDP!C25+INWARD!C25</f>
        <v>0</v>
      </c>
      <c r="D25" s="67">
        <f>GDP!D25+INWARD!D25</f>
        <v>0</v>
      </c>
      <c r="E25" s="67">
        <f>GDP!E25+INWARD!E25</f>
        <v>0</v>
      </c>
      <c r="F25" s="67">
        <f>GDP!F25+INWARD!F25</f>
        <v>0</v>
      </c>
      <c r="G25" s="67">
        <f>GDP!G25+INWARD!G25</f>
        <v>0</v>
      </c>
      <c r="H25" s="67">
        <f>GDP!H25+INWARD!H25</f>
        <v>0</v>
      </c>
      <c r="I25" s="67">
        <f>GDP!I25+INWARD!I25</f>
        <v>0</v>
      </c>
      <c r="J25" s="67">
        <f>GDP!J25+INWARD!J25</f>
        <v>0</v>
      </c>
      <c r="K25" s="67">
        <f>GDP!K25+INWARD!K25</f>
        <v>0</v>
      </c>
      <c r="L25" s="67">
        <f>GDP!L25+INWARD!L25</f>
        <v>0</v>
      </c>
      <c r="M25" s="67">
        <f>GDP!M25+INWARD!M25</f>
        <v>0</v>
      </c>
      <c r="N25" s="67">
        <f>GDP!N25+INWARD!N25</f>
        <v>0</v>
      </c>
      <c r="O25" s="67">
        <f>GDP!O25+INWARD!O25</f>
        <v>0</v>
      </c>
      <c r="P25" s="67">
        <f>GDP!P25+INWARD!P25</f>
        <v>0</v>
      </c>
      <c r="Q25" s="68">
        <f t="shared" si="0"/>
        <v>0</v>
      </c>
      <c r="R25" s="150">
        <f t="shared" si="1"/>
        <v>0</v>
      </c>
    </row>
    <row r="26" spans="2:18" ht="32.25" customHeight="1" x14ac:dyDescent="0.35">
      <c r="B26" s="149" t="str">
        <f>GDP!B26</f>
        <v>MADISON INSURANCE COMPANY</v>
      </c>
      <c r="C26" s="67">
        <f>GDP!C26+INWARD!C26</f>
        <v>0</v>
      </c>
      <c r="D26" s="67">
        <f>GDP!D26+INWARD!D26</f>
        <v>25015.255000000001</v>
      </c>
      <c r="E26" s="67">
        <f>GDP!E26+INWARD!E26</f>
        <v>9763.0419999999995</v>
      </c>
      <c r="F26" s="67">
        <f>GDP!F26+INWARD!F26</f>
        <v>99577.56</v>
      </c>
      <c r="G26" s="67">
        <f>GDP!G26+INWARD!G26</f>
        <v>99302.005999999994</v>
      </c>
      <c r="H26" s="67">
        <f>GDP!H26+INWARD!H26</f>
        <v>10120.111000000001</v>
      </c>
      <c r="I26" s="67">
        <f>GDP!I26+INWARD!I26</f>
        <v>181450.921</v>
      </c>
      <c r="J26" s="67">
        <f>GDP!J26+INWARD!J26</f>
        <v>1057094.027</v>
      </c>
      <c r="K26" s="67">
        <f>GDP!K26+INWARD!K26</f>
        <v>0</v>
      </c>
      <c r="L26" s="67">
        <f>GDP!L26+INWARD!L26</f>
        <v>31282.448</v>
      </c>
      <c r="M26" s="67">
        <f>GDP!M26+INWARD!M26</f>
        <v>100388.55499999999</v>
      </c>
      <c r="N26" s="67">
        <f>GDP!N26+INWARD!N26</f>
        <v>189085.03</v>
      </c>
      <c r="O26" s="67">
        <f>GDP!O26+INWARD!O26</f>
        <v>1701090.39163</v>
      </c>
      <c r="P26" s="67">
        <f>GDP!P26+INWARD!P26</f>
        <v>116626.151</v>
      </c>
      <c r="Q26" s="68">
        <f t="shared" si="0"/>
        <v>3620795.4976300001</v>
      </c>
      <c r="R26" s="150">
        <f t="shared" si="1"/>
        <v>4.7928671679571151</v>
      </c>
    </row>
    <row r="27" spans="2:18" ht="32.25" customHeight="1" x14ac:dyDescent="0.35">
      <c r="B27" s="149" t="str">
        <f>GDP!B27</f>
        <v>MAYFAIR INSURANCE COMPANY</v>
      </c>
      <c r="C27" s="67">
        <f>GDP!C27+INWARD!C27</f>
        <v>306131.114</v>
      </c>
      <c r="D27" s="67">
        <f>GDP!D27+INWARD!D27</f>
        <v>398082.07238999999</v>
      </c>
      <c r="E27" s="67">
        <f>GDP!E27+INWARD!E27</f>
        <v>65651.616999999998</v>
      </c>
      <c r="F27" s="67">
        <f>GDP!F27+INWARD!F27</f>
        <v>1077906.7440299999</v>
      </c>
      <c r="G27" s="67">
        <f>GDP!G27+INWARD!G27</f>
        <v>105611.38105</v>
      </c>
      <c r="H27" s="67">
        <f>GDP!H27+INWARD!H27</f>
        <v>177873.41896000001</v>
      </c>
      <c r="I27" s="67">
        <f>GDP!I27+INWARD!I27</f>
        <v>304204.15830999997</v>
      </c>
      <c r="J27" s="67">
        <f>GDP!J27+INWARD!J27</f>
        <v>305557.17700000003</v>
      </c>
      <c r="K27" s="67">
        <f>GDP!K27+INWARD!K27</f>
        <v>7288.5950000000003</v>
      </c>
      <c r="L27" s="67">
        <f>GDP!L27+INWARD!L27</f>
        <v>30696.326000000001</v>
      </c>
      <c r="M27" s="67">
        <f>GDP!M27+INWARD!M27</f>
        <v>136780.43900000001</v>
      </c>
      <c r="N27" s="67">
        <f>GDP!N27+INWARD!N27</f>
        <v>442206.511</v>
      </c>
      <c r="O27" s="67">
        <f>GDP!O27+INWARD!O27</f>
        <v>0</v>
      </c>
      <c r="P27" s="67">
        <f>GDP!P27+INWARD!P27</f>
        <v>380826.57517000003</v>
      </c>
      <c r="Q27" s="68">
        <f t="shared" si="0"/>
        <v>3738816.1289099995</v>
      </c>
      <c r="R27" s="150">
        <f t="shared" si="1"/>
        <v>4.9490917349545427</v>
      </c>
    </row>
    <row r="28" spans="2:18" ht="32.25" customHeight="1" x14ac:dyDescent="0.35">
      <c r="B28" s="149" t="str">
        <f>GDP!B28</f>
        <v>MUA INSURANCE COMPANY</v>
      </c>
      <c r="C28" s="67">
        <f>GDP!C28+INWARD!C28</f>
        <v>28255.228999999999</v>
      </c>
      <c r="D28" s="67">
        <f>GDP!D28+INWARD!D28</f>
        <v>5357.357</v>
      </c>
      <c r="E28" s="67">
        <f>GDP!E28+INWARD!E28</f>
        <v>2815.0830000000001</v>
      </c>
      <c r="F28" s="67">
        <f>GDP!F28+INWARD!F28</f>
        <v>86578.107000000004</v>
      </c>
      <c r="G28" s="67">
        <f>GDP!G28+INWARD!G28</f>
        <v>46448.004000000001</v>
      </c>
      <c r="H28" s="67">
        <f>GDP!H28+INWARD!H28</f>
        <v>29297.776000000002</v>
      </c>
      <c r="I28" s="67">
        <f>GDP!I28+INWARD!I28</f>
        <v>86305.453999999998</v>
      </c>
      <c r="J28" s="67">
        <f>GDP!J28+INWARD!J28</f>
        <v>50537.569000000003</v>
      </c>
      <c r="K28" s="67">
        <f>GDP!K28+INWARD!K28</f>
        <v>0</v>
      </c>
      <c r="L28" s="67">
        <f>GDP!L28+INWARD!L28</f>
        <v>23752.723000000002</v>
      </c>
      <c r="M28" s="67">
        <f>GDP!M28+INWARD!M28</f>
        <v>22010.955000000002</v>
      </c>
      <c r="N28" s="67">
        <f>GDP!N28+INWARD!N28</f>
        <v>40696.101999999999</v>
      </c>
      <c r="O28" s="67">
        <f>GDP!O28+INWARD!O28</f>
        <v>717353.21400000004</v>
      </c>
      <c r="P28" s="67">
        <f>GDP!P28+INWARD!P28</f>
        <v>6612.8040000000001</v>
      </c>
      <c r="Q28" s="68">
        <f t="shared" si="0"/>
        <v>1146020.3770000001</v>
      </c>
      <c r="R28" s="150">
        <f t="shared" si="1"/>
        <v>1.5169935563409782</v>
      </c>
    </row>
    <row r="29" spans="2:18" ht="32.25" customHeight="1" x14ac:dyDescent="0.35">
      <c r="B29" s="149" t="str">
        <f>GDP!B29</f>
        <v>NCBA INSURANCE COMPANY</v>
      </c>
      <c r="C29" s="67">
        <f>GDP!C29+INWARD!C29</f>
        <v>0</v>
      </c>
      <c r="D29" s="67">
        <f>GDP!D29+INWARD!D29</f>
        <v>34609.306340000003</v>
      </c>
      <c r="E29" s="67">
        <f>GDP!E29+INWARD!E29</f>
        <v>26884.505910000011</v>
      </c>
      <c r="F29" s="67">
        <f>GDP!F29+INWARD!F29</f>
        <v>208859.4530699999</v>
      </c>
      <c r="G29" s="67">
        <f>GDP!G29+INWARD!G29</f>
        <v>337862.37095999997</v>
      </c>
      <c r="H29" s="67">
        <f>GDP!H29+INWARD!H29</f>
        <v>18329.767449999999</v>
      </c>
      <c r="I29" s="67">
        <f>GDP!I29+INWARD!I29</f>
        <v>330036.91544000001</v>
      </c>
      <c r="J29" s="67">
        <f>GDP!J29+INWARD!J29</f>
        <v>46406.910989999997</v>
      </c>
      <c r="K29" s="67">
        <f>GDP!K29+INWARD!K29</f>
        <v>0</v>
      </c>
      <c r="L29" s="67">
        <f>GDP!L29+INWARD!L29</f>
        <v>57314.605329999999</v>
      </c>
      <c r="M29" s="67">
        <f>GDP!M29+INWARD!M29</f>
        <v>64786.754919999999</v>
      </c>
      <c r="N29" s="67">
        <f>GDP!N29+INWARD!N29</f>
        <v>90269.452260000005</v>
      </c>
      <c r="O29" s="67">
        <f>GDP!O29+INWARD!O29</f>
        <v>0</v>
      </c>
      <c r="P29" s="67">
        <f>GDP!P29+INWARD!P29</f>
        <v>0</v>
      </c>
      <c r="Q29" s="68">
        <f t="shared" si="0"/>
        <v>1215360.0426699999</v>
      </c>
      <c r="R29" s="150">
        <f t="shared" si="1"/>
        <v>1.6087788580086355</v>
      </c>
    </row>
    <row r="30" spans="2:18" ht="32.25" customHeight="1" x14ac:dyDescent="0.35">
      <c r="B30" s="149" t="str">
        <f>GDP!B30</f>
        <v xml:space="preserve">OCCIDENTAL INSURANCE COMPANY </v>
      </c>
      <c r="C30" s="67">
        <f>GDP!C30+INWARD!C30</f>
        <v>24306.737000000001</v>
      </c>
      <c r="D30" s="67">
        <f>GDP!D30+INWARD!D30</f>
        <v>25455.293000000001</v>
      </c>
      <c r="E30" s="67">
        <f>GDP!E30+INWARD!E30</f>
        <v>14552.822999999999</v>
      </c>
      <c r="F30" s="67">
        <f>GDP!F30+INWARD!F30</f>
        <v>152853.63500000001</v>
      </c>
      <c r="G30" s="67">
        <f>GDP!G30+INWARD!G30</f>
        <v>8079.6540000000005</v>
      </c>
      <c r="H30" s="67">
        <f>GDP!H30+INWARD!H30</f>
        <v>8314.505000000001</v>
      </c>
      <c r="I30" s="67">
        <f>GDP!I30+INWARD!I30</f>
        <v>106551.105</v>
      </c>
      <c r="J30" s="67">
        <f>GDP!J30+INWARD!J30</f>
        <v>126764.083</v>
      </c>
      <c r="K30" s="67">
        <f>GDP!K30+INWARD!K30</f>
        <v>0</v>
      </c>
      <c r="L30" s="67">
        <f>GDP!L30+INWARD!L30</f>
        <v>14074.146000000001</v>
      </c>
      <c r="M30" s="67">
        <f>GDP!M30+INWARD!M30</f>
        <v>44017.650999999998</v>
      </c>
      <c r="N30" s="67">
        <f>GDP!N30+INWARD!N30</f>
        <v>74027.05</v>
      </c>
      <c r="O30" s="67">
        <f>GDP!O30+INWARD!O30</f>
        <v>0</v>
      </c>
      <c r="P30" s="67">
        <f>GDP!P30+INWARD!P30</f>
        <v>8771.107</v>
      </c>
      <c r="Q30" s="68">
        <f t="shared" si="0"/>
        <v>607767.78899999999</v>
      </c>
      <c r="R30" s="150">
        <f t="shared" si="1"/>
        <v>0.80450560755134204</v>
      </c>
    </row>
    <row r="31" spans="2:18" ht="32.25" customHeight="1" x14ac:dyDescent="0.35">
      <c r="B31" s="149" t="str">
        <f>GDP!B31</f>
        <v xml:space="preserve">OLD MUTUAL GENERAL INSURANCE </v>
      </c>
      <c r="C31" s="67">
        <f>GDP!C31+INWARD!C31</f>
        <v>69869.538440000004</v>
      </c>
      <c r="D31" s="67">
        <f>GDP!D31+INWARD!D31</f>
        <v>145794.65432</v>
      </c>
      <c r="E31" s="67">
        <f>GDP!E31+INWARD!E31</f>
        <v>75700.704150000005</v>
      </c>
      <c r="F31" s="67">
        <f>GDP!F31+INWARD!F31</f>
        <v>496604.32892</v>
      </c>
      <c r="G31" s="67">
        <f>GDP!G31+INWARD!G31</f>
        <v>183656.94162</v>
      </c>
      <c r="H31" s="67">
        <f>GDP!H31+INWARD!H31</f>
        <v>59612.673819999996</v>
      </c>
      <c r="I31" s="67">
        <f>GDP!I31+INWARD!I31</f>
        <v>449377.84179999988</v>
      </c>
      <c r="J31" s="67">
        <f>GDP!J31+INWARD!J31</f>
        <v>425430.20280000003</v>
      </c>
      <c r="K31" s="67">
        <f>GDP!K31+INWARD!K31</f>
        <v>0</v>
      </c>
      <c r="L31" s="67">
        <f>GDP!L31+INWARD!L31</f>
        <v>33434.940489999979</v>
      </c>
      <c r="M31" s="67">
        <f>GDP!M31+INWARD!M31</f>
        <v>345181.76699999999</v>
      </c>
      <c r="N31" s="67">
        <f>GDP!N31+INWARD!N31</f>
        <v>152276.34271</v>
      </c>
      <c r="O31" s="67">
        <f>GDP!O31+INWARD!O31</f>
        <v>4631167.8495699996</v>
      </c>
      <c r="P31" s="67">
        <f>GDP!P31+INWARD!P31</f>
        <v>6449.43541</v>
      </c>
      <c r="Q31" s="68">
        <f t="shared" si="0"/>
        <v>7074557.2210499998</v>
      </c>
      <c r="R31" s="150">
        <f t="shared" si="1"/>
        <v>9.364630798618327</v>
      </c>
    </row>
    <row r="32" spans="2:18" ht="32.25" customHeight="1" x14ac:dyDescent="0.35">
      <c r="B32" s="149" t="str">
        <f>GDP!B32</f>
        <v>PACIS INSURANCE COMPANY</v>
      </c>
      <c r="C32" s="67">
        <f>GDP!C32+INWARD!C32</f>
        <v>0</v>
      </c>
      <c r="D32" s="67">
        <f>GDP!D32+INWARD!D32</f>
        <v>14473.263999999999</v>
      </c>
      <c r="E32" s="67">
        <f>GDP!E32+INWARD!E32</f>
        <v>6878.5659999999998</v>
      </c>
      <c r="F32" s="67">
        <f>GDP!F32+INWARD!F32</f>
        <v>65575.02</v>
      </c>
      <c r="G32" s="67">
        <f>GDP!G32+INWARD!G32</f>
        <v>20721.928</v>
      </c>
      <c r="H32" s="67">
        <f>GDP!H32+INWARD!H32</f>
        <v>2033.4450000000002</v>
      </c>
      <c r="I32" s="67">
        <f>GDP!I32+INWARD!I32</f>
        <v>197929.98699999999</v>
      </c>
      <c r="J32" s="67">
        <f>GDP!J32+INWARD!J32</f>
        <v>251816.63400000002</v>
      </c>
      <c r="K32" s="67">
        <f>GDP!K32+INWARD!K32</f>
        <v>0</v>
      </c>
      <c r="L32" s="67">
        <f>GDP!L32+INWARD!L32</f>
        <v>16637.203000000001</v>
      </c>
      <c r="M32" s="67">
        <f>GDP!M32+INWARD!M32</f>
        <v>17429.474999999999</v>
      </c>
      <c r="N32" s="67">
        <f>GDP!N32+INWARD!N32</f>
        <v>65842.938999999998</v>
      </c>
      <c r="O32" s="67">
        <f>GDP!O32+INWARD!O32</f>
        <v>548596.57799999998</v>
      </c>
      <c r="P32" s="67">
        <f>GDP!P32+INWARD!P32</f>
        <v>3262.8309999999997</v>
      </c>
      <c r="Q32" s="68">
        <f t="shared" si="0"/>
        <v>1211197.8699999999</v>
      </c>
      <c r="R32" s="150">
        <f t="shared" si="1"/>
        <v>1.6032693668621545</v>
      </c>
    </row>
    <row r="33" spans="2:18" ht="32.25" customHeight="1" x14ac:dyDescent="0.35">
      <c r="B33" s="149" t="str">
        <f>GDP!B33</f>
        <v>PIONEER INSURANCE COMPANY</v>
      </c>
      <c r="C33" s="67">
        <f>GDP!C33+INWARD!C33</f>
        <v>7992.1559999999999</v>
      </c>
      <c r="D33" s="67">
        <f>GDP!D33+INWARD!D33</f>
        <v>112045.478</v>
      </c>
      <c r="E33" s="67">
        <f>GDP!E33+INWARD!E33</f>
        <v>3283.2240000000002</v>
      </c>
      <c r="F33" s="67">
        <f>GDP!F33+INWARD!F33</f>
        <v>35306.987000000001</v>
      </c>
      <c r="G33" s="67">
        <f>GDP!G33+INWARD!G33</f>
        <v>21508.501</v>
      </c>
      <c r="H33" s="67">
        <f>GDP!H33+INWARD!H33</f>
        <v>22490.473999999998</v>
      </c>
      <c r="I33" s="67">
        <f>GDP!I33+INWARD!I33</f>
        <v>313624.734</v>
      </c>
      <c r="J33" s="67">
        <f>GDP!J33+INWARD!J33</f>
        <v>172610.79300000001</v>
      </c>
      <c r="K33" s="67">
        <f>GDP!K33+INWARD!K33</f>
        <v>215.78</v>
      </c>
      <c r="L33" s="67">
        <f>GDP!L33+INWARD!L33</f>
        <v>12231.726000000001</v>
      </c>
      <c r="M33" s="67">
        <f>GDP!M33+INWARD!M33</f>
        <v>11467.905000000001</v>
      </c>
      <c r="N33" s="67">
        <f>GDP!N33+INWARD!N33</f>
        <v>28391.219000000001</v>
      </c>
      <c r="O33" s="67">
        <f>GDP!O33+INWARD!O33</f>
        <v>0</v>
      </c>
      <c r="P33" s="67">
        <f>GDP!P33+INWARD!P33</f>
        <v>24225.54</v>
      </c>
      <c r="Q33" s="68">
        <f t="shared" si="0"/>
        <v>765394.51700000023</v>
      </c>
      <c r="R33" s="150">
        <f t="shared" si="1"/>
        <v>1.0131569853820457</v>
      </c>
    </row>
    <row r="34" spans="2:18" ht="32.25" customHeight="1" x14ac:dyDescent="0.35">
      <c r="B34" s="149" t="str">
        <f>GDP!B34</f>
        <v>SANLAM INSURANCE COMPANY</v>
      </c>
      <c r="C34" s="67">
        <f>GDP!C34+INWARD!C34</f>
        <v>0</v>
      </c>
      <c r="D34" s="67">
        <f>GDP!D34+INWARD!D34</f>
        <v>62829.006809999999</v>
      </c>
      <c r="E34" s="67">
        <f>GDP!E34+INWARD!E34</f>
        <v>13331.08517</v>
      </c>
      <c r="F34" s="67">
        <f>GDP!F34+INWARD!F34</f>
        <v>228856.13878000001</v>
      </c>
      <c r="G34" s="67">
        <f>GDP!G34+INWARD!G34</f>
        <v>58328.407310000002</v>
      </c>
      <c r="H34" s="67">
        <f>GDP!H34+INWARD!H34</f>
        <v>19999.504760000011</v>
      </c>
      <c r="I34" s="67">
        <f>GDP!I34+INWARD!I34</f>
        <v>200723.01268999989</v>
      </c>
      <c r="J34" s="67">
        <f>GDP!J34+INWARD!J34</f>
        <v>194847.34521999999</v>
      </c>
      <c r="K34" s="67">
        <f>GDP!K34+INWARD!K34</f>
        <v>0</v>
      </c>
      <c r="L34" s="67">
        <f>GDP!L34+INWARD!L34</f>
        <v>5203.2621200000003</v>
      </c>
      <c r="M34" s="67">
        <f>GDP!M34+INWARD!M34</f>
        <v>16516.117999999999</v>
      </c>
      <c r="N34" s="67">
        <f>GDP!N34+INWARD!N34</f>
        <v>80027.580600000001</v>
      </c>
      <c r="O34" s="67">
        <f>GDP!O34+INWARD!O34</f>
        <v>0</v>
      </c>
      <c r="P34" s="67">
        <f>GDP!P34+INWARD!P34</f>
        <v>2062.982019999999</v>
      </c>
      <c r="Q34" s="68">
        <f t="shared" si="0"/>
        <v>882724.4434799999</v>
      </c>
      <c r="R34" s="150">
        <f t="shared" si="1"/>
        <v>1.1684672625885044</v>
      </c>
    </row>
    <row r="35" spans="2:18" ht="32.25" customHeight="1" x14ac:dyDescent="0.35">
      <c r="B35" s="149" t="str">
        <f>GDP!B35</f>
        <v>STAR DISCOVER INSURANCE</v>
      </c>
      <c r="C35" s="67">
        <f>GDP!C35+INWARD!C35</f>
        <v>107191.303</v>
      </c>
      <c r="D35" s="67">
        <f>GDP!D35+INWARD!D35</f>
        <v>4750.5680000000002</v>
      </c>
      <c r="E35" s="67">
        <f>GDP!E35+INWARD!E35</f>
        <v>133.89599999999999</v>
      </c>
      <c r="F35" s="67">
        <f>GDP!F35+INWARD!F35</f>
        <v>10135.129999999999</v>
      </c>
      <c r="G35" s="67">
        <f>GDP!G35+INWARD!G35</f>
        <v>463.09899999999999</v>
      </c>
      <c r="H35" s="67">
        <f>GDP!H35+INWARD!H35</f>
        <v>3878.8072000000002</v>
      </c>
      <c r="I35" s="67">
        <f>GDP!I35+INWARD!I35</f>
        <v>49984.13</v>
      </c>
      <c r="J35" s="67">
        <f>GDP!J35+INWARD!J35</f>
        <v>15874.218999999999</v>
      </c>
      <c r="K35" s="67">
        <f>GDP!K35+INWARD!K35</f>
        <v>0</v>
      </c>
      <c r="L35" s="67">
        <f>GDP!L35+INWARD!L35</f>
        <v>342.49400000000003</v>
      </c>
      <c r="M35" s="67">
        <f>GDP!M35+INWARD!M35</f>
        <v>1103.52</v>
      </c>
      <c r="N35" s="67">
        <f>GDP!N35+INWARD!N35</f>
        <v>11840.295</v>
      </c>
      <c r="O35" s="67">
        <f>GDP!O35+INWARD!O35</f>
        <v>0</v>
      </c>
      <c r="P35" s="67">
        <f>GDP!P35+INWARD!P35</f>
        <v>1520.8</v>
      </c>
      <c r="Q35" s="68">
        <f t="shared" si="0"/>
        <v>207218.26120000001</v>
      </c>
      <c r="R35" s="150">
        <f t="shared" si="1"/>
        <v>0.27429596655119659</v>
      </c>
    </row>
    <row r="36" spans="2:18" ht="32.25" customHeight="1" x14ac:dyDescent="0.35">
      <c r="B36" s="149" t="str">
        <f>GDP!B36</f>
        <v>TAKAFUL INSURANCE OF AFRICA</v>
      </c>
      <c r="C36" s="67">
        <f>GDP!C36+INWARD!C36</f>
        <v>0</v>
      </c>
      <c r="D36" s="67">
        <f>GDP!D36+INWARD!D36</f>
        <v>5886.5150000000003</v>
      </c>
      <c r="E36" s="67">
        <f>GDP!E36+INWARD!E36</f>
        <v>1343.317</v>
      </c>
      <c r="F36" s="67">
        <f>GDP!F36+INWARD!F36</f>
        <v>17274.173999999999</v>
      </c>
      <c r="G36" s="67">
        <f>GDP!G36+INWARD!G36</f>
        <v>10997.703</v>
      </c>
      <c r="H36" s="67">
        <f>GDP!H36+INWARD!H36</f>
        <v>3819.2339999999999</v>
      </c>
      <c r="I36" s="67">
        <f>GDP!I36+INWARD!I36</f>
        <v>75706.198000000004</v>
      </c>
      <c r="J36" s="67">
        <f>GDP!J36+INWARD!J36</f>
        <v>135486.63200000001</v>
      </c>
      <c r="K36" s="67">
        <f>GDP!K36+INWARD!K36</f>
        <v>0</v>
      </c>
      <c r="L36" s="67">
        <f>GDP!L36+INWARD!L36</f>
        <v>682.81899999999996</v>
      </c>
      <c r="M36" s="67">
        <f>GDP!M36+INWARD!M36</f>
        <v>12091.045</v>
      </c>
      <c r="N36" s="67">
        <f>GDP!N36+INWARD!N36</f>
        <v>14240.322</v>
      </c>
      <c r="O36" s="67">
        <f>GDP!O36+INWARD!O36</f>
        <v>4142.8059999999996</v>
      </c>
      <c r="P36" s="67">
        <f>GDP!P36+INWARD!P36</f>
        <v>2875.306</v>
      </c>
      <c r="Q36" s="68">
        <f t="shared" si="0"/>
        <v>284546.07099999994</v>
      </c>
      <c r="R36" s="150">
        <f t="shared" si="1"/>
        <v>0.37665521909750682</v>
      </c>
    </row>
    <row r="37" spans="2:18" ht="32.25" customHeight="1" x14ac:dyDescent="0.35">
      <c r="B37" s="149" t="str">
        <f>GDP!B37</f>
        <v>TAUSI ASSURANCE COMPANY</v>
      </c>
      <c r="C37" s="67">
        <f>GDP!C37+INWARD!C37</f>
        <v>0</v>
      </c>
      <c r="D37" s="67">
        <f>GDP!D37+INWARD!D37</f>
        <v>125089.59699999999</v>
      </c>
      <c r="E37" s="67">
        <f>GDP!E37+INWARD!E37</f>
        <v>47841.345000000001</v>
      </c>
      <c r="F37" s="67">
        <f>GDP!F37+INWARD!F37</f>
        <v>497069.83425000001</v>
      </c>
      <c r="G37" s="67">
        <f>GDP!G37+INWARD!G37</f>
        <v>37972.675999999999</v>
      </c>
      <c r="H37" s="67">
        <f>GDP!H37+INWARD!H37</f>
        <v>66359.508119999999</v>
      </c>
      <c r="I37" s="67">
        <f>GDP!I37+INWARD!I37</f>
        <v>127850.984</v>
      </c>
      <c r="J37" s="67">
        <f>GDP!J37+INWARD!J37</f>
        <v>118870.716</v>
      </c>
      <c r="K37" s="67">
        <f>GDP!K37+INWARD!K37</f>
        <v>0</v>
      </c>
      <c r="L37" s="67">
        <f>GDP!L37+INWARD!L37</f>
        <v>7002.6509999999998</v>
      </c>
      <c r="M37" s="67">
        <f>GDP!M37+INWARD!M37</f>
        <v>82960.917000000001</v>
      </c>
      <c r="N37" s="67">
        <f>GDP!N37+INWARD!N37</f>
        <v>187207.99</v>
      </c>
      <c r="O37" s="67">
        <f>GDP!O37+INWARD!O37</f>
        <v>1222.8599999999999</v>
      </c>
      <c r="P37" s="67">
        <f>GDP!P37+INWARD!P37</f>
        <v>7145.7712000000001</v>
      </c>
      <c r="Q37" s="68">
        <f t="shared" si="0"/>
        <v>1306594.8495700001</v>
      </c>
      <c r="R37" s="150">
        <f t="shared" si="1"/>
        <v>1.7295468800778571</v>
      </c>
    </row>
    <row r="38" spans="2:18" ht="32.25" customHeight="1" x14ac:dyDescent="0.35">
      <c r="B38" s="149" t="str">
        <f>GDP!B38</f>
        <v>THE HERITAGE INSURANCE COMPANY</v>
      </c>
      <c r="C38" s="67">
        <f>GDP!C38+INWARD!C38</f>
        <v>14746.898999999999</v>
      </c>
      <c r="D38" s="67">
        <f>GDP!D38+INWARD!D38</f>
        <v>38830.879999999997</v>
      </c>
      <c r="E38" s="67">
        <f>GDP!E38+INWARD!E38</f>
        <v>50128.771999999997</v>
      </c>
      <c r="F38" s="67">
        <f>GDP!F38+INWARD!F38</f>
        <v>447493.04800000001</v>
      </c>
      <c r="G38" s="67">
        <f>GDP!G38+INWARD!G38</f>
        <v>86675.89</v>
      </c>
      <c r="H38" s="67">
        <f>GDP!H38+INWARD!H38</f>
        <v>21590.547999999999</v>
      </c>
      <c r="I38" s="67">
        <f>GDP!I38+INWARD!I38</f>
        <v>351315.76</v>
      </c>
      <c r="J38" s="67">
        <f>GDP!J38+INWARD!J38</f>
        <v>176583.49</v>
      </c>
      <c r="K38" s="67">
        <f>GDP!K38+INWARD!K38</f>
        <v>0</v>
      </c>
      <c r="L38" s="67">
        <f>GDP!L38+INWARD!L38</f>
        <v>93656.244000000006</v>
      </c>
      <c r="M38" s="67">
        <f>GDP!M38+INWARD!M38</f>
        <v>47374.412000000004</v>
      </c>
      <c r="N38" s="67">
        <f>GDP!N38+INWARD!N38</f>
        <v>213176.37900000002</v>
      </c>
      <c r="O38" s="67">
        <f>GDP!O38+INWARD!O38</f>
        <v>1727366.25</v>
      </c>
      <c r="P38" s="67">
        <f>GDP!P38+INWARD!P38</f>
        <v>134239.15700000001</v>
      </c>
      <c r="Q38" s="68">
        <f t="shared" si="0"/>
        <v>3403177.7289999998</v>
      </c>
      <c r="R38" s="150">
        <f t="shared" si="1"/>
        <v>4.504805315495819</v>
      </c>
    </row>
    <row r="39" spans="2:18" ht="32.25" customHeight="1" x14ac:dyDescent="0.35">
      <c r="B39" s="149" t="str">
        <f>GDP!B39</f>
        <v xml:space="preserve">THE KENYAN ALLIANCE INSURANCE </v>
      </c>
      <c r="C39" s="67">
        <f>GDP!C39+INWARD!C39</f>
        <v>0</v>
      </c>
      <c r="D39" s="67">
        <f>GDP!D39+INWARD!D39</f>
        <v>3172.9758099999999</v>
      </c>
      <c r="E39" s="67">
        <f>GDP!E39+INWARD!E39</f>
        <v>867.54524000000004</v>
      </c>
      <c r="F39" s="67">
        <f>GDP!F39+INWARD!F39</f>
        <v>4124.0944399999998</v>
      </c>
      <c r="G39" s="67">
        <f>GDP!G39+INWARD!G39</f>
        <v>4161.2450900000003</v>
      </c>
      <c r="H39" s="67">
        <f>GDP!H39+INWARD!H39</f>
        <v>904.70299999999997</v>
      </c>
      <c r="I39" s="67">
        <f>GDP!I39+INWARD!I39</f>
        <v>166250.6428</v>
      </c>
      <c r="J39" s="67">
        <f>GDP!J39+INWARD!J39</f>
        <v>53759.759970000028</v>
      </c>
      <c r="K39" s="67">
        <f>GDP!K39+INWARD!K39</f>
        <v>0</v>
      </c>
      <c r="L39" s="67">
        <f>GDP!L39+INWARD!L39</f>
        <v>2498.339269999999</v>
      </c>
      <c r="M39" s="67">
        <f>GDP!M39+INWARD!M39</f>
        <v>2749.1471099999999</v>
      </c>
      <c r="N39" s="67">
        <f>GDP!N39+INWARD!N39</f>
        <v>31806.544129999998</v>
      </c>
      <c r="O39" s="67">
        <f>GDP!O39+INWARD!O39</f>
        <v>148425.639</v>
      </c>
      <c r="P39" s="67">
        <f>GDP!P39+INWARD!P39</f>
        <v>8619.5696399999997</v>
      </c>
      <c r="Q39" s="68">
        <f t="shared" si="0"/>
        <v>427340.20550000004</v>
      </c>
      <c r="R39" s="150">
        <f t="shared" si="1"/>
        <v>0.56567261029506932</v>
      </c>
    </row>
    <row r="40" spans="2:18" ht="32.25" customHeight="1" x14ac:dyDescent="0.35">
      <c r="B40" s="149" t="str">
        <f>GDP!B40</f>
        <v xml:space="preserve">THE MONARCH INSURANCE </v>
      </c>
      <c r="C40" s="67">
        <f>GDP!C40+INWARD!C40</f>
        <v>0</v>
      </c>
      <c r="D40" s="67">
        <f>GDP!D40+INWARD!D40</f>
        <v>4330.1589999999997</v>
      </c>
      <c r="E40" s="67">
        <f>GDP!E40+INWARD!E40</f>
        <v>453.63900000000001</v>
      </c>
      <c r="F40" s="67">
        <f>GDP!F40+INWARD!F40</f>
        <v>5731.51</v>
      </c>
      <c r="G40" s="67">
        <f>GDP!G40+INWARD!G40</f>
        <v>1648.5310000000002</v>
      </c>
      <c r="H40" s="67">
        <f>GDP!H40+INWARD!H40</f>
        <v>176.601</v>
      </c>
      <c r="I40" s="67">
        <f>GDP!I40+INWARD!I40</f>
        <v>343896.31</v>
      </c>
      <c r="J40" s="67">
        <f>GDP!J40+INWARD!J40</f>
        <v>215413.00200000001</v>
      </c>
      <c r="K40" s="67">
        <f>GDP!K40+INWARD!K40</f>
        <v>0</v>
      </c>
      <c r="L40" s="67">
        <f>GDP!L40+INWARD!L40</f>
        <v>183.34700000000001</v>
      </c>
      <c r="M40" s="67">
        <f>GDP!M40+INWARD!M40</f>
        <v>922.10699999999997</v>
      </c>
      <c r="N40" s="67">
        <f>GDP!N40+INWARD!N40</f>
        <v>4210.9610000000002</v>
      </c>
      <c r="O40" s="67">
        <f>GDP!O40+INWARD!O40</f>
        <v>0</v>
      </c>
      <c r="P40" s="67">
        <f>GDP!P40+INWARD!P40</f>
        <v>7642.8620000000001</v>
      </c>
      <c r="Q40" s="68">
        <f t="shared" si="0"/>
        <v>584609.02899999986</v>
      </c>
      <c r="R40" s="150">
        <f t="shared" si="1"/>
        <v>0.77385022794560288</v>
      </c>
    </row>
    <row r="41" spans="2:18" ht="32.25" customHeight="1" x14ac:dyDescent="0.35">
      <c r="B41" s="149" t="str">
        <f>GDP!B41</f>
        <v xml:space="preserve">TRIDENT INSURANCE COMPANY </v>
      </c>
      <c r="C41" s="67">
        <f>GDP!C41+INWARD!C41</f>
        <v>0</v>
      </c>
      <c r="D41" s="67">
        <f>GDP!D41+INWARD!D41</f>
        <v>0</v>
      </c>
      <c r="E41" s="67">
        <f>GDP!E41+INWARD!E41</f>
        <v>0</v>
      </c>
      <c r="F41" s="67">
        <f>GDP!F41+INWARD!F41</f>
        <v>0</v>
      </c>
      <c r="G41" s="67">
        <f>GDP!G41+INWARD!G41</f>
        <v>0</v>
      </c>
      <c r="H41" s="67">
        <f>GDP!H41+INWARD!H41</f>
        <v>0</v>
      </c>
      <c r="I41" s="67">
        <f>GDP!I41+INWARD!I41</f>
        <v>0</v>
      </c>
      <c r="J41" s="67">
        <f>GDP!J41+INWARD!J41</f>
        <v>0</v>
      </c>
      <c r="K41" s="67">
        <f>GDP!K41+INWARD!K41</f>
        <v>0</v>
      </c>
      <c r="L41" s="67">
        <f>GDP!L41+INWARD!L41</f>
        <v>0</v>
      </c>
      <c r="M41" s="67">
        <f>GDP!M41+INWARD!M41</f>
        <v>0</v>
      </c>
      <c r="N41" s="67">
        <f>GDP!N41+INWARD!N41</f>
        <v>0</v>
      </c>
      <c r="O41" s="67">
        <f>GDP!O41+INWARD!O41</f>
        <v>0</v>
      </c>
      <c r="P41" s="67">
        <f>GDP!P41+INWARD!P41</f>
        <v>0</v>
      </c>
      <c r="Q41" s="68">
        <f t="shared" si="0"/>
        <v>0</v>
      </c>
      <c r="R41" s="150">
        <f t="shared" si="1"/>
        <v>0</v>
      </c>
    </row>
    <row r="42" spans="2:18" ht="32.25" customHeight="1" x14ac:dyDescent="0.35">
      <c r="B42" s="151" t="s">
        <v>90</v>
      </c>
      <c r="C42" s="69">
        <f t="shared" ref="C42:Q42" si="2">SUM(C6:C41)</f>
        <v>1443311.4060500001</v>
      </c>
      <c r="D42" s="69">
        <f t="shared" si="2"/>
        <v>2585587.729469242</v>
      </c>
      <c r="E42" s="69">
        <f t="shared" si="2"/>
        <v>693564.51899675617</v>
      </c>
      <c r="F42" s="69">
        <f t="shared" si="2"/>
        <v>8701563.279449515</v>
      </c>
      <c r="G42" s="69">
        <f t="shared" si="2"/>
        <v>1955216.6861689228</v>
      </c>
      <c r="H42" s="69">
        <f t="shared" si="2"/>
        <v>1449283.1317967842</v>
      </c>
      <c r="I42" s="69">
        <f t="shared" si="2"/>
        <v>8768344.6284411885</v>
      </c>
      <c r="J42" s="69">
        <f t="shared" si="2"/>
        <v>7626773.5290678954</v>
      </c>
      <c r="K42" s="69">
        <f t="shared" si="2"/>
        <v>1381101.1811000002</v>
      </c>
      <c r="L42" s="69">
        <f t="shared" si="2"/>
        <v>966646.35579744889</v>
      </c>
      <c r="M42" s="69">
        <f t="shared" si="2"/>
        <v>2625864.7779954118</v>
      </c>
      <c r="N42" s="69">
        <f t="shared" si="2"/>
        <v>3673138.2489631316</v>
      </c>
      <c r="O42" s="69">
        <f t="shared" si="2"/>
        <v>32293196.311914846</v>
      </c>
      <c r="P42" s="69">
        <f t="shared" si="2"/>
        <v>1381908.8670280448</v>
      </c>
      <c r="Q42" s="69">
        <f t="shared" si="2"/>
        <v>75545500.652239189</v>
      </c>
      <c r="R42" s="69">
        <f t="shared" si="1"/>
        <v>100</v>
      </c>
    </row>
    <row r="43" spans="2:18" ht="32.25" customHeight="1" x14ac:dyDescent="0.35">
      <c r="B43" s="261" t="s">
        <v>91</v>
      </c>
      <c r="C43" s="252"/>
      <c r="D43" s="252"/>
      <c r="E43" s="252"/>
      <c r="F43" s="252"/>
      <c r="G43" s="252"/>
      <c r="H43" s="252"/>
      <c r="I43" s="252"/>
      <c r="J43" s="252"/>
      <c r="K43" s="252"/>
      <c r="L43" s="252"/>
      <c r="M43" s="252"/>
      <c r="N43" s="252"/>
      <c r="O43" s="252"/>
      <c r="P43" s="252"/>
      <c r="Q43" s="252"/>
      <c r="R43" s="253"/>
    </row>
    <row r="44" spans="2:18" ht="32.25" customHeight="1" x14ac:dyDescent="0.35">
      <c r="B44" s="141" t="s">
        <v>92</v>
      </c>
      <c r="C44" s="67">
        <f>GDP!C44+INWARD!C44</f>
        <v>7095.8869999999997</v>
      </c>
      <c r="D44" s="67">
        <f>GDP!D44+INWARD!D44</f>
        <v>167533.038</v>
      </c>
      <c r="E44" s="67">
        <f>GDP!E44+INWARD!E44</f>
        <v>289348.83500000002</v>
      </c>
      <c r="F44" s="67">
        <f>GDP!F44+INWARD!F44</f>
        <v>823531.30200000003</v>
      </c>
      <c r="G44" s="67">
        <f>GDP!G44+INWARD!G44</f>
        <v>57310.220999999998</v>
      </c>
      <c r="H44" s="67">
        <f>GDP!H44+INWARD!H44</f>
        <v>81602.7</v>
      </c>
      <c r="I44" s="67">
        <f>GDP!I44+INWARD!I44</f>
        <v>15009.819</v>
      </c>
      <c r="J44" s="67">
        <f>GDP!J44+INWARD!J44</f>
        <v>64132.866999999998</v>
      </c>
      <c r="K44" s="67">
        <f>GDP!K44+INWARD!K44</f>
        <v>0</v>
      </c>
      <c r="L44" s="67">
        <f>GDP!L44+INWARD!L44</f>
        <v>96431.516000000003</v>
      </c>
      <c r="M44" s="67">
        <f>GDP!M44+INWARD!M44</f>
        <v>5075.3429999999998</v>
      </c>
      <c r="N44" s="67">
        <f>GDP!N44+INWARD!N44</f>
        <v>10150.686</v>
      </c>
      <c r="O44" s="67">
        <f>GDP!O44+INWARD!O44</f>
        <v>618588.12399999995</v>
      </c>
      <c r="P44" s="67">
        <f>GDP!P44+INWARD!P44</f>
        <v>395876.74599999998</v>
      </c>
      <c r="Q44" s="68">
        <f>SUM(C44:P44)</f>
        <v>2631687.0839999998</v>
      </c>
      <c r="R44" s="152">
        <f>Q44/$Q$49*100</f>
        <v>28.294222552242303</v>
      </c>
    </row>
    <row r="45" spans="2:18" ht="32.25" customHeight="1" x14ac:dyDescent="0.35">
      <c r="B45" s="141" t="s">
        <v>93</v>
      </c>
      <c r="C45" s="67">
        <f>GDP!C45+INWARD!C45</f>
        <v>585.75190455092138</v>
      </c>
      <c r="D45" s="67">
        <f>GDP!D45+INWARD!D45</f>
        <v>112581.7070093721</v>
      </c>
      <c r="E45" s="67">
        <f>GDP!E45+INWARD!E45</f>
        <v>0</v>
      </c>
      <c r="F45" s="67">
        <f>GDP!F45+INWARD!F45</f>
        <v>577542.96014476451</v>
      </c>
      <c r="G45" s="67">
        <f>GDP!G45+INWARD!G45</f>
        <v>15908.15466713257</v>
      </c>
      <c r="H45" s="67">
        <f>GDP!H45+INWARD!H45</f>
        <v>81905.669017990294</v>
      </c>
      <c r="I45" s="67">
        <f>GDP!I45+INWARD!I45</f>
        <v>0</v>
      </c>
      <c r="J45" s="67">
        <f>GDP!J45+INWARD!J45</f>
        <v>100253.49964909541</v>
      </c>
      <c r="K45" s="67">
        <f>GDP!K45+INWARD!K45</f>
        <v>0</v>
      </c>
      <c r="L45" s="67">
        <f>GDP!L45+INWARD!L45</f>
        <v>17263.89516516983</v>
      </c>
      <c r="M45" s="67">
        <f>GDP!M45+INWARD!M45</f>
        <v>0</v>
      </c>
      <c r="N45" s="67">
        <f>GDP!N45+INWARD!N45</f>
        <v>0</v>
      </c>
      <c r="O45" s="67">
        <f>GDP!O45+INWARD!O45</f>
        <v>314628.92760766839</v>
      </c>
      <c r="P45" s="67">
        <f>GDP!P45+INWARD!P45</f>
        <v>165487.6404647234</v>
      </c>
      <c r="Q45" s="68">
        <f>SUM(C45:P45)</f>
        <v>1386158.2056304673</v>
      </c>
      <c r="R45" s="152">
        <f>Q45/$Q$49*100</f>
        <v>14.90308973326454</v>
      </c>
    </row>
    <row r="46" spans="2:18" ht="32.25" customHeight="1" x14ac:dyDescent="0.35">
      <c r="B46" s="141" t="s">
        <v>94</v>
      </c>
      <c r="C46" s="67">
        <f>GDP!C46+INWARD!C46</f>
        <v>1126.9179999999999</v>
      </c>
      <c r="D46" s="67">
        <f>GDP!D46+INWARD!D46</f>
        <v>78195.399000000005</v>
      </c>
      <c r="E46" s="67">
        <f>GDP!E46+INWARD!E46</f>
        <v>72082.087</v>
      </c>
      <c r="F46" s="67">
        <f>GDP!F46+INWARD!F46</f>
        <v>525071.80799999996</v>
      </c>
      <c r="G46" s="67">
        <f>GDP!G46+INWARD!G46</f>
        <v>20256.177</v>
      </c>
      <c r="H46" s="67">
        <f>GDP!H46+INWARD!H46</f>
        <v>59207.883000000002</v>
      </c>
      <c r="I46" s="67">
        <f>GDP!I46+INWARD!I46</f>
        <v>34981.896999999997</v>
      </c>
      <c r="J46" s="67">
        <f>GDP!J46+INWARD!J46</f>
        <v>37897.057000000001</v>
      </c>
      <c r="K46" s="67">
        <f>GDP!K46+INWARD!K46</f>
        <v>0</v>
      </c>
      <c r="L46" s="67">
        <f>GDP!L46+INWARD!L46</f>
        <v>2561.038</v>
      </c>
      <c r="M46" s="67">
        <f>GDP!M46+INWARD!M46</f>
        <v>7438.067</v>
      </c>
      <c r="N46" s="67">
        <f>GDP!N46+INWARD!N46</f>
        <v>-13675.954</v>
      </c>
      <c r="O46" s="67">
        <f>GDP!O46+INWARD!O46</f>
        <v>42264.728999999999</v>
      </c>
      <c r="P46" s="67">
        <f>GDP!P46+INWARD!P46</f>
        <v>51765.324999999997</v>
      </c>
      <c r="Q46" s="68">
        <f>SUM(C46:P46)</f>
        <v>919172.43099999998</v>
      </c>
      <c r="R46" s="152">
        <f>Q46/$Q$49*100</f>
        <v>9.8823562591150313</v>
      </c>
    </row>
    <row r="47" spans="2:18" ht="32.25" customHeight="1" x14ac:dyDescent="0.35">
      <c r="B47" s="141" t="s">
        <v>95</v>
      </c>
      <c r="C47" s="67">
        <f>GDP!C47+INWARD!C47</f>
        <v>17710.49655</v>
      </c>
      <c r="D47" s="67">
        <f>GDP!D47+INWARD!D47</f>
        <v>311312.57116000011</v>
      </c>
      <c r="E47" s="67">
        <f>GDP!E47+INWARD!E47</f>
        <v>12833.17497</v>
      </c>
      <c r="F47" s="67">
        <f>GDP!F47+INWARD!F47</f>
        <v>890714.91189999995</v>
      </c>
      <c r="G47" s="67">
        <f>GDP!G47+INWARD!G47</f>
        <v>35668.26969999999</v>
      </c>
      <c r="H47" s="67">
        <f>GDP!H47+INWARD!H47</f>
        <v>178577.33689000001</v>
      </c>
      <c r="I47" s="67">
        <f>GDP!I47+INWARD!I47</f>
        <v>3771.9159399999999</v>
      </c>
      <c r="J47" s="67">
        <f>GDP!J47+INWARD!J47</f>
        <v>50125.317270000007</v>
      </c>
      <c r="K47" s="67">
        <f>GDP!K47+INWARD!K47</f>
        <v>0</v>
      </c>
      <c r="L47" s="67">
        <f>GDP!L47+INWARD!L47</f>
        <v>112418.92039</v>
      </c>
      <c r="M47" s="67">
        <f>GDP!M47+INWARD!M47</f>
        <v>7755.0912299999991</v>
      </c>
      <c r="N47" s="67">
        <f>GDP!N47+INWARD!N47</f>
        <v>-220.39310999999941</v>
      </c>
      <c r="O47" s="67">
        <f>GDP!O47+INWARD!O47</f>
        <v>430393.60777000012</v>
      </c>
      <c r="P47" s="67">
        <f>GDP!P47+INWARD!P47</f>
        <v>388866.02708999888</v>
      </c>
      <c r="Q47" s="68">
        <f>SUM(C47:P47)</f>
        <v>2439927.2477499992</v>
      </c>
      <c r="R47" s="152">
        <f>Q47/$Q$49*100</f>
        <v>26.232542986907227</v>
      </c>
    </row>
    <row r="48" spans="2:18" ht="32.25" customHeight="1" x14ac:dyDescent="0.35">
      <c r="B48" s="141" t="s">
        <v>96</v>
      </c>
      <c r="C48" s="67">
        <f>GDP!C48+INWARD!C48</f>
        <v>16683.52107590593</v>
      </c>
      <c r="D48" s="67">
        <f>GDP!D48+INWARD!D48</f>
        <v>319123.07172895648</v>
      </c>
      <c r="E48" s="67">
        <f>GDP!E48+INWARD!E48</f>
        <v>3257.5373962314479</v>
      </c>
      <c r="F48" s="67">
        <f>GDP!F48+INWARD!F48</f>
        <v>789553.19308252283</v>
      </c>
      <c r="G48" s="67">
        <f>GDP!G48+INWARD!G48</f>
        <v>318217.30851026898</v>
      </c>
      <c r="H48" s="67">
        <f>GDP!H48+INWARD!H48</f>
        <v>82792.604543797555</v>
      </c>
      <c r="I48" s="67">
        <f>GDP!I48+INWARD!I48</f>
        <v>5845.3159559571686</v>
      </c>
      <c r="J48" s="67">
        <f>GDP!J48+INWARD!J48</f>
        <v>32787.262020122042</v>
      </c>
      <c r="K48" s="67">
        <f>GDP!K48+INWARD!K48</f>
        <v>0</v>
      </c>
      <c r="L48" s="67">
        <f>GDP!L48+INWARD!L48</f>
        <v>86490.255069408318</v>
      </c>
      <c r="M48" s="67">
        <f>GDP!M48+INWARD!M48</f>
        <v>17380.14903353517</v>
      </c>
      <c r="N48" s="67">
        <f>GDP!N48+INWARD!N48</f>
        <v>74316.200299217016</v>
      </c>
      <c r="O48" s="67">
        <f>GDP!O48+INWARD!O48</f>
        <v>171149.99079234939</v>
      </c>
      <c r="P48" s="67">
        <f>GDP!P48+INWARD!P48</f>
        <v>6605.0987139197177</v>
      </c>
      <c r="Q48" s="68">
        <f>SUM(C48:P48)</f>
        <v>1924201.5082221923</v>
      </c>
      <c r="R48" s="152">
        <f>Q48/$Q$49*100</f>
        <v>20.687788468470899</v>
      </c>
    </row>
    <row r="49" spans="2:18" ht="32.25" customHeight="1" x14ac:dyDescent="0.35">
      <c r="B49" s="151" t="s">
        <v>171</v>
      </c>
      <c r="C49" s="69">
        <f t="shared" ref="C49:R49" si="3">SUM(C44:C48)</f>
        <v>43202.574530456855</v>
      </c>
      <c r="D49" s="69">
        <f t="shared" si="3"/>
        <v>988745.78689832869</v>
      </c>
      <c r="E49" s="69">
        <f t="shared" si="3"/>
        <v>377521.63436623145</v>
      </c>
      <c r="F49" s="69">
        <f t="shared" si="3"/>
        <v>3606414.1751272874</v>
      </c>
      <c r="G49" s="69">
        <f t="shared" si="3"/>
        <v>447360.13087740156</v>
      </c>
      <c r="H49" s="69">
        <f t="shared" si="3"/>
        <v>484086.19345178787</v>
      </c>
      <c r="I49" s="69">
        <f t="shared" si="3"/>
        <v>59608.947895957172</v>
      </c>
      <c r="J49" s="69">
        <f t="shared" si="3"/>
        <v>285196.00293921743</v>
      </c>
      <c r="K49" s="69">
        <f t="shared" si="3"/>
        <v>0</v>
      </c>
      <c r="L49" s="69">
        <f t="shared" si="3"/>
        <v>315165.62462457817</v>
      </c>
      <c r="M49" s="69">
        <f t="shared" si="3"/>
        <v>37648.650263535164</v>
      </c>
      <c r="N49" s="69">
        <f t="shared" si="3"/>
        <v>70570.539189217016</v>
      </c>
      <c r="O49" s="69">
        <f t="shared" si="3"/>
        <v>1577025.379170018</v>
      </c>
      <c r="P49" s="69">
        <f t="shared" si="3"/>
        <v>1008600.8372686419</v>
      </c>
      <c r="Q49" s="69">
        <f t="shared" si="3"/>
        <v>9301146.4766026586</v>
      </c>
      <c r="R49" s="69">
        <f t="shared" si="3"/>
        <v>100</v>
      </c>
    </row>
    <row r="50" spans="2:18" ht="19.5" customHeight="1" x14ac:dyDescent="0.35">
      <c r="B50" s="265" t="s">
        <v>98</v>
      </c>
      <c r="C50" s="255"/>
      <c r="D50" s="255"/>
      <c r="E50" s="255"/>
      <c r="F50" s="255"/>
      <c r="G50" s="255"/>
      <c r="H50" s="255"/>
      <c r="I50" s="255"/>
      <c r="J50" s="255"/>
      <c r="K50" s="255"/>
      <c r="L50" s="255"/>
      <c r="M50" s="255"/>
      <c r="N50" s="255"/>
      <c r="O50" s="255"/>
      <c r="P50" s="255"/>
      <c r="Q50" s="255"/>
      <c r="R50" s="255"/>
    </row>
  </sheetData>
  <sheetProtection algorithmName="SHA-512" hashValue="aNQ9i+CuVDnNdU22mSeH8J5/3UOamYrfkDwGqn4YMeByp5qjO5blQ0RyHKv3QCn5ep7ynwAmnJrxAP7isvcyYg==" saltValue="hV8o0aoTrxo+7CtVarALfQ==" spinCount="100000" sheet="1" objects="1" scenarios="1"/>
  <mergeCells count="4">
    <mergeCell ref="B5:R5"/>
    <mergeCell ref="B50:R50"/>
    <mergeCell ref="B43:R43"/>
    <mergeCell ref="B3:R3"/>
  </mergeCells>
  <pageMargins left="0.7" right="0.7" top="0.75" bottom="0.75" header="0.3" footer="0.3"/>
  <pageSetup scale="34"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5">
    <tabColor rgb="FF92D050"/>
  </sheetPr>
  <dimension ref="B3:R50"/>
  <sheetViews>
    <sheetView topLeftCell="A34" zoomScale="73" workbookViewId="0">
      <selection activeCell="B3" sqref="B3:Q50"/>
    </sheetView>
  </sheetViews>
  <sheetFormatPr defaultColWidth="9.453125" defaultRowHeight="14" x14ac:dyDescent="0.3"/>
  <cols>
    <col min="1" max="1" width="12.453125" style="2" customWidth="1"/>
    <col min="2" max="2" width="51.453125" style="2" customWidth="1"/>
    <col min="3" max="17" width="21.54296875" style="2" customWidth="1"/>
    <col min="18" max="19" width="6.453125" style="2" bestFit="1" customWidth="1"/>
    <col min="20" max="20" width="14.54296875" style="2" bestFit="1" customWidth="1"/>
    <col min="21" max="71" width="9.453125" style="2" customWidth="1"/>
    <col min="72" max="16384" width="9.453125" style="2"/>
  </cols>
  <sheetData>
    <row r="3" spans="2:18" ht="21" customHeight="1" x14ac:dyDescent="0.35">
      <c r="B3" s="274" t="str">
        <f>_xlfn.CONCAT("GDP: SUMMARY OF GROSS DIRECT PREMIUM UNDER GENERAL INSURANCE BUSINESS FOR THE PERIOD ENDED"," ",Details!F18)</f>
        <v>GDP: SUMMARY OF GROSS DIRECT PREMIUM UNDER GENERAL INSURANCE BUSINESS FOR THE PERIOD ENDED 31.03.2025</v>
      </c>
      <c r="C3" s="252"/>
      <c r="D3" s="252"/>
      <c r="E3" s="252"/>
      <c r="F3" s="252"/>
      <c r="G3" s="252"/>
      <c r="H3" s="252"/>
      <c r="I3" s="252"/>
      <c r="J3" s="252"/>
      <c r="K3" s="252"/>
      <c r="L3" s="252"/>
      <c r="M3" s="252"/>
      <c r="N3" s="252"/>
      <c r="O3" s="252"/>
      <c r="P3" s="252"/>
      <c r="Q3" s="253"/>
    </row>
    <row r="4" spans="2:18" ht="28.5" customHeight="1" x14ac:dyDescent="0.3">
      <c r="B4" s="43" t="s">
        <v>36</v>
      </c>
      <c r="C4" s="45" t="s">
        <v>156</v>
      </c>
      <c r="D4" s="45" t="s">
        <v>157</v>
      </c>
      <c r="E4" s="45" t="s">
        <v>158</v>
      </c>
      <c r="F4" s="45" t="s">
        <v>159</v>
      </c>
      <c r="G4" s="45" t="s">
        <v>160</v>
      </c>
      <c r="H4" s="45" t="s">
        <v>161</v>
      </c>
      <c r="I4" s="45" t="s">
        <v>162</v>
      </c>
      <c r="J4" s="45" t="s">
        <v>163</v>
      </c>
      <c r="K4" s="45" t="s">
        <v>164</v>
      </c>
      <c r="L4" s="45" t="s">
        <v>165</v>
      </c>
      <c r="M4" s="45" t="s">
        <v>166</v>
      </c>
      <c r="N4" s="45" t="s">
        <v>167</v>
      </c>
      <c r="O4" s="45" t="s">
        <v>168</v>
      </c>
      <c r="P4" s="45" t="s">
        <v>169</v>
      </c>
      <c r="Q4" s="45" t="s">
        <v>170</v>
      </c>
    </row>
    <row r="5" spans="2:18" ht="21" customHeight="1" x14ac:dyDescent="0.35">
      <c r="B5" s="275" t="s">
        <v>53</v>
      </c>
      <c r="C5" s="252"/>
      <c r="D5" s="252"/>
      <c r="E5" s="252"/>
      <c r="F5" s="252"/>
      <c r="G5" s="252"/>
      <c r="H5" s="252"/>
      <c r="I5" s="252"/>
      <c r="J5" s="252"/>
      <c r="K5" s="252"/>
      <c r="L5" s="252"/>
      <c r="M5" s="252"/>
      <c r="N5" s="252"/>
      <c r="O5" s="252"/>
      <c r="P5" s="252"/>
      <c r="Q5" s="253"/>
    </row>
    <row r="6" spans="2:18" ht="18.75" customHeight="1" x14ac:dyDescent="0.35">
      <c r="B6" s="55" t="s">
        <v>54</v>
      </c>
      <c r="C6" s="46">
        <v>0</v>
      </c>
      <c r="D6" s="46">
        <v>1119.5712000000001</v>
      </c>
      <c r="E6" s="46">
        <v>309.63315999999998</v>
      </c>
      <c r="F6" s="46">
        <v>6656.6433299999999</v>
      </c>
      <c r="G6" s="46">
        <v>9124.4545999999991</v>
      </c>
      <c r="H6" s="46">
        <v>48.25</v>
      </c>
      <c r="I6" s="46">
        <v>0</v>
      </c>
      <c r="J6" s="46">
        <v>0</v>
      </c>
      <c r="K6" s="46">
        <v>0</v>
      </c>
      <c r="L6" s="46">
        <v>3405.4688000000001</v>
      </c>
      <c r="M6" s="46">
        <v>6070.6072300000014</v>
      </c>
      <c r="N6" s="46">
        <v>38019.920339999997</v>
      </c>
      <c r="O6" s="46">
        <v>3219842.4502884191</v>
      </c>
      <c r="P6" s="46">
        <v>6555.1320799999994</v>
      </c>
      <c r="Q6" s="58">
        <v>3291152.1310284189</v>
      </c>
      <c r="R6">
        <v>0</v>
      </c>
    </row>
    <row r="7" spans="2:18" ht="21" customHeight="1" x14ac:dyDescent="0.35">
      <c r="B7" s="55" t="s">
        <v>55</v>
      </c>
      <c r="C7" s="46">
        <v>0</v>
      </c>
      <c r="D7" s="46">
        <v>17139.147000000001</v>
      </c>
      <c r="E7" s="46">
        <v>123.53700000000001</v>
      </c>
      <c r="F7" s="46">
        <v>925.93200000000002</v>
      </c>
      <c r="G7" s="46">
        <v>6413.55</v>
      </c>
      <c r="H7" s="46">
        <v>1912.7090000000001</v>
      </c>
      <c r="I7" s="46">
        <v>118667.337</v>
      </c>
      <c r="J7" s="46">
        <v>170748.09400000001</v>
      </c>
      <c r="K7" s="46">
        <v>755613.81400000001</v>
      </c>
      <c r="L7" s="46">
        <v>4683.585</v>
      </c>
      <c r="M7" s="46">
        <v>1420.537</v>
      </c>
      <c r="N7" s="46">
        <v>54120.591</v>
      </c>
      <c r="O7" s="46">
        <v>0</v>
      </c>
      <c r="P7" s="46">
        <v>7608.6689999999999</v>
      </c>
      <c r="Q7" s="58">
        <v>1139377.5020000001</v>
      </c>
      <c r="R7">
        <v>0</v>
      </c>
    </row>
    <row r="8" spans="2:18" ht="21" customHeight="1" x14ac:dyDescent="0.35">
      <c r="B8" s="55" t="s">
        <v>56</v>
      </c>
      <c r="C8" s="46">
        <v>108049.902</v>
      </c>
      <c r="D8" s="46">
        <v>121056.133</v>
      </c>
      <c r="E8" s="46">
        <v>42109.841999999997</v>
      </c>
      <c r="F8" s="46">
        <v>1028164.678</v>
      </c>
      <c r="G8" s="46">
        <v>193479.74600000001</v>
      </c>
      <c r="H8" s="46">
        <v>93040.262000000002</v>
      </c>
      <c r="I8" s="46">
        <v>885955.21799999999</v>
      </c>
      <c r="J8" s="46">
        <v>766252.11699999997</v>
      </c>
      <c r="K8" s="46">
        <v>0</v>
      </c>
      <c r="L8" s="46">
        <v>64504.315999999999</v>
      </c>
      <c r="M8" s="46">
        <v>120712.96400000001</v>
      </c>
      <c r="N8" s="46">
        <v>257497.21799999999</v>
      </c>
      <c r="O8" s="46">
        <v>2892011.5529999998</v>
      </c>
      <c r="P8" s="46">
        <v>124290.992</v>
      </c>
      <c r="Q8" s="58">
        <v>6697124.9409999996</v>
      </c>
      <c r="R8">
        <v>0</v>
      </c>
    </row>
    <row r="9" spans="2:18" ht="21" customHeight="1" x14ac:dyDescent="0.35">
      <c r="B9" s="55" t="s">
        <v>57</v>
      </c>
      <c r="C9" s="46">
        <v>36227.084609999998</v>
      </c>
      <c r="D9" s="46">
        <v>389231.42625000002</v>
      </c>
      <c r="E9" s="46">
        <v>63255.38147</v>
      </c>
      <c r="F9" s="46">
        <v>618336.08796000015</v>
      </c>
      <c r="G9" s="46">
        <v>237942.15792999999</v>
      </c>
      <c r="H9" s="46">
        <v>142006.4596200001</v>
      </c>
      <c r="I9" s="46">
        <v>429799.26719999901</v>
      </c>
      <c r="J9" s="46">
        <v>211326.37179</v>
      </c>
      <c r="K9" s="46">
        <v>0</v>
      </c>
      <c r="L9" s="46">
        <v>65403.022977466273</v>
      </c>
      <c r="M9" s="46">
        <v>399326.43423999997</v>
      </c>
      <c r="N9" s="46">
        <v>146776.62818999999</v>
      </c>
      <c r="O9" s="46">
        <v>2047252.2644164269</v>
      </c>
      <c r="P9" s="46">
        <v>22067.00734</v>
      </c>
      <c r="Q9" s="58">
        <v>4808949.593993892</v>
      </c>
      <c r="R9">
        <v>0</v>
      </c>
    </row>
    <row r="10" spans="2:18" ht="21" customHeight="1" x14ac:dyDescent="0.35">
      <c r="B10" s="55" t="s">
        <v>58</v>
      </c>
      <c r="C10" s="46">
        <v>0</v>
      </c>
      <c r="D10" s="46">
        <v>42030.258000000002</v>
      </c>
      <c r="E10" s="46">
        <v>5021.1260000000002</v>
      </c>
      <c r="F10" s="46">
        <v>18573.987000000001</v>
      </c>
      <c r="G10" s="46">
        <v>8711.35</v>
      </c>
      <c r="H10" s="46">
        <v>14783.732</v>
      </c>
      <c r="I10" s="46">
        <v>376766.58270999999</v>
      </c>
      <c r="J10" s="46">
        <v>111908.71</v>
      </c>
      <c r="K10" s="46">
        <v>0</v>
      </c>
      <c r="L10" s="46">
        <v>11173.584999999999</v>
      </c>
      <c r="M10" s="46">
        <v>7309.9639999999999</v>
      </c>
      <c r="N10" s="46">
        <v>38266.527000000002</v>
      </c>
      <c r="O10" s="46">
        <v>0</v>
      </c>
      <c r="P10" s="46">
        <v>10524.630999999999</v>
      </c>
      <c r="Q10" s="58">
        <v>645070.45270999998</v>
      </c>
      <c r="R10">
        <v>0</v>
      </c>
    </row>
    <row r="11" spans="2:18" ht="21" customHeight="1" x14ac:dyDescent="0.35">
      <c r="B11" s="55" t="s">
        <v>59</v>
      </c>
      <c r="C11" s="46">
        <v>0</v>
      </c>
      <c r="D11" s="46">
        <v>37636.272669999998</v>
      </c>
      <c r="E11" s="46">
        <v>38529.770409999997</v>
      </c>
      <c r="F11" s="46">
        <v>175426.74878000011</v>
      </c>
      <c r="G11" s="46">
        <v>71954.884680000003</v>
      </c>
      <c r="H11" s="46">
        <v>11892.5272</v>
      </c>
      <c r="I11" s="46">
        <v>872590.45499000035</v>
      </c>
      <c r="J11" s="46">
        <v>703727.45675000013</v>
      </c>
      <c r="K11" s="46">
        <v>0</v>
      </c>
      <c r="L11" s="46">
        <v>165872.64219000001</v>
      </c>
      <c r="M11" s="46">
        <v>400193.89347999991</v>
      </c>
      <c r="N11" s="46">
        <v>209133.73245000001</v>
      </c>
      <c r="O11" s="46">
        <v>3775590.254579999</v>
      </c>
      <c r="P11" s="46">
        <v>77398.936449380446</v>
      </c>
      <c r="Q11" s="58">
        <v>6539947.5746293794</v>
      </c>
      <c r="R11">
        <v>0</v>
      </c>
    </row>
    <row r="12" spans="2:18" ht="21" customHeight="1" x14ac:dyDescent="0.35">
      <c r="B12" s="55" t="s">
        <v>60</v>
      </c>
      <c r="C12" s="46">
        <v>0</v>
      </c>
      <c r="D12" s="46">
        <v>1965.7919783382811</v>
      </c>
      <c r="E12" s="46">
        <v>741.97278442460436</v>
      </c>
      <c r="F12" s="46">
        <v>4297.4446994593109</v>
      </c>
      <c r="G12" s="46">
        <v>1260.4613821098139</v>
      </c>
      <c r="H12" s="46">
        <v>419.7441157302074</v>
      </c>
      <c r="I12" s="46">
        <v>8673.4975916085295</v>
      </c>
      <c r="J12" s="46">
        <v>3789.8933115435912</v>
      </c>
      <c r="K12" s="46">
        <v>0</v>
      </c>
      <c r="L12" s="46">
        <v>1602.72291964994</v>
      </c>
      <c r="M12" s="46">
        <v>1136.6464560431209</v>
      </c>
      <c r="N12" s="46">
        <v>2305.4696067426489</v>
      </c>
      <c r="O12" s="46">
        <v>0</v>
      </c>
      <c r="P12" s="46">
        <v>1451.4655521112261</v>
      </c>
      <c r="Q12" s="58">
        <v>27645.110397761269</v>
      </c>
      <c r="R12">
        <v>0</v>
      </c>
    </row>
    <row r="13" spans="2:18" ht="21" customHeight="1" x14ac:dyDescent="0.35">
      <c r="B13" s="55" t="s">
        <v>61</v>
      </c>
      <c r="C13" s="46">
        <v>0</v>
      </c>
      <c r="D13" s="46">
        <v>56.4</v>
      </c>
      <c r="E13" s="46">
        <v>0</v>
      </c>
      <c r="F13" s="46">
        <v>239.36699999999999</v>
      </c>
      <c r="G13" s="46">
        <v>0</v>
      </c>
      <c r="H13" s="46">
        <v>0</v>
      </c>
      <c r="I13" s="46">
        <v>11605.909460000001</v>
      </c>
      <c r="J13" s="46">
        <v>5360.2654000000002</v>
      </c>
      <c r="K13" s="46">
        <v>32408.96631</v>
      </c>
      <c r="L13" s="46">
        <v>1.246</v>
      </c>
      <c r="M13" s="46">
        <v>500.54399999999998</v>
      </c>
      <c r="N13" s="46">
        <v>30.803000000000001</v>
      </c>
      <c r="O13" s="46">
        <v>0</v>
      </c>
      <c r="P13" s="46">
        <v>20073.794999999998</v>
      </c>
      <c r="Q13" s="58">
        <v>70277.296170000001</v>
      </c>
      <c r="R13">
        <v>0</v>
      </c>
    </row>
    <row r="14" spans="2:18" ht="21" customHeight="1" x14ac:dyDescent="0.35">
      <c r="B14" s="55" t="s">
        <v>62</v>
      </c>
      <c r="C14" s="46">
        <v>0</v>
      </c>
      <c r="D14" s="46">
        <v>0</v>
      </c>
      <c r="E14" s="46">
        <v>0</v>
      </c>
      <c r="F14" s="46">
        <v>0</v>
      </c>
      <c r="G14" s="46">
        <v>0</v>
      </c>
      <c r="H14" s="46">
        <v>0</v>
      </c>
      <c r="I14" s="46">
        <v>70428.599379999971</v>
      </c>
      <c r="J14" s="46">
        <v>24195.188699999999</v>
      </c>
      <c r="K14" s="46">
        <v>492642.56779000012</v>
      </c>
      <c r="L14" s="46">
        <v>0</v>
      </c>
      <c r="M14" s="46">
        <v>0</v>
      </c>
      <c r="N14" s="46">
        <v>0</v>
      </c>
      <c r="O14" s="46">
        <v>0</v>
      </c>
      <c r="P14" s="46">
        <v>0</v>
      </c>
      <c r="Q14" s="58">
        <v>587266.35587000009</v>
      </c>
      <c r="R14">
        <v>0</v>
      </c>
    </row>
    <row r="15" spans="2:18" ht="21" customHeight="1" x14ac:dyDescent="0.35">
      <c r="B15" s="55" t="s">
        <v>63</v>
      </c>
      <c r="C15" s="46">
        <v>0</v>
      </c>
      <c r="D15" s="46">
        <v>20436.198</v>
      </c>
      <c r="E15" s="46">
        <v>0</v>
      </c>
      <c r="F15" s="46">
        <v>33569.195</v>
      </c>
      <c r="G15" s="46">
        <v>42088.970999999998</v>
      </c>
      <c r="H15" s="46">
        <v>0</v>
      </c>
      <c r="I15" s="46">
        <v>0</v>
      </c>
      <c r="J15" s="46">
        <v>0</v>
      </c>
      <c r="K15" s="46">
        <v>0</v>
      </c>
      <c r="L15" s="46">
        <v>0</v>
      </c>
      <c r="M15" s="46">
        <v>97072.728000000003</v>
      </c>
      <c r="N15" s="46">
        <v>0</v>
      </c>
      <c r="O15" s="46">
        <v>1165374.3810000001</v>
      </c>
      <c r="P15" s="46">
        <v>0</v>
      </c>
      <c r="Q15" s="58">
        <v>1358541.473</v>
      </c>
      <c r="R15">
        <v>0</v>
      </c>
    </row>
    <row r="16" spans="2:18" ht="21" customHeight="1" x14ac:dyDescent="0.35">
      <c r="B16" s="55" t="s">
        <v>64</v>
      </c>
      <c r="C16" s="46">
        <v>2366.1909999999998</v>
      </c>
      <c r="D16" s="46">
        <v>28167.013999999999</v>
      </c>
      <c r="E16" s="46">
        <v>13590.243</v>
      </c>
      <c r="F16" s="46">
        <v>143092.391</v>
      </c>
      <c r="G16" s="46">
        <v>26181.739000000001</v>
      </c>
      <c r="H16" s="46">
        <v>34615.256999999998</v>
      </c>
      <c r="I16" s="46">
        <v>378001.51799999998</v>
      </c>
      <c r="J16" s="46">
        <v>464242.788</v>
      </c>
      <c r="K16" s="46">
        <v>13029.923000000001</v>
      </c>
      <c r="L16" s="46">
        <v>3377.34</v>
      </c>
      <c r="M16" s="46">
        <v>35284.326999999997</v>
      </c>
      <c r="N16" s="46">
        <v>128901.07399999999</v>
      </c>
      <c r="O16" s="46">
        <v>130142.989</v>
      </c>
      <c r="P16" s="46">
        <v>81965.320000000007</v>
      </c>
      <c r="Q16" s="58">
        <v>1482958.1140000001</v>
      </c>
      <c r="R16">
        <v>0</v>
      </c>
    </row>
    <row r="17" spans="2:18" ht="21" customHeight="1" x14ac:dyDescent="0.35">
      <c r="B17" s="55" t="s">
        <v>65</v>
      </c>
      <c r="C17" s="46">
        <v>0</v>
      </c>
      <c r="D17" s="46">
        <v>38877.805999999997</v>
      </c>
      <c r="E17" s="46">
        <v>15720.311</v>
      </c>
      <c r="F17" s="46">
        <v>222771.36300000001</v>
      </c>
      <c r="G17" s="46">
        <v>33970.839999999997</v>
      </c>
      <c r="H17" s="46">
        <v>64915.764999999999</v>
      </c>
      <c r="I17" s="46">
        <v>221356.821</v>
      </c>
      <c r="J17" s="46">
        <v>208607.29699999999</v>
      </c>
      <c r="K17" s="46">
        <v>0</v>
      </c>
      <c r="L17" s="46">
        <v>61522.847999999998</v>
      </c>
      <c r="M17" s="46">
        <v>38124.641000000003</v>
      </c>
      <c r="N17" s="46">
        <v>44003.951000000001</v>
      </c>
      <c r="O17" s="46">
        <v>1855118.4410000001</v>
      </c>
      <c r="P17" s="46">
        <v>35101.129000000001</v>
      </c>
      <c r="Q17" s="58">
        <v>2840091.213</v>
      </c>
      <c r="R17">
        <v>0</v>
      </c>
    </row>
    <row r="18" spans="2:18" ht="21" customHeight="1" x14ac:dyDescent="0.35">
      <c r="B18" s="55" t="s">
        <v>66</v>
      </c>
      <c r="C18" s="46">
        <v>338883.66899999999</v>
      </c>
      <c r="D18" s="46">
        <v>381561.16</v>
      </c>
      <c r="E18" s="46">
        <v>74403.430999999997</v>
      </c>
      <c r="F18" s="46">
        <v>1557943.811</v>
      </c>
      <c r="G18" s="46">
        <v>102389.466</v>
      </c>
      <c r="H18" s="46">
        <v>195481.76199999999</v>
      </c>
      <c r="I18" s="46">
        <v>581216.18799999997</v>
      </c>
      <c r="J18" s="46">
        <v>589567.25399999996</v>
      </c>
      <c r="K18" s="46">
        <v>56642.11</v>
      </c>
      <c r="L18" s="46">
        <v>49247.999000000003</v>
      </c>
      <c r="M18" s="46">
        <v>304303.57500000001</v>
      </c>
      <c r="N18" s="46">
        <v>430795.85399999999</v>
      </c>
      <c r="O18" s="46">
        <v>1910582.0060000001</v>
      </c>
      <c r="P18" s="46">
        <v>115030.288</v>
      </c>
      <c r="Q18" s="58">
        <v>6688048.5729999999</v>
      </c>
      <c r="R18">
        <v>0</v>
      </c>
    </row>
    <row r="19" spans="2:18" ht="21" customHeight="1" x14ac:dyDescent="0.35">
      <c r="B19" s="55" t="s">
        <v>67</v>
      </c>
      <c r="C19" s="46">
        <v>101320.652</v>
      </c>
      <c r="D19" s="46">
        <v>47480.468999999997</v>
      </c>
      <c r="E19" s="46">
        <v>33722.334999999999</v>
      </c>
      <c r="F19" s="46">
        <v>239891.25599999999</v>
      </c>
      <c r="G19" s="46">
        <v>60909.31</v>
      </c>
      <c r="H19" s="46">
        <v>262285.93</v>
      </c>
      <c r="I19" s="46">
        <v>353729.22</v>
      </c>
      <c r="J19" s="46">
        <v>463839.06199999998</v>
      </c>
      <c r="K19" s="46">
        <v>0</v>
      </c>
      <c r="L19" s="46">
        <v>56800.567000000003</v>
      </c>
      <c r="M19" s="46">
        <v>103112.28599999999</v>
      </c>
      <c r="N19" s="46">
        <v>205172.451</v>
      </c>
      <c r="O19" s="46">
        <v>0</v>
      </c>
      <c r="P19" s="46">
        <v>27554.058000000001</v>
      </c>
      <c r="Q19" s="58">
        <v>1955817.5959999999</v>
      </c>
      <c r="R19">
        <v>0</v>
      </c>
    </row>
    <row r="20" spans="2:18" ht="21" customHeight="1" x14ac:dyDescent="0.35">
      <c r="B20" s="55" t="s">
        <v>68</v>
      </c>
      <c r="C20" s="46">
        <v>297970.93099999998</v>
      </c>
      <c r="D20" s="46">
        <v>236570.84700000001</v>
      </c>
      <c r="E20" s="46">
        <v>51591.353999999999</v>
      </c>
      <c r="F20" s="46">
        <v>623985.25699999998</v>
      </c>
      <c r="G20" s="46">
        <v>91847.94</v>
      </c>
      <c r="H20" s="46">
        <v>63256.533000000003</v>
      </c>
      <c r="I20" s="46">
        <v>724888.45299999998</v>
      </c>
      <c r="J20" s="46">
        <v>257365.42</v>
      </c>
      <c r="K20" s="46">
        <v>0</v>
      </c>
      <c r="L20" s="46">
        <v>98263.722999999998</v>
      </c>
      <c r="M20" s="46">
        <v>77218.585999999996</v>
      </c>
      <c r="N20" s="46">
        <v>265113.49400000001</v>
      </c>
      <c r="O20" s="46">
        <v>128311.68700000001</v>
      </c>
      <c r="P20" s="46">
        <v>60149.720999999998</v>
      </c>
      <c r="Q20" s="58">
        <v>2976533.946</v>
      </c>
      <c r="R20">
        <v>0</v>
      </c>
    </row>
    <row r="21" spans="2:18" ht="21" customHeight="1" x14ac:dyDescent="0.35">
      <c r="B21" s="55" t="s">
        <v>69</v>
      </c>
      <c r="C21" s="46">
        <v>0</v>
      </c>
      <c r="D21" s="46">
        <v>85157.375</v>
      </c>
      <c r="E21" s="46">
        <v>22532.669000000002</v>
      </c>
      <c r="F21" s="46">
        <v>235811.878</v>
      </c>
      <c r="G21" s="46">
        <v>23032.97</v>
      </c>
      <c r="H21" s="46">
        <v>63366.614999999998</v>
      </c>
      <c r="I21" s="46">
        <v>259770.81299999999</v>
      </c>
      <c r="J21" s="46">
        <v>124235.27899999999</v>
      </c>
      <c r="K21" s="46">
        <v>23259.424999999999</v>
      </c>
      <c r="L21" s="46">
        <v>9024.9110000000001</v>
      </c>
      <c r="M21" s="46">
        <v>41964.555999999997</v>
      </c>
      <c r="N21" s="46">
        <v>145308.22399999999</v>
      </c>
      <c r="O21" s="46">
        <v>0</v>
      </c>
      <c r="P21" s="46">
        <v>73609.195999999996</v>
      </c>
      <c r="Q21" s="58">
        <v>1107073.9110000001</v>
      </c>
      <c r="R21">
        <v>0</v>
      </c>
    </row>
    <row r="22" spans="2:18" ht="21" customHeight="1" x14ac:dyDescent="0.35">
      <c r="B22" s="55" t="s">
        <v>70</v>
      </c>
      <c r="C22" s="46">
        <v>0</v>
      </c>
      <c r="D22" s="46">
        <v>0</v>
      </c>
      <c r="E22" s="46">
        <v>0</v>
      </c>
      <c r="F22" s="46">
        <v>0</v>
      </c>
      <c r="G22" s="46">
        <v>0</v>
      </c>
      <c r="H22" s="46">
        <v>0</v>
      </c>
      <c r="I22" s="46">
        <v>0</v>
      </c>
      <c r="J22" s="46">
        <v>0</v>
      </c>
      <c r="K22" s="46">
        <v>0</v>
      </c>
      <c r="L22" s="46">
        <v>0</v>
      </c>
      <c r="M22" s="46">
        <v>0</v>
      </c>
      <c r="N22" s="46">
        <v>0</v>
      </c>
      <c r="O22" s="46">
        <v>0</v>
      </c>
      <c r="P22" s="46">
        <v>0</v>
      </c>
      <c r="Q22" s="58">
        <v>0</v>
      </c>
      <c r="R22">
        <v>0</v>
      </c>
    </row>
    <row r="23" spans="2:18" ht="21" customHeight="1" x14ac:dyDescent="0.35">
      <c r="B23" s="55" t="s">
        <v>71</v>
      </c>
      <c r="C23" s="46">
        <v>0</v>
      </c>
      <c r="D23" s="46">
        <v>0</v>
      </c>
      <c r="E23" s="46">
        <v>0</v>
      </c>
      <c r="F23" s="46">
        <v>0</v>
      </c>
      <c r="G23" s="46">
        <v>0</v>
      </c>
      <c r="H23" s="46">
        <v>0</v>
      </c>
      <c r="I23" s="46">
        <v>0</v>
      </c>
      <c r="J23" s="46">
        <v>0</v>
      </c>
      <c r="K23" s="46">
        <v>0</v>
      </c>
      <c r="L23" s="46">
        <v>0</v>
      </c>
      <c r="M23" s="46">
        <v>0</v>
      </c>
      <c r="N23" s="46">
        <v>0</v>
      </c>
      <c r="O23" s="46">
        <v>5633556.4484299989</v>
      </c>
      <c r="P23" s="46">
        <v>0</v>
      </c>
      <c r="Q23" s="58">
        <v>5633556.4484299989</v>
      </c>
      <c r="R23">
        <v>0</v>
      </c>
    </row>
    <row r="24" spans="2:18" ht="21" customHeight="1" x14ac:dyDescent="0.35">
      <c r="B24" s="55" t="s">
        <v>72</v>
      </c>
      <c r="C24" s="46">
        <v>0</v>
      </c>
      <c r="D24" s="46">
        <v>63014.042999999998</v>
      </c>
      <c r="E24" s="46">
        <v>11818.121999999999</v>
      </c>
      <c r="F24" s="46">
        <v>252102.27600000001</v>
      </c>
      <c r="G24" s="46">
        <v>19115.697</v>
      </c>
      <c r="H24" s="46">
        <v>30465</v>
      </c>
      <c r="I24" s="46">
        <v>183959.20499999999</v>
      </c>
      <c r="J24" s="46">
        <v>170589.041</v>
      </c>
      <c r="K24" s="46">
        <v>0</v>
      </c>
      <c r="L24" s="46">
        <v>2590.4229999999998</v>
      </c>
      <c r="M24" s="46">
        <v>84734.014999999999</v>
      </c>
      <c r="N24" s="46">
        <v>71813.111999999994</v>
      </c>
      <c r="O24" s="46">
        <v>56048.249000000003</v>
      </c>
      <c r="P24" s="46">
        <v>3675.248</v>
      </c>
      <c r="Q24" s="58">
        <v>949924.43099999998</v>
      </c>
      <c r="R24">
        <v>0</v>
      </c>
    </row>
    <row r="25" spans="2:18" ht="21" customHeight="1" x14ac:dyDescent="0.35">
      <c r="B25" s="55" t="s">
        <v>73</v>
      </c>
      <c r="C25" s="46">
        <v>0</v>
      </c>
      <c r="D25" s="46">
        <v>0</v>
      </c>
      <c r="E25" s="46">
        <v>0</v>
      </c>
      <c r="F25" s="46">
        <v>0</v>
      </c>
      <c r="G25" s="46">
        <v>0</v>
      </c>
      <c r="H25" s="46">
        <v>0</v>
      </c>
      <c r="I25" s="46">
        <v>0</v>
      </c>
      <c r="J25" s="46">
        <v>0</v>
      </c>
      <c r="K25" s="46">
        <v>0</v>
      </c>
      <c r="L25" s="46">
        <v>0</v>
      </c>
      <c r="M25" s="46">
        <v>0</v>
      </c>
      <c r="N25" s="46">
        <v>0</v>
      </c>
      <c r="O25" s="46">
        <v>0</v>
      </c>
      <c r="P25" s="46">
        <v>0</v>
      </c>
      <c r="Q25" s="58">
        <v>0</v>
      </c>
      <c r="R25">
        <v>0</v>
      </c>
    </row>
    <row r="26" spans="2:18" ht="21" customHeight="1" x14ac:dyDescent="0.35">
      <c r="B26" s="55" t="s">
        <v>74</v>
      </c>
      <c r="C26" s="46">
        <v>0</v>
      </c>
      <c r="D26" s="46">
        <v>25015.255000000001</v>
      </c>
      <c r="E26" s="46">
        <v>9763.0419999999995</v>
      </c>
      <c r="F26" s="46">
        <v>99577.56</v>
      </c>
      <c r="G26" s="46">
        <v>99071.960999999996</v>
      </c>
      <c r="H26" s="46">
        <v>10120.111000000001</v>
      </c>
      <c r="I26" s="46">
        <v>181450.921</v>
      </c>
      <c r="J26" s="46">
        <v>1057094.027</v>
      </c>
      <c r="K26" s="46">
        <v>0</v>
      </c>
      <c r="L26" s="46">
        <v>31282.448</v>
      </c>
      <c r="M26" s="46">
        <v>100388.55499999999</v>
      </c>
      <c r="N26" s="46">
        <v>188898.46</v>
      </c>
      <c r="O26" s="46">
        <v>1701090.39163</v>
      </c>
      <c r="P26" s="46">
        <v>116626.151</v>
      </c>
      <c r="Q26" s="58">
        <v>3620378.8826299999</v>
      </c>
      <c r="R26">
        <v>0</v>
      </c>
    </row>
    <row r="27" spans="2:18" ht="21" customHeight="1" x14ac:dyDescent="0.35">
      <c r="B27" s="55" t="s">
        <v>75</v>
      </c>
      <c r="C27" s="46">
        <v>306131.114</v>
      </c>
      <c r="D27" s="46">
        <v>344418.36300000001</v>
      </c>
      <c r="E27" s="46">
        <v>65651.616999999998</v>
      </c>
      <c r="F27" s="46">
        <v>990922.38399999996</v>
      </c>
      <c r="G27" s="46">
        <v>104431.333</v>
      </c>
      <c r="H27" s="46">
        <v>169515.584</v>
      </c>
      <c r="I27" s="46">
        <v>303331.52899999998</v>
      </c>
      <c r="J27" s="46">
        <v>304481.712</v>
      </c>
      <c r="K27" s="46">
        <v>7288.5950000000003</v>
      </c>
      <c r="L27" s="46">
        <v>30696.326000000001</v>
      </c>
      <c r="M27" s="46">
        <v>136048.55900000001</v>
      </c>
      <c r="N27" s="46">
        <v>445794.67099999997</v>
      </c>
      <c r="O27" s="46">
        <v>0</v>
      </c>
      <c r="P27" s="46">
        <v>380304.16600000003</v>
      </c>
      <c r="Q27" s="58">
        <v>3589015.9530000002</v>
      </c>
      <c r="R27">
        <v>0</v>
      </c>
    </row>
    <row r="28" spans="2:18" ht="21" customHeight="1" x14ac:dyDescent="0.35">
      <c r="B28" s="55" t="s">
        <v>76</v>
      </c>
      <c r="C28" s="46">
        <v>28255.228999999999</v>
      </c>
      <c r="D28" s="46">
        <v>5357.357</v>
      </c>
      <c r="E28" s="46">
        <v>2815.0830000000001</v>
      </c>
      <c r="F28" s="46">
        <v>81341.317999999999</v>
      </c>
      <c r="G28" s="46">
        <v>46448.004000000001</v>
      </c>
      <c r="H28" s="46">
        <v>29297.776000000002</v>
      </c>
      <c r="I28" s="46">
        <v>86305.453999999998</v>
      </c>
      <c r="J28" s="46">
        <v>50537.569000000003</v>
      </c>
      <c r="K28" s="46">
        <v>0</v>
      </c>
      <c r="L28" s="46">
        <v>23752.723000000002</v>
      </c>
      <c r="M28" s="46">
        <v>3311.1289999999999</v>
      </c>
      <c r="N28" s="46">
        <v>40269.017</v>
      </c>
      <c r="O28" s="46">
        <v>717353.21400000004</v>
      </c>
      <c r="P28" s="46">
        <v>6462.8040000000001</v>
      </c>
      <c r="Q28" s="58">
        <v>1121506.6769999999</v>
      </c>
      <c r="R28">
        <v>0</v>
      </c>
    </row>
    <row r="29" spans="2:18" ht="21" customHeight="1" x14ac:dyDescent="0.35">
      <c r="B29" s="55" t="s">
        <v>77</v>
      </c>
      <c r="C29" s="46">
        <v>0</v>
      </c>
      <c r="D29" s="46">
        <v>34609.306340000003</v>
      </c>
      <c r="E29" s="46">
        <v>26884.505910000011</v>
      </c>
      <c r="F29" s="46">
        <v>208859.4530699999</v>
      </c>
      <c r="G29" s="46">
        <v>337862.37095999997</v>
      </c>
      <c r="H29" s="46">
        <v>18329.767449999999</v>
      </c>
      <c r="I29" s="46">
        <v>330036.91544000001</v>
      </c>
      <c r="J29" s="46">
        <v>46406.910989999997</v>
      </c>
      <c r="K29" s="46">
        <v>0</v>
      </c>
      <c r="L29" s="46">
        <v>57314.605329999999</v>
      </c>
      <c r="M29" s="46">
        <v>64786.754919999999</v>
      </c>
      <c r="N29" s="46">
        <v>90269.452260000005</v>
      </c>
      <c r="O29" s="46">
        <v>0</v>
      </c>
      <c r="P29" s="46">
        <v>0</v>
      </c>
      <c r="Q29" s="58">
        <v>1215360.0426700001</v>
      </c>
      <c r="R29">
        <v>0</v>
      </c>
    </row>
    <row r="30" spans="2:18" ht="21" customHeight="1" x14ac:dyDescent="0.35">
      <c r="B30" s="55" t="s">
        <v>78</v>
      </c>
      <c r="C30" s="46">
        <v>24306.737000000001</v>
      </c>
      <c r="D30" s="46">
        <v>24982.757000000001</v>
      </c>
      <c r="E30" s="46">
        <v>14383.272999999999</v>
      </c>
      <c r="F30" s="46">
        <v>152337.80300000001</v>
      </c>
      <c r="G30" s="46">
        <v>7928.3040000000001</v>
      </c>
      <c r="H30" s="46">
        <v>8238.1</v>
      </c>
      <c r="I30" s="46">
        <v>106551.105</v>
      </c>
      <c r="J30" s="46">
        <v>126764.083</v>
      </c>
      <c r="K30" s="46">
        <v>0</v>
      </c>
      <c r="L30" s="46">
        <v>14074.146000000001</v>
      </c>
      <c r="M30" s="46">
        <v>44017.650999999998</v>
      </c>
      <c r="N30" s="46">
        <v>74027.05</v>
      </c>
      <c r="O30" s="46">
        <v>0</v>
      </c>
      <c r="P30" s="46">
        <v>8522.8950000000004</v>
      </c>
      <c r="Q30" s="58">
        <v>606133.90399999998</v>
      </c>
      <c r="R30">
        <v>0</v>
      </c>
    </row>
    <row r="31" spans="2:18" ht="21" customHeight="1" x14ac:dyDescent="0.35">
      <c r="B31" s="55" t="s">
        <v>79</v>
      </c>
      <c r="C31" s="46">
        <v>-418.21823999999998</v>
      </c>
      <c r="D31" s="46">
        <v>126148.57296</v>
      </c>
      <c r="E31" s="46">
        <v>75700.704150000005</v>
      </c>
      <c r="F31" s="46">
        <v>470490.66158000001</v>
      </c>
      <c r="G31" s="46">
        <v>183429.23986999999</v>
      </c>
      <c r="H31" s="46">
        <v>56538.83382</v>
      </c>
      <c r="I31" s="46">
        <v>449377.84179999988</v>
      </c>
      <c r="J31" s="46">
        <v>425430.20280000003</v>
      </c>
      <c r="K31" s="46">
        <v>0</v>
      </c>
      <c r="L31" s="46">
        <v>26525.485329999981</v>
      </c>
      <c r="M31" s="46">
        <v>343052.82546000002</v>
      </c>
      <c r="N31" s="46">
        <v>151059.12899999999</v>
      </c>
      <c r="O31" s="46">
        <v>4631167.8495699996</v>
      </c>
      <c r="P31" s="46">
        <v>6449.43541</v>
      </c>
      <c r="Q31" s="58">
        <v>6944952.5635099988</v>
      </c>
      <c r="R31">
        <v>0</v>
      </c>
    </row>
    <row r="32" spans="2:18" ht="21" customHeight="1" x14ac:dyDescent="0.35">
      <c r="B32" s="55" t="s">
        <v>80</v>
      </c>
      <c r="C32" s="46">
        <v>0</v>
      </c>
      <c r="D32" s="46">
        <v>10756.941999999999</v>
      </c>
      <c r="E32" s="46">
        <v>6878.5659999999998</v>
      </c>
      <c r="F32" s="46">
        <v>60799.353000000003</v>
      </c>
      <c r="G32" s="46">
        <v>19118.806</v>
      </c>
      <c r="H32" s="46">
        <v>1417.758</v>
      </c>
      <c r="I32" s="46">
        <v>194662.106</v>
      </c>
      <c r="J32" s="46">
        <v>251571.45800000001</v>
      </c>
      <c r="K32" s="46">
        <v>0</v>
      </c>
      <c r="L32" s="46">
        <v>16637.203000000001</v>
      </c>
      <c r="M32" s="46">
        <v>17292.973999999998</v>
      </c>
      <c r="N32" s="46">
        <v>61604.351000000002</v>
      </c>
      <c r="O32" s="46">
        <v>548596.57799999998</v>
      </c>
      <c r="P32" s="46">
        <v>514.90800000000002</v>
      </c>
      <c r="Q32" s="58">
        <v>1189851.003</v>
      </c>
      <c r="R32">
        <v>0</v>
      </c>
    </row>
    <row r="33" spans="2:18" ht="21" customHeight="1" x14ac:dyDescent="0.35">
      <c r="B33" s="55" t="s">
        <v>81</v>
      </c>
      <c r="C33" s="46">
        <v>7499.1639999999998</v>
      </c>
      <c r="D33" s="46">
        <v>14725.6</v>
      </c>
      <c r="E33" s="46">
        <v>3283.2240000000002</v>
      </c>
      <c r="F33" s="46">
        <v>35306.987000000001</v>
      </c>
      <c r="G33" s="46">
        <v>20324.252</v>
      </c>
      <c r="H33" s="46">
        <v>22490.473999999998</v>
      </c>
      <c r="I33" s="46">
        <v>313624.734</v>
      </c>
      <c r="J33" s="46">
        <v>172610.79300000001</v>
      </c>
      <c r="K33" s="46">
        <v>0</v>
      </c>
      <c r="L33" s="46">
        <v>12231.726000000001</v>
      </c>
      <c r="M33" s="46">
        <v>8809.9120000000003</v>
      </c>
      <c r="N33" s="46">
        <v>28391.219000000001</v>
      </c>
      <c r="O33" s="46">
        <v>0</v>
      </c>
      <c r="P33" s="46">
        <v>24113.041000000001</v>
      </c>
      <c r="Q33" s="58">
        <v>663411.12600000005</v>
      </c>
      <c r="R33">
        <v>0</v>
      </c>
    </row>
    <row r="34" spans="2:18" ht="21" customHeight="1" x14ac:dyDescent="0.35">
      <c r="B34" s="55" t="s">
        <v>82</v>
      </c>
      <c r="C34" s="46">
        <v>0</v>
      </c>
      <c r="D34" s="46">
        <v>62829.006809999999</v>
      </c>
      <c r="E34" s="46">
        <v>13331.08517</v>
      </c>
      <c r="F34" s="46">
        <v>228856.13878000001</v>
      </c>
      <c r="G34" s="46">
        <v>58328.407310000002</v>
      </c>
      <c r="H34" s="46">
        <v>19999.504760000011</v>
      </c>
      <c r="I34" s="46">
        <v>200723.01268999989</v>
      </c>
      <c r="J34" s="46">
        <v>194847.34521999999</v>
      </c>
      <c r="K34" s="46">
        <v>0</v>
      </c>
      <c r="L34" s="46">
        <v>5203.2621200000003</v>
      </c>
      <c r="M34" s="46">
        <v>16516.117999999999</v>
      </c>
      <c r="N34" s="46">
        <v>80027.580600000001</v>
      </c>
      <c r="O34" s="46">
        <v>0</v>
      </c>
      <c r="P34" s="46">
        <v>2062.982019999999</v>
      </c>
      <c r="Q34" s="58">
        <v>882724.44348000002</v>
      </c>
      <c r="R34">
        <v>0</v>
      </c>
    </row>
    <row r="35" spans="2:18" ht="21" customHeight="1" x14ac:dyDescent="0.35">
      <c r="B35" s="55" t="s">
        <v>83</v>
      </c>
      <c r="C35" s="46">
        <v>107191.303</v>
      </c>
      <c r="D35" s="46">
        <v>4750.5680000000002</v>
      </c>
      <c r="E35" s="46">
        <v>133.89599999999999</v>
      </c>
      <c r="F35" s="46">
        <v>9715.8549999999996</v>
      </c>
      <c r="G35" s="46">
        <v>463.09899999999999</v>
      </c>
      <c r="H35" s="46">
        <v>3878.8072000000002</v>
      </c>
      <c r="I35" s="46">
        <v>49482.790999999997</v>
      </c>
      <c r="J35" s="46">
        <v>15874.218999999999</v>
      </c>
      <c r="K35" s="46">
        <v>0</v>
      </c>
      <c r="L35" s="46">
        <v>342.49400000000003</v>
      </c>
      <c r="M35" s="46">
        <v>1103.52</v>
      </c>
      <c r="N35" s="46">
        <v>9991.2489999999998</v>
      </c>
      <c r="O35" s="46">
        <v>0</v>
      </c>
      <c r="P35" s="46">
        <v>1520.8</v>
      </c>
      <c r="Q35" s="58">
        <v>204448.6012</v>
      </c>
      <c r="R35">
        <v>0</v>
      </c>
    </row>
    <row r="36" spans="2:18" ht="21" customHeight="1" x14ac:dyDescent="0.35">
      <c r="B36" s="55" t="s">
        <v>84</v>
      </c>
      <c r="C36" s="46">
        <v>0</v>
      </c>
      <c r="D36" s="46">
        <v>5886.5150000000003</v>
      </c>
      <c r="E36" s="46">
        <v>1343.317</v>
      </c>
      <c r="F36" s="46">
        <v>17274.173999999999</v>
      </c>
      <c r="G36" s="46">
        <v>10997.703</v>
      </c>
      <c r="H36" s="46">
        <v>3819.2339999999999</v>
      </c>
      <c r="I36" s="46">
        <v>75706.198000000004</v>
      </c>
      <c r="J36" s="46">
        <v>135486.63200000001</v>
      </c>
      <c r="K36" s="46">
        <v>0</v>
      </c>
      <c r="L36" s="46">
        <v>682.81899999999996</v>
      </c>
      <c r="M36" s="46">
        <v>12091.045</v>
      </c>
      <c r="N36" s="46">
        <v>14240.322</v>
      </c>
      <c r="O36" s="46">
        <v>4142.8059999999996</v>
      </c>
      <c r="P36" s="46">
        <v>2875.306</v>
      </c>
      <c r="Q36" s="58">
        <v>284546.071</v>
      </c>
      <c r="R36">
        <v>0</v>
      </c>
    </row>
    <row r="37" spans="2:18" ht="21" customHeight="1" x14ac:dyDescent="0.35">
      <c r="B37" s="55" t="s">
        <v>85</v>
      </c>
      <c r="C37" s="46">
        <v>0</v>
      </c>
      <c r="D37" s="46">
        <v>113473.40399999999</v>
      </c>
      <c r="E37" s="46">
        <v>47841.345000000001</v>
      </c>
      <c r="F37" s="46">
        <v>497069.83425000001</v>
      </c>
      <c r="G37" s="46">
        <v>37972.675999999999</v>
      </c>
      <c r="H37" s="46">
        <v>66359.508119999999</v>
      </c>
      <c r="I37" s="46">
        <v>127850.984</v>
      </c>
      <c r="J37" s="46">
        <v>118870.716</v>
      </c>
      <c r="K37" s="46">
        <v>0</v>
      </c>
      <c r="L37" s="46">
        <v>7002.6509999999998</v>
      </c>
      <c r="M37" s="46">
        <v>82960.917000000001</v>
      </c>
      <c r="N37" s="46">
        <v>187207.99</v>
      </c>
      <c r="O37" s="46">
        <v>1222.8599999999999</v>
      </c>
      <c r="P37" s="46">
        <v>7145.7712000000001</v>
      </c>
      <c r="Q37" s="58">
        <v>1294978.6565700001</v>
      </c>
      <c r="R37">
        <v>0</v>
      </c>
    </row>
    <row r="38" spans="2:18" ht="21" customHeight="1" x14ac:dyDescent="0.35">
      <c r="B38" s="55" t="s">
        <v>86</v>
      </c>
      <c r="C38" s="46">
        <v>14746.898999999999</v>
      </c>
      <c r="D38" s="46">
        <v>38830.879999999997</v>
      </c>
      <c r="E38" s="46">
        <v>50128.771999999997</v>
      </c>
      <c r="F38" s="46">
        <v>446116.26799999998</v>
      </c>
      <c r="G38" s="46">
        <v>85822.58</v>
      </c>
      <c r="H38" s="46">
        <v>21590.547999999999</v>
      </c>
      <c r="I38" s="46">
        <v>351315.76</v>
      </c>
      <c r="J38" s="46">
        <v>176583.49</v>
      </c>
      <c r="K38" s="46">
        <v>0</v>
      </c>
      <c r="L38" s="46">
        <v>80620.504000000001</v>
      </c>
      <c r="M38" s="46">
        <v>47323.254000000001</v>
      </c>
      <c r="N38" s="46">
        <v>196826.87700000001</v>
      </c>
      <c r="O38" s="46">
        <v>1727366.25</v>
      </c>
      <c r="P38" s="46">
        <v>116502.139</v>
      </c>
      <c r="Q38" s="58">
        <v>3353774.2209999999</v>
      </c>
      <c r="R38">
        <v>0</v>
      </c>
    </row>
    <row r="39" spans="2:18" ht="21" customHeight="1" x14ac:dyDescent="0.35">
      <c r="B39" s="55" t="s">
        <v>87</v>
      </c>
      <c r="C39" s="46">
        <v>0</v>
      </c>
      <c r="D39" s="46">
        <v>3172.9758099999999</v>
      </c>
      <c r="E39" s="46">
        <v>867.54524000000004</v>
      </c>
      <c r="F39" s="46">
        <v>4124.0944399999998</v>
      </c>
      <c r="G39" s="46">
        <v>4161.2450900000003</v>
      </c>
      <c r="H39" s="46">
        <v>904.70299999999997</v>
      </c>
      <c r="I39" s="46">
        <v>166250.6428</v>
      </c>
      <c r="J39" s="46">
        <v>53759.759970000028</v>
      </c>
      <c r="K39" s="46">
        <v>0</v>
      </c>
      <c r="L39" s="46">
        <v>2498.339269999999</v>
      </c>
      <c r="M39" s="46">
        <v>2749.1471099999999</v>
      </c>
      <c r="N39" s="46">
        <v>31806.544129999998</v>
      </c>
      <c r="O39" s="46">
        <v>148425.639</v>
      </c>
      <c r="P39" s="46">
        <v>8619.5696399999997</v>
      </c>
      <c r="Q39" s="58">
        <v>427340.20549999998</v>
      </c>
      <c r="R39">
        <v>0</v>
      </c>
    </row>
    <row r="40" spans="2:18" ht="21" customHeight="1" x14ac:dyDescent="0.35">
      <c r="B40" s="55" t="s">
        <v>88</v>
      </c>
      <c r="C40" s="46">
        <v>0</v>
      </c>
      <c r="D40" s="46">
        <v>4300.0349999999999</v>
      </c>
      <c r="E40" s="46">
        <v>453.63900000000001</v>
      </c>
      <c r="F40" s="46">
        <v>5620.51</v>
      </c>
      <c r="G40" s="46">
        <v>1457.8510000000001</v>
      </c>
      <c r="H40" s="46">
        <v>135.19999999999999</v>
      </c>
      <c r="I40" s="46">
        <v>343584.11</v>
      </c>
      <c r="J40" s="46">
        <v>214681.92</v>
      </c>
      <c r="K40" s="46">
        <v>0</v>
      </c>
      <c r="L40" s="46">
        <v>183.34700000000001</v>
      </c>
      <c r="M40" s="46">
        <v>922.10699999999997</v>
      </c>
      <c r="N40" s="46">
        <v>4180.7089999999998</v>
      </c>
      <c r="O40" s="46">
        <v>0</v>
      </c>
      <c r="P40" s="46">
        <v>7506.7370000000001</v>
      </c>
      <c r="Q40" s="58">
        <v>583026.16500000004</v>
      </c>
      <c r="R40">
        <v>0</v>
      </c>
    </row>
    <row r="41" spans="2:18" ht="21" customHeight="1" x14ac:dyDescent="0.35">
      <c r="B41" s="55" t="s">
        <v>89</v>
      </c>
      <c r="C41" s="46">
        <v>0</v>
      </c>
      <c r="D41" s="46">
        <v>0</v>
      </c>
      <c r="E41" s="46">
        <v>0</v>
      </c>
      <c r="F41" s="46">
        <v>0</v>
      </c>
      <c r="G41" s="46">
        <v>0</v>
      </c>
      <c r="H41" s="46">
        <v>0</v>
      </c>
      <c r="I41" s="46">
        <v>0</v>
      </c>
      <c r="J41" s="46">
        <v>0</v>
      </c>
      <c r="K41" s="46">
        <v>0</v>
      </c>
      <c r="L41" s="46">
        <v>0</v>
      </c>
      <c r="M41" s="46">
        <v>0</v>
      </c>
      <c r="N41" s="46">
        <v>0</v>
      </c>
      <c r="O41" s="46">
        <v>0</v>
      </c>
      <c r="P41" s="46">
        <v>0</v>
      </c>
      <c r="Q41" s="58">
        <v>0</v>
      </c>
      <c r="R41">
        <v>0</v>
      </c>
    </row>
    <row r="42" spans="2:18" ht="21" customHeight="1" x14ac:dyDescent="0.3">
      <c r="B42" s="56" t="s">
        <v>90</v>
      </c>
      <c r="C42" s="57">
        <f t="shared" ref="C42:Q42" si="0">SUM(C6:C41)</f>
        <v>1372530.6573700001</v>
      </c>
      <c r="D42" s="57">
        <f t="shared" si="0"/>
        <v>2330757.4500183389</v>
      </c>
      <c r="E42" s="57">
        <f t="shared" si="0"/>
        <v>692929.34229442454</v>
      </c>
      <c r="F42" s="57">
        <f t="shared" si="0"/>
        <v>8470200.7098894585</v>
      </c>
      <c r="G42" s="57">
        <f t="shared" si="0"/>
        <v>1946241.3698221098</v>
      </c>
      <c r="H42" s="57">
        <f t="shared" si="0"/>
        <v>1411126.4552857298</v>
      </c>
      <c r="I42" s="57">
        <f t="shared" si="0"/>
        <v>8757663.1890616082</v>
      </c>
      <c r="J42" s="57">
        <f t="shared" si="0"/>
        <v>7620755.0759315416</v>
      </c>
      <c r="K42" s="57">
        <f t="shared" si="0"/>
        <v>1380885.4011000001</v>
      </c>
      <c r="L42" s="57">
        <f t="shared" si="0"/>
        <v>906522.47893711587</v>
      </c>
      <c r="M42" s="57">
        <f t="shared" si="0"/>
        <v>2599860.7728960426</v>
      </c>
      <c r="N42" s="57">
        <f t="shared" si="0"/>
        <v>3641853.6705767419</v>
      </c>
      <c r="O42" s="57">
        <f t="shared" si="0"/>
        <v>32293196.311914846</v>
      </c>
      <c r="P42" s="57">
        <f t="shared" si="0"/>
        <v>1356282.2936914917</v>
      </c>
      <c r="Q42" s="57">
        <f t="shared" si="0"/>
        <v>74780805.178789467</v>
      </c>
    </row>
    <row r="43" spans="2:18" ht="21" customHeight="1" x14ac:dyDescent="0.35">
      <c r="B43" s="273" t="s">
        <v>91</v>
      </c>
      <c r="C43" s="252"/>
      <c r="D43" s="252"/>
      <c r="E43" s="252"/>
      <c r="F43" s="252"/>
      <c r="G43" s="252"/>
      <c r="H43" s="252"/>
      <c r="I43" s="252"/>
      <c r="J43" s="252"/>
      <c r="K43" s="252"/>
      <c r="L43" s="252"/>
      <c r="M43" s="252"/>
      <c r="N43" s="252"/>
      <c r="O43" s="252"/>
      <c r="P43" s="252"/>
      <c r="Q43" s="253"/>
    </row>
    <row r="44" spans="2:18" ht="21" customHeight="1" x14ac:dyDescent="0.35">
      <c r="B44" s="55" t="s">
        <v>92</v>
      </c>
      <c r="C44" s="46">
        <v>0</v>
      </c>
      <c r="D44" s="46">
        <v>0</v>
      </c>
      <c r="E44" s="46">
        <v>0</v>
      </c>
      <c r="F44" s="46">
        <v>0</v>
      </c>
      <c r="G44" s="46">
        <v>0</v>
      </c>
      <c r="H44" s="46">
        <v>0</v>
      </c>
      <c r="I44" s="46">
        <v>0</v>
      </c>
      <c r="J44" s="46">
        <v>0</v>
      </c>
      <c r="K44" s="46">
        <v>0</v>
      </c>
      <c r="L44" s="46">
        <v>0</v>
      </c>
      <c r="M44" s="46">
        <v>0</v>
      </c>
      <c r="N44" s="46">
        <v>0</v>
      </c>
      <c r="O44" s="46">
        <v>0</v>
      </c>
      <c r="P44" s="46">
        <v>0</v>
      </c>
      <c r="Q44" s="58">
        <v>0</v>
      </c>
      <c r="R44">
        <v>0</v>
      </c>
    </row>
    <row r="45" spans="2:18" ht="21" customHeight="1" x14ac:dyDescent="0.35">
      <c r="B45" s="55" t="s">
        <v>93</v>
      </c>
      <c r="C45" s="46">
        <v>0</v>
      </c>
      <c r="D45" s="46">
        <v>0</v>
      </c>
      <c r="E45" s="46">
        <v>0</v>
      </c>
      <c r="F45" s="46">
        <v>0</v>
      </c>
      <c r="G45" s="46">
        <v>0</v>
      </c>
      <c r="H45" s="46">
        <v>0</v>
      </c>
      <c r="I45" s="46">
        <v>0</v>
      </c>
      <c r="J45" s="46">
        <v>0</v>
      </c>
      <c r="K45" s="46">
        <v>0</v>
      </c>
      <c r="L45" s="46">
        <v>0</v>
      </c>
      <c r="M45" s="46">
        <v>0</v>
      </c>
      <c r="N45" s="46">
        <v>0</v>
      </c>
      <c r="O45" s="46">
        <v>0</v>
      </c>
      <c r="P45" s="46">
        <v>0</v>
      </c>
      <c r="Q45" s="46">
        <v>0</v>
      </c>
      <c r="R45">
        <v>0</v>
      </c>
    </row>
    <row r="46" spans="2:18" ht="21" customHeight="1" x14ac:dyDescent="0.35">
      <c r="B46" s="55" t="s">
        <v>94</v>
      </c>
      <c r="C46" s="46">
        <v>0</v>
      </c>
      <c r="D46" s="46">
        <v>0</v>
      </c>
      <c r="E46" s="46">
        <v>0</v>
      </c>
      <c r="F46" s="46">
        <v>0</v>
      </c>
      <c r="G46" s="46">
        <v>0</v>
      </c>
      <c r="H46" s="46">
        <v>0</v>
      </c>
      <c r="I46" s="46">
        <v>0</v>
      </c>
      <c r="J46" s="46">
        <v>0</v>
      </c>
      <c r="K46" s="46">
        <v>0</v>
      </c>
      <c r="L46" s="46">
        <v>0</v>
      </c>
      <c r="M46" s="46">
        <v>0</v>
      </c>
      <c r="N46" s="46">
        <v>0</v>
      </c>
      <c r="O46" s="46">
        <v>0</v>
      </c>
      <c r="P46" s="46">
        <v>0</v>
      </c>
      <c r="Q46" s="46">
        <v>0</v>
      </c>
      <c r="R46">
        <v>0</v>
      </c>
    </row>
    <row r="47" spans="2:18" ht="21" customHeight="1" x14ac:dyDescent="0.35">
      <c r="B47" s="4" t="s">
        <v>95</v>
      </c>
      <c r="C47" s="46">
        <v>0</v>
      </c>
      <c r="D47" s="46">
        <v>0</v>
      </c>
      <c r="E47" s="46">
        <v>0</v>
      </c>
      <c r="F47" s="46">
        <v>0</v>
      </c>
      <c r="G47" s="46">
        <v>0</v>
      </c>
      <c r="H47" s="46">
        <v>0</v>
      </c>
      <c r="I47" s="46">
        <v>0</v>
      </c>
      <c r="J47" s="46">
        <v>0</v>
      </c>
      <c r="K47" s="46">
        <v>0</v>
      </c>
      <c r="L47" s="46">
        <v>0</v>
      </c>
      <c r="M47" s="46">
        <v>0</v>
      </c>
      <c r="N47" s="46">
        <v>0</v>
      </c>
      <c r="O47" s="46">
        <v>0</v>
      </c>
      <c r="P47" s="46">
        <v>0</v>
      </c>
      <c r="Q47" s="46">
        <v>0</v>
      </c>
      <c r="R47">
        <v>0</v>
      </c>
    </row>
    <row r="48" spans="2:18" ht="21" customHeight="1" x14ac:dyDescent="0.35">
      <c r="B48" s="55" t="s">
        <v>96</v>
      </c>
      <c r="C48" s="46">
        <v>0</v>
      </c>
      <c r="D48" s="46">
        <v>0</v>
      </c>
      <c r="E48" s="46">
        <v>0</v>
      </c>
      <c r="F48" s="46">
        <v>0</v>
      </c>
      <c r="G48" s="46">
        <v>0</v>
      </c>
      <c r="H48" s="46">
        <v>0</v>
      </c>
      <c r="I48" s="46">
        <v>0</v>
      </c>
      <c r="J48" s="46">
        <v>0</v>
      </c>
      <c r="K48" s="46">
        <v>0</v>
      </c>
      <c r="L48" s="46">
        <v>0</v>
      </c>
      <c r="M48" s="46">
        <v>0</v>
      </c>
      <c r="N48" s="46">
        <v>0</v>
      </c>
      <c r="O48" s="46">
        <v>0</v>
      </c>
      <c r="P48" s="46">
        <v>0</v>
      </c>
      <c r="Q48" s="58">
        <v>0</v>
      </c>
      <c r="R48">
        <v>0</v>
      </c>
    </row>
    <row r="49" spans="2:17" ht="21" customHeight="1" x14ac:dyDescent="0.3">
      <c r="B49" s="56" t="s">
        <v>90</v>
      </c>
      <c r="C49" s="57">
        <f t="shared" ref="C49:Q49" si="1">SUM(C44:C48)</f>
        <v>0</v>
      </c>
      <c r="D49" s="57">
        <f t="shared" si="1"/>
        <v>0</v>
      </c>
      <c r="E49" s="57">
        <f t="shared" si="1"/>
        <v>0</v>
      </c>
      <c r="F49" s="57">
        <f t="shared" si="1"/>
        <v>0</v>
      </c>
      <c r="G49" s="57">
        <f t="shared" si="1"/>
        <v>0</v>
      </c>
      <c r="H49" s="57">
        <f t="shared" si="1"/>
        <v>0</v>
      </c>
      <c r="I49" s="57">
        <f t="shared" si="1"/>
        <v>0</v>
      </c>
      <c r="J49" s="57">
        <f t="shared" si="1"/>
        <v>0</v>
      </c>
      <c r="K49" s="57">
        <f t="shared" si="1"/>
        <v>0</v>
      </c>
      <c r="L49" s="57">
        <f t="shared" si="1"/>
        <v>0</v>
      </c>
      <c r="M49" s="57">
        <f t="shared" si="1"/>
        <v>0</v>
      </c>
      <c r="N49" s="57">
        <f t="shared" si="1"/>
        <v>0</v>
      </c>
      <c r="O49" s="57">
        <f t="shared" si="1"/>
        <v>0</v>
      </c>
      <c r="P49" s="57">
        <f t="shared" si="1"/>
        <v>0</v>
      </c>
      <c r="Q49" s="57">
        <f t="shared" si="1"/>
        <v>0</v>
      </c>
    </row>
    <row r="50" spans="2:17" ht="20.25" customHeight="1" x14ac:dyDescent="0.3">
      <c r="B50" s="272" t="s">
        <v>98</v>
      </c>
      <c r="C50" s="238"/>
      <c r="D50" s="238"/>
      <c r="E50" s="238"/>
      <c r="F50" s="238"/>
      <c r="G50" s="238"/>
      <c r="H50" s="238"/>
      <c r="I50" s="238"/>
      <c r="J50" s="238"/>
      <c r="K50" s="238"/>
      <c r="L50" s="238"/>
      <c r="M50" s="238"/>
      <c r="N50" s="238"/>
      <c r="O50" s="238"/>
      <c r="P50" s="238"/>
      <c r="Q50" s="238"/>
    </row>
  </sheetData>
  <sheetProtection algorithmName="SHA-512" hashValue="chOqNvyRpAuks8xRM1g1GElyegTXKOi1BLowwgn1hRdXvSw7cvSUHJvGRnR1eYdmLvVEWDnkFjO1IXRbaAZraw==" saltValue="FeU5Sb7FKOCcKZ3GntoUuA==" spinCount="100000" sheet="1" objects="1" scenarios="1"/>
  <mergeCells count="4">
    <mergeCell ref="B50:Q50"/>
    <mergeCell ref="B43:Q43"/>
    <mergeCell ref="B3:Q3"/>
    <mergeCell ref="B5:Q5"/>
  </mergeCells>
  <pageMargins left="0.7" right="0.7" top="0.75" bottom="0.75" header="0.3" footer="0.3"/>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6">
    <tabColor rgb="FF92D050"/>
  </sheetPr>
  <dimension ref="A3:R50"/>
  <sheetViews>
    <sheetView topLeftCell="A41" zoomScale="60" workbookViewId="0">
      <selection activeCell="B3" sqref="B3:Q50"/>
    </sheetView>
  </sheetViews>
  <sheetFormatPr defaultColWidth="9.453125" defaultRowHeight="14" x14ac:dyDescent="0.3"/>
  <cols>
    <col min="1" max="1" width="12.453125" style="2" customWidth="1"/>
    <col min="2" max="2" width="51.453125" style="2" customWidth="1"/>
    <col min="3" max="17" width="21.54296875" style="2" customWidth="1"/>
    <col min="18" max="19" width="6.453125" style="2" bestFit="1" customWidth="1"/>
    <col min="20" max="20" width="14.54296875" style="2" bestFit="1" customWidth="1"/>
    <col min="21" max="71" width="9.453125" style="2" customWidth="1"/>
    <col min="72" max="16384" width="9.453125" style="2"/>
  </cols>
  <sheetData>
    <row r="3" spans="2:18" ht="21" customHeight="1" x14ac:dyDescent="0.35">
      <c r="B3" s="274" t="str">
        <f>_xlfn.CONCAT("INWARD: SUMMARY OF NET PREMIUM INCOME UNDER GENERAL INSURANCE BUSINESS FOR THE PERIOD ENDED"," ",Details!F18)</f>
        <v>INWARD: SUMMARY OF NET PREMIUM INCOME UNDER GENERAL INSURANCE BUSINESS FOR THE PERIOD ENDED 31.03.2025</v>
      </c>
      <c r="C3" s="252"/>
      <c r="D3" s="252"/>
      <c r="E3" s="252"/>
      <c r="F3" s="252"/>
      <c r="G3" s="252"/>
      <c r="H3" s="252"/>
      <c r="I3" s="252"/>
      <c r="J3" s="252"/>
      <c r="K3" s="252"/>
      <c r="L3" s="252"/>
      <c r="M3" s="252"/>
      <c r="N3" s="252"/>
      <c r="O3" s="252"/>
      <c r="P3" s="252"/>
      <c r="Q3" s="253"/>
    </row>
    <row r="4" spans="2:18" ht="28.5" customHeight="1" x14ac:dyDescent="0.3">
      <c r="B4" s="43" t="s">
        <v>36</v>
      </c>
      <c r="C4" s="45" t="s">
        <v>156</v>
      </c>
      <c r="D4" s="45" t="s">
        <v>157</v>
      </c>
      <c r="E4" s="45" t="s">
        <v>158</v>
      </c>
      <c r="F4" s="45" t="s">
        <v>159</v>
      </c>
      <c r="G4" s="45" t="s">
        <v>160</v>
      </c>
      <c r="H4" s="45" t="s">
        <v>161</v>
      </c>
      <c r="I4" s="45" t="s">
        <v>162</v>
      </c>
      <c r="J4" s="45" t="s">
        <v>163</v>
      </c>
      <c r="K4" s="45" t="s">
        <v>164</v>
      </c>
      <c r="L4" s="45" t="s">
        <v>165</v>
      </c>
      <c r="M4" s="45" t="s">
        <v>166</v>
      </c>
      <c r="N4" s="45" t="s">
        <v>167</v>
      </c>
      <c r="O4" s="45" t="s">
        <v>168</v>
      </c>
      <c r="P4" s="45" t="s">
        <v>169</v>
      </c>
      <c r="Q4" s="45" t="s">
        <v>170</v>
      </c>
    </row>
    <row r="5" spans="2:18" ht="21" customHeight="1" x14ac:dyDescent="0.35">
      <c r="B5" s="275" t="s">
        <v>53</v>
      </c>
      <c r="C5" s="252"/>
      <c r="D5" s="252"/>
      <c r="E5" s="252"/>
      <c r="F5" s="252"/>
      <c r="G5" s="252"/>
      <c r="H5" s="252"/>
      <c r="I5" s="252"/>
      <c r="J5" s="252"/>
      <c r="K5" s="252"/>
      <c r="L5" s="252"/>
      <c r="M5" s="252"/>
      <c r="N5" s="252"/>
      <c r="O5" s="252"/>
      <c r="P5" s="252"/>
      <c r="Q5" s="253"/>
    </row>
    <row r="6" spans="2:18" ht="18.75" customHeight="1" x14ac:dyDescent="0.35">
      <c r="B6" s="55" t="s">
        <v>54</v>
      </c>
      <c r="C6" s="46">
        <v>0</v>
      </c>
      <c r="D6" s="46">
        <v>0</v>
      </c>
      <c r="E6" s="46">
        <v>0</v>
      </c>
      <c r="F6" s="46">
        <v>0</v>
      </c>
      <c r="G6" s="46">
        <v>0</v>
      </c>
      <c r="H6" s="46">
        <v>0</v>
      </c>
      <c r="I6" s="46">
        <v>0</v>
      </c>
      <c r="J6" s="46">
        <v>0</v>
      </c>
      <c r="K6" s="46">
        <v>0</v>
      </c>
      <c r="L6" s="46">
        <v>0</v>
      </c>
      <c r="M6" s="46">
        <v>0</v>
      </c>
      <c r="N6" s="46">
        <v>0</v>
      </c>
      <c r="O6" s="46">
        <v>0</v>
      </c>
      <c r="P6" s="46">
        <v>0</v>
      </c>
      <c r="Q6" s="58">
        <v>0</v>
      </c>
      <c r="R6">
        <v>0</v>
      </c>
    </row>
    <row r="7" spans="2:18" ht="21" customHeight="1" x14ac:dyDescent="0.35">
      <c r="B7" s="55" t="s">
        <v>55</v>
      </c>
      <c r="C7" s="46">
        <v>0</v>
      </c>
      <c r="D7" s="46">
        <v>0</v>
      </c>
      <c r="E7" s="46">
        <v>0</v>
      </c>
      <c r="F7" s="46">
        <v>0</v>
      </c>
      <c r="G7" s="46">
        <v>0</v>
      </c>
      <c r="H7" s="46">
        <v>0</v>
      </c>
      <c r="I7" s="46">
        <v>0</v>
      </c>
      <c r="J7" s="46">
        <v>0</v>
      </c>
      <c r="K7" s="46">
        <v>0</v>
      </c>
      <c r="L7" s="46">
        <v>0</v>
      </c>
      <c r="M7" s="46">
        <v>0</v>
      </c>
      <c r="N7" s="46">
        <v>0</v>
      </c>
      <c r="O7" s="46">
        <v>0</v>
      </c>
      <c r="P7" s="46">
        <v>171.62100000000001</v>
      </c>
      <c r="Q7" s="58">
        <v>171.62100000000001</v>
      </c>
      <c r="R7">
        <v>0</v>
      </c>
    </row>
    <row r="8" spans="2:18" ht="21" customHeight="1" x14ac:dyDescent="0.35">
      <c r="B8" s="55" t="s">
        <v>56</v>
      </c>
      <c r="C8" s="46">
        <v>0</v>
      </c>
      <c r="D8" s="46">
        <v>0</v>
      </c>
      <c r="E8" s="46">
        <v>0</v>
      </c>
      <c r="F8" s="46">
        <v>5705.1239999999998</v>
      </c>
      <c r="G8" s="46">
        <v>0</v>
      </c>
      <c r="H8" s="46">
        <v>225.60599999999999</v>
      </c>
      <c r="I8" s="46">
        <v>0</v>
      </c>
      <c r="J8" s="46">
        <v>0</v>
      </c>
      <c r="K8" s="46">
        <v>0</v>
      </c>
      <c r="L8" s="46">
        <v>31496.987000000001</v>
      </c>
      <c r="M8" s="46">
        <v>0</v>
      </c>
      <c r="N8" s="46">
        <v>17977.993999999999</v>
      </c>
      <c r="O8" s="46">
        <v>0</v>
      </c>
      <c r="P8" s="46">
        <v>0</v>
      </c>
      <c r="Q8" s="58">
        <v>55405.711000000003</v>
      </c>
      <c r="R8">
        <v>0</v>
      </c>
    </row>
    <row r="9" spans="2:18" ht="21" customHeight="1" x14ac:dyDescent="0.35">
      <c r="B9" s="55" t="s">
        <v>57</v>
      </c>
      <c r="C9" s="46">
        <v>0</v>
      </c>
      <c r="D9" s="46">
        <v>1888.01143</v>
      </c>
      <c r="E9" s="46">
        <v>0</v>
      </c>
      <c r="F9" s="46">
        <v>11745.49856</v>
      </c>
      <c r="G9" s="46">
        <v>69.063149999999993</v>
      </c>
      <c r="H9" s="46">
        <v>0</v>
      </c>
      <c r="I9" s="46">
        <v>0</v>
      </c>
      <c r="J9" s="46">
        <v>0</v>
      </c>
      <c r="K9" s="46">
        <v>0</v>
      </c>
      <c r="L9" s="46">
        <v>5025.0582999999997</v>
      </c>
      <c r="M9" s="46">
        <v>0</v>
      </c>
      <c r="N9" s="46">
        <v>0</v>
      </c>
      <c r="O9" s="46">
        <v>0</v>
      </c>
      <c r="P9" s="46">
        <v>0</v>
      </c>
      <c r="Q9" s="58">
        <v>18727.631440000001</v>
      </c>
      <c r="R9">
        <v>0</v>
      </c>
    </row>
    <row r="10" spans="2:18" ht="21" customHeight="1" x14ac:dyDescent="0.35">
      <c r="B10" s="55" t="s">
        <v>58</v>
      </c>
      <c r="C10" s="46">
        <v>0</v>
      </c>
      <c r="D10" s="46">
        <v>597.15200000000004</v>
      </c>
      <c r="E10" s="46">
        <v>0</v>
      </c>
      <c r="F10" s="46">
        <v>2302.24251</v>
      </c>
      <c r="G10" s="46">
        <v>362.37</v>
      </c>
      <c r="H10" s="46">
        <v>72</v>
      </c>
      <c r="I10" s="46">
        <v>284.31700000000001</v>
      </c>
      <c r="J10" s="46">
        <v>1547.3109999999999</v>
      </c>
      <c r="K10" s="46">
        <v>0</v>
      </c>
      <c r="L10" s="46">
        <v>0</v>
      </c>
      <c r="M10" s="46">
        <v>0</v>
      </c>
      <c r="N10" s="46">
        <v>350.733</v>
      </c>
      <c r="O10" s="46">
        <v>0</v>
      </c>
      <c r="P10" s="46">
        <v>35</v>
      </c>
      <c r="Q10" s="58">
        <v>5551.1255099999998</v>
      </c>
      <c r="R10">
        <v>0</v>
      </c>
    </row>
    <row r="11" spans="2:18" ht="21" customHeight="1" x14ac:dyDescent="0.35">
      <c r="B11" s="55" t="s">
        <v>59</v>
      </c>
      <c r="C11" s="46">
        <v>0</v>
      </c>
      <c r="D11" s="46">
        <v>21111.100060000001</v>
      </c>
      <c r="E11" s="46">
        <v>0</v>
      </c>
      <c r="F11" s="46">
        <v>12831.642959999999</v>
      </c>
      <c r="G11" s="46">
        <v>160</v>
      </c>
      <c r="H11" s="46">
        <v>23227.975180000001</v>
      </c>
      <c r="I11" s="46">
        <v>0</v>
      </c>
      <c r="J11" s="46">
        <v>0</v>
      </c>
      <c r="K11" s="46">
        <v>0</v>
      </c>
      <c r="L11" s="46">
        <v>0</v>
      </c>
      <c r="M11" s="46">
        <v>597.07449999999994</v>
      </c>
      <c r="N11" s="46">
        <v>0</v>
      </c>
      <c r="O11" s="46">
        <v>0</v>
      </c>
      <c r="P11" s="46">
        <v>1238.02667</v>
      </c>
      <c r="Q11" s="58">
        <v>59165.819369999997</v>
      </c>
      <c r="R11">
        <v>0</v>
      </c>
    </row>
    <row r="12" spans="2:18" ht="21" customHeight="1" x14ac:dyDescent="0.35">
      <c r="B12" s="55" t="s">
        <v>60</v>
      </c>
      <c r="C12" s="46">
        <v>0</v>
      </c>
      <c r="D12" s="46">
        <v>1233.637210903486</v>
      </c>
      <c r="E12" s="46">
        <v>465.62670233175112</v>
      </c>
      <c r="F12" s="46">
        <v>2696.8711600575348</v>
      </c>
      <c r="G12" s="46">
        <v>791.00539681311238</v>
      </c>
      <c r="H12" s="46">
        <v>263.41137105477401</v>
      </c>
      <c r="I12" s="46">
        <v>5443.0730695802877</v>
      </c>
      <c r="J12" s="46">
        <v>2378.3561363530298</v>
      </c>
      <c r="K12" s="46">
        <v>0</v>
      </c>
      <c r="L12" s="46">
        <v>1005.792400332913</v>
      </c>
      <c r="M12" s="46">
        <v>713.30505936934446</v>
      </c>
      <c r="N12" s="46">
        <v>1446.802676389462</v>
      </c>
      <c r="O12" s="46">
        <v>0</v>
      </c>
      <c r="P12" s="46">
        <v>910.8704965530444</v>
      </c>
      <c r="Q12" s="58">
        <v>17348.75167973874</v>
      </c>
      <c r="R12">
        <v>0</v>
      </c>
    </row>
    <row r="13" spans="2:18" ht="21" customHeight="1" x14ac:dyDescent="0.35">
      <c r="B13" s="55" t="s">
        <v>61</v>
      </c>
      <c r="C13" s="46">
        <v>0</v>
      </c>
      <c r="D13" s="46">
        <v>0</v>
      </c>
      <c r="E13" s="46">
        <v>0</v>
      </c>
      <c r="F13" s="46">
        <v>0</v>
      </c>
      <c r="G13" s="46">
        <v>0</v>
      </c>
      <c r="H13" s="46">
        <v>0</v>
      </c>
      <c r="I13" s="46">
        <v>0</v>
      </c>
      <c r="J13" s="46">
        <v>0</v>
      </c>
      <c r="K13" s="46">
        <v>0</v>
      </c>
      <c r="L13" s="46">
        <v>0</v>
      </c>
      <c r="M13" s="46">
        <v>0</v>
      </c>
      <c r="N13" s="46">
        <v>0</v>
      </c>
      <c r="O13" s="46">
        <v>0</v>
      </c>
      <c r="P13" s="46">
        <v>0</v>
      </c>
      <c r="Q13" s="58">
        <v>0</v>
      </c>
      <c r="R13">
        <v>0</v>
      </c>
    </row>
    <row r="14" spans="2:18" ht="21" customHeight="1" x14ac:dyDescent="0.35">
      <c r="B14" s="55" t="s">
        <v>62</v>
      </c>
      <c r="C14" s="46">
        <v>0</v>
      </c>
      <c r="D14" s="46">
        <v>0</v>
      </c>
      <c r="E14" s="46">
        <v>0</v>
      </c>
      <c r="F14" s="46">
        <v>0</v>
      </c>
      <c r="G14" s="46">
        <v>0</v>
      </c>
      <c r="H14" s="46">
        <v>0</v>
      </c>
      <c r="I14" s="46">
        <v>0</v>
      </c>
      <c r="J14" s="46">
        <v>0</v>
      </c>
      <c r="K14" s="46">
        <v>0</v>
      </c>
      <c r="L14" s="46">
        <v>0</v>
      </c>
      <c r="M14" s="46">
        <v>0</v>
      </c>
      <c r="N14" s="46">
        <v>0</v>
      </c>
      <c r="O14" s="46">
        <v>0</v>
      </c>
      <c r="P14" s="46">
        <v>0</v>
      </c>
      <c r="Q14" s="58">
        <v>0</v>
      </c>
      <c r="R14">
        <v>0</v>
      </c>
    </row>
    <row r="15" spans="2:18" ht="21" customHeight="1" x14ac:dyDescent="0.35">
      <c r="B15" s="55" t="s">
        <v>63</v>
      </c>
      <c r="C15" s="46">
        <v>0</v>
      </c>
      <c r="D15" s="46">
        <v>0</v>
      </c>
      <c r="E15" s="46">
        <v>0</v>
      </c>
      <c r="F15" s="46">
        <v>0</v>
      </c>
      <c r="G15" s="46">
        <v>0</v>
      </c>
      <c r="H15" s="46">
        <v>0</v>
      </c>
      <c r="I15" s="46">
        <v>0</v>
      </c>
      <c r="J15" s="46">
        <v>0</v>
      </c>
      <c r="K15" s="46">
        <v>0</v>
      </c>
      <c r="L15" s="46">
        <v>0</v>
      </c>
      <c r="M15" s="46">
        <v>0</v>
      </c>
      <c r="N15" s="46">
        <v>0</v>
      </c>
      <c r="O15" s="46">
        <v>0</v>
      </c>
      <c r="P15" s="46">
        <v>0</v>
      </c>
      <c r="Q15" s="58">
        <v>0</v>
      </c>
      <c r="R15">
        <v>0</v>
      </c>
    </row>
    <row r="16" spans="2:18" ht="21" customHeight="1" x14ac:dyDescent="0.35">
      <c r="B16" s="55" t="s">
        <v>64</v>
      </c>
      <c r="C16" s="46">
        <v>0</v>
      </c>
      <c r="D16" s="46">
        <v>0</v>
      </c>
      <c r="E16" s="46">
        <v>0</v>
      </c>
      <c r="F16" s="46">
        <v>0</v>
      </c>
      <c r="G16" s="46">
        <v>455</v>
      </c>
      <c r="H16" s="46">
        <v>0</v>
      </c>
      <c r="I16" s="46">
        <v>0</v>
      </c>
      <c r="J16" s="46">
        <v>0</v>
      </c>
      <c r="K16" s="46">
        <v>0</v>
      </c>
      <c r="L16" s="46">
        <v>0</v>
      </c>
      <c r="M16" s="46">
        <v>0</v>
      </c>
      <c r="N16" s="46">
        <v>0</v>
      </c>
      <c r="O16" s="46">
        <v>0</v>
      </c>
      <c r="P16" s="46">
        <v>0</v>
      </c>
      <c r="Q16" s="58">
        <v>455</v>
      </c>
      <c r="R16">
        <v>0</v>
      </c>
    </row>
    <row r="17" spans="1:18" ht="21" customHeight="1" x14ac:dyDescent="0.35">
      <c r="B17" s="55" t="s">
        <v>65</v>
      </c>
      <c r="C17" s="46">
        <v>0</v>
      </c>
      <c r="D17" s="46">
        <v>17264.021000000001</v>
      </c>
      <c r="E17" s="46">
        <v>0</v>
      </c>
      <c r="F17" s="46">
        <v>19481.05</v>
      </c>
      <c r="G17" s="46">
        <v>438.08800000000002</v>
      </c>
      <c r="H17" s="46">
        <v>310.71199999999999</v>
      </c>
      <c r="I17" s="46">
        <v>0</v>
      </c>
      <c r="J17" s="46">
        <v>0</v>
      </c>
      <c r="K17" s="46">
        <v>0</v>
      </c>
      <c r="L17" s="46">
        <v>5163.0919999999996</v>
      </c>
      <c r="M17" s="46">
        <v>0</v>
      </c>
      <c r="N17" s="46">
        <v>0</v>
      </c>
      <c r="O17" s="46">
        <v>0</v>
      </c>
      <c r="P17" s="46">
        <v>797.255</v>
      </c>
      <c r="Q17" s="58">
        <v>43454.218000000001</v>
      </c>
      <c r="R17">
        <v>0</v>
      </c>
    </row>
    <row r="18" spans="1:18" ht="21" customHeight="1" x14ac:dyDescent="0.35">
      <c r="B18" s="55" t="s">
        <v>66</v>
      </c>
      <c r="C18" s="46">
        <v>0</v>
      </c>
      <c r="D18" s="46">
        <v>8297.5059999999994</v>
      </c>
      <c r="E18" s="46">
        <v>0</v>
      </c>
      <c r="F18" s="46">
        <v>14445.312</v>
      </c>
      <c r="G18" s="46">
        <v>333.8</v>
      </c>
      <c r="H18" s="46">
        <v>636.12</v>
      </c>
      <c r="I18" s="46">
        <v>0</v>
      </c>
      <c r="J18" s="46">
        <v>0</v>
      </c>
      <c r="K18" s="46">
        <v>0</v>
      </c>
      <c r="L18" s="46">
        <v>0</v>
      </c>
      <c r="M18" s="46">
        <v>0</v>
      </c>
      <c r="N18" s="46">
        <v>0</v>
      </c>
      <c r="O18" s="46">
        <v>0</v>
      </c>
      <c r="P18" s="46">
        <v>819.61400000000003</v>
      </c>
      <c r="Q18" s="58">
        <v>24532.351999999999</v>
      </c>
      <c r="R18">
        <v>0</v>
      </c>
    </row>
    <row r="19" spans="1:18" ht="21" customHeight="1" x14ac:dyDescent="0.35">
      <c r="B19" s="55" t="s">
        <v>67</v>
      </c>
      <c r="C19" s="46">
        <v>0</v>
      </c>
      <c r="D19" s="46">
        <v>3007.768</v>
      </c>
      <c r="E19" s="46">
        <v>0</v>
      </c>
      <c r="F19" s="46">
        <v>988.048</v>
      </c>
      <c r="G19" s="46">
        <v>75</v>
      </c>
      <c r="H19" s="46">
        <v>0</v>
      </c>
      <c r="I19" s="46">
        <v>0</v>
      </c>
      <c r="J19" s="46">
        <v>0</v>
      </c>
      <c r="K19" s="46">
        <v>0</v>
      </c>
      <c r="L19" s="46">
        <v>0</v>
      </c>
      <c r="M19" s="46">
        <v>0</v>
      </c>
      <c r="N19" s="46">
        <v>789.87099999999998</v>
      </c>
      <c r="O19" s="46">
        <v>0</v>
      </c>
      <c r="P19" s="46">
        <v>0</v>
      </c>
      <c r="Q19" s="58">
        <v>4860.6869999999999</v>
      </c>
      <c r="R19">
        <v>0</v>
      </c>
    </row>
    <row r="20" spans="1:18" ht="21" customHeight="1" x14ac:dyDescent="0.35">
      <c r="B20" s="55" t="s">
        <v>68</v>
      </c>
      <c r="C20" s="46">
        <v>0</v>
      </c>
      <c r="D20" s="46">
        <v>8800.9989999999998</v>
      </c>
      <c r="E20" s="46">
        <v>0</v>
      </c>
      <c r="F20" s="46">
        <v>12251.87</v>
      </c>
      <c r="G20" s="46">
        <v>123.673</v>
      </c>
      <c r="H20" s="46">
        <v>1134.3050000000001</v>
      </c>
      <c r="I20" s="46">
        <v>0</v>
      </c>
      <c r="J20" s="46">
        <v>0</v>
      </c>
      <c r="K20" s="46">
        <v>0</v>
      </c>
      <c r="L20" s="46">
        <v>-2512.248</v>
      </c>
      <c r="M20" s="46">
        <v>44.055</v>
      </c>
      <c r="N20" s="46">
        <v>-10321.541999999999</v>
      </c>
      <c r="O20" s="46">
        <v>0</v>
      </c>
      <c r="P20" s="46">
        <v>0</v>
      </c>
      <c r="Q20" s="58">
        <v>9521.1119999999992</v>
      </c>
      <c r="R20">
        <v>0</v>
      </c>
    </row>
    <row r="21" spans="1:18" ht="21" customHeight="1" x14ac:dyDescent="0.35">
      <c r="B21" s="55" t="s">
        <v>69</v>
      </c>
      <c r="C21" s="46">
        <v>0</v>
      </c>
      <c r="D21" s="46">
        <v>1575.9459999999999</v>
      </c>
      <c r="E21" s="46">
        <v>0</v>
      </c>
      <c r="F21" s="46">
        <v>3347.8620000000001</v>
      </c>
      <c r="G21" s="46">
        <v>321.31099999999998</v>
      </c>
      <c r="H21" s="46">
        <v>72.647000000000006</v>
      </c>
      <c r="I21" s="46">
        <v>0</v>
      </c>
      <c r="J21" s="46">
        <v>0</v>
      </c>
      <c r="K21" s="46">
        <v>0</v>
      </c>
      <c r="L21" s="46">
        <v>0</v>
      </c>
      <c r="M21" s="46">
        <v>0</v>
      </c>
      <c r="N21" s="46">
        <v>330.62299999999999</v>
      </c>
      <c r="O21" s="46">
        <v>0</v>
      </c>
      <c r="P21" s="46">
        <v>0</v>
      </c>
      <c r="Q21" s="58">
        <v>5648.3890000000001</v>
      </c>
      <c r="R21">
        <v>0</v>
      </c>
    </row>
    <row r="22" spans="1:18" ht="21" customHeight="1" x14ac:dyDescent="0.35">
      <c r="B22" s="55" t="s">
        <v>70</v>
      </c>
      <c r="C22" s="46">
        <v>0</v>
      </c>
      <c r="D22" s="46">
        <v>0</v>
      </c>
      <c r="E22" s="46">
        <v>0</v>
      </c>
      <c r="F22" s="46">
        <v>0</v>
      </c>
      <c r="G22" s="46">
        <v>0</v>
      </c>
      <c r="H22" s="46">
        <v>0</v>
      </c>
      <c r="I22" s="46">
        <v>0</v>
      </c>
      <c r="J22" s="46">
        <v>0</v>
      </c>
      <c r="K22" s="46">
        <v>0</v>
      </c>
      <c r="L22" s="46">
        <v>0</v>
      </c>
      <c r="M22" s="46">
        <v>0</v>
      </c>
      <c r="N22" s="46">
        <v>0</v>
      </c>
      <c r="O22" s="46">
        <v>0</v>
      </c>
      <c r="P22" s="46">
        <v>0</v>
      </c>
      <c r="Q22" s="58">
        <v>0</v>
      </c>
      <c r="R22">
        <v>0</v>
      </c>
    </row>
    <row r="23" spans="1:18" ht="21" customHeight="1" x14ac:dyDescent="0.35">
      <c r="B23" s="55" t="s">
        <v>71</v>
      </c>
      <c r="C23" s="46">
        <v>0</v>
      </c>
      <c r="D23" s="46">
        <v>0</v>
      </c>
      <c r="E23" s="46">
        <v>0</v>
      </c>
      <c r="F23" s="46">
        <v>0</v>
      </c>
      <c r="G23" s="46">
        <v>0</v>
      </c>
      <c r="H23" s="46">
        <v>0</v>
      </c>
      <c r="I23" s="46">
        <v>0</v>
      </c>
      <c r="J23" s="46">
        <v>0</v>
      </c>
      <c r="K23" s="46">
        <v>0</v>
      </c>
      <c r="L23" s="46">
        <v>0</v>
      </c>
      <c r="M23" s="46">
        <v>0</v>
      </c>
      <c r="N23" s="46">
        <v>0</v>
      </c>
      <c r="O23" s="46">
        <v>0</v>
      </c>
      <c r="P23" s="46">
        <v>0</v>
      </c>
      <c r="Q23" s="58">
        <v>0</v>
      </c>
      <c r="R23">
        <v>0</v>
      </c>
    </row>
    <row r="24" spans="1:18" ht="21" customHeight="1" x14ac:dyDescent="0.35">
      <c r="B24" s="55" t="s">
        <v>72</v>
      </c>
      <c r="C24" s="46">
        <v>0</v>
      </c>
      <c r="D24" s="46">
        <v>4589.2950000000001</v>
      </c>
      <c r="E24" s="46">
        <v>0</v>
      </c>
      <c r="F24" s="46">
        <v>20033.678</v>
      </c>
      <c r="G24" s="46">
        <v>225.5</v>
      </c>
      <c r="H24" s="46">
        <v>48.731999999999999</v>
      </c>
      <c r="I24" s="46">
        <v>0</v>
      </c>
      <c r="J24" s="46">
        <v>41.063000000000002</v>
      </c>
      <c r="K24" s="46">
        <v>0</v>
      </c>
      <c r="L24" s="46">
        <v>0</v>
      </c>
      <c r="M24" s="46">
        <v>243.27099999999999</v>
      </c>
      <c r="N24" s="46">
        <v>0</v>
      </c>
      <c r="O24" s="46">
        <v>0</v>
      </c>
      <c r="P24" s="46">
        <v>0</v>
      </c>
      <c r="Q24" s="58">
        <v>25181.539000000001</v>
      </c>
      <c r="R24">
        <v>0</v>
      </c>
    </row>
    <row r="25" spans="1:18" ht="21" customHeight="1" x14ac:dyDescent="0.35">
      <c r="B25" s="55" t="s">
        <v>73</v>
      </c>
      <c r="C25" s="46">
        <v>0</v>
      </c>
      <c r="D25" s="46">
        <v>0</v>
      </c>
      <c r="E25" s="46">
        <v>0</v>
      </c>
      <c r="F25" s="46">
        <v>0</v>
      </c>
      <c r="G25" s="46">
        <v>0</v>
      </c>
      <c r="H25" s="46">
        <v>0</v>
      </c>
      <c r="I25" s="46">
        <v>0</v>
      </c>
      <c r="J25" s="46">
        <v>0</v>
      </c>
      <c r="K25" s="46">
        <v>0</v>
      </c>
      <c r="L25" s="46">
        <v>0</v>
      </c>
      <c r="M25" s="46">
        <v>0</v>
      </c>
      <c r="N25" s="46">
        <v>0</v>
      </c>
      <c r="O25" s="46">
        <v>0</v>
      </c>
      <c r="P25" s="46">
        <v>0</v>
      </c>
      <c r="Q25" s="58">
        <v>0</v>
      </c>
      <c r="R25">
        <v>0</v>
      </c>
    </row>
    <row r="26" spans="1:18" ht="21" customHeight="1" x14ac:dyDescent="0.35">
      <c r="B26" s="55" t="s">
        <v>74</v>
      </c>
      <c r="C26" s="46">
        <v>0</v>
      </c>
      <c r="D26" s="46">
        <v>0</v>
      </c>
      <c r="E26" s="46">
        <v>0</v>
      </c>
      <c r="F26" s="46">
        <v>0</v>
      </c>
      <c r="G26" s="46">
        <v>230.04499999999999</v>
      </c>
      <c r="H26" s="46">
        <v>0</v>
      </c>
      <c r="I26" s="46">
        <v>0</v>
      </c>
      <c r="J26" s="46">
        <v>0</v>
      </c>
      <c r="K26" s="46">
        <v>0</v>
      </c>
      <c r="L26" s="46">
        <v>0</v>
      </c>
      <c r="M26" s="46">
        <v>0</v>
      </c>
      <c r="N26" s="46">
        <v>186.57</v>
      </c>
      <c r="O26" s="46">
        <v>0</v>
      </c>
      <c r="P26" s="46">
        <v>0</v>
      </c>
      <c r="Q26" s="58">
        <v>416.61500000000001</v>
      </c>
      <c r="R26">
        <v>0</v>
      </c>
    </row>
    <row r="27" spans="1:18" ht="21" customHeight="1" x14ac:dyDescent="0.35">
      <c r="B27" s="55" t="s">
        <v>75</v>
      </c>
      <c r="C27" s="46">
        <v>0</v>
      </c>
      <c r="D27" s="46">
        <v>53663.709390000004</v>
      </c>
      <c r="E27" s="46">
        <v>0</v>
      </c>
      <c r="F27" s="46">
        <v>86984.360029999996</v>
      </c>
      <c r="G27" s="46">
        <v>1180.0480500000001</v>
      </c>
      <c r="H27" s="46">
        <v>8357.8349599999983</v>
      </c>
      <c r="I27" s="46">
        <v>872.62931000000003</v>
      </c>
      <c r="J27" s="46">
        <v>1075.4649999999999</v>
      </c>
      <c r="K27" s="46">
        <v>0</v>
      </c>
      <c r="L27" s="46">
        <v>0</v>
      </c>
      <c r="M27" s="46">
        <v>731.88</v>
      </c>
      <c r="N27" s="46">
        <v>-3588.16</v>
      </c>
      <c r="O27" s="46">
        <v>0</v>
      </c>
      <c r="P27" s="46">
        <v>522.40917000000002</v>
      </c>
      <c r="Q27" s="58">
        <v>149800.17590999999</v>
      </c>
      <c r="R27">
        <v>0</v>
      </c>
    </row>
    <row r="28" spans="1:18" ht="21" customHeight="1" x14ac:dyDescent="0.35">
      <c r="B28" s="55" t="s">
        <v>76</v>
      </c>
      <c r="C28" s="46">
        <v>0</v>
      </c>
      <c r="D28" s="46">
        <v>0</v>
      </c>
      <c r="E28" s="46">
        <v>0</v>
      </c>
      <c r="F28" s="46">
        <v>5236.7889999999998</v>
      </c>
      <c r="G28" s="46">
        <v>0</v>
      </c>
      <c r="H28" s="46">
        <v>0</v>
      </c>
      <c r="I28" s="46">
        <v>0</v>
      </c>
      <c r="J28" s="46">
        <v>0</v>
      </c>
      <c r="K28" s="46">
        <v>0</v>
      </c>
      <c r="L28" s="46">
        <v>0</v>
      </c>
      <c r="M28" s="46">
        <v>18699.826000000001</v>
      </c>
      <c r="N28" s="46">
        <v>427.08499999999998</v>
      </c>
      <c r="O28" s="46">
        <v>0</v>
      </c>
      <c r="P28" s="46">
        <v>150</v>
      </c>
      <c r="Q28" s="58">
        <v>24513.7</v>
      </c>
      <c r="R28">
        <v>0</v>
      </c>
    </row>
    <row r="29" spans="1:18" ht="21" customHeight="1" x14ac:dyDescent="0.35">
      <c r="A29" s="205"/>
      <c r="B29" s="55" t="s">
        <v>77</v>
      </c>
      <c r="C29" s="46">
        <v>0</v>
      </c>
      <c r="D29" s="46">
        <v>0</v>
      </c>
      <c r="E29" s="46">
        <v>0</v>
      </c>
      <c r="F29" s="46">
        <v>0</v>
      </c>
      <c r="G29" s="46">
        <v>0</v>
      </c>
      <c r="H29" s="46">
        <v>0</v>
      </c>
      <c r="I29" s="46">
        <v>0</v>
      </c>
      <c r="J29" s="46">
        <v>0</v>
      </c>
      <c r="K29" s="46">
        <v>0</v>
      </c>
      <c r="L29" s="46">
        <v>0</v>
      </c>
      <c r="M29" s="46">
        <v>0</v>
      </c>
      <c r="N29" s="46">
        <v>0</v>
      </c>
      <c r="O29" s="46">
        <v>0</v>
      </c>
      <c r="P29" s="46">
        <v>0</v>
      </c>
      <c r="Q29" s="58">
        <v>0</v>
      </c>
      <c r="R29">
        <v>0</v>
      </c>
    </row>
    <row r="30" spans="1:18" ht="21" customHeight="1" x14ac:dyDescent="0.35">
      <c r="B30" s="55" t="s">
        <v>78</v>
      </c>
      <c r="C30" s="46">
        <v>0</v>
      </c>
      <c r="D30" s="46">
        <v>472.536</v>
      </c>
      <c r="E30" s="46">
        <v>169.55</v>
      </c>
      <c r="F30" s="46">
        <v>515.83199999999999</v>
      </c>
      <c r="G30" s="46">
        <v>151.35</v>
      </c>
      <c r="H30" s="46">
        <v>76.405000000000001</v>
      </c>
      <c r="I30" s="46">
        <v>0</v>
      </c>
      <c r="J30" s="46">
        <v>0</v>
      </c>
      <c r="K30" s="46">
        <v>0</v>
      </c>
      <c r="L30" s="46">
        <v>0</v>
      </c>
      <c r="M30" s="46">
        <v>0</v>
      </c>
      <c r="N30" s="46">
        <v>0</v>
      </c>
      <c r="O30" s="46">
        <v>0</v>
      </c>
      <c r="P30" s="46">
        <v>248.21199999999999</v>
      </c>
      <c r="Q30" s="58">
        <v>1633.885</v>
      </c>
      <c r="R30">
        <v>0</v>
      </c>
    </row>
    <row r="31" spans="1:18" ht="21" customHeight="1" x14ac:dyDescent="0.35">
      <c r="B31" s="55" t="s">
        <v>79</v>
      </c>
      <c r="C31" s="46">
        <v>70287.756680000006</v>
      </c>
      <c r="D31" s="46">
        <v>19646.08136</v>
      </c>
      <c r="E31" s="46">
        <v>0</v>
      </c>
      <c r="F31" s="46">
        <v>26113.66734</v>
      </c>
      <c r="G31" s="46">
        <v>227.70175</v>
      </c>
      <c r="H31" s="46">
        <v>3073.84</v>
      </c>
      <c r="I31" s="46">
        <v>0</v>
      </c>
      <c r="J31" s="46">
        <v>0</v>
      </c>
      <c r="K31" s="46">
        <v>0</v>
      </c>
      <c r="L31" s="46">
        <v>6909.4551600000004</v>
      </c>
      <c r="M31" s="46">
        <v>2128.9415399999998</v>
      </c>
      <c r="N31" s="46">
        <v>1217.21371</v>
      </c>
      <c r="O31" s="46">
        <v>0</v>
      </c>
      <c r="P31" s="46">
        <v>0</v>
      </c>
      <c r="Q31" s="58">
        <v>129604.65754</v>
      </c>
      <c r="R31">
        <v>0</v>
      </c>
    </row>
    <row r="32" spans="1:18" ht="21" customHeight="1" x14ac:dyDescent="0.35">
      <c r="B32" s="55" t="s">
        <v>80</v>
      </c>
      <c r="C32" s="46">
        <v>0</v>
      </c>
      <c r="D32" s="46">
        <v>3716.3220000000001</v>
      </c>
      <c r="E32" s="46">
        <v>0</v>
      </c>
      <c r="F32" s="46">
        <v>4775.6670000000004</v>
      </c>
      <c r="G32" s="46">
        <v>1603.1220000000001</v>
      </c>
      <c r="H32" s="46">
        <v>615.68700000000001</v>
      </c>
      <c r="I32" s="46">
        <v>3267.8809999999999</v>
      </c>
      <c r="J32" s="46">
        <v>245.17599999999999</v>
      </c>
      <c r="K32" s="46">
        <v>0</v>
      </c>
      <c r="L32" s="46">
        <v>0</v>
      </c>
      <c r="M32" s="46">
        <v>136.501</v>
      </c>
      <c r="N32" s="46">
        <v>4238.5879999999997</v>
      </c>
      <c r="O32" s="46">
        <v>0</v>
      </c>
      <c r="P32" s="46">
        <v>2747.9229999999998</v>
      </c>
      <c r="Q32" s="58">
        <v>21346.866999999998</v>
      </c>
      <c r="R32">
        <v>0</v>
      </c>
    </row>
    <row r="33" spans="2:18" ht="21" customHeight="1" x14ac:dyDescent="0.35">
      <c r="B33" s="55" t="s">
        <v>81</v>
      </c>
      <c r="C33" s="46">
        <v>492.99200000000002</v>
      </c>
      <c r="D33" s="46">
        <v>97319.877999999997</v>
      </c>
      <c r="E33" s="46">
        <v>0</v>
      </c>
      <c r="F33" s="46">
        <v>0</v>
      </c>
      <c r="G33" s="46">
        <v>1184.249</v>
      </c>
      <c r="H33" s="46">
        <v>0</v>
      </c>
      <c r="I33" s="46">
        <v>0</v>
      </c>
      <c r="J33" s="46">
        <v>0</v>
      </c>
      <c r="K33" s="46">
        <v>215.78</v>
      </c>
      <c r="L33" s="46">
        <v>0</v>
      </c>
      <c r="M33" s="46">
        <v>2657.9929999999999</v>
      </c>
      <c r="N33" s="46">
        <v>0</v>
      </c>
      <c r="O33" s="46">
        <v>0</v>
      </c>
      <c r="P33" s="46">
        <v>112.499</v>
      </c>
      <c r="Q33" s="58">
        <v>101983.391</v>
      </c>
      <c r="R33">
        <v>0</v>
      </c>
    </row>
    <row r="34" spans="2:18" ht="21" customHeight="1" x14ac:dyDescent="0.35">
      <c r="B34" s="55" t="s">
        <v>82</v>
      </c>
      <c r="C34" s="46">
        <v>0</v>
      </c>
      <c r="D34" s="46">
        <v>0</v>
      </c>
      <c r="E34" s="46">
        <v>0</v>
      </c>
      <c r="F34" s="46">
        <v>0</v>
      </c>
      <c r="G34" s="46">
        <v>0</v>
      </c>
      <c r="H34" s="46">
        <v>0</v>
      </c>
      <c r="I34" s="46">
        <v>0</v>
      </c>
      <c r="J34" s="46">
        <v>0</v>
      </c>
      <c r="K34" s="46">
        <v>0</v>
      </c>
      <c r="L34" s="46">
        <v>0</v>
      </c>
      <c r="M34" s="46">
        <v>0</v>
      </c>
      <c r="N34" s="46">
        <v>0</v>
      </c>
      <c r="O34" s="46">
        <v>0</v>
      </c>
      <c r="P34" s="46">
        <v>0</v>
      </c>
      <c r="Q34" s="58">
        <v>0</v>
      </c>
      <c r="R34">
        <v>0</v>
      </c>
    </row>
    <row r="35" spans="2:18" ht="21" customHeight="1" x14ac:dyDescent="0.35">
      <c r="B35" s="55" t="s">
        <v>83</v>
      </c>
      <c r="C35" s="46">
        <v>0</v>
      </c>
      <c r="D35" s="46">
        <v>0</v>
      </c>
      <c r="E35" s="46">
        <v>0</v>
      </c>
      <c r="F35" s="46">
        <v>419.27499999999998</v>
      </c>
      <c r="G35" s="46">
        <v>0</v>
      </c>
      <c r="H35" s="46">
        <v>0</v>
      </c>
      <c r="I35" s="46">
        <v>501.339</v>
      </c>
      <c r="J35" s="46">
        <v>0</v>
      </c>
      <c r="K35" s="46">
        <v>0</v>
      </c>
      <c r="L35" s="46">
        <v>0</v>
      </c>
      <c r="M35" s="46">
        <v>0</v>
      </c>
      <c r="N35" s="46">
        <v>1849.046</v>
      </c>
      <c r="O35" s="46">
        <v>0</v>
      </c>
      <c r="P35" s="46">
        <v>0</v>
      </c>
      <c r="Q35" s="58">
        <v>2769.66</v>
      </c>
      <c r="R35">
        <v>0</v>
      </c>
    </row>
    <row r="36" spans="2:18" ht="21" customHeight="1" x14ac:dyDescent="0.35">
      <c r="B36" s="55" t="s">
        <v>84</v>
      </c>
      <c r="C36" s="46">
        <v>0</v>
      </c>
      <c r="D36" s="46">
        <v>0</v>
      </c>
      <c r="E36" s="46">
        <v>0</v>
      </c>
      <c r="F36" s="46">
        <v>0</v>
      </c>
      <c r="G36" s="46">
        <v>0</v>
      </c>
      <c r="H36" s="46">
        <v>0</v>
      </c>
      <c r="I36" s="46">
        <v>0</v>
      </c>
      <c r="J36" s="46">
        <v>0</v>
      </c>
      <c r="K36" s="46">
        <v>0</v>
      </c>
      <c r="L36" s="46">
        <v>0</v>
      </c>
      <c r="M36" s="46">
        <v>0</v>
      </c>
      <c r="N36" s="46">
        <v>0</v>
      </c>
      <c r="O36" s="46">
        <v>0</v>
      </c>
      <c r="P36" s="46">
        <v>0</v>
      </c>
      <c r="Q36" s="58">
        <v>0</v>
      </c>
      <c r="R36">
        <v>0</v>
      </c>
    </row>
    <row r="37" spans="2:18" ht="21" customHeight="1" x14ac:dyDescent="0.35">
      <c r="B37" s="55" t="s">
        <v>85</v>
      </c>
      <c r="C37" s="46">
        <v>0</v>
      </c>
      <c r="D37" s="46">
        <v>11616.192999999999</v>
      </c>
      <c r="E37" s="46">
        <v>0</v>
      </c>
      <c r="F37" s="46">
        <v>0</v>
      </c>
      <c r="G37" s="46">
        <v>0</v>
      </c>
      <c r="H37" s="46">
        <v>0</v>
      </c>
      <c r="I37" s="46">
        <v>0</v>
      </c>
      <c r="J37" s="46">
        <v>0</v>
      </c>
      <c r="K37" s="46">
        <v>0</v>
      </c>
      <c r="L37" s="46">
        <v>0</v>
      </c>
      <c r="M37" s="46">
        <v>0</v>
      </c>
      <c r="N37" s="46">
        <v>0</v>
      </c>
      <c r="O37" s="46">
        <v>0</v>
      </c>
      <c r="P37" s="46">
        <v>0</v>
      </c>
      <c r="Q37" s="58">
        <v>11616.192999999999</v>
      </c>
      <c r="R37">
        <v>0</v>
      </c>
    </row>
    <row r="38" spans="2:18" ht="21" customHeight="1" x14ac:dyDescent="0.35">
      <c r="B38" s="55" t="s">
        <v>86</v>
      </c>
      <c r="C38" s="46">
        <v>0</v>
      </c>
      <c r="D38" s="46">
        <v>0</v>
      </c>
      <c r="E38" s="46">
        <v>0</v>
      </c>
      <c r="F38" s="46">
        <v>1376.78</v>
      </c>
      <c r="G38" s="46">
        <v>853.31</v>
      </c>
      <c r="H38" s="46">
        <v>0</v>
      </c>
      <c r="I38" s="46">
        <v>0</v>
      </c>
      <c r="J38" s="46">
        <v>0</v>
      </c>
      <c r="K38" s="46">
        <v>0</v>
      </c>
      <c r="L38" s="46">
        <v>13035.74</v>
      </c>
      <c r="M38" s="46">
        <v>51.158000000000001</v>
      </c>
      <c r="N38" s="46">
        <v>16349.502</v>
      </c>
      <c r="O38" s="46">
        <v>0</v>
      </c>
      <c r="P38" s="46">
        <v>17737.018</v>
      </c>
      <c r="Q38" s="58">
        <v>49403.508000000002</v>
      </c>
      <c r="R38">
        <v>0</v>
      </c>
    </row>
    <row r="39" spans="2:18" ht="21" customHeight="1" x14ac:dyDescent="0.35">
      <c r="B39" s="160" t="s">
        <v>87</v>
      </c>
      <c r="C39" s="46">
        <v>0</v>
      </c>
      <c r="D39" s="46">
        <v>0</v>
      </c>
      <c r="E39" s="46">
        <v>0</v>
      </c>
      <c r="F39" s="46">
        <v>0</v>
      </c>
      <c r="G39" s="46">
        <v>0</v>
      </c>
      <c r="H39" s="46">
        <v>0</v>
      </c>
      <c r="I39" s="46">
        <v>0</v>
      </c>
      <c r="J39" s="46">
        <v>0</v>
      </c>
      <c r="K39" s="46">
        <v>0</v>
      </c>
      <c r="L39" s="46">
        <v>0</v>
      </c>
      <c r="M39" s="46">
        <v>0</v>
      </c>
      <c r="N39" s="46">
        <v>0</v>
      </c>
      <c r="O39" s="46">
        <v>0</v>
      </c>
      <c r="P39" s="46">
        <v>0</v>
      </c>
      <c r="Q39" s="58">
        <v>0</v>
      </c>
      <c r="R39">
        <v>0</v>
      </c>
    </row>
    <row r="40" spans="2:18" ht="21" customHeight="1" x14ac:dyDescent="0.35">
      <c r="B40" s="160" t="s">
        <v>88</v>
      </c>
      <c r="C40" s="46">
        <v>0</v>
      </c>
      <c r="D40" s="46">
        <v>30.123999999999999</v>
      </c>
      <c r="E40" s="46">
        <v>0</v>
      </c>
      <c r="F40" s="46">
        <v>111</v>
      </c>
      <c r="G40" s="46">
        <v>190.68</v>
      </c>
      <c r="H40" s="46">
        <v>41.401000000000003</v>
      </c>
      <c r="I40" s="46">
        <v>312.2</v>
      </c>
      <c r="J40" s="46">
        <v>731.08199999999999</v>
      </c>
      <c r="K40" s="46">
        <v>0</v>
      </c>
      <c r="L40" s="46">
        <v>0</v>
      </c>
      <c r="M40" s="46">
        <v>0</v>
      </c>
      <c r="N40" s="46">
        <v>30.251999999999999</v>
      </c>
      <c r="O40" s="46">
        <v>0</v>
      </c>
      <c r="P40" s="46">
        <v>136.125</v>
      </c>
      <c r="Q40" s="58">
        <v>1582.864</v>
      </c>
      <c r="R40">
        <v>0</v>
      </c>
    </row>
    <row r="41" spans="2:18" ht="21" customHeight="1" x14ac:dyDescent="0.35">
      <c r="B41" s="160" t="s">
        <v>89</v>
      </c>
      <c r="C41" s="46">
        <v>0</v>
      </c>
      <c r="D41" s="46">
        <v>0</v>
      </c>
      <c r="E41" s="46">
        <v>0</v>
      </c>
      <c r="F41" s="46">
        <v>0</v>
      </c>
      <c r="G41" s="46">
        <v>0</v>
      </c>
      <c r="H41" s="46">
        <v>0</v>
      </c>
      <c r="I41" s="46">
        <v>0</v>
      </c>
      <c r="J41" s="46">
        <v>0</v>
      </c>
      <c r="K41" s="46">
        <v>0</v>
      </c>
      <c r="L41" s="46">
        <v>0</v>
      </c>
      <c r="M41" s="46">
        <v>0</v>
      </c>
      <c r="N41" s="46">
        <v>0</v>
      </c>
      <c r="O41" s="46">
        <v>0</v>
      </c>
      <c r="P41" s="46">
        <v>0</v>
      </c>
      <c r="Q41" s="58">
        <v>0</v>
      </c>
      <c r="R41">
        <v>0</v>
      </c>
    </row>
    <row r="42" spans="2:18" ht="21" customHeight="1" x14ac:dyDescent="0.3">
      <c r="B42" s="56" t="s">
        <v>90</v>
      </c>
      <c r="C42" s="57">
        <f t="shared" ref="C42:Q42" si="0">SUM(C6:C41)</f>
        <v>70780.748680000004</v>
      </c>
      <c r="D42" s="57">
        <f t="shared" si="0"/>
        <v>254830.27945090347</v>
      </c>
      <c r="E42" s="57">
        <f t="shared" si="0"/>
        <v>635.17670233175113</v>
      </c>
      <c r="F42" s="57">
        <f t="shared" si="0"/>
        <v>231362.56956005745</v>
      </c>
      <c r="G42" s="57">
        <f t="shared" si="0"/>
        <v>8975.3163468131133</v>
      </c>
      <c r="H42" s="57">
        <f t="shared" si="0"/>
        <v>38156.676511054764</v>
      </c>
      <c r="I42" s="57">
        <f t="shared" si="0"/>
        <v>10681.439379580288</v>
      </c>
      <c r="J42" s="57">
        <f t="shared" si="0"/>
        <v>6018.4531363530305</v>
      </c>
      <c r="K42" s="57">
        <f t="shared" si="0"/>
        <v>215.78</v>
      </c>
      <c r="L42" s="57">
        <f t="shared" si="0"/>
        <v>60123.876860332901</v>
      </c>
      <c r="M42" s="57">
        <f t="shared" si="0"/>
        <v>26004.005099369344</v>
      </c>
      <c r="N42" s="57">
        <f t="shared" si="0"/>
        <v>31284.578386389461</v>
      </c>
      <c r="O42" s="57">
        <f t="shared" si="0"/>
        <v>0</v>
      </c>
      <c r="P42" s="57">
        <f t="shared" si="0"/>
        <v>25626.573336553043</v>
      </c>
      <c r="Q42" s="57">
        <f t="shared" si="0"/>
        <v>764695.47344973881</v>
      </c>
    </row>
    <row r="43" spans="2:18" ht="21" customHeight="1" x14ac:dyDescent="0.35">
      <c r="B43" s="273" t="s">
        <v>91</v>
      </c>
      <c r="C43" s="252"/>
      <c r="D43" s="252"/>
      <c r="E43" s="252"/>
      <c r="F43" s="252"/>
      <c r="G43" s="252"/>
      <c r="H43" s="252"/>
      <c r="I43" s="252"/>
      <c r="J43" s="252"/>
      <c r="K43" s="252"/>
      <c r="L43" s="252"/>
      <c r="M43" s="252"/>
      <c r="N43" s="252"/>
      <c r="O43" s="252"/>
      <c r="P43" s="252"/>
      <c r="Q43" s="253"/>
    </row>
    <row r="44" spans="2:18" ht="21" customHeight="1" x14ac:dyDescent="0.35">
      <c r="B44" s="55" t="s">
        <v>92</v>
      </c>
      <c r="C44" s="46">
        <v>7095.8869999999997</v>
      </c>
      <c r="D44" s="46">
        <v>167533.038</v>
      </c>
      <c r="E44" s="46">
        <v>289348.83500000002</v>
      </c>
      <c r="F44" s="46">
        <v>823531.30200000003</v>
      </c>
      <c r="G44" s="46">
        <v>57310.220999999998</v>
      </c>
      <c r="H44" s="46">
        <v>81602.7</v>
      </c>
      <c r="I44" s="46">
        <v>15009.819</v>
      </c>
      <c r="J44" s="46">
        <v>64132.866999999998</v>
      </c>
      <c r="K44" s="46">
        <v>0</v>
      </c>
      <c r="L44" s="46">
        <v>96431.516000000003</v>
      </c>
      <c r="M44" s="46">
        <v>5075.3429999999998</v>
      </c>
      <c r="N44" s="46">
        <v>10150.686</v>
      </c>
      <c r="O44" s="46">
        <v>618588.12399999995</v>
      </c>
      <c r="P44" s="46">
        <v>395876.74599999998</v>
      </c>
      <c r="Q44" s="58">
        <v>2631687.0839999998</v>
      </c>
      <c r="R44">
        <v>0</v>
      </c>
    </row>
    <row r="45" spans="2:18" ht="21" customHeight="1" x14ac:dyDescent="0.35">
      <c r="B45" s="55" t="s">
        <v>93</v>
      </c>
      <c r="C45" s="46">
        <v>585.75190455092138</v>
      </c>
      <c r="D45" s="46">
        <v>112581.7070093721</v>
      </c>
      <c r="E45" s="46">
        <v>0</v>
      </c>
      <c r="F45" s="46">
        <v>577542.96014476451</v>
      </c>
      <c r="G45" s="46">
        <v>15908.15466713257</v>
      </c>
      <c r="H45" s="46">
        <v>81905.669017990294</v>
      </c>
      <c r="I45" s="46">
        <v>0</v>
      </c>
      <c r="J45" s="46">
        <v>100253.49964909541</v>
      </c>
      <c r="K45" s="46">
        <v>0</v>
      </c>
      <c r="L45" s="46">
        <v>17263.89516516983</v>
      </c>
      <c r="M45" s="46">
        <v>0</v>
      </c>
      <c r="N45" s="46">
        <v>0</v>
      </c>
      <c r="O45" s="46">
        <v>314628.92760766839</v>
      </c>
      <c r="P45" s="46">
        <v>165487.6404647234</v>
      </c>
      <c r="Q45" s="58">
        <v>1386158.205630468</v>
      </c>
      <c r="R45">
        <v>0</v>
      </c>
    </row>
    <row r="46" spans="2:18" ht="21" customHeight="1" x14ac:dyDescent="0.35">
      <c r="B46" s="55" t="s">
        <v>94</v>
      </c>
      <c r="C46" s="46">
        <v>1126.9179999999999</v>
      </c>
      <c r="D46" s="46">
        <v>78195.399000000005</v>
      </c>
      <c r="E46" s="46">
        <v>72082.087</v>
      </c>
      <c r="F46" s="46">
        <v>525071.80799999996</v>
      </c>
      <c r="G46" s="46">
        <v>20256.177</v>
      </c>
      <c r="H46" s="46">
        <v>59207.883000000002</v>
      </c>
      <c r="I46" s="46">
        <v>34981.896999999997</v>
      </c>
      <c r="J46" s="46">
        <v>37897.057000000001</v>
      </c>
      <c r="K46" s="46">
        <v>0</v>
      </c>
      <c r="L46" s="46">
        <v>2561.038</v>
      </c>
      <c r="M46" s="46">
        <v>7438.067</v>
      </c>
      <c r="N46" s="46">
        <v>-13675.954</v>
      </c>
      <c r="O46" s="46">
        <v>42264.728999999999</v>
      </c>
      <c r="P46" s="46">
        <v>51765.324999999997</v>
      </c>
      <c r="Q46" s="58">
        <v>919172.43099999998</v>
      </c>
      <c r="R46">
        <v>0</v>
      </c>
    </row>
    <row r="47" spans="2:18" ht="21" customHeight="1" x14ac:dyDescent="0.35">
      <c r="B47" s="4" t="s">
        <v>95</v>
      </c>
      <c r="C47" s="46">
        <v>17710.49655</v>
      </c>
      <c r="D47" s="46">
        <v>311312.57116000011</v>
      </c>
      <c r="E47" s="46">
        <v>12833.17497</v>
      </c>
      <c r="F47" s="46">
        <v>890714.91189999995</v>
      </c>
      <c r="G47" s="46">
        <v>35668.26969999999</v>
      </c>
      <c r="H47" s="46">
        <v>178577.33689000001</v>
      </c>
      <c r="I47" s="46">
        <v>3771.9159399999999</v>
      </c>
      <c r="J47" s="46">
        <v>50125.317270000007</v>
      </c>
      <c r="K47" s="46">
        <v>0</v>
      </c>
      <c r="L47" s="46">
        <v>112418.92039</v>
      </c>
      <c r="M47" s="46">
        <v>7755.0912299999991</v>
      </c>
      <c r="N47" s="46">
        <v>-220.39310999999941</v>
      </c>
      <c r="O47" s="46">
        <v>430393.60777000012</v>
      </c>
      <c r="P47" s="46">
        <v>388866.02708999888</v>
      </c>
      <c r="Q47" s="58">
        <v>2439927.2477500001</v>
      </c>
      <c r="R47">
        <v>0</v>
      </c>
    </row>
    <row r="48" spans="2:18" ht="21" customHeight="1" x14ac:dyDescent="0.35">
      <c r="B48" s="55" t="s">
        <v>96</v>
      </c>
      <c r="C48" s="46">
        <v>16683.52107590593</v>
      </c>
      <c r="D48" s="46">
        <v>319123.07172895648</v>
      </c>
      <c r="E48" s="46">
        <v>3257.5373962314479</v>
      </c>
      <c r="F48" s="46">
        <v>789553.19308252283</v>
      </c>
      <c r="G48" s="46">
        <v>318217.30851026898</v>
      </c>
      <c r="H48" s="46">
        <v>82792.604543797555</v>
      </c>
      <c r="I48" s="46">
        <v>5845.3159559571686</v>
      </c>
      <c r="J48" s="46">
        <v>32787.262020122042</v>
      </c>
      <c r="K48" s="46">
        <v>0</v>
      </c>
      <c r="L48" s="46">
        <v>86490.255069408318</v>
      </c>
      <c r="M48" s="46">
        <v>17380.14903353517</v>
      </c>
      <c r="N48" s="46">
        <v>74316.200299217016</v>
      </c>
      <c r="O48" s="46">
        <v>171149.99079234939</v>
      </c>
      <c r="P48" s="46">
        <v>6605.0987139197177</v>
      </c>
      <c r="Q48" s="58">
        <v>1924201.5082221921</v>
      </c>
      <c r="R48">
        <v>0</v>
      </c>
    </row>
    <row r="49" spans="2:17" ht="21" customHeight="1" x14ac:dyDescent="0.3">
      <c r="B49" s="56" t="s">
        <v>90</v>
      </c>
      <c r="C49" s="57">
        <f t="shared" ref="C49:Q49" si="1">SUM(C44:C48)</f>
        <v>43202.574530456855</v>
      </c>
      <c r="D49" s="57">
        <f t="shared" si="1"/>
        <v>988745.78689832869</v>
      </c>
      <c r="E49" s="57">
        <f t="shared" si="1"/>
        <v>377521.63436623145</v>
      </c>
      <c r="F49" s="57">
        <f t="shared" si="1"/>
        <v>3606414.1751272874</v>
      </c>
      <c r="G49" s="57">
        <f t="shared" si="1"/>
        <v>447360.13087740156</v>
      </c>
      <c r="H49" s="57">
        <f t="shared" si="1"/>
        <v>484086.19345178787</v>
      </c>
      <c r="I49" s="57">
        <f t="shared" si="1"/>
        <v>59608.947895957172</v>
      </c>
      <c r="J49" s="57">
        <f t="shared" si="1"/>
        <v>285196.00293921743</v>
      </c>
      <c r="K49" s="57">
        <f t="shared" si="1"/>
        <v>0</v>
      </c>
      <c r="L49" s="57">
        <f t="shared" si="1"/>
        <v>315165.62462457817</v>
      </c>
      <c r="M49" s="57">
        <f t="shared" si="1"/>
        <v>37648.650263535164</v>
      </c>
      <c r="N49" s="57">
        <f t="shared" si="1"/>
        <v>70570.539189217016</v>
      </c>
      <c r="O49" s="57">
        <f t="shared" si="1"/>
        <v>1577025.379170018</v>
      </c>
      <c r="P49" s="57">
        <f t="shared" si="1"/>
        <v>1008600.8372686419</v>
      </c>
      <c r="Q49" s="57">
        <f t="shared" si="1"/>
        <v>9301146.4766026605</v>
      </c>
    </row>
    <row r="50" spans="2:17" ht="20.25" customHeight="1" x14ac:dyDescent="0.3">
      <c r="B50" s="272" t="s">
        <v>98</v>
      </c>
      <c r="C50" s="238"/>
      <c r="D50" s="238"/>
      <c r="E50" s="238"/>
      <c r="F50" s="238"/>
      <c r="G50" s="238"/>
      <c r="H50" s="238"/>
      <c r="I50" s="238"/>
      <c r="J50" s="238"/>
      <c r="K50" s="238"/>
      <c r="L50" s="238"/>
      <c r="M50" s="238"/>
      <c r="N50" s="238"/>
      <c r="O50" s="238"/>
      <c r="P50" s="238"/>
      <c r="Q50" s="238"/>
    </row>
  </sheetData>
  <sheetProtection algorithmName="SHA-512" hashValue="779dxCi7IJ/RwejhvlYaUc0PZCpcyAkpo7pOhUwjLICnNxhzFCBxyEHrvdWCUgZgwGCJq7PqprqzzTb6mhf8SA==" saltValue="4MJWVqSThqKm1HBY6RSPsQ==" spinCount="100000" sheet="1" objects="1" scenarios="1"/>
  <mergeCells count="4">
    <mergeCell ref="B50:Q50"/>
    <mergeCell ref="B43:Q43"/>
    <mergeCell ref="B3:Q3"/>
    <mergeCell ref="B5:Q5"/>
  </mergeCells>
  <pageMargins left="0.7" right="0.7" top="0.75" bottom="0.75" header="0.3" footer="0.3"/>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7">
    <tabColor rgb="FF92D050"/>
    <pageSetUpPr fitToPage="1"/>
  </sheetPr>
  <dimension ref="B3:S50"/>
  <sheetViews>
    <sheetView zoomScale="53" workbookViewId="0">
      <pane xSplit="2" ySplit="5" topLeftCell="C6" activePane="bottomRight" state="frozen"/>
      <selection pane="topRight" activeCell="C1" sqref="C1"/>
      <selection pane="bottomLeft" activeCell="A6" sqref="A6"/>
      <selection pane="bottomRight" activeCell="D19" sqref="D19"/>
    </sheetView>
  </sheetViews>
  <sheetFormatPr defaultColWidth="9.453125" defaultRowHeight="18" customHeight="1" x14ac:dyDescent="0.35"/>
  <cols>
    <col min="1" max="1" width="16.54296875" customWidth="1"/>
    <col min="2" max="2" width="43.453125" customWidth="1"/>
    <col min="3" max="16" width="17.453125" customWidth="1"/>
    <col min="17" max="17" width="9.7265625" bestFit="1" customWidth="1"/>
    <col min="18" max="18" width="2" customWidth="1"/>
    <col min="19" max="20" width="9.453125" customWidth="1"/>
  </cols>
  <sheetData>
    <row r="3" spans="2:19" ht="22" customHeight="1" x14ac:dyDescent="0.35">
      <c r="B3" s="267" t="str">
        <f>_xlfn.CONCAT('Table of Contents'!B23,": ",'Table of Contents'!C23)</f>
        <v>APPENDIX 16: SUMMARY OF GENERAL INSURANCE BUSINESS MARKET SHARE PER CLASS FOR THE PERIOD ENDED 31.03.2025</v>
      </c>
      <c r="C3" s="252"/>
      <c r="D3" s="252"/>
      <c r="E3" s="252"/>
      <c r="F3" s="252"/>
      <c r="G3" s="252"/>
      <c r="H3" s="252"/>
      <c r="I3" s="252"/>
      <c r="J3" s="252"/>
      <c r="K3" s="252"/>
      <c r="L3" s="252"/>
      <c r="M3" s="252"/>
      <c r="N3" s="252"/>
      <c r="O3" s="252"/>
      <c r="P3" s="252"/>
      <c r="Q3" s="253"/>
    </row>
    <row r="4" spans="2:19" s="198" customFormat="1" ht="39.5" customHeight="1" x14ac:dyDescent="0.35">
      <c r="B4" s="157" t="s">
        <v>36</v>
      </c>
      <c r="C4" s="156" t="s">
        <v>156</v>
      </c>
      <c r="D4" s="156" t="s">
        <v>157</v>
      </c>
      <c r="E4" s="156" t="s">
        <v>158</v>
      </c>
      <c r="F4" s="156" t="s">
        <v>159</v>
      </c>
      <c r="G4" s="156" t="s">
        <v>160</v>
      </c>
      <c r="H4" s="156" t="s">
        <v>161</v>
      </c>
      <c r="I4" s="156" t="s">
        <v>162</v>
      </c>
      <c r="J4" s="156" t="s">
        <v>163</v>
      </c>
      <c r="K4" s="156" t="s">
        <v>164</v>
      </c>
      <c r="L4" s="156" t="s">
        <v>165</v>
      </c>
      <c r="M4" s="156" t="s">
        <v>166</v>
      </c>
      <c r="N4" s="156" t="s">
        <v>167</v>
      </c>
      <c r="O4" s="156" t="s">
        <v>168</v>
      </c>
      <c r="P4" s="156" t="s">
        <v>169</v>
      </c>
      <c r="Q4" s="156" t="s">
        <v>170</v>
      </c>
    </row>
    <row r="5" spans="2:19" ht="25.5" customHeight="1" x14ac:dyDescent="0.35">
      <c r="B5" s="261" t="s">
        <v>53</v>
      </c>
      <c r="C5" s="252"/>
      <c r="D5" s="252"/>
      <c r="E5" s="252"/>
      <c r="F5" s="252"/>
      <c r="G5" s="252"/>
      <c r="H5" s="252"/>
      <c r="I5" s="252"/>
      <c r="J5" s="252"/>
      <c r="K5" s="252"/>
      <c r="L5" s="252"/>
      <c r="M5" s="252"/>
      <c r="N5" s="252"/>
      <c r="O5" s="252"/>
      <c r="P5" s="252"/>
      <c r="Q5" s="253"/>
    </row>
    <row r="6" spans="2:19" ht="25.5" customHeight="1" x14ac:dyDescent="0.35">
      <c r="B6" s="142" t="str">
        <f>'APPENDIX 15'!B6</f>
        <v>AAR INSURANCE KENYA</v>
      </c>
      <c r="C6" s="143">
        <f>IFERROR('APPENDIX 15'!C6/'APPENDIX 15'!C$42*100,"")</f>
        <v>0</v>
      </c>
      <c r="D6" s="143">
        <f>IFERROR('APPENDIX 15'!D6/'APPENDIX 15'!D$42*100,"")</f>
        <v>4.3300453016530238E-2</v>
      </c>
      <c r="E6" s="143">
        <f>IFERROR('APPENDIX 15'!E6/'APPENDIX 15'!E$42*100,"")</f>
        <v>4.4643742798130097E-2</v>
      </c>
      <c r="F6" s="143">
        <f>IFERROR('APPENDIX 15'!F6/'APPENDIX 15'!F$42*100,"")</f>
        <v>7.649939575479496E-2</v>
      </c>
      <c r="G6" s="143">
        <f>IFERROR('APPENDIX 15'!G6/'APPENDIX 15'!G$42*100,"")</f>
        <v>0.4666722959427364</v>
      </c>
      <c r="H6" s="143">
        <f>IFERROR('APPENDIX 15'!H6/'APPENDIX 15'!H$42*100,"")</f>
        <v>3.3292321521869147E-3</v>
      </c>
      <c r="I6" s="143">
        <f>IFERROR('APPENDIX 15'!I6/'APPENDIX 15'!I$42*100,"")</f>
        <v>0</v>
      </c>
      <c r="J6" s="143">
        <f>IFERROR('APPENDIX 15'!J6/'APPENDIX 15'!J$42*100,"")</f>
        <v>0</v>
      </c>
      <c r="K6" s="143">
        <f>IFERROR('APPENDIX 15'!K6/'APPENDIX 15'!K$42*100,"")</f>
        <v>0</v>
      </c>
      <c r="L6" s="143">
        <f>IFERROR('APPENDIX 15'!L6/'APPENDIX 15'!L$42*100,"")</f>
        <v>0.35229727806614541</v>
      </c>
      <c r="M6" s="143">
        <f>IFERROR('APPENDIX 15'!M6/'APPENDIX 15'!M$42*100,"")</f>
        <v>0.23118506637780145</v>
      </c>
      <c r="N6" s="143">
        <f>IFERROR('APPENDIX 15'!N6/'APPENDIX 15'!N$42*100,"")</f>
        <v>1.0350800259351092</v>
      </c>
      <c r="O6" s="143">
        <f>IFERROR('APPENDIX 15'!O6/'APPENDIX 15'!O$42*100,"")</f>
        <v>9.9706527009233561</v>
      </c>
      <c r="P6" s="143">
        <f>IFERROR('APPENDIX 15'!P6/'APPENDIX 15'!P$42*100,"")</f>
        <v>0.47435342781304896</v>
      </c>
      <c r="Q6" s="144">
        <f>IFERROR('APPENDIX 15'!$Q6/'APPENDIX 15'!Q$42*100,"")</f>
        <v>4.3565164074809379</v>
      </c>
      <c r="S6">
        <f>COUNTIF(Q6:Q41,"&gt;5")</f>
        <v>6</v>
      </c>
    </row>
    <row r="7" spans="2:19" ht="25.5" customHeight="1" x14ac:dyDescent="0.35">
      <c r="B7" s="142" t="str">
        <f>'APPENDIX 15'!B7</f>
        <v xml:space="preserve">AFRICAN MERCHANT ASSURANCE </v>
      </c>
      <c r="C7" s="143">
        <f>IFERROR('APPENDIX 15'!C7/'APPENDIX 15'!C$42*100,"")</f>
        <v>0</v>
      </c>
      <c r="D7" s="143">
        <f>IFERROR('APPENDIX 15'!D7/'APPENDIX 15'!D$42*100,"")</f>
        <v>0.66287238312034558</v>
      </c>
      <c r="E7" s="143">
        <f>IFERROR('APPENDIX 15'!E7/'APPENDIX 15'!E$42*100,"")</f>
        <v>1.781189732408699E-2</v>
      </c>
      <c r="F7" s="143">
        <f>IFERROR('APPENDIX 15'!F7/'APPENDIX 15'!F$42*100,"")</f>
        <v>1.0640984502023606E-2</v>
      </c>
      <c r="G7" s="143">
        <f>IFERROR('APPENDIX 15'!G7/'APPENDIX 15'!G$42*100,"")</f>
        <v>0.32802246653115436</v>
      </c>
      <c r="H7" s="143">
        <f>IFERROR('APPENDIX 15'!H7/'APPENDIX 15'!H$42*100,"")</f>
        <v>0.131976213483467</v>
      </c>
      <c r="I7" s="143">
        <f>IFERROR('APPENDIX 15'!I7/'APPENDIX 15'!I$42*100,"")</f>
        <v>1.3533607770740228</v>
      </c>
      <c r="J7" s="143">
        <f>IFERROR('APPENDIX 15'!J7/'APPENDIX 15'!J$42*100,"")</f>
        <v>2.2387985345209005</v>
      </c>
      <c r="K7" s="143">
        <f>IFERROR('APPENDIX 15'!K7/'APPENDIX 15'!K$42*100,"")</f>
        <v>54.710967186211455</v>
      </c>
      <c r="L7" s="143">
        <f>IFERROR('APPENDIX 15'!L7/'APPENDIX 15'!L$42*100,"")</f>
        <v>0.48451897344983103</v>
      </c>
      <c r="M7" s="143">
        <f>IFERROR('APPENDIX 15'!M7/'APPENDIX 15'!M$42*100,"")</f>
        <v>5.4097873276035165E-2</v>
      </c>
      <c r="N7" s="143">
        <f>IFERROR('APPENDIX 15'!N7/'APPENDIX 15'!N$42*100,"")</f>
        <v>1.4734155735977914</v>
      </c>
      <c r="O7" s="143">
        <f>IFERROR('APPENDIX 15'!O7/'APPENDIX 15'!O$42*100,"")</f>
        <v>0</v>
      </c>
      <c r="P7" s="143">
        <f>IFERROR('APPENDIX 15'!P7/'APPENDIX 15'!P$42*100,"")</f>
        <v>0.56301035369520536</v>
      </c>
      <c r="Q7" s="144">
        <f>IFERROR('APPENDIX 15'!$Q7/'APPENDIX 15'!Q$42*100,"")</f>
        <v>1.5084275213764482</v>
      </c>
    </row>
    <row r="8" spans="2:19" ht="25.5" customHeight="1" x14ac:dyDescent="0.35">
      <c r="B8" s="142" t="str">
        <f>'APPENDIX 15'!B8</f>
        <v>APA INSURANCE COMPANY</v>
      </c>
      <c r="C8" s="143">
        <f>IFERROR('APPENDIX 15'!C8/'APPENDIX 15'!C$42*100,"")</f>
        <v>7.4862501291877726</v>
      </c>
      <c r="D8" s="143">
        <f>IFERROR('APPENDIX 15'!D8/'APPENDIX 15'!D$42*100,"")</f>
        <v>4.6819580561998517</v>
      </c>
      <c r="E8" s="143">
        <f>IFERROR('APPENDIX 15'!E8/'APPENDIX 15'!E$42*100,"")</f>
        <v>6.0715104141878609</v>
      </c>
      <c r="F8" s="143">
        <f>IFERROR('APPENDIX 15'!F8/'APPENDIX 15'!F$42*100,"")</f>
        <v>11.881426001253024</v>
      </c>
      <c r="G8" s="143">
        <f>IFERROR('APPENDIX 15'!G8/'APPENDIX 15'!G$42*100,"")</f>
        <v>9.8955654055462645</v>
      </c>
      <c r="H8" s="143">
        <f>IFERROR('APPENDIX 15'!H8/'APPENDIX 15'!H$42*100,"")</f>
        <v>6.4353103926885122</v>
      </c>
      <c r="I8" s="143">
        <f>IFERROR('APPENDIX 15'!I8/'APPENDIX 15'!I$42*100,"")</f>
        <v>10.10401912267792</v>
      </c>
      <c r="J8" s="143">
        <f>IFERROR('APPENDIX 15'!J8/'APPENDIX 15'!J$42*100,"")</f>
        <v>10.046871250071684</v>
      </c>
      <c r="K8" s="143">
        <f>IFERROR('APPENDIX 15'!K8/'APPENDIX 15'!K$42*100,"")</f>
        <v>0</v>
      </c>
      <c r="L8" s="143">
        <f>IFERROR('APPENDIX 15'!L8/'APPENDIX 15'!L$42*100,"")</f>
        <v>9.931377946467542</v>
      </c>
      <c r="M8" s="143">
        <f>IFERROR('APPENDIX 15'!M8/'APPENDIX 15'!M$42*100,"")</f>
        <v>4.5970746480004365</v>
      </c>
      <c r="N8" s="143">
        <f>IFERROR('APPENDIX 15'!N8/'APPENDIX 15'!N$42*100,"")</f>
        <v>7.4997234878856593</v>
      </c>
      <c r="O8" s="143">
        <f>IFERROR('APPENDIX 15'!O8/'APPENDIX 15'!O$42*100,"")</f>
        <v>8.955482526618054</v>
      </c>
      <c r="P8" s="143">
        <f>IFERROR('APPENDIX 15'!P8/'APPENDIX 15'!P$42*100,"")</f>
        <v>8.9941525787660801</v>
      </c>
      <c r="Q8" s="144">
        <f>IFERROR('APPENDIX 15'!$Q8/'APPENDIX 15'!Q$42*100,"")</f>
        <v>8.9383624354865567</v>
      </c>
    </row>
    <row r="9" spans="2:19" ht="25.5" customHeight="1" x14ac:dyDescent="0.35">
      <c r="B9" s="142" t="str">
        <f>'APPENDIX 15'!B9</f>
        <v>BRITAM GENERAL INSURANCE</v>
      </c>
      <c r="C9" s="143">
        <f>IFERROR('APPENDIX 15'!C9/'APPENDIX 15'!C$42*100,"")</f>
        <v>2.5099978049189611</v>
      </c>
      <c r="D9" s="143">
        <f>IFERROR('APPENDIX 15'!D9/'APPENDIX 15'!D$42*100,"")</f>
        <v>15.126906475545788</v>
      </c>
      <c r="E9" s="143">
        <f>IFERROR('APPENDIX 15'!E9/'APPENDIX 15'!E$42*100,"")</f>
        <v>9.1203312363064875</v>
      </c>
      <c r="F9" s="143">
        <f>IFERROR('APPENDIX 15'!F9/'APPENDIX 15'!F$42*100,"")</f>
        <v>7.2410159678786004</v>
      </c>
      <c r="G9" s="143">
        <f>IFERROR('APPENDIX 15'!G9/'APPENDIX 15'!G$42*100,"")</f>
        <v>12.173137778726833</v>
      </c>
      <c r="H9" s="143">
        <f>IFERROR('APPENDIX 15'!H9/'APPENDIX 15'!H$42*100,"")</f>
        <v>9.7983931851841888</v>
      </c>
      <c r="I9" s="143">
        <f>IFERROR('APPENDIX 15'!I9/'APPENDIX 15'!I$42*100,"")</f>
        <v>4.9017150375897973</v>
      </c>
      <c r="J9" s="143">
        <f>IFERROR('APPENDIX 15'!J9/'APPENDIX 15'!J$42*100,"")</f>
        <v>2.7708489177575886</v>
      </c>
      <c r="K9" s="143">
        <f>IFERROR('APPENDIX 15'!K9/'APPENDIX 15'!K$42*100,"")</f>
        <v>0</v>
      </c>
      <c r="L9" s="143">
        <f>IFERROR('APPENDIX 15'!L9/'APPENDIX 15'!L$42*100,"")</f>
        <v>7.2858166644993574</v>
      </c>
      <c r="M9" s="143">
        <f>IFERROR('APPENDIX 15'!M9/'APPENDIX 15'!M$42*100,"")</f>
        <v>15.20742566739656</v>
      </c>
      <c r="N9" s="143">
        <f>IFERROR('APPENDIX 15'!N9/'APPENDIX 15'!N$42*100,"")</f>
        <v>3.9959461975446393</v>
      </c>
      <c r="O9" s="143">
        <f>IFERROR('APPENDIX 15'!O9/'APPENDIX 15'!O$42*100,"")</f>
        <v>6.3395776764936587</v>
      </c>
      <c r="P9" s="143">
        <f>IFERROR('APPENDIX 15'!P9/'APPENDIX 15'!P$42*100,"")</f>
        <v>1.5968496813728144</v>
      </c>
      <c r="Q9" s="144">
        <f>IFERROR('APPENDIX 15'!$Q9/'APPENDIX 15'!Q$42*100,"")</f>
        <v>6.3904232333534736</v>
      </c>
    </row>
    <row r="10" spans="2:19" ht="25.5" customHeight="1" x14ac:dyDescent="0.35">
      <c r="B10" s="142" t="str">
        <f>'APPENDIX 15'!B10</f>
        <v>CANNON GENERAL INSURANCE (K) LIMITED</v>
      </c>
      <c r="C10" s="143">
        <f>IFERROR('APPENDIX 15'!C10/'APPENDIX 15'!C$42*100,"")</f>
        <v>0</v>
      </c>
      <c r="D10" s="143">
        <f>IFERROR('APPENDIX 15'!D10/'APPENDIX 15'!D$42*100,"")</f>
        <v>1.6486545598184119</v>
      </c>
      <c r="E10" s="143">
        <f>IFERROR('APPENDIX 15'!E10/'APPENDIX 15'!E$42*100,"")</f>
        <v>0.7239594677165837</v>
      </c>
      <c r="F10" s="143">
        <f>IFERROR('APPENDIX 15'!F10/'APPENDIX 15'!F$42*100,"")</f>
        <v>0.2399135516178271</v>
      </c>
      <c r="G10" s="143">
        <f>IFERROR('APPENDIX 15'!G10/'APPENDIX 15'!G$42*100,"")</f>
        <v>0.46407746334137351</v>
      </c>
      <c r="H10" s="143">
        <f>IFERROR('APPENDIX 15'!H10/'APPENDIX 15'!H$42*100,"")</f>
        <v>1.0250400128222181</v>
      </c>
      <c r="I10" s="143">
        <f>IFERROR('APPENDIX 15'!I10/'APPENDIX 15'!I$42*100,"")</f>
        <v>4.3001377761429413</v>
      </c>
      <c r="J10" s="143">
        <f>IFERROR('APPENDIX 15'!J10/'APPENDIX 15'!J$42*100,"")</f>
        <v>1.4876018091737675</v>
      </c>
      <c r="K10" s="143">
        <f>IFERROR('APPENDIX 15'!K10/'APPENDIX 15'!K$42*100,"")</f>
        <v>0</v>
      </c>
      <c r="L10" s="143">
        <f>IFERROR('APPENDIX 15'!L10/'APPENDIX 15'!L$42*100,"")</f>
        <v>1.1559123906055786</v>
      </c>
      <c r="M10" s="143">
        <f>IFERROR('APPENDIX 15'!M10/'APPENDIX 15'!M$42*100,"")</f>
        <v>0.2783831087288674</v>
      </c>
      <c r="N10" s="143">
        <f>IFERROR('APPENDIX 15'!N10/'APPENDIX 15'!N$42*100,"")</f>
        <v>1.0513424048468918</v>
      </c>
      <c r="O10" s="143">
        <f>IFERROR('APPENDIX 15'!O10/'APPENDIX 15'!O$42*100,"")</f>
        <v>0</v>
      </c>
      <c r="P10" s="143">
        <f>IFERROR('APPENDIX 15'!P10/'APPENDIX 15'!P$42*100,"")</f>
        <v>0.76413367422047951</v>
      </c>
      <c r="Q10" s="144">
        <f>IFERROR('APPENDIX 15'!$Q10/'APPENDIX 15'!Q$42*100,"")</f>
        <v>0.86123140703643686</v>
      </c>
    </row>
    <row r="11" spans="2:19" ht="25.5" customHeight="1" x14ac:dyDescent="0.35">
      <c r="B11" s="142" t="str">
        <f>'APPENDIX 15'!B11</f>
        <v>CIC GENERAL INSURANCE COMPANY</v>
      </c>
      <c r="C11" s="143">
        <f>IFERROR('APPENDIX 15'!C11/'APPENDIX 15'!C$42*100,"")</f>
        <v>0</v>
      </c>
      <c r="D11" s="143">
        <f>IFERROR('APPENDIX 15'!D11/'APPENDIX 15'!D$42*100,"")</f>
        <v>2.2721090474102539</v>
      </c>
      <c r="E11" s="143">
        <f>IFERROR('APPENDIX 15'!E11/'APPENDIX 15'!E$42*100,"")</f>
        <v>5.5553260518190095</v>
      </c>
      <c r="F11" s="143">
        <f>IFERROR('APPENDIX 15'!F11/'APPENDIX 15'!F$42*100,"")</f>
        <v>2.1635008066264372</v>
      </c>
      <c r="G11" s="143">
        <f>IFERROR('APPENDIX 15'!G11/'APPENDIX 15'!G$42*100,"")</f>
        <v>3.6883321009960714</v>
      </c>
      <c r="H11" s="143">
        <f>IFERROR('APPENDIX 15'!H11/'APPENDIX 15'!H$42*100,"")</f>
        <v>2.4233016730456596</v>
      </c>
      <c r="I11" s="143">
        <f>IFERROR('APPENDIX 15'!I11/'APPENDIX 15'!I$42*100,"")</f>
        <v>9.9515985281833856</v>
      </c>
      <c r="J11" s="143">
        <f>IFERROR('APPENDIX 15'!J11/'APPENDIX 15'!J$42*100,"")</f>
        <v>9.2270663874820222</v>
      </c>
      <c r="K11" s="143">
        <f>IFERROR('APPENDIX 15'!K11/'APPENDIX 15'!K$42*100,"")</f>
        <v>0</v>
      </c>
      <c r="L11" s="143">
        <f>IFERROR('APPENDIX 15'!L11/'APPENDIX 15'!L$42*100,"")</f>
        <v>17.159599391771462</v>
      </c>
      <c r="M11" s="143">
        <f>IFERROR('APPENDIX 15'!M11/'APPENDIX 15'!M$42*100,"")</f>
        <v>15.263199054978156</v>
      </c>
      <c r="N11" s="143">
        <f>IFERROR('APPENDIX 15'!N11/'APPENDIX 15'!N$42*100,"")</f>
        <v>5.6935981788606824</v>
      </c>
      <c r="O11" s="143">
        <f>IFERROR('APPENDIX 15'!O11/'APPENDIX 15'!O$42*100,"")</f>
        <v>11.69159663884669</v>
      </c>
      <c r="P11" s="143">
        <f>IFERROR('APPENDIX 15'!P11/'APPENDIX 15'!P$42*100,"")</f>
        <v>5.6904594069577366</v>
      </c>
      <c r="Q11" s="144">
        <f>IFERROR('APPENDIX 15'!$Q11/'APPENDIX 15'!Q$42*100,"")</f>
        <v>8.7352831565406799</v>
      </c>
    </row>
    <row r="12" spans="2:19" ht="25.5" customHeight="1" x14ac:dyDescent="0.35">
      <c r="B12" s="142" t="str">
        <f>'APPENDIX 15'!B12</f>
        <v>CORPORATE INSURANCE COMPANY</v>
      </c>
      <c r="C12" s="143">
        <f>IFERROR('APPENDIX 15'!C12/'APPENDIX 15'!C$42*100,"")</f>
        <v>0</v>
      </c>
      <c r="D12" s="143">
        <f>IFERROR('APPENDIX 15'!D12/'APPENDIX 15'!D$42*100,"")</f>
        <v>0.12374088694714419</v>
      </c>
      <c r="E12" s="143">
        <f>IFERROR('APPENDIX 15'!E12/'APPENDIX 15'!E$42*100,"")</f>
        <v>0.17411494586014187</v>
      </c>
      <c r="F12" s="143">
        <f>IFERROR('APPENDIX 15'!F12/'APPENDIX 15'!F$42*100,"")</f>
        <v>8.0379991903699932E-2</v>
      </c>
      <c r="G12" s="143">
        <f>IFERROR('APPENDIX 15'!G12/'APPENDIX 15'!G$42*100,"")</f>
        <v>0.10492273278122421</v>
      </c>
      <c r="H12" s="143">
        <f>IFERROR('APPENDIX 15'!H12/'APPENDIX 15'!H$42*100,"")</f>
        <v>4.7137475886994053E-2</v>
      </c>
      <c r="I12" s="143">
        <f>IFERROR('APPENDIX 15'!I12/'APPENDIX 15'!I$42*100,"")</f>
        <v>0.16099470606344565</v>
      </c>
      <c r="J12" s="143">
        <f>IFERROR('APPENDIX 15'!J12/'APPENDIX 15'!J$42*100,"")</f>
        <v>8.0876263394836528E-2</v>
      </c>
      <c r="K12" s="143">
        <f>IFERROR('APPENDIX 15'!K12/'APPENDIX 15'!K$42*100,"")</f>
        <v>0</v>
      </c>
      <c r="L12" s="143">
        <f>IFERROR('APPENDIX 15'!L12/'APPENDIX 15'!L$42*100,"")</f>
        <v>0.26985208233997016</v>
      </c>
      <c r="M12" s="143">
        <f>IFERROR('APPENDIX 15'!M12/'APPENDIX 15'!M$42*100,"")</f>
        <v>7.0451134076474436E-2</v>
      </c>
      <c r="N12" s="143">
        <f>IFERROR('APPENDIX 15'!N12/'APPENDIX 15'!N$42*100,"")</f>
        <v>0.10215439846815778</v>
      </c>
      <c r="O12" s="143">
        <f>IFERROR('APPENDIX 15'!O12/'APPENDIX 15'!O$42*100,"")</f>
        <v>0</v>
      </c>
      <c r="P12" s="143">
        <f>IFERROR('APPENDIX 15'!P12/'APPENDIX 15'!P$42*100,"")</f>
        <v>0.17094731100067026</v>
      </c>
      <c r="Q12" s="144">
        <f>IFERROR('APPENDIX 15'!$Q12/'APPENDIX 15'!Q$42*100,"")</f>
        <v>5.9558625846721933E-2</v>
      </c>
    </row>
    <row r="13" spans="2:19" ht="25.5" customHeight="1" x14ac:dyDescent="0.35">
      <c r="B13" s="142" t="str">
        <f>'APPENDIX 15'!B13</f>
        <v>DEFINITE ASSURANCE COMPANY</v>
      </c>
      <c r="C13" s="143">
        <f>IFERROR('APPENDIX 15'!C13/'APPENDIX 15'!C$42*100,"")</f>
        <v>0</v>
      </c>
      <c r="D13" s="143">
        <f>IFERROR('APPENDIX 15'!D13/'APPENDIX 15'!D$42*100,"")</f>
        <v>2.1813222331302424E-3</v>
      </c>
      <c r="E13" s="143">
        <f>IFERROR('APPENDIX 15'!E13/'APPENDIX 15'!E$42*100,"")</f>
        <v>0</v>
      </c>
      <c r="F13" s="143">
        <f>IFERROR('APPENDIX 15'!F13/'APPENDIX 15'!F$42*100,"")</f>
        <v>2.7508505347000477E-3</v>
      </c>
      <c r="G13" s="143">
        <f>IFERROR('APPENDIX 15'!G13/'APPENDIX 15'!G$42*100,"")</f>
        <v>0</v>
      </c>
      <c r="H13" s="143">
        <f>IFERROR('APPENDIX 15'!H13/'APPENDIX 15'!H$42*100,"")</f>
        <v>0</v>
      </c>
      <c r="I13" s="143">
        <f>IFERROR('APPENDIX 15'!I13/'APPENDIX 15'!I$42*100,"")</f>
        <v>0.13236146561067896</v>
      </c>
      <c r="J13" s="143">
        <f>IFERROR('APPENDIX 15'!J13/'APPENDIX 15'!J$42*100,"")</f>
        <v>7.028221540301989E-2</v>
      </c>
      <c r="K13" s="143">
        <f>IFERROR('APPENDIX 15'!K13/'APPENDIX 15'!K$42*100,"")</f>
        <v>2.3466033302634179</v>
      </c>
      <c r="L13" s="143">
        <f>IFERROR('APPENDIX 15'!L13/'APPENDIX 15'!L$42*100,"")</f>
        <v>1.288992600579448E-4</v>
      </c>
      <c r="M13" s="143">
        <f>IFERROR('APPENDIX 15'!M13/'APPENDIX 15'!M$42*100,"")</f>
        <v>1.9062063065643307E-2</v>
      </c>
      <c r="N13" s="143">
        <f>IFERROR('APPENDIX 15'!N13/'APPENDIX 15'!N$42*100,"")</f>
        <v>8.3860170546793875E-4</v>
      </c>
      <c r="O13" s="143">
        <f>IFERROR('APPENDIX 15'!O13/'APPENDIX 15'!O$42*100,"")</f>
        <v>0</v>
      </c>
      <c r="P13" s="143">
        <f>IFERROR('APPENDIX 15'!P13/'APPENDIX 15'!P$42*100,"")</f>
        <v>1.452613517356685</v>
      </c>
      <c r="Q13" s="144">
        <f>IFERROR('APPENDIX 15'!$Q13/'APPENDIX 15'!Q$42*100,"")</f>
        <v>9.302644838308706E-2</v>
      </c>
    </row>
    <row r="14" spans="2:19" ht="25.5" customHeight="1" x14ac:dyDescent="0.35">
      <c r="B14" s="142" t="str">
        <f>'APPENDIX 15'!B14</f>
        <v>DIRECTLINE ASSURANCE COMPANY</v>
      </c>
      <c r="C14" s="143">
        <f>IFERROR('APPENDIX 15'!C14/'APPENDIX 15'!C$42*100,"")</f>
        <v>0</v>
      </c>
      <c r="D14" s="143">
        <f>IFERROR('APPENDIX 15'!D14/'APPENDIX 15'!D$42*100,"")</f>
        <v>0</v>
      </c>
      <c r="E14" s="143">
        <f>IFERROR('APPENDIX 15'!E14/'APPENDIX 15'!E$42*100,"")</f>
        <v>0</v>
      </c>
      <c r="F14" s="143">
        <f>IFERROR('APPENDIX 15'!F14/'APPENDIX 15'!F$42*100,"")</f>
        <v>0</v>
      </c>
      <c r="G14" s="143">
        <f>IFERROR('APPENDIX 15'!G14/'APPENDIX 15'!G$42*100,"")</f>
        <v>0</v>
      </c>
      <c r="H14" s="143">
        <f>IFERROR('APPENDIX 15'!H14/'APPENDIX 15'!H$42*100,"")</f>
        <v>0</v>
      </c>
      <c r="I14" s="143">
        <f>IFERROR('APPENDIX 15'!I14/'APPENDIX 15'!I$42*100,"")</f>
        <v>0.8032143165490585</v>
      </c>
      <c r="J14" s="143">
        <f>IFERROR('APPENDIX 15'!J14/'APPENDIX 15'!J$42*100,"")</f>
        <v>0.3172401620132676</v>
      </c>
      <c r="K14" s="143">
        <f>IFERROR('APPENDIX 15'!K14/'APPENDIX 15'!K$42*100,"")</f>
        <v>35.670273440619823</v>
      </c>
      <c r="L14" s="143">
        <f>IFERROR('APPENDIX 15'!L14/'APPENDIX 15'!L$42*100,"")</f>
        <v>0</v>
      </c>
      <c r="M14" s="143">
        <f>IFERROR('APPENDIX 15'!M14/'APPENDIX 15'!M$42*100,"")</f>
        <v>0</v>
      </c>
      <c r="N14" s="143">
        <f>IFERROR('APPENDIX 15'!N14/'APPENDIX 15'!N$42*100,"")</f>
        <v>0</v>
      </c>
      <c r="O14" s="143">
        <f>IFERROR('APPENDIX 15'!O14/'APPENDIX 15'!O$42*100,"")</f>
        <v>0</v>
      </c>
      <c r="P14" s="143">
        <f>IFERROR('APPENDIX 15'!P14/'APPENDIX 15'!P$42*100,"")</f>
        <v>0</v>
      </c>
      <c r="Q14" s="144">
        <f>IFERROR('APPENDIX 15'!$Q14/'APPENDIX 15'!Q$42*100,"")</f>
        <v>0.77736774632466921</v>
      </c>
    </row>
    <row r="15" spans="2:19" ht="25.5" customHeight="1" x14ac:dyDescent="0.35">
      <c r="B15" s="142" t="str">
        <f>'APPENDIX 15'!B15</f>
        <v>EQUITY GENERAL INSURANCE LIMITED</v>
      </c>
      <c r="C15" s="143">
        <f>IFERROR('APPENDIX 15'!C15/'APPENDIX 15'!C$42*100,"")</f>
        <v>0</v>
      </c>
      <c r="D15" s="143">
        <f>IFERROR('APPENDIX 15'!D15/'APPENDIX 15'!D$42*100,"")</f>
        <v>0.79038888400801055</v>
      </c>
      <c r="E15" s="143">
        <f>IFERROR('APPENDIX 15'!E15/'APPENDIX 15'!E$42*100,"")</f>
        <v>0</v>
      </c>
      <c r="F15" s="143">
        <f>IFERROR('APPENDIX 15'!F15/'APPENDIX 15'!F$42*100,"")</f>
        <v>0.38578349569990922</v>
      </c>
      <c r="G15" s="143">
        <f>IFERROR('APPENDIX 15'!G15/'APPENDIX 15'!G$42*100,"")</f>
        <v>2.1526499491199456</v>
      </c>
      <c r="H15" s="143">
        <f>IFERROR('APPENDIX 15'!H15/'APPENDIX 15'!H$42*100,"")</f>
        <v>0</v>
      </c>
      <c r="I15" s="143">
        <f>IFERROR('APPENDIX 15'!I15/'APPENDIX 15'!I$42*100,"")</f>
        <v>0</v>
      </c>
      <c r="J15" s="143">
        <f>IFERROR('APPENDIX 15'!J15/'APPENDIX 15'!J$42*100,"")</f>
        <v>0</v>
      </c>
      <c r="K15" s="143">
        <f>IFERROR('APPENDIX 15'!K15/'APPENDIX 15'!K$42*100,"")</f>
        <v>0</v>
      </c>
      <c r="L15" s="143">
        <f>IFERROR('APPENDIX 15'!L15/'APPENDIX 15'!L$42*100,"")</f>
        <v>0</v>
      </c>
      <c r="M15" s="143">
        <f>IFERROR('APPENDIX 15'!M15/'APPENDIX 15'!M$42*100,"")</f>
        <v>3.6967908177703435</v>
      </c>
      <c r="N15" s="143">
        <f>IFERROR('APPENDIX 15'!N15/'APPENDIX 15'!N$42*100,"")</f>
        <v>0</v>
      </c>
      <c r="O15" s="143">
        <f>IFERROR('APPENDIX 15'!O15/'APPENDIX 15'!O$42*100,"")</f>
        <v>3.6087303645753561</v>
      </c>
      <c r="P15" s="143">
        <f>IFERROR('APPENDIX 15'!P15/'APPENDIX 15'!P$42*100,"")</f>
        <v>0</v>
      </c>
      <c r="Q15" s="144">
        <f>IFERROR('APPENDIX 15'!$Q15/'APPENDIX 15'!Q$42*100,"")</f>
        <v>1.7983089148535976</v>
      </c>
    </row>
    <row r="16" spans="2:19" ht="25.5" customHeight="1" x14ac:dyDescent="0.35">
      <c r="B16" s="142" t="str">
        <f>'APPENDIX 15'!B16</f>
        <v xml:space="preserve">FIDELITY SHIELD INSURANCE  </v>
      </c>
      <c r="C16" s="143">
        <f>IFERROR('APPENDIX 15'!C16/'APPENDIX 15'!C$42*100,"")</f>
        <v>0.16394182087673662</v>
      </c>
      <c r="D16" s="143">
        <f>IFERROR('APPENDIX 15'!D16/'APPENDIX 15'!D$42*100,"")</f>
        <v>1.089385352466149</v>
      </c>
      <c r="E16" s="143">
        <f>IFERROR('APPENDIX 15'!E16/'APPENDIX 15'!E$42*100,"")</f>
        <v>1.959477831948258</v>
      </c>
      <c r="F16" s="143">
        <f>IFERROR('APPENDIX 15'!F16/'APPENDIX 15'!F$42*100,"")</f>
        <v>1.6444446406307398</v>
      </c>
      <c r="G16" s="143">
        <f>IFERROR('APPENDIX 15'!G16/'APPENDIX 15'!G$42*100,"")</f>
        <v>1.3623420456886739</v>
      </c>
      <c r="H16" s="143">
        <f>IFERROR('APPENDIX 15'!H16/'APPENDIX 15'!H$42*100,"")</f>
        <v>2.3884399287173714</v>
      </c>
      <c r="I16" s="143">
        <f>IFERROR('APPENDIX 15'!I16/'APPENDIX 15'!I$42*100,"")</f>
        <v>4.310979255695611</v>
      </c>
      <c r="J16" s="143">
        <f>IFERROR('APPENDIX 15'!J16/'APPENDIX 15'!J$42*100,"")</f>
        <v>6.0870142037210497</v>
      </c>
      <c r="K16" s="143">
        <f>IFERROR('APPENDIX 15'!K16/'APPENDIX 15'!K$42*100,"")</f>
        <v>0.94344449040454148</v>
      </c>
      <c r="L16" s="143">
        <f>IFERROR('APPENDIX 15'!L16/'APPENDIX 15'!L$42*100,"")</f>
        <v>0.34938734106267999</v>
      </c>
      <c r="M16" s="143">
        <f>IFERROR('APPENDIX 15'!M16/'APPENDIX 15'!M$42*100,"")</f>
        <v>1.3437221632919001</v>
      </c>
      <c r="N16" s="143">
        <f>IFERROR('APPENDIX 15'!N16/'APPENDIX 15'!N$42*100,"")</f>
        <v>3.5092900202268922</v>
      </c>
      <c r="O16" s="143">
        <f>IFERROR('APPENDIX 15'!O16/'APPENDIX 15'!O$42*100,"")</f>
        <v>0.40300435962724024</v>
      </c>
      <c r="P16" s="143">
        <f>IFERROR('APPENDIX 15'!P16/'APPENDIX 15'!P$42*100,"")</f>
        <v>5.9313115325959176</v>
      </c>
      <c r="Q16" s="144">
        <f>IFERROR('APPENDIX 15'!$Q16/'APPENDIX 15'!Q$42*100,"")</f>
        <v>1.9636022015773504</v>
      </c>
    </row>
    <row r="17" spans="2:17" ht="25.5" customHeight="1" x14ac:dyDescent="0.35">
      <c r="B17" s="142" t="str">
        <f>'APPENDIX 15'!B17</f>
        <v>FIRST ASSURANCE COMPANY</v>
      </c>
      <c r="C17" s="143">
        <f>IFERROR('APPENDIX 15'!C17/'APPENDIX 15'!C$42*100,"")</f>
        <v>0</v>
      </c>
      <c r="D17" s="143">
        <f>IFERROR('APPENDIX 15'!D17/'APPENDIX 15'!D$42*100,"")</f>
        <v>2.1713371532562364</v>
      </c>
      <c r="E17" s="143">
        <f>IFERROR('APPENDIX 15'!E17/'APPENDIX 15'!E$42*100,"")</f>
        <v>2.2665967720983611</v>
      </c>
      <c r="F17" s="143">
        <f>IFERROR('APPENDIX 15'!F17/'APPENDIX 15'!F$42*100,"")</f>
        <v>2.7840102429884936</v>
      </c>
      <c r="G17" s="143">
        <f>IFERROR('APPENDIX 15'!G17/'APPENDIX 15'!G$42*100,"")</f>
        <v>1.7598524114184655</v>
      </c>
      <c r="H17" s="143">
        <f>IFERROR('APPENDIX 15'!H17/'APPENDIX 15'!H$42*100,"")</f>
        <v>4.5006027855394874</v>
      </c>
      <c r="I17" s="143">
        <f>IFERROR('APPENDIX 15'!I17/'APPENDIX 15'!I$42*100,"")</f>
        <v>2.5244995535645613</v>
      </c>
      <c r="J17" s="143">
        <f>IFERROR('APPENDIX 15'!J17/'APPENDIX 15'!J$42*100,"")</f>
        <v>2.7351972128834787</v>
      </c>
      <c r="K17" s="143">
        <f>IFERROR('APPENDIX 15'!K17/'APPENDIX 15'!K$42*100,"")</f>
        <v>0</v>
      </c>
      <c r="L17" s="143">
        <f>IFERROR('APPENDIX 15'!L17/'APPENDIX 15'!L$42*100,"")</f>
        <v>6.8986904673101952</v>
      </c>
      <c r="M17" s="143">
        <f>IFERROR('APPENDIX 15'!M17/'APPENDIX 15'!M$42*100,"")</f>
        <v>1.4518889669979274</v>
      </c>
      <c r="N17" s="143">
        <f>IFERROR('APPENDIX 15'!N17/'APPENDIX 15'!N$42*100,"")</f>
        <v>1.1979933238946729</v>
      </c>
      <c r="O17" s="143">
        <f>IFERROR('APPENDIX 15'!O17/'APPENDIX 15'!O$42*100,"")</f>
        <v>5.7446107938084117</v>
      </c>
      <c r="P17" s="143">
        <f>IFERROR('APPENDIX 15'!P17/'APPENDIX 15'!P$42*100,"")</f>
        <v>2.5977388854305299</v>
      </c>
      <c r="Q17" s="144">
        <f>IFERROR('APPENDIX 15'!$Q17/'APPENDIX 15'!Q$42*100,"")</f>
        <v>3.8169651482937534</v>
      </c>
    </row>
    <row r="18" spans="2:17" ht="25.5" customHeight="1" x14ac:dyDescent="0.35">
      <c r="B18" s="142" t="str">
        <f>'APPENDIX 15'!B18</f>
        <v>GA INSURANCE COMPANY</v>
      </c>
      <c r="C18" s="143">
        <f>IFERROR('APPENDIX 15'!C18/'APPENDIX 15'!C$42*100,"")</f>
        <v>23.479594741611859</v>
      </c>
      <c r="D18" s="143">
        <f>IFERROR('APPENDIX 15'!D18/'APPENDIX 15'!D$42*100,"")</f>
        <v>15.07814496319676</v>
      </c>
      <c r="E18" s="143">
        <f>IFERROR('APPENDIX 15'!E18/'APPENDIX 15'!E$42*100,"")</f>
        <v>10.727687037339345</v>
      </c>
      <c r="F18" s="143">
        <f>IFERROR('APPENDIX 15'!F18/'APPENDIX 15'!F$42*100,"")</f>
        <v>18.070191211658621</v>
      </c>
      <c r="G18" s="143">
        <f>IFERROR('APPENDIX 15'!G18/'APPENDIX 15'!G$42*100,"")</f>
        <v>5.2538046921682788</v>
      </c>
      <c r="H18" s="143">
        <f>IFERROR('APPENDIX 15'!H18/'APPENDIX 15'!H$42*100,"")</f>
        <v>13.532061313434182</v>
      </c>
      <c r="I18" s="143">
        <f>IFERROR('APPENDIX 15'!I18/'APPENDIX 15'!I$42*100,"")</f>
        <v>6.6285737231946253</v>
      </c>
      <c r="J18" s="143">
        <f>IFERROR('APPENDIX 15'!J18/'APPENDIX 15'!J$42*100,"")</f>
        <v>7.7302315553619678</v>
      </c>
      <c r="K18" s="143">
        <f>IFERROR('APPENDIX 15'!K18/'APPENDIX 15'!K$42*100,"")</f>
        <v>4.101228119643376</v>
      </c>
      <c r="L18" s="143">
        <f>IFERROR('APPENDIX 15'!L18/'APPENDIX 15'!L$42*100,"")</f>
        <v>5.0947276327723969</v>
      </c>
      <c r="M18" s="143">
        <f>IFERROR('APPENDIX 15'!M18/'APPENDIX 15'!M$42*100,"")</f>
        <v>11.588699370586239</v>
      </c>
      <c r="N18" s="143">
        <f>IFERROR('APPENDIX 15'!N18/'APPENDIX 15'!N$42*100,"")</f>
        <v>11.728277696098338</v>
      </c>
      <c r="O18" s="143">
        <f>IFERROR('APPENDIX 15'!O18/'APPENDIX 15'!O$42*100,"")</f>
        <v>5.9163607948435715</v>
      </c>
      <c r="P18" s="143">
        <f>IFERROR('APPENDIX 15'!P18/'APPENDIX 15'!P$42*100,"")</f>
        <v>8.3833243106073017</v>
      </c>
      <c r="Q18" s="144">
        <f>IFERROR('APPENDIX 15'!$Q18/'APPENDIX 15'!Q$42*100,"")</f>
        <v>8.8854807593376322</v>
      </c>
    </row>
    <row r="19" spans="2:17" ht="25.5" customHeight="1" x14ac:dyDescent="0.35">
      <c r="B19" s="142" t="str">
        <f>'APPENDIX 15'!B19</f>
        <v xml:space="preserve">GEMINIA INSURANCE COMPANY </v>
      </c>
      <c r="C19" s="143">
        <f>IFERROR('APPENDIX 15'!C19/'APPENDIX 15'!C$42*100,"")</f>
        <v>7.0200132539165976</v>
      </c>
      <c r="D19" s="143">
        <f>IFERROR('APPENDIX 15'!D19/'APPENDIX 15'!D$42*100,"")</f>
        <v>1.9526793241072502</v>
      </c>
      <c r="E19" s="143">
        <f>IFERROR('APPENDIX 15'!E19/'APPENDIX 15'!E$42*100,"")</f>
        <v>4.8621770688009658</v>
      </c>
      <c r="F19" s="143">
        <f>IFERROR('APPENDIX 15'!F19/'APPENDIX 15'!F$42*100,"")</f>
        <v>2.7682302163897923</v>
      </c>
      <c r="G19" s="143">
        <f>IFERROR('APPENDIX 15'!G19/'APPENDIX 15'!G$42*100,"")</f>
        <v>3.1190563394532735</v>
      </c>
      <c r="H19" s="143">
        <f>IFERROR('APPENDIX 15'!H19/'APPENDIX 15'!H$42*100,"")</f>
        <v>18.097632149683864</v>
      </c>
      <c r="I19" s="143">
        <f>IFERROR('APPENDIX 15'!I19/'APPENDIX 15'!I$42*100,"")</f>
        <v>4.0341619198296153</v>
      </c>
      <c r="J19" s="143">
        <f>IFERROR('APPENDIX 15'!J19/'APPENDIX 15'!J$42*100,"")</f>
        <v>6.0817206677525135</v>
      </c>
      <c r="K19" s="143">
        <f>IFERROR('APPENDIX 15'!K19/'APPENDIX 15'!K$42*100,"")</f>
        <v>0</v>
      </c>
      <c r="L19" s="143">
        <f>IFERROR('APPENDIX 15'!L19/'APPENDIX 15'!L$42*100,"")</f>
        <v>5.8760441871362099</v>
      </c>
      <c r="M19" s="143">
        <f>IFERROR('APPENDIX 15'!M19/'APPENDIX 15'!M$42*100,"")</f>
        <v>3.9267934458801808</v>
      </c>
      <c r="N19" s="143">
        <f>IFERROR('APPENDIX 15'!N19/'APPENDIX 15'!N$42*100,"")</f>
        <v>5.6072575558009525</v>
      </c>
      <c r="O19" s="143">
        <f>IFERROR('APPENDIX 15'!O19/'APPENDIX 15'!O$42*100,"")</f>
        <v>0</v>
      </c>
      <c r="P19" s="143">
        <f>IFERROR('APPENDIX 15'!P19/'APPENDIX 15'!P$42*100,"")</f>
        <v>1.9939128156300348</v>
      </c>
      <c r="Q19" s="144">
        <f>IFERROR('APPENDIX 15'!$Q19/'APPENDIX 15'!Q$42*100,"")</f>
        <v>2.595360764138221</v>
      </c>
    </row>
    <row r="20" spans="2:17" ht="25.5" customHeight="1" x14ac:dyDescent="0.35">
      <c r="B20" s="142" t="str">
        <f>'APPENDIX 15'!B20</f>
        <v>ICEA LION GENERAL INSURANCE</v>
      </c>
      <c r="C20" s="143">
        <f>IFERROR('APPENDIX 15'!C20/'APPENDIX 15'!C$42*100,"")</f>
        <v>20.644950892162317</v>
      </c>
      <c r="D20" s="143">
        <f>IFERROR('APPENDIX 15'!D20/'APPENDIX 15'!D$42*100,"")</f>
        <v>9.4899833876597501</v>
      </c>
      <c r="E20" s="143">
        <f>IFERROR('APPENDIX 15'!E20/'APPENDIX 15'!E$42*100,"")</f>
        <v>7.4385803464437741</v>
      </c>
      <c r="F20" s="143">
        <f>IFERROR('APPENDIX 15'!F20/'APPENDIX 15'!F$42*100,"")</f>
        <v>7.3117565955372807</v>
      </c>
      <c r="G20" s="143">
        <f>IFERROR('APPENDIX 15'!G20/'APPENDIX 15'!G$42*100,"")</f>
        <v>4.7039089657223814</v>
      </c>
      <c r="H20" s="143">
        <f>IFERROR('APPENDIX 15'!H20/'APPENDIX 15'!H$42*100,"")</f>
        <v>4.4429440036447456</v>
      </c>
      <c r="I20" s="143">
        <f>IFERROR('APPENDIX 15'!I20/'APPENDIX 15'!I$42*100,"")</f>
        <v>8.2671072330886322</v>
      </c>
      <c r="J20" s="143">
        <f>IFERROR('APPENDIX 15'!J20/'APPENDIX 15'!J$42*100,"")</f>
        <v>3.3744993085097397</v>
      </c>
      <c r="K20" s="143">
        <f>IFERROR('APPENDIX 15'!K20/'APPENDIX 15'!K$42*100,"")</f>
        <v>0</v>
      </c>
      <c r="L20" s="143">
        <f>IFERROR('APPENDIX 15'!L20/'APPENDIX 15'!L$42*100,"")</f>
        <v>9.9055331275736744</v>
      </c>
      <c r="M20" s="143">
        <f>IFERROR('APPENDIX 15'!M20/'APPENDIX 15'!M$42*100,"")</f>
        <v>2.9423693728426632</v>
      </c>
      <c r="N20" s="143">
        <f>IFERROR('APPENDIX 15'!N20/'APPENDIX 15'!N$42*100,"")</f>
        <v>6.9366284286175111</v>
      </c>
      <c r="O20" s="143">
        <f>IFERROR('APPENDIX 15'!O20/'APPENDIX 15'!O$42*100,"")</f>
        <v>0.39733349947975988</v>
      </c>
      <c r="P20" s="143">
        <f>IFERROR('APPENDIX 15'!P20/'APPENDIX 15'!P$42*100,"")</f>
        <v>4.3526546818791996</v>
      </c>
      <c r="Q20" s="144">
        <f>IFERROR('APPENDIX 15'!$Q20/'APPENDIX 15'!Q$42*100,"")</f>
        <v>3.9526577125298217</v>
      </c>
    </row>
    <row r="21" spans="2:17" ht="25.5" customHeight="1" x14ac:dyDescent="0.35">
      <c r="B21" s="142" t="str">
        <f>'APPENDIX 15'!B21</f>
        <v xml:space="preserve">INTRA-AFRICA ASSURANCE </v>
      </c>
      <c r="C21" s="143">
        <f>IFERROR('APPENDIX 15'!C21/'APPENDIX 15'!C$42*100,"")</f>
        <v>0</v>
      </c>
      <c r="D21" s="143">
        <f>IFERROR('APPENDIX 15'!D21/'APPENDIX 15'!D$42*100,"")</f>
        <v>3.3544915150801797</v>
      </c>
      <c r="E21" s="143">
        <f>IFERROR('APPENDIX 15'!E21/'APPENDIX 15'!E$42*100,"")</f>
        <v>3.2488208930574469</v>
      </c>
      <c r="F21" s="143">
        <f>IFERROR('APPENDIX 15'!F21/'APPENDIX 15'!F$42*100,"")</f>
        <v>2.7484686638414</v>
      </c>
      <c r="G21" s="143">
        <f>IFERROR('APPENDIX 15'!G21/'APPENDIX 15'!G$42*100,"")</f>
        <v>1.1944599882563751</v>
      </c>
      <c r="H21" s="143">
        <f>IFERROR('APPENDIX 15'!H21/'APPENDIX 15'!H$42*100,"")</f>
        <v>4.3772856116354308</v>
      </c>
      <c r="I21" s="143">
        <f>IFERROR('APPENDIX 15'!I21/'APPENDIX 15'!I$42*100,"")</f>
        <v>2.9625981186620094</v>
      </c>
      <c r="J21" s="143">
        <f>IFERROR('APPENDIX 15'!J21/'APPENDIX 15'!J$42*100,"")</f>
        <v>1.6289362536661474</v>
      </c>
      <c r="K21" s="143">
        <f>IFERROR('APPENDIX 15'!K21/'APPENDIX 15'!K$42*100,"")</f>
        <v>1.6841217224558926</v>
      </c>
      <c r="L21" s="143">
        <f>IFERROR('APPENDIX 15'!L21/'APPENDIX 15'!L$42*100,"")</f>
        <v>0.93363109950947565</v>
      </c>
      <c r="M21" s="143">
        <f>IFERROR('APPENDIX 15'!M21/'APPENDIX 15'!M$42*100,"")</f>
        <v>1.5981232678719957</v>
      </c>
      <c r="N21" s="143">
        <f>IFERROR('APPENDIX 15'!N21/'APPENDIX 15'!N$42*100,"")</f>
        <v>3.9649704728949833</v>
      </c>
      <c r="O21" s="143">
        <f>IFERROR('APPENDIX 15'!O21/'APPENDIX 15'!O$42*100,"")</f>
        <v>0</v>
      </c>
      <c r="P21" s="143">
        <f>IFERROR('APPENDIX 15'!P21/'APPENDIX 15'!P$42*100,"")</f>
        <v>5.3266317161930585</v>
      </c>
      <c r="Q21" s="144">
        <f>IFERROR('APPENDIX 15'!$Q21/'APPENDIX 15'!Q$42*100,"")</f>
        <v>1.4729167063465856</v>
      </c>
    </row>
    <row r="22" spans="2:17" ht="25.5" customHeight="1" x14ac:dyDescent="0.35">
      <c r="B22" s="142" t="str">
        <f>'APPENDIX 15'!B22</f>
        <v>JUBILEE ALLIANZ GENERAL INSURANCE</v>
      </c>
      <c r="C22" s="143">
        <f>IFERROR('APPENDIX 15'!C22/'APPENDIX 15'!C$42*100,"")</f>
        <v>0</v>
      </c>
      <c r="D22" s="143">
        <f>IFERROR('APPENDIX 15'!D22/'APPENDIX 15'!D$42*100,"")</f>
        <v>0</v>
      </c>
      <c r="E22" s="143">
        <f>IFERROR('APPENDIX 15'!E22/'APPENDIX 15'!E$42*100,"")</f>
        <v>0</v>
      </c>
      <c r="F22" s="143">
        <f>IFERROR('APPENDIX 15'!F22/'APPENDIX 15'!F$42*100,"")</f>
        <v>0</v>
      </c>
      <c r="G22" s="143">
        <f>IFERROR('APPENDIX 15'!G22/'APPENDIX 15'!G$42*100,"")</f>
        <v>0</v>
      </c>
      <c r="H22" s="143">
        <f>IFERROR('APPENDIX 15'!H22/'APPENDIX 15'!H$42*100,"")</f>
        <v>0</v>
      </c>
      <c r="I22" s="143">
        <f>IFERROR('APPENDIX 15'!I22/'APPENDIX 15'!I$42*100,"")</f>
        <v>0</v>
      </c>
      <c r="J22" s="143">
        <f>IFERROR('APPENDIX 15'!J22/'APPENDIX 15'!J$42*100,"")</f>
        <v>0</v>
      </c>
      <c r="K22" s="143">
        <f>IFERROR('APPENDIX 15'!K22/'APPENDIX 15'!K$42*100,"")</f>
        <v>0</v>
      </c>
      <c r="L22" s="143">
        <f>IFERROR('APPENDIX 15'!L22/'APPENDIX 15'!L$42*100,"")</f>
        <v>0</v>
      </c>
      <c r="M22" s="143">
        <f>IFERROR('APPENDIX 15'!M22/'APPENDIX 15'!M$42*100,"")</f>
        <v>0</v>
      </c>
      <c r="N22" s="143">
        <f>IFERROR('APPENDIX 15'!N22/'APPENDIX 15'!N$42*100,"")</f>
        <v>0</v>
      </c>
      <c r="O22" s="143">
        <f>IFERROR('APPENDIX 15'!O22/'APPENDIX 15'!O$42*100,"")</f>
        <v>0</v>
      </c>
      <c r="P22" s="143">
        <f>IFERROR('APPENDIX 15'!P22/'APPENDIX 15'!P$42*100,"")</f>
        <v>0</v>
      </c>
      <c r="Q22" s="144">
        <f>IFERROR('APPENDIX 15'!$Q22/'APPENDIX 15'!Q$42*100,"")</f>
        <v>0</v>
      </c>
    </row>
    <row r="23" spans="2:17" ht="25.5" customHeight="1" x14ac:dyDescent="0.35">
      <c r="B23" s="142" t="str">
        <f>'APPENDIX 15'!B23</f>
        <v>JUBILEE HEALTH INSURANCE</v>
      </c>
      <c r="C23" s="143">
        <f>IFERROR('APPENDIX 15'!C23/'APPENDIX 15'!C$42*100,"")</f>
        <v>0</v>
      </c>
      <c r="D23" s="143">
        <f>IFERROR('APPENDIX 15'!D23/'APPENDIX 15'!D$42*100,"")</f>
        <v>0</v>
      </c>
      <c r="E23" s="143">
        <f>IFERROR('APPENDIX 15'!E23/'APPENDIX 15'!E$42*100,"")</f>
        <v>0</v>
      </c>
      <c r="F23" s="143">
        <f>IFERROR('APPENDIX 15'!F23/'APPENDIX 15'!F$42*100,"")</f>
        <v>0</v>
      </c>
      <c r="G23" s="143">
        <f>IFERROR('APPENDIX 15'!G23/'APPENDIX 15'!G$42*100,"")</f>
        <v>0</v>
      </c>
      <c r="H23" s="143">
        <f>IFERROR('APPENDIX 15'!H23/'APPENDIX 15'!H$42*100,"")</f>
        <v>0</v>
      </c>
      <c r="I23" s="143">
        <f>IFERROR('APPENDIX 15'!I23/'APPENDIX 15'!I$42*100,"")</f>
        <v>0</v>
      </c>
      <c r="J23" s="143">
        <f>IFERROR('APPENDIX 15'!J23/'APPENDIX 15'!J$42*100,"")</f>
        <v>0</v>
      </c>
      <c r="K23" s="143">
        <f>IFERROR('APPENDIX 15'!K23/'APPENDIX 15'!K$42*100,"")</f>
        <v>0</v>
      </c>
      <c r="L23" s="143">
        <f>IFERROR('APPENDIX 15'!L23/'APPENDIX 15'!L$42*100,"")</f>
        <v>0</v>
      </c>
      <c r="M23" s="143">
        <f>IFERROR('APPENDIX 15'!M23/'APPENDIX 15'!M$42*100,"")</f>
        <v>0</v>
      </c>
      <c r="N23" s="143">
        <f>IFERROR('APPENDIX 15'!N23/'APPENDIX 15'!N$42*100,"")</f>
        <v>0</v>
      </c>
      <c r="O23" s="143">
        <f>IFERROR('APPENDIX 15'!O23/'APPENDIX 15'!O$42*100,"")</f>
        <v>17.445025862464565</v>
      </c>
      <c r="P23" s="143">
        <f>IFERROR('APPENDIX 15'!P23/'APPENDIX 15'!P$42*100,"")</f>
        <v>0</v>
      </c>
      <c r="Q23" s="144">
        <f>IFERROR('APPENDIX 15'!$Q23/'APPENDIX 15'!Q$42*100,"")</f>
        <v>7.4571700495614079</v>
      </c>
    </row>
    <row r="24" spans="2:17" ht="25.5" customHeight="1" x14ac:dyDescent="0.35">
      <c r="B24" s="142" t="str">
        <f>'APPENDIX 15'!B24</f>
        <v xml:space="preserve">KENINDIA ASSURANCE COMPANY </v>
      </c>
      <c r="C24" s="143">
        <f>IFERROR('APPENDIX 15'!C24/'APPENDIX 15'!C$42*100,"")</f>
        <v>0</v>
      </c>
      <c r="D24" s="143">
        <f>IFERROR('APPENDIX 15'!D24/'APPENDIX 15'!D$42*100,"")</f>
        <v>2.6146217059081307</v>
      </c>
      <c r="E24" s="143">
        <f>IFERROR('APPENDIX 15'!E24/'APPENDIX 15'!E$42*100,"")</f>
        <v>1.7039686541484214</v>
      </c>
      <c r="F24" s="143">
        <f>IFERROR('APPENDIX 15'!F24/'APPENDIX 15'!F$42*100,"")</f>
        <v>3.1274375104839334</v>
      </c>
      <c r="G24" s="143">
        <f>IFERROR('APPENDIX 15'!G24/'APPENDIX 15'!G$42*100,"")</f>
        <v>0.98920989866843834</v>
      </c>
      <c r="H24" s="143">
        <f>IFERROR('APPENDIX 15'!H24/'APPENDIX 15'!H$42*100,"")</f>
        <v>2.1054362208832069</v>
      </c>
      <c r="I24" s="143">
        <f>IFERROR('APPENDIX 15'!I24/'APPENDIX 15'!I$42*100,"")</f>
        <v>2.0979924124253286</v>
      </c>
      <c r="J24" s="143">
        <f>IFERROR('APPENDIX 15'!J24/'APPENDIX 15'!J$42*100,"")</f>
        <v>2.2372514845193461</v>
      </c>
      <c r="K24" s="143">
        <f>IFERROR('APPENDIX 15'!K24/'APPENDIX 15'!K$42*100,"")</f>
        <v>0</v>
      </c>
      <c r="L24" s="143">
        <f>IFERROR('APPENDIX 15'!L24/'APPENDIX 15'!L$42*100,"")</f>
        <v>0.26798042370552289</v>
      </c>
      <c r="M24" s="143">
        <f>IFERROR('APPENDIX 15'!M24/'APPENDIX 15'!M$42*100,"")</f>
        <v>3.236163823518428</v>
      </c>
      <c r="N24" s="143">
        <f>IFERROR('APPENDIX 15'!N24/'APPENDIX 15'!N$42*100,"")</f>
        <v>1.9550887315573184</v>
      </c>
      <c r="O24" s="143">
        <f>IFERROR('APPENDIX 15'!O24/'APPENDIX 15'!O$42*100,"")</f>
        <v>0.17356054959267234</v>
      </c>
      <c r="P24" s="143">
        <f>IFERROR('APPENDIX 15'!P24/'APPENDIX 15'!P$42*100,"")</f>
        <v>0.26595444082387626</v>
      </c>
      <c r="Q24" s="144">
        <f>IFERROR('APPENDIX 15'!$Q24/'APPENDIX 15'!Q$42*100,"")</f>
        <v>1.2907532038059204</v>
      </c>
    </row>
    <row r="25" spans="2:17" ht="25.5" customHeight="1" x14ac:dyDescent="0.35">
      <c r="B25" s="142" t="str">
        <f>'APPENDIX 15'!B25</f>
        <v>KENYA ORIENT INSURANCE</v>
      </c>
      <c r="C25" s="143">
        <f>IFERROR('APPENDIX 15'!C25/'APPENDIX 15'!C$42*100,"")</f>
        <v>0</v>
      </c>
      <c r="D25" s="143">
        <f>IFERROR('APPENDIX 15'!D25/'APPENDIX 15'!D$42*100,"")</f>
        <v>0</v>
      </c>
      <c r="E25" s="143">
        <f>IFERROR('APPENDIX 15'!E25/'APPENDIX 15'!E$42*100,"")</f>
        <v>0</v>
      </c>
      <c r="F25" s="143">
        <f>IFERROR('APPENDIX 15'!F25/'APPENDIX 15'!F$42*100,"")</f>
        <v>0</v>
      </c>
      <c r="G25" s="143">
        <f>IFERROR('APPENDIX 15'!G25/'APPENDIX 15'!G$42*100,"")</f>
        <v>0</v>
      </c>
      <c r="H25" s="143">
        <f>IFERROR('APPENDIX 15'!H25/'APPENDIX 15'!H$42*100,"")</f>
        <v>0</v>
      </c>
      <c r="I25" s="143">
        <f>IFERROR('APPENDIX 15'!I25/'APPENDIX 15'!I$42*100,"")</f>
        <v>0</v>
      </c>
      <c r="J25" s="143">
        <f>IFERROR('APPENDIX 15'!J25/'APPENDIX 15'!J$42*100,"")</f>
        <v>0</v>
      </c>
      <c r="K25" s="143">
        <f>IFERROR('APPENDIX 15'!K25/'APPENDIX 15'!K$42*100,"")</f>
        <v>0</v>
      </c>
      <c r="L25" s="143">
        <f>IFERROR('APPENDIX 15'!L25/'APPENDIX 15'!L$42*100,"")</f>
        <v>0</v>
      </c>
      <c r="M25" s="143">
        <f>IFERROR('APPENDIX 15'!M25/'APPENDIX 15'!M$42*100,"")</f>
        <v>0</v>
      </c>
      <c r="N25" s="143">
        <f>IFERROR('APPENDIX 15'!N25/'APPENDIX 15'!N$42*100,"")</f>
        <v>0</v>
      </c>
      <c r="O25" s="143">
        <f>IFERROR('APPENDIX 15'!O25/'APPENDIX 15'!O$42*100,"")</f>
        <v>0</v>
      </c>
      <c r="P25" s="143">
        <f>IFERROR('APPENDIX 15'!P25/'APPENDIX 15'!P$42*100,"")</f>
        <v>0</v>
      </c>
      <c r="Q25" s="144">
        <f>IFERROR('APPENDIX 15'!$Q25/'APPENDIX 15'!Q$42*100,"")</f>
        <v>0</v>
      </c>
    </row>
    <row r="26" spans="2:17" ht="25.5" customHeight="1" x14ac:dyDescent="0.35">
      <c r="B26" s="142" t="str">
        <f>'APPENDIX 15'!B26</f>
        <v>MADISON INSURANCE COMPANY</v>
      </c>
      <c r="C26" s="143">
        <f>IFERROR('APPENDIX 15'!C26/'APPENDIX 15'!C$42*100,"")</f>
        <v>0</v>
      </c>
      <c r="D26" s="143">
        <f>IFERROR('APPENDIX 15'!D26/'APPENDIX 15'!D$42*100,"")</f>
        <v>0.96748815423621393</v>
      </c>
      <c r="E26" s="143">
        <f>IFERROR('APPENDIX 15'!E26/'APPENDIX 15'!E$42*100,"")</f>
        <v>1.4076616857682223</v>
      </c>
      <c r="F26" s="143">
        <f>IFERROR('APPENDIX 15'!F26/'APPENDIX 15'!F$42*100,"")</f>
        <v>1.1443640274980516</v>
      </c>
      <c r="G26" s="143">
        <f>IFERROR('APPENDIX 15'!G26/'APPENDIX 15'!G$42*100,"")</f>
        <v>5.0788235750265436</v>
      </c>
      <c r="H26" s="143">
        <f>IFERROR('APPENDIX 15'!H26/'APPENDIX 15'!H$42*100,"")</f>
        <v>0.69828391554197877</v>
      </c>
      <c r="I26" s="143">
        <f>IFERROR('APPENDIX 15'!I26/'APPENDIX 15'!I$42*100,"")</f>
        <v>2.0693862831467862</v>
      </c>
      <c r="J26" s="143">
        <f>IFERROR('APPENDIX 15'!J26/'APPENDIX 15'!J$42*100,"")</f>
        <v>13.860304399640311</v>
      </c>
      <c r="K26" s="143">
        <f>IFERROR('APPENDIX 15'!K26/'APPENDIX 15'!K$42*100,"")</f>
        <v>0</v>
      </c>
      <c r="L26" s="143">
        <f>IFERROR('APPENDIX 15'!L26/'APPENDIX 15'!L$42*100,"")</f>
        <v>3.2361833065819705</v>
      </c>
      <c r="M26" s="143">
        <f>IFERROR('APPENDIX 15'!M26/'APPENDIX 15'!M$42*100,"")</f>
        <v>3.8230664366745013</v>
      </c>
      <c r="N26" s="143">
        <f>IFERROR('APPENDIX 15'!N26/'APPENDIX 15'!N$42*100,"")</f>
        <v>5.1477787435138245</v>
      </c>
      <c r="O26" s="143">
        <f>IFERROR('APPENDIX 15'!O26/'APPENDIX 15'!O$42*100,"")</f>
        <v>5.2676432992245132</v>
      </c>
      <c r="P26" s="143">
        <f>IFERROR('APPENDIX 15'!P26/'APPENDIX 15'!P$42*100,"")</f>
        <v>8.4394965386406451</v>
      </c>
      <c r="Q26" s="144">
        <f>IFERROR('APPENDIX 15'!$Q26/'APPENDIX 15'!Q$42*100,"")</f>
        <v>4.7928671679571151</v>
      </c>
    </row>
    <row r="27" spans="2:17" ht="25.5" customHeight="1" x14ac:dyDescent="0.35">
      <c r="B27" s="142" t="str">
        <f>'APPENDIX 15'!B27</f>
        <v>MAYFAIR INSURANCE COMPANY</v>
      </c>
      <c r="C27" s="143">
        <f>IFERROR('APPENDIX 15'!C27/'APPENDIX 15'!C$42*100,"")</f>
        <v>21.210330128118922</v>
      </c>
      <c r="D27" s="143">
        <f>IFERROR('APPENDIX 15'!D27/'APPENDIX 15'!D$42*100,"")</f>
        <v>15.396192821185631</v>
      </c>
      <c r="E27" s="143">
        <f>IFERROR('APPENDIX 15'!E27/'APPENDIX 15'!E$42*100,"")</f>
        <v>9.4658269276757867</v>
      </c>
      <c r="F27" s="143">
        <f>IFERROR('APPENDIX 15'!F27/'APPENDIX 15'!F$42*100,"")</f>
        <v>12.387506812433264</v>
      </c>
      <c r="G27" s="143">
        <f>IFERROR('APPENDIX 15'!G27/'APPENDIX 15'!G$42*100,"")</f>
        <v>5.4015179901587445</v>
      </c>
      <c r="H27" s="143">
        <f>IFERROR('APPENDIX 15'!H27/'APPENDIX 15'!H$42*100,"")</f>
        <v>12.273200112353276</v>
      </c>
      <c r="I27" s="143">
        <f>IFERROR('APPENDIX 15'!I27/'APPENDIX 15'!I$42*100,"")</f>
        <v>3.4693453690594787</v>
      </c>
      <c r="J27" s="143">
        <f>IFERROR('APPENDIX 15'!J27/'APPENDIX 15'!J$42*100,"")</f>
        <v>4.0063753805646778</v>
      </c>
      <c r="K27" s="143">
        <f>IFERROR('APPENDIX 15'!K27/'APPENDIX 15'!K$42*100,"")</f>
        <v>0.52773794561488119</v>
      </c>
      <c r="L27" s="143">
        <f>IFERROR('APPENDIX 15'!L27/'APPENDIX 15'!L$42*100,"")</f>
        <v>3.1755487222290948</v>
      </c>
      <c r="M27" s="143">
        <f>IFERROR('APPENDIX 15'!M27/'APPENDIX 15'!M$42*100,"")</f>
        <v>5.2089673522495081</v>
      </c>
      <c r="N27" s="143">
        <f>IFERROR('APPENDIX 15'!N27/'APPENDIX 15'!N$42*100,"")</f>
        <v>12.038929139811927</v>
      </c>
      <c r="O27" s="143">
        <f>IFERROR('APPENDIX 15'!O27/'APPENDIX 15'!O$42*100,"")</f>
        <v>0</v>
      </c>
      <c r="P27" s="143">
        <f>IFERROR('APPENDIX 15'!P27/'APPENDIX 15'!P$42*100,"")</f>
        <v>27.558009377927483</v>
      </c>
      <c r="Q27" s="144">
        <f>IFERROR('APPENDIX 15'!$Q27/'APPENDIX 15'!Q$42*100,"")</f>
        <v>4.9490917349545427</v>
      </c>
    </row>
    <row r="28" spans="2:17" ht="25.5" customHeight="1" x14ac:dyDescent="0.35">
      <c r="B28" s="142" t="str">
        <f>'APPENDIX 15'!B28</f>
        <v>MUA INSURANCE COMPANY</v>
      </c>
      <c r="C28" s="143">
        <f>IFERROR('APPENDIX 15'!C28/'APPENDIX 15'!C$42*100,"")</f>
        <v>1.9576668542603592</v>
      </c>
      <c r="D28" s="143">
        <f>IFERROR('APPENDIX 15'!D28/'APPENDIX 15'!D$42*100,"")</f>
        <v>0.20720074352687831</v>
      </c>
      <c r="E28" s="143">
        <f>IFERROR('APPENDIX 15'!E28/'APPENDIX 15'!E$42*100,"")</f>
        <v>0.40588624747875346</v>
      </c>
      <c r="F28" s="143">
        <f>IFERROR('APPENDIX 15'!F28/'APPENDIX 15'!F$42*100,"")</f>
        <v>0.99497187137018872</v>
      </c>
      <c r="G28" s="143">
        <f>IFERROR('APPENDIX 15'!G28/'APPENDIX 15'!G$42*100,"")</f>
        <v>2.3755936786224359</v>
      </c>
      <c r="H28" s="143">
        <f>IFERROR('APPENDIX 15'!H28/'APPENDIX 15'!H$42*100,"")</f>
        <v>2.0215357066688111</v>
      </c>
      <c r="I28" s="143">
        <f>IFERROR('APPENDIX 15'!I28/'APPENDIX 15'!I$42*100,"")</f>
        <v>0.98428446482427023</v>
      </c>
      <c r="J28" s="143">
        <f>IFERROR('APPENDIX 15'!J28/'APPENDIX 15'!J$42*100,"")</f>
        <v>0.66263366556495151</v>
      </c>
      <c r="K28" s="143">
        <f>IFERROR('APPENDIX 15'!K28/'APPENDIX 15'!K$42*100,"")</f>
        <v>0</v>
      </c>
      <c r="L28" s="143">
        <f>IFERROR('APPENDIX 15'!L28/'APPENDIX 15'!L$42*100,"")</f>
        <v>2.4572298708357359</v>
      </c>
      <c r="M28" s="143">
        <f>IFERROR('APPENDIX 15'!M28/'APPENDIX 15'!M$42*100,"")</f>
        <v>0.83823642346134797</v>
      </c>
      <c r="N28" s="143">
        <f>IFERROR('APPENDIX 15'!N28/'APPENDIX 15'!N$42*100,"")</f>
        <v>1.1079382054701552</v>
      </c>
      <c r="O28" s="143">
        <f>IFERROR('APPENDIX 15'!O28/'APPENDIX 15'!O$42*100,"")</f>
        <v>2.2213756949643493</v>
      </c>
      <c r="P28" s="143">
        <f>IFERROR('APPENDIX 15'!P28/'APPENDIX 15'!P$42*100,"")</f>
        <v>0.47852677971606061</v>
      </c>
      <c r="Q28" s="144">
        <f>IFERROR('APPENDIX 15'!$Q28/'APPENDIX 15'!Q$42*100,"")</f>
        <v>1.5169935563409782</v>
      </c>
    </row>
    <row r="29" spans="2:17" ht="25.5" customHeight="1" x14ac:dyDescent="0.35">
      <c r="B29" s="142" t="str">
        <f>'APPENDIX 15'!B29</f>
        <v>NCBA INSURANCE COMPANY</v>
      </c>
      <c r="C29" s="143">
        <f>IFERROR('APPENDIX 15'!C29/'APPENDIX 15'!C$42*100,"")</f>
        <v>0</v>
      </c>
      <c r="D29" s="143">
        <f>IFERROR('APPENDIX 15'!D29/'APPENDIX 15'!D$42*100,"")</f>
        <v>1.3385469750471179</v>
      </c>
      <c r="E29" s="143">
        <f>IFERROR('APPENDIX 15'!E29/'APPENDIX 15'!E$42*100,"")</f>
        <v>3.8762804574963776</v>
      </c>
      <c r="F29" s="143">
        <f>IFERROR('APPENDIX 15'!F29/'APPENDIX 15'!F$42*100,"")</f>
        <v>2.4002520738229114</v>
      </c>
      <c r="G29" s="143">
        <f>IFERROR('APPENDIX 15'!G29/'APPENDIX 15'!G$42*100,"")</f>
        <v>17.280047441801038</v>
      </c>
      <c r="H29" s="143">
        <f>IFERROR('APPENDIX 15'!H29/'APPENDIX 15'!H$42*100,"")</f>
        <v>1.2647471738165628</v>
      </c>
      <c r="I29" s="143">
        <f>IFERROR('APPENDIX 15'!I29/'APPENDIX 15'!I$42*100,"")</f>
        <v>3.7639592126601102</v>
      </c>
      <c r="J29" s="143">
        <f>IFERROR('APPENDIX 15'!J29/'APPENDIX 15'!J$42*100,"")</f>
        <v>0.60847369878139823</v>
      </c>
      <c r="K29" s="143">
        <f>IFERROR('APPENDIX 15'!K29/'APPENDIX 15'!K$42*100,"")</f>
        <v>0</v>
      </c>
      <c r="L29" s="143">
        <f>IFERROR('APPENDIX 15'!L29/'APPENDIX 15'!L$42*100,"")</f>
        <v>5.9292216834270777</v>
      </c>
      <c r="M29" s="143">
        <f>IFERROR('APPENDIX 15'!M29/'APPENDIX 15'!M$42*100,"")</f>
        <v>2.4672540438071713</v>
      </c>
      <c r="N29" s="143">
        <f>IFERROR('APPENDIX 15'!N29/'APPENDIX 15'!N$42*100,"")</f>
        <v>2.4575566216567437</v>
      </c>
      <c r="O29" s="143">
        <f>IFERROR('APPENDIX 15'!O29/'APPENDIX 15'!O$42*100,"")</f>
        <v>0</v>
      </c>
      <c r="P29" s="143">
        <f>IFERROR('APPENDIX 15'!P29/'APPENDIX 15'!P$42*100,"")</f>
        <v>0</v>
      </c>
      <c r="Q29" s="144">
        <f>IFERROR('APPENDIX 15'!$Q29/'APPENDIX 15'!Q$42*100,"")</f>
        <v>1.6087788580086355</v>
      </c>
    </row>
    <row r="30" spans="2:17" ht="25.5" customHeight="1" x14ac:dyDescent="0.35">
      <c r="B30" s="142" t="str">
        <f>'APPENDIX 15'!B30</f>
        <v xml:space="preserve">OCCIDENTAL INSURANCE COMPANY </v>
      </c>
      <c r="C30" s="143">
        <f>IFERROR('APPENDIX 15'!C30/'APPENDIX 15'!C$42*100,"")</f>
        <v>1.6840951230699241</v>
      </c>
      <c r="D30" s="143">
        <f>IFERROR('APPENDIX 15'!D30/'APPENDIX 15'!D$42*100,"")</f>
        <v>0.98450703141391183</v>
      </c>
      <c r="E30" s="143">
        <f>IFERROR('APPENDIX 15'!E30/'APPENDIX 15'!E$42*100,"")</f>
        <v>2.098265208412148</v>
      </c>
      <c r="F30" s="143">
        <f>IFERROR('APPENDIX 15'!F30/'APPENDIX 15'!F$42*100,"")</f>
        <v>1.7566226905571611</v>
      </c>
      <c r="G30" s="143">
        <f>IFERROR('APPENDIX 15'!G30/'APPENDIX 15'!G$42*100,"")</f>
        <v>0.41323573275304748</v>
      </c>
      <c r="H30" s="143">
        <f>IFERROR('APPENDIX 15'!H30/'APPENDIX 15'!H$42*100,"")</f>
        <v>0.57369776944080553</v>
      </c>
      <c r="I30" s="143">
        <f>IFERROR('APPENDIX 15'!I30/'APPENDIX 15'!I$42*100,"")</f>
        <v>1.2151792557786629</v>
      </c>
      <c r="J30" s="143">
        <f>IFERROR('APPENDIX 15'!J30/'APPENDIX 15'!J$42*100,"")</f>
        <v>1.6620931841867927</v>
      </c>
      <c r="K30" s="143">
        <f>IFERROR('APPENDIX 15'!K30/'APPENDIX 15'!K$42*100,"")</f>
        <v>0</v>
      </c>
      <c r="L30" s="143">
        <f>IFERROR('APPENDIX 15'!L30/'APPENDIX 15'!L$42*100,"")</f>
        <v>1.4559767298133897</v>
      </c>
      <c r="M30" s="143">
        <f>IFERROR('APPENDIX 15'!M30/'APPENDIX 15'!M$42*100,"")</f>
        <v>1.6763106527367768</v>
      </c>
      <c r="N30" s="143">
        <f>IFERROR('APPENDIX 15'!N30/'APPENDIX 15'!N$42*100,"")</f>
        <v>2.0153624770561427</v>
      </c>
      <c r="O30" s="143">
        <f>IFERROR('APPENDIX 15'!O30/'APPENDIX 15'!O$42*100,"")</f>
        <v>0</v>
      </c>
      <c r="P30" s="143">
        <f>IFERROR('APPENDIX 15'!P30/'APPENDIX 15'!P$42*100,"")</f>
        <v>0.6347095101041853</v>
      </c>
      <c r="Q30" s="144">
        <f>IFERROR('APPENDIX 15'!$Q30/'APPENDIX 15'!Q$42*100,"")</f>
        <v>0.80450560755134204</v>
      </c>
    </row>
    <row r="31" spans="2:17" ht="25.5" customHeight="1" x14ac:dyDescent="0.35">
      <c r="B31" s="142" t="str">
        <f>'APPENDIX 15'!B31</f>
        <v xml:space="preserve">OLD MUTUAL GENERAL INSURANCE </v>
      </c>
      <c r="C31" s="143">
        <f>IFERROR('APPENDIX 15'!C31/'APPENDIX 15'!C$42*100,"")</f>
        <v>4.8409191631912831</v>
      </c>
      <c r="D31" s="143">
        <f>IFERROR('APPENDIX 15'!D31/'APPENDIX 15'!D$42*100,"")</f>
        <v>5.6387432790736547</v>
      </c>
      <c r="E31" s="143">
        <f>IFERROR('APPENDIX 15'!E31/'APPENDIX 15'!E$42*100,"")</f>
        <v>10.91473137344185</v>
      </c>
      <c r="F31" s="143">
        <f>IFERROR('APPENDIX 15'!F31/'APPENDIX 15'!F$42*100,"")</f>
        <v>5.7070702467087795</v>
      </c>
      <c r="G31" s="143">
        <f>IFERROR('APPENDIX 15'!G31/'APPENDIX 15'!G$42*100,"")</f>
        <v>9.3931758520258857</v>
      </c>
      <c r="H31" s="143">
        <f>IFERROR('APPENDIX 15'!H31/'APPENDIX 15'!H$42*100,"")</f>
        <v>4.1132524426813495</v>
      </c>
      <c r="I31" s="143">
        <f>IFERROR('APPENDIX 15'!I31/'APPENDIX 15'!I$42*100,"")</f>
        <v>5.1250020481903551</v>
      </c>
      <c r="J31" s="143">
        <f>IFERROR('APPENDIX 15'!J31/'APPENDIX 15'!J$42*100,"")</f>
        <v>5.578115059776712</v>
      </c>
      <c r="K31" s="143">
        <f>IFERROR('APPENDIX 15'!K31/'APPENDIX 15'!K$42*100,"")</f>
        <v>0</v>
      </c>
      <c r="L31" s="143">
        <f>IFERROR('APPENDIX 15'!L31/'APPENDIX 15'!L$42*100,"")</f>
        <v>3.4588596221849239</v>
      </c>
      <c r="M31" s="143">
        <f>IFERROR('APPENDIX 15'!M31/'APPENDIX 15'!M$42*100,"")</f>
        <v>13.145450972670123</v>
      </c>
      <c r="N31" s="143">
        <f>IFERROR('APPENDIX 15'!N31/'APPENDIX 15'!N$42*100,"")</f>
        <v>4.1456741453438406</v>
      </c>
      <c r="O31" s="143">
        <f>IFERROR('APPENDIX 15'!O31/'APPENDIX 15'!O$42*100,"")</f>
        <v>14.341001754172259</v>
      </c>
      <c r="P31" s="143">
        <f>IFERROR('APPENDIX 15'!P31/'APPENDIX 15'!P$42*100,"")</f>
        <v>0.46670482865272145</v>
      </c>
      <c r="Q31" s="144">
        <f>IFERROR('APPENDIX 15'!$Q31/'APPENDIX 15'!Q$42*100,"")</f>
        <v>9.364630798618327</v>
      </c>
    </row>
    <row r="32" spans="2:17" ht="25.5" customHeight="1" x14ac:dyDescent="0.35">
      <c r="B32" s="142" t="str">
        <f>'APPENDIX 15'!B32</f>
        <v>PACIS INSURANCE COMPANY</v>
      </c>
      <c r="C32" s="143">
        <f>IFERROR('APPENDIX 15'!C32/'APPENDIX 15'!C$42*100,"")</f>
        <v>0</v>
      </c>
      <c r="D32" s="143">
        <f>IFERROR('APPENDIX 15'!D32/'APPENDIX 15'!D$42*100,"")</f>
        <v>0.55976688916956641</v>
      </c>
      <c r="E32" s="143">
        <f>IFERROR('APPENDIX 15'!E32/'APPENDIX 15'!E$42*100,"")</f>
        <v>0.99177016868594614</v>
      </c>
      <c r="F32" s="143">
        <f>IFERROR('APPENDIX 15'!F32/'APPENDIX 15'!F$42*100,"")</f>
        <v>0.75360044964412953</v>
      </c>
      <c r="G32" s="143">
        <f>IFERROR('APPENDIX 15'!G32/'APPENDIX 15'!G$42*100,"")</f>
        <v>1.0598276982078552</v>
      </c>
      <c r="H32" s="143">
        <f>IFERROR('APPENDIX 15'!H32/'APPENDIX 15'!H$42*100,"")</f>
        <v>0.14030695282287506</v>
      </c>
      <c r="I32" s="143">
        <f>IFERROR('APPENDIX 15'!I32/'APPENDIX 15'!I$42*100,"")</f>
        <v>2.2573244481973265</v>
      </c>
      <c r="J32" s="143">
        <f>IFERROR('APPENDIX 15'!J32/'APPENDIX 15'!J$42*100,"")</f>
        <v>3.3017452667271705</v>
      </c>
      <c r="K32" s="143">
        <f>IFERROR('APPENDIX 15'!K32/'APPENDIX 15'!K$42*100,"")</f>
        <v>0</v>
      </c>
      <c r="L32" s="143">
        <f>IFERROR('APPENDIX 15'!L32/'APPENDIX 15'!L$42*100,"")</f>
        <v>1.7211261285183144</v>
      </c>
      <c r="M32" s="143">
        <f>IFERROR('APPENDIX 15'!M32/'APPENDIX 15'!M$42*100,"")</f>
        <v>0.66376133097400702</v>
      </c>
      <c r="N32" s="143">
        <f>IFERROR('APPENDIX 15'!N32/'APPENDIX 15'!N$42*100,"")</f>
        <v>1.7925527039061602</v>
      </c>
      <c r="O32" s="143">
        <f>IFERROR('APPENDIX 15'!O32/'APPENDIX 15'!O$42*100,"")</f>
        <v>1.6987992538774821</v>
      </c>
      <c r="P32" s="143">
        <f>IFERROR('APPENDIX 15'!P32/'APPENDIX 15'!P$42*100,"")</f>
        <v>0.23611043230492443</v>
      </c>
      <c r="Q32" s="144">
        <f>IFERROR('APPENDIX 15'!$Q32/'APPENDIX 15'!Q$42*100,"")</f>
        <v>1.6032693668621545</v>
      </c>
    </row>
    <row r="33" spans="2:17" ht="25.5" customHeight="1" x14ac:dyDescent="0.35">
      <c r="B33" s="142" t="str">
        <f>'APPENDIX 15'!B33</f>
        <v>PIONEER INSURANCE COMPANY</v>
      </c>
      <c r="C33" s="143">
        <f>IFERROR('APPENDIX 15'!C33/'APPENDIX 15'!C$42*100,"")</f>
        <v>0.55373746556002279</v>
      </c>
      <c r="D33" s="143">
        <f>IFERROR('APPENDIX 15'!D33/'APPENDIX 15'!D$42*100,"")</f>
        <v>4.3334626291330753</v>
      </c>
      <c r="E33" s="143">
        <f>IFERROR('APPENDIX 15'!E33/'APPENDIX 15'!E$42*100,"")</f>
        <v>0.47338407748268274</v>
      </c>
      <c r="F33" s="143">
        <f>IFERROR('APPENDIX 15'!F33/'APPENDIX 15'!F$42*100,"")</f>
        <v>0.40575452784885824</v>
      </c>
      <c r="G33" s="143">
        <f>IFERROR('APPENDIX 15'!G33/'APPENDIX 15'!G$42*100,"")</f>
        <v>1.1000571523427431</v>
      </c>
      <c r="H33" s="143">
        <f>IFERROR('APPENDIX 15'!H33/'APPENDIX 15'!H$42*100,"")</f>
        <v>1.5518343867093025</v>
      </c>
      <c r="I33" s="143">
        <f>IFERROR('APPENDIX 15'!I33/'APPENDIX 15'!I$42*100,"")</f>
        <v>3.5767838433576178</v>
      </c>
      <c r="J33" s="143">
        <f>IFERROR('APPENDIX 15'!J33/'APPENDIX 15'!J$42*100,"")</f>
        <v>2.2632216931855798</v>
      </c>
      <c r="K33" s="143">
        <f>IFERROR('APPENDIX 15'!K33/'APPENDIX 15'!K$42*100,"")</f>
        <v>1.562376478659866E-2</v>
      </c>
      <c r="L33" s="143">
        <f>IFERROR('APPENDIX 15'!L33/'APPENDIX 15'!L$42*100,"")</f>
        <v>1.2653775526737761</v>
      </c>
      <c r="M33" s="143">
        <f>IFERROR('APPENDIX 15'!M33/'APPENDIX 15'!M$42*100,"")</f>
        <v>0.43672869586051621</v>
      </c>
      <c r="N33" s="143">
        <f>IFERROR('APPENDIX 15'!N33/'APPENDIX 15'!N$42*100,"")</f>
        <v>0.77294174832690787</v>
      </c>
      <c r="O33" s="143">
        <f>IFERROR('APPENDIX 15'!O33/'APPENDIX 15'!O$42*100,"")</f>
        <v>0</v>
      </c>
      <c r="P33" s="143">
        <f>IFERROR('APPENDIX 15'!P33/'APPENDIX 15'!P$42*100,"")</f>
        <v>1.7530490308018527</v>
      </c>
      <c r="Q33" s="144">
        <f>IFERROR('APPENDIX 15'!$Q33/'APPENDIX 15'!Q$42*100,"")</f>
        <v>1.0131569853820457</v>
      </c>
    </row>
    <row r="34" spans="2:17" ht="25.5" customHeight="1" x14ac:dyDescent="0.35">
      <c r="B34" s="142" t="str">
        <f>'APPENDIX 15'!B34</f>
        <v>SANLAM INSURANCE COMPANY</v>
      </c>
      <c r="C34" s="143">
        <f>IFERROR('APPENDIX 15'!C34/'APPENDIX 15'!C$42*100,"")</f>
        <v>0</v>
      </c>
      <c r="D34" s="143">
        <f>IFERROR('APPENDIX 15'!D34/'APPENDIX 15'!D$42*100,"")</f>
        <v>2.4299700255344754</v>
      </c>
      <c r="E34" s="143">
        <f>IFERROR('APPENDIX 15'!E34/'APPENDIX 15'!E$42*100,"")</f>
        <v>1.9221117581509892</v>
      </c>
      <c r="F34" s="143">
        <f>IFERROR('APPENDIX 15'!F34/'APPENDIX 15'!F$42*100,"")</f>
        <v>2.6300577428482264</v>
      </c>
      <c r="G34" s="143">
        <f>IFERROR('APPENDIX 15'!G34/'APPENDIX 15'!G$42*100,"")</f>
        <v>2.9832195951789595</v>
      </c>
      <c r="H34" s="143">
        <f>IFERROR('APPENDIX 15'!H34/'APPENDIX 15'!H$42*100,"")</f>
        <v>1.379958430565954</v>
      </c>
      <c r="I34" s="143">
        <f>IFERROR('APPENDIX 15'!I34/'APPENDIX 15'!I$42*100,"")</f>
        <v>2.2891779599872302</v>
      </c>
      <c r="J34" s="143">
        <f>IFERROR('APPENDIX 15'!J34/'APPENDIX 15'!J$42*100,"")</f>
        <v>2.554780792656016</v>
      </c>
      <c r="K34" s="143">
        <f>IFERROR('APPENDIX 15'!K34/'APPENDIX 15'!K$42*100,"")</f>
        <v>0</v>
      </c>
      <c r="L34" s="143">
        <f>IFERROR('APPENDIX 15'!L34/'APPENDIX 15'!L$42*100,"")</f>
        <v>0.53827980510074891</v>
      </c>
      <c r="M34" s="143">
        <f>IFERROR('APPENDIX 15'!M34/'APPENDIX 15'!M$42*100,"")</f>
        <v>0.62897823750880355</v>
      </c>
      <c r="N34" s="143">
        <f>IFERROR('APPENDIX 15'!N34/'APPENDIX 15'!N$42*100,"")</f>
        <v>2.1787249805419253</v>
      </c>
      <c r="O34" s="143">
        <f>IFERROR('APPENDIX 15'!O34/'APPENDIX 15'!O$42*100,"")</f>
        <v>0</v>
      </c>
      <c r="P34" s="143">
        <f>IFERROR('APPENDIX 15'!P34/'APPENDIX 15'!P$42*100,"")</f>
        <v>0.14928495425582447</v>
      </c>
      <c r="Q34" s="144">
        <f>IFERROR('APPENDIX 15'!$Q34/'APPENDIX 15'!Q$42*100,"")</f>
        <v>1.1684672625885044</v>
      </c>
    </row>
    <row r="35" spans="2:17" ht="25.5" customHeight="1" x14ac:dyDescent="0.35">
      <c r="B35" s="142" t="str">
        <f>'APPENDIX 15'!B35</f>
        <v>STAR DISCOVER INSURANCE</v>
      </c>
      <c r="C35" s="143">
        <f>IFERROR('APPENDIX 15'!C35/'APPENDIX 15'!C$42*100,"")</f>
        <v>7.4267619967999199</v>
      </c>
      <c r="D35" s="143">
        <f>IFERROR('APPENDIX 15'!D35/'APPENDIX 15'!D$42*100,"")</f>
        <v>0.18373261699285584</v>
      </c>
      <c r="E35" s="143">
        <f>IFERROR('APPENDIX 15'!E35/'APPENDIX 15'!E$42*100,"")</f>
        <v>1.9305485839108537E-2</v>
      </c>
      <c r="F35" s="143">
        <f>IFERROR('APPENDIX 15'!F35/'APPENDIX 15'!F$42*100,"")</f>
        <v>0.11647481808166746</v>
      </c>
      <c r="G35" s="143">
        <f>IFERROR('APPENDIX 15'!G35/'APPENDIX 15'!G$42*100,"")</f>
        <v>2.3685303182809994E-2</v>
      </c>
      <c r="H35" s="143">
        <f>IFERROR('APPENDIX 15'!H35/'APPENDIX 15'!H$42*100,"")</f>
        <v>0.26763626201811608</v>
      </c>
      <c r="I35" s="143">
        <f>IFERROR('APPENDIX 15'!I35/'APPENDIX 15'!I$42*100,"")</f>
        <v>0.5700520693252682</v>
      </c>
      <c r="J35" s="143">
        <f>IFERROR('APPENDIX 15'!J35/'APPENDIX 15'!J$42*100,"")</f>
        <v>0.20813806702793314</v>
      </c>
      <c r="K35" s="143">
        <f>IFERROR('APPENDIX 15'!K35/'APPENDIX 15'!K$42*100,"")</f>
        <v>0</v>
      </c>
      <c r="L35" s="143">
        <f>IFERROR('APPENDIX 15'!L35/'APPENDIX 15'!L$42*100,"")</f>
        <v>3.5431158245815206E-2</v>
      </c>
      <c r="M35" s="143">
        <f>IFERROR('APPENDIX 15'!M35/'APPENDIX 15'!M$42*100,"")</f>
        <v>4.2025012454846529E-2</v>
      </c>
      <c r="N35" s="143">
        <f>IFERROR('APPENDIX 15'!N35/'APPENDIX 15'!N$42*100,"")</f>
        <v>0.32234819920928182</v>
      </c>
      <c r="O35" s="143">
        <f>IFERROR('APPENDIX 15'!O35/'APPENDIX 15'!O$42*100,"")</f>
        <v>0</v>
      </c>
      <c r="P35" s="143">
        <f>IFERROR('APPENDIX 15'!P35/'APPENDIX 15'!P$42*100,"")</f>
        <v>0.11005067239134637</v>
      </c>
      <c r="Q35" s="144">
        <f>IFERROR('APPENDIX 15'!$Q35/'APPENDIX 15'!Q$42*100,"")</f>
        <v>0.27429596655119659</v>
      </c>
    </row>
    <row r="36" spans="2:17" ht="25.5" customHeight="1" x14ac:dyDescent="0.35">
      <c r="B36" s="142" t="str">
        <f>'APPENDIX 15'!B36</f>
        <v>TAKAFUL INSURANCE OF AFRICA</v>
      </c>
      <c r="C36" s="143">
        <f>IFERROR('APPENDIX 15'!C36/'APPENDIX 15'!C$42*100,"")</f>
        <v>0</v>
      </c>
      <c r="D36" s="143">
        <f>IFERROR('APPENDIX 15'!D36/'APPENDIX 15'!D$42*100,"")</f>
        <v>0.22766641924033101</v>
      </c>
      <c r="E36" s="143">
        <f>IFERROR('APPENDIX 15'!E36/'APPENDIX 15'!E$42*100,"")</f>
        <v>0.1936830623837438</v>
      </c>
      <c r="F36" s="143">
        <f>IFERROR('APPENDIX 15'!F36/'APPENDIX 15'!F$42*100,"")</f>
        <v>0.1985180529663724</v>
      </c>
      <c r="G36" s="143">
        <f>IFERROR('APPENDIX 15'!G36/'APPENDIX 15'!G$42*100,"")</f>
        <v>0.56248000939215803</v>
      </c>
      <c r="H36" s="143">
        <f>IFERROR('APPENDIX 15'!H36/'APPENDIX 15'!H$42*100,"")</f>
        <v>0.2635257332544132</v>
      </c>
      <c r="I36" s="143">
        <f>IFERROR('APPENDIX 15'!I36/'APPENDIX 15'!I$42*100,"")</f>
        <v>0.86340354089685045</v>
      </c>
      <c r="J36" s="143">
        <f>IFERROR('APPENDIX 15'!J36/'APPENDIX 15'!J$42*100,"")</f>
        <v>1.7764606682448387</v>
      </c>
      <c r="K36" s="143">
        <f>IFERROR('APPENDIX 15'!K36/'APPENDIX 15'!K$42*100,"")</f>
        <v>0</v>
      </c>
      <c r="L36" s="143">
        <f>IFERROR('APPENDIX 15'!L36/'APPENDIX 15'!L$42*100,"")</f>
        <v>7.063793246669807E-2</v>
      </c>
      <c r="M36" s="143">
        <f>IFERROR('APPENDIX 15'!M36/'APPENDIX 15'!M$42*100,"")</f>
        <v>0.46045954465447825</v>
      </c>
      <c r="N36" s="143">
        <f>IFERROR('APPENDIX 15'!N36/'APPENDIX 15'!N$42*100,"")</f>
        <v>0.38768815750454849</v>
      </c>
      <c r="O36" s="143">
        <f>IFERROR('APPENDIX 15'!O36/'APPENDIX 15'!O$42*100,"")</f>
        <v>1.2828727017249379E-2</v>
      </c>
      <c r="P36" s="143">
        <f>IFERROR('APPENDIX 15'!P36/'APPENDIX 15'!P$42*100,"")</f>
        <v>0.20806770030962163</v>
      </c>
      <c r="Q36" s="144">
        <f>IFERROR('APPENDIX 15'!$Q36/'APPENDIX 15'!Q$42*100,"")</f>
        <v>0.37665521909750682</v>
      </c>
    </row>
    <row r="37" spans="2:17" ht="25.5" customHeight="1" x14ac:dyDescent="0.35">
      <c r="B37" s="142" t="str">
        <f>'APPENDIX 15'!B37</f>
        <v>TAUSI ASSURANCE COMPANY</v>
      </c>
      <c r="C37" s="143">
        <f>IFERROR('APPENDIX 15'!C37/'APPENDIX 15'!C$42*100,"")</f>
        <v>0</v>
      </c>
      <c r="D37" s="143">
        <f>IFERROR('APPENDIX 15'!D37/'APPENDIX 15'!D$42*100,"")</f>
        <v>4.8379560118688305</v>
      </c>
      <c r="E37" s="143">
        <f>IFERROR('APPENDIX 15'!E37/'APPENDIX 15'!E$42*100,"")</f>
        <v>6.8978939506886396</v>
      </c>
      <c r="F37" s="143">
        <f>IFERROR('APPENDIX 15'!F37/'APPENDIX 15'!F$42*100,"")</f>
        <v>5.712419921417224</v>
      </c>
      <c r="G37" s="143">
        <f>IFERROR('APPENDIX 15'!G37/'APPENDIX 15'!G$42*100,"")</f>
        <v>1.9421211095740063</v>
      </c>
      <c r="H37" s="143">
        <f>IFERROR('APPENDIX 15'!H37/'APPENDIX 15'!H$42*100,"")</f>
        <v>4.5787815137080345</v>
      </c>
      <c r="I37" s="143">
        <f>IFERROR('APPENDIX 15'!I37/'APPENDIX 15'!I$42*100,"")</f>
        <v>1.4580971599279964</v>
      </c>
      <c r="J37" s="143">
        <f>IFERROR('APPENDIX 15'!J37/'APPENDIX 15'!J$42*100,"")</f>
        <v>1.5585976894023201</v>
      </c>
      <c r="K37" s="143">
        <f>IFERROR('APPENDIX 15'!K37/'APPENDIX 15'!K$42*100,"")</f>
        <v>0</v>
      </c>
      <c r="L37" s="143">
        <f>IFERROR('APPENDIX 15'!L37/'APPENDIX 15'!L$42*100,"")</f>
        <v>0.72442739353453223</v>
      </c>
      <c r="M37" s="143">
        <f>IFERROR('APPENDIX 15'!M37/'APPENDIX 15'!M$42*100,"")</f>
        <v>3.1593750636059967</v>
      </c>
      <c r="N37" s="143">
        <f>IFERROR('APPENDIX 15'!N37/'APPENDIX 15'!N$42*100,"")</f>
        <v>5.0966769370264196</v>
      </c>
      <c r="O37" s="143">
        <f>IFERROR('APPENDIX 15'!O37/'APPENDIX 15'!O$42*100,"")</f>
        <v>3.7867419136482791E-3</v>
      </c>
      <c r="P37" s="143">
        <f>IFERROR('APPENDIX 15'!P37/'APPENDIX 15'!P$42*100,"")</f>
        <v>0.51709424336843646</v>
      </c>
      <c r="Q37" s="144">
        <f>IFERROR('APPENDIX 15'!$Q37/'APPENDIX 15'!Q$42*100,"")</f>
        <v>1.7295468800778571</v>
      </c>
    </row>
    <row r="38" spans="2:17" ht="25.5" customHeight="1" x14ac:dyDescent="0.35">
      <c r="B38" s="142" t="str">
        <f>'APPENDIX 15'!B38</f>
        <v>THE HERITAGE INSURANCE COMPANY</v>
      </c>
      <c r="C38" s="143">
        <f>IFERROR('APPENDIX 15'!C38/'APPENDIX 15'!C$42*100,"")</f>
        <v>1.0217406263253161</v>
      </c>
      <c r="D38" s="143">
        <f>IFERROR('APPENDIX 15'!D38/'APPENDIX 15'!D$42*100,"")</f>
        <v>1.5018202460285897</v>
      </c>
      <c r="E38" s="143">
        <f>IFERROR('APPENDIX 15'!E38/'APPENDIX 15'!E$42*100,"")</f>
        <v>7.2277013351997113</v>
      </c>
      <c r="F38" s="143">
        <f>IFERROR('APPENDIX 15'!F38/'APPENDIX 15'!F$42*100,"")</f>
        <v>5.1426741796711912</v>
      </c>
      <c r="G38" s="143">
        <f>IFERROR('APPENDIX 15'!G38/'APPENDIX 15'!G$42*100,"")</f>
        <v>4.4330580141392861</v>
      </c>
      <c r="H38" s="143">
        <f>IFERROR('APPENDIX 15'!H38/'APPENDIX 15'!H$42*100,"")</f>
        <v>1.4897398255945054</v>
      </c>
      <c r="I38" s="143">
        <f>IFERROR('APPENDIX 15'!I38/'APPENDIX 15'!I$42*100,"")</f>
        <v>4.0066372261471654</v>
      </c>
      <c r="J38" s="143">
        <f>IFERROR('APPENDIX 15'!J38/'APPENDIX 15'!J$42*100,"")</f>
        <v>2.3153105219000927</v>
      </c>
      <c r="K38" s="143">
        <f>IFERROR('APPENDIX 15'!K38/'APPENDIX 15'!K$42*100,"")</f>
        <v>0</v>
      </c>
      <c r="L38" s="143">
        <f>IFERROR('APPENDIX 15'!L38/'APPENDIX 15'!L$42*100,"")</f>
        <v>9.6887805388493842</v>
      </c>
      <c r="M38" s="143">
        <f>IFERROR('APPENDIX 15'!M38/'APPENDIX 15'!M$42*100,"")</f>
        <v>1.8041451485619027</v>
      </c>
      <c r="N38" s="143">
        <f>IFERROR('APPENDIX 15'!N38/'APPENDIX 15'!N$42*100,"")</f>
        <v>5.8036579227633567</v>
      </c>
      <c r="O38" s="143">
        <f>IFERROR('APPENDIX 15'!O38/'APPENDIX 15'!O$42*100,"")</f>
        <v>5.3490098450325085</v>
      </c>
      <c r="P38" s="143">
        <f>IFERROR('APPENDIX 15'!P38/'APPENDIX 15'!P$42*100,"")</f>
        <v>9.7140383279178799</v>
      </c>
      <c r="Q38" s="144">
        <f>IFERROR('APPENDIX 15'!$Q38/'APPENDIX 15'!Q$42*100,"")</f>
        <v>4.504805315495819</v>
      </c>
    </row>
    <row r="39" spans="2:17" ht="25.5" customHeight="1" x14ac:dyDescent="0.35">
      <c r="B39" s="142" t="str">
        <f>'APPENDIX 15'!B39</f>
        <v xml:space="preserve">THE KENYAN ALLIANCE INSURANCE </v>
      </c>
      <c r="C39" s="143">
        <f>IFERROR('APPENDIX 15'!C39/'APPENDIX 15'!C$42*100,"")</f>
        <v>0</v>
      </c>
      <c r="D39" s="143">
        <f>IFERROR('APPENDIX 15'!D39/'APPENDIX 15'!D$42*100,"")</f>
        <v>0.12271777800598298</v>
      </c>
      <c r="E39" s="143">
        <f>IFERROR('APPENDIX 15'!E39/'APPENDIX 15'!E$42*100,"")</f>
        <v>0.12508500885467838</v>
      </c>
      <c r="F39" s="143">
        <f>IFERROR('APPENDIX 15'!F39/'APPENDIX 15'!F$42*100,"")</f>
        <v>4.7394868112260645E-2</v>
      </c>
      <c r="G39" s="143">
        <f>IFERROR('APPENDIX 15'!G39/'APPENDIX 15'!G$42*100,"")</f>
        <v>0.21282782207396145</v>
      </c>
      <c r="H39" s="143">
        <f>IFERROR('APPENDIX 15'!H39/'APPENDIX 15'!H$42*100,"")</f>
        <v>6.2424172347771152E-2</v>
      </c>
      <c r="I39" s="143">
        <f>IFERROR('APPENDIX 15'!I39/'APPENDIX 15'!I$42*100,"")</f>
        <v>1.89603225973516</v>
      </c>
      <c r="J39" s="143">
        <f>IFERROR('APPENDIX 15'!J39/'APPENDIX 15'!J$42*100,"")</f>
        <v>0.7048820810675136</v>
      </c>
      <c r="K39" s="143">
        <f>IFERROR('APPENDIX 15'!K39/'APPENDIX 15'!K$42*100,"")</f>
        <v>0</v>
      </c>
      <c r="L39" s="143">
        <f>IFERROR('APPENDIX 15'!L39/'APPENDIX 15'!L$42*100,"")</f>
        <v>0.25845432044679439</v>
      </c>
      <c r="M39" s="143">
        <f>IFERROR('APPENDIX 15'!M39/'APPENDIX 15'!M$42*100,"")</f>
        <v>0.10469492309877061</v>
      </c>
      <c r="N39" s="143">
        <f>IFERROR('APPENDIX 15'!N39/'APPENDIX 15'!N$42*100,"")</f>
        <v>0.86592286960553366</v>
      </c>
      <c r="O39" s="143">
        <f>IFERROR('APPENDIX 15'!O39/'APPENDIX 15'!O$42*100,"")</f>
        <v>0.45961891652464609</v>
      </c>
      <c r="P39" s="143">
        <f>IFERROR('APPENDIX 15'!P39/'APPENDIX 15'!P$42*100,"")</f>
        <v>0.62374371028802955</v>
      </c>
      <c r="Q39" s="144">
        <f>IFERROR('APPENDIX 15'!$Q39/'APPENDIX 15'!Q$42*100,"")</f>
        <v>0.56567261029506932</v>
      </c>
    </row>
    <row r="40" spans="2:17" ht="25.5" customHeight="1" x14ac:dyDescent="0.35">
      <c r="B40" s="142" t="str">
        <f>'APPENDIX 15'!B40</f>
        <v xml:space="preserve">THE MONARCH INSURANCE </v>
      </c>
      <c r="C40" s="143">
        <f>IFERROR('APPENDIX 15'!C40/'APPENDIX 15'!C$42*100,"")</f>
        <v>0</v>
      </c>
      <c r="D40" s="143">
        <f>IFERROR('APPENDIX 15'!D40/'APPENDIX 15'!D$42*100,"")</f>
        <v>0.16747290956895419</v>
      </c>
      <c r="E40" s="143">
        <f>IFERROR('APPENDIX 15'!E40/'APPENDIX 15'!E$42*100,"")</f>
        <v>6.5406892592514768E-2</v>
      </c>
      <c r="F40" s="143">
        <f>IFERROR('APPENDIX 15'!F40/'APPENDIX 15'!F$42*100,"")</f>
        <v>6.586758971846024E-2</v>
      </c>
      <c r="G40" s="143">
        <f>IFERROR('APPENDIX 15'!G40/'APPENDIX 15'!G$42*100,"")</f>
        <v>8.431449115904148E-2</v>
      </c>
      <c r="H40" s="143">
        <f>IFERROR('APPENDIX 15'!H40/'APPENDIX 15'!H$42*100,"")</f>
        <v>1.2185403674784691E-2</v>
      </c>
      <c r="I40" s="143">
        <f>IFERROR('APPENDIX 15'!I40/'APPENDIX 15'!I$42*100,"")</f>
        <v>3.9220209124140792</v>
      </c>
      <c r="J40" s="143">
        <f>IFERROR('APPENDIX 15'!J40/'APPENDIX 15'!J$42*100,"")</f>
        <v>2.8244316050423839</v>
      </c>
      <c r="K40" s="143">
        <f>IFERROR('APPENDIX 15'!K40/'APPENDIX 15'!K$42*100,"")</f>
        <v>0</v>
      </c>
      <c r="L40" s="143">
        <f>IFERROR('APPENDIX 15'!L40/'APPENDIX 15'!L$42*100,"")</f>
        <v>1.8967329561672557E-2</v>
      </c>
      <c r="M40" s="143">
        <f>IFERROR('APPENDIX 15'!M40/'APPENDIX 15'!M$42*100,"")</f>
        <v>3.5116317021622774E-2</v>
      </c>
      <c r="N40" s="143">
        <f>IFERROR('APPENDIX 15'!N40/'APPENDIX 15'!N$42*100,"")</f>
        <v>0.11464205032818155</v>
      </c>
      <c r="O40" s="143">
        <f>IFERROR('APPENDIX 15'!O40/'APPENDIX 15'!O$42*100,"")</f>
        <v>0</v>
      </c>
      <c r="P40" s="143">
        <f>IFERROR('APPENDIX 15'!P40/'APPENDIX 15'!P$42*100,"")</f>
        <v>0.55306555897834719</v>
      </c>
      <c r="Q40" s="144">
        <f>IFERROR('APPENDIX 15'!$Q40/'APPENDIX 15'!Q$42*100,"")</f>
        <v>0.77385022794560288</v>
      </c>
    </row>
    <row r="41" spans="2:17" ht="25.5" customHeight="1" x14ac:dyDescent="0.35">
      <c r="B41" s="142" t="str">
        <f>'APPENDIX 15'!B41</f>
        <v xml:space="preserve">TRIDENT INSURANCE COMPANY </v>
      </c>
      <c r="C41" s="143">
        <f>IFERROR('APPENDIX 15'!C41/'APPENDIX 15'!C$42*100,"")</f>
        <v>0</v>
      </c>
      <c r="D41" s="143">
        <f>IFERROR('APPENDIX 15'!D41/'APPENDIX 15'!D$42*100,"")</f>
        <v>0</v>
      </c>
      <c r="E41" s="143">
        <f>IFERROR('APPENDIX 15'!E41/'APPENDIX 15'!E$42*100,"")</f>
        <v>0</v>
      </c>
      <c r="F41" s="143">
        <f>IFERROR('APPENDIX 15'!F41/'APPENDIX 15'!F$42*100,"")</f>
        <v>0</v>
      </c>
      <c r="G41" s="143">
        <f>IFERROR('APPENDIX 15'!G41/'APPENDIX 15'!G$42*100,"")</f>
        <v>0</v>
      </c>
      <c r="H41" s="143">
        <f>IFERROR('APPENDIX 15'!H41/'APPENDIX 15'!H$42*100,"")</f>
        <v>0</v>
      </c>
      <c r="I41" s="143">
        <f>IFERROR('APPENDIX 15'!I41/'APPENDIX 15'!I$42*100,"")</f>
        <v>0</v>
      </c>
      <c r="J41" s="143">
        <f>IFERROR('APPENDIX 15'!J41/'APPENDIX 15'!J$42*100,"")</f>
        <v>0</v>
      </c>
      <c r="K41" s="143">
        <f>IFERROR('APPENDIX 15'!K41/'APPENDIX 15'!K$42*100,"")</f>
        <v>0</v>
      </c>
      <c r="L41" s="143">
        <f>IFERROR('APPENDIX 15'!L41/'APPENDIX 15'!L$42*100,"")</f>
        <v>0</v>
      </c>
      <c r="M41" s="143">
        <f>IFERROR('APPENDIX 15'!M41/'APPENDIX 15'!M$42*100,"")</f>
        <v>0</v>
      </c>
      <c r="N41" s="143">
        <f>IFERROR('APPENDIX 15'!N41/'APPENDIX 15'!N$42*100,"")</f>
        <v>0</v>
      </c>
      <c r="O41" s="143">
        <f>IFERROR('APPENDIX 15'!O41/'APPENDIX 15'!O$42*100,"")</f>
        <v>0</v>
      </c>
      <c r="P41" s="143">
        <f>IFERROR('APPENDIX 15'!P41/'APPENDIX 15'!P$42*100,"")</f>
        <v>0</v>
      </c>
      <c r="Q41" s="144">
        <f>IFERROR('APPENDIX 15'!$Q41/'APPENDIX 15'!Q$42*100,"")</f>
        <v>0</v>
      </c>
    </row>
    <row r="42" spans="2:17" ht="25.5" customHeight="1" x14ac:dyDescent="0.35">
      <c r="B42" s="145" t="s">
        <v>90</v>
      </c>
      <c r="C42" s="146">
        <f>IFERROR('APPENDIX 15'!C42/'APPENDIX 15'!C$42*100,"")</f>
        <v>100</v>
      </c>
      <c r="D42" s="146">
        <f>IFERROR('APPENDIX 15'!D42/'APPENDIX 15'!D$42*100,"")</f>
        <v>100</v>
      </c>
      <c r="E42" s="146">
        <f>IFERROR('APPENDIX 15'!E42/'APPENDIX 15'!E$42*100,"")</f>
        <v>100</v>
      </c>
      <c r="F42" s="146">
        <f>IFERROR('APPENDIX 15'!F42/'APPENDIX 15'!F$42*100,"")</f>
        <v>100</v>
      </c>
      <c r="G42" s="146">
        <f>IFERROR('APPENDIX 15'!G42/'APPENDIX 15'!G$42*100,"")</f>
        <v>100</v>
      </c>
      <c r="H42" s="146">
        <f>IFERROR('APPENDIX 15'!H42/'APPENDIX 15'!H$42*100,"")</f>
        <v>100</v>
      </c>
      <c r="I42" s="146">
        <f>IFERROR('APPENDIX 15'!I42/'APPENDIX 15'!I$42*100,"")</f>
        <v>100</v>
      </c>
      <c r="J42" s="146">
        <f>IFERROR('APPENDIX 15'!J42/'APPENDIX 15'!J$42*100,"")</f>
        <v>100</v>
      </c>
      <c r="K42" s="146">
        <f>IFERROR('APPENDIX 15'!K42/'APPENDIX 15'!K$42*100,"")</f>
        <v>100</v>
      </c>
      <c r="L42" s="146">
        <f>IFERROR('APPENDIX 15'!L42/'APPENDIX 15'!L$42*100,"")</f>
        <v>100</v>
      </c>
      <c r="M42" s="146">
        <f>IFERROR('APPENDIX 15'!M42/'APPENDIX 15'!M$42*100,"")</f>
        <v>100</v>
      </c>
      <c r="N42" s="146">
        <f>IFERROR('APPENDIX 15'!N42/'APPENDIX 15'!N$42*100,"")</f>
        <v>100</v>
      </c>
      <c r="O42" s="146">
        <f>IFERROR('APPENDIX 15'!O42/'APPENDIX 15'!O$42*100,"")</f>
        <v>100</v>
      </c>
      <c r="P42" s="146">
        <f>IFERROR('APPENDIX 15'!P42/'APPENDIX 15'!P$42*100,"")</f>
        <v>100</v>
      </c>
      <c r="Q42" s="146">
        <f>SUM(Q6:Q41)</f>
        <v>99.999999999999972</v>
      </c>
    </row>
    <row r="43" spans="2:17" ht="25.5" customHeight="1" x14ac:dyDescent="0.35">
      <c r="B43" s="261" t="s">
        <v>91</v>
      </c>
      <c r="C43" s="252"/>
      <c r="D43" s="252"/>
      <c r="E43" s="252"/>
      <c r="F43" s="252"/>
      <c r="G43" s="252"/>
      <c r="H43" s="252"/>
      <c r="I43" s="252"/>
      <c r="J43" s="252"/>
      <c r="K43" s="252"/>
      <c r="L43" s="252"/>
      <c r="M43" s="252"/>
      <c r="N43" s="252"/>
      <c r="O43" s="252"/>
      <c r="P43" s="252"/>
      <c r="Q43" s="253"/>
    </row>
    <row r="44" spans="2:17" ht="25.5" customHeight="1" x14ac:dyDescent="0.35">
      <c r="B44" s="142" t="str">
        <f>'APPENDIX 15'!B44</f>
        <v>CONTINENTAL REINSURANCE</v>
      </c>
      <c r="C44" s="147">
        <f>IFERROR('APPENDIX 15'!C44/'APPENDIX 15'!C$49*100,"")</f>
        <v>16.424685512659799</v>
      </c>
      <c r="D44" s="147">
        <f>IFERROR('APPENDIX 15'!D44/'APPENDIX 15'!D$49*100,"")</f>
        <v>16.943995132009317</v>
      </c>
      <c r="E44" s="147">
        <f>IFERROR('APPENDIX 15'!E44/'APPENDIX 15'!E$49*100,"")</f>
        <v>76.644305560328363</v>
      </c>
      <c r="F44" s="147">
        <f>IFERROR('APPENDIX 15'!F44/'APPENDIX 15'!F$49*100,"")</f>
        <v>22.835183703517185</v>
      </c>
      <c r="G44" s="147">
        <f>IFERROR('APPENDIX 15'!G44/'APPENDIX 15'!G$49*100,"")</f>
        <v>12.810757384123214</v>
      </c>
      <c r="H44" s="147">
        <f>IFERROR('APPENDIX 15'!H44/'APPENDIX 15'!H$49*100,"")</f>
        <v>16.857059983084842</v>
      </c>
      <c r="I44" s="147">
        <f>IFERROR('APPENDIX 15'!I44/'APPENDIX 15'!I$49*100,"")</f>
        <v>25.180479659192244</v>
      </c>
      <c r="J44" s="147">
        <f>IFERROR('APPENDIX 15'!J44/'APPENDIX 15'!J$49*100,"")</f>
        <v>22.48729517210953</v>
      </c>
      <c r="K44" s="210">
        <f>IFERROR('APPENDIX 15'!K44/'APPENDIX 15'!K$49*100,0)</f>
        <v>0</v>
      </c>
      <c r="L44" s="147">
        <f>IFERROR('APPENDIX 15'!L44/'APPENDIX 15'!L$49*100,"")</f>
        <v>30.597091962319229</v>
      </c>
      <c r="M44" s="147">
        <f>IFERROR('APPENDIX 15'!M44/'APPENDIX 15'!M$49*100,"")</f>
        <v>13.48080997452319</v>
      </c>
      <c r="N44" s="147">
        <f>IFERROR('APPENDIX 15'!N44/'APPENDIX 15'!N$49*100,"")</f>
        <v>14.383744430212598</v>
      </c>
      <c r="O44" s="147">
        <f>IFERROR('APPENDIX 15'!O44/'APPENDIX 15'!O$49*100,"")</f>
        <v>39.224994865051592</v>
      </c>
      <c r="P44" s="147">
        <f>IFERROR('APPENDIX 15'!P44/'APPENDIX 15'!$P$49*100,"")</f>
        <v>39.250090954917361</v>
      </c>
      <c r="Q44" s="148">
        <f>IFERROR('APPENDIX 15'!$Q44/'APPENDIX 15'!$Q$49*100,"")</f>
        <v>28.294222552242303</v>
      </c>
    </row>
    <row r="45" spans="2:17" ht="25.5" customHeight="1" x14ac:dyDescent="0.35">
      <c r="B45" s="142" t="str">
        <f>'APPENDIX 15'!B45</f>
        <v xml:space="preserve">EAST AFRICA REINSURANCE </v>
      </c>
      <c r="C45" s="147">
        <f>IFERROR('APPENDIX 15'!C45/'APPENDIX 15'!C$49*100,"")</f>
        <v>1.3558263851566978</v>
      </c>
      <c r="D45" s="147">
        <f>IFERROR('APPENDIX 15'!D45/'APPENDIX 15'!D$49*100,"")</f>
        <v>11.386314713161829</v>
      </c>
      <c r="E45" s="147">
        <f>IFERROR('APPENDIX 15'!E45/'APPENDIX 15'!E$49*100,"")</f>
        <v>0</v>
      </c>
      <c r="F45" s="147">
        <f>IFERROR('APPENDIX 15'!F45/'APPENDIX 15'!F$49*100,"")</f>
        <v>16.014327032318196</v>
      </c>
      <c r="G45" s="147">
        <f>IFERROR('APPENDIX 15'!G45/'APPENDIX 15'!G$49*100,"")</f>
        <v>3.5560063512884161</v>
      </c>
      <c r="H45" s="147">
        <f>IFERROR('APPENDIX 15'!H45/'APPENDIX 15'!H$49*100,"")</f>
        <v>16.919645742003095</v>
      </c>
      <c r="I45" s="147">
        <f>IFERROR('APPENDIX 15'!I45/'APPENDIX 15'!I$49*100,"")</f>
        <v>0</v>
      </c>
      <c r="J45" s="147">
        <f>IFERROR('APPENDIX 15'!J45/'APPENDIX 15'!J$49*100,"")</f>
        <v>35.152491134478488</v>
      </c>
      <c r="K45" s="210">
        <f>IFERROR('APPENDIX 15'!K45/'APPENDIX 15'!K$49*100,0)</f>
        <v>0</v>
      </c>
      <c r="L45" s="147">
        <f>IFERROR('APPENDIX 15'!L45/'APPENDIX 15'!L$49*100,"")</f>
        <v>5.4777214950819566</v>
      </c>
      <c r="M45" s="147">
        <f>IFERROR('APPENDIX 15'!M45/'APPENDIX 15'!M$49*100,"")</f>
        <v>0</v>
      </c>
      <c r="N45" s="147">
        <f>IFERROR('APPENDIX 15'!N45/'APPENDIX 15'!N$49*100,"")</f>
        <v>0</v>
      </c>
      <c r="O45" s="147">
        <f>IFERROR('APPENDIX 15'!O45/'APPENDIX 15'!O$49*100,"")</f>
        <v>19.950784037049317</v>
      </c>
      <c r="P45" s="147">
        <f>IFERROR('APPENDIX 15'!P45/'APPENDIX 15'!$P$49*100,"")</f>
        <v>16.407644565601881</v>
      </c>
      <c r="Q45" s="148">
        <f>IFERROR('APPENDIX 15'!$Q45/'APPENDIX 15'!$Q$49*100,"")</f>
        <v>14.90308973326454</v>
      </c>
    </row>
    <row r="46" spans="2:17" ht="25.5" customHeight="1" x14ac:dyDescent="0.35">
      <c r="B46" s="142" t="str">
        <f>'APPENDIX 15'!B46</f>
        <v>GHANA REINSURANCE COMPANY</v>
      </c>
      <c r="C46" s="147">
        <f>IFERROR('APPENDIX 15'!C46/'APPENDIX 15'!C$49*100,"")</f>
        <v>2.608451029244907</v>
      </c>
      <c r="D46" s="147">
        <f>IFERROR('APPENDIX 15'!D46/'APPENDIX 15'!D$49*100,"")</f>
        <v>7.9085443433642393</v>
      </c>
      <c r="E46" s="147">
        <f>IFERROR('APPENDIX 15'!E46/'APPENDIX 15'!E$49*100,"")</f>
        <v>19.093498342421778</v>
      </c>
      <c r="F46" s="147">
        <f>IFERROR('APPENDIX 15'!F46/'APPENDIX 15'!F$49*100,"")</f>
        <v>14.559387316668021</v>
      </c>
      <c r="G46" s="147">
        <f>IFERROR('APPENDIX 15'!G46/'APPENDIX 15'!G$49*100,"")</f>
        <v>4.5279352364887382</v>
      </c>
      <c r="H46" s="147">
        <f>IFERROR('APPENDIX 15'!H46/'APPENDIX 15'!H$49*100,"")</f>
        <v>12.230855537898492</v>
      </c>
      <c r="I46" s="147">
        <f>IFERROR('APPENDIX 15'!I46/'APPENDIX 15'!I$49*100,"")</f>
        <v>58.685647431755051</v>
      </c>
      <c r="J46" s="147">
        <f>IFERROR('APPENDIX 15'!J46/'APPENDIX 15'!J$49*100,"")</f>
        <v>13.288074380227844</v>
      </c>
      <c r="K46" s="210">
        <f>IFERROR('APPENDIX 15'!K46/'APPENDIX 15'!K$49*100,0)</f>
        <v>0</v>
      </c>
      <c r="L46" s="147">
        <f>IFERROR('APPENDIX 15'!L46/'APPENDIX 15'!L$49*100,"")</f>
        <v>0.8126006771997043</v>
      </c>
      <c r="M46" s="147">
        <f>IFERROR('APPENDIX 15'!M46/'APPENDIX 15'!M$49*100,"")</f>
        <v>19.756530308349955</v>
      </c>
      <c r="N46" s="147">
        <f>IFERROR('APPENDIX 15'!N46/'APPENDIX 15'!N$49*100,"")</f>
        <v>-19.379126413263464</v>
      </c>
      <c r="O46" s="147">
        <f>IFERROR('APPENDIX 15'!O46/'APPENDIX 15'!O$49*100,"")</f>
        <v>2.6800284610666032</v>
      </c>
      <c r="P46" s="147">
        <f>IFERROR('APPENDIX 15'!P46/'APPENDIX 15'!$P$49*100,"")</f>
        <v>5.1323896518055587</v>
      </c>
      <c r="Q46" s="148">
        <f>IFERROR('APPENDIX 15'!$Q46/'APPENDIX 15'!$Q$49*100,"")</f>
        <v>9.8823562591150313</v>
      </c>
    </row>
    <row r="47" spans="2:17" ht="25.5" customHeight="1" x14ac:dyDescent="0.35">
      <c r="B47" s="142" t="str">
        <f>'APPENDIX 15'!B47</f>
        <v>KENYA REINSURANCE CORPORATION</v>
      </c>
      <c r="C47" s="147">
        <f>IFERROR('APPENDIX 15'!C47/'APPENDIX 15'!C$49*100,"")</f>
        <v>40.994076724558376</v>
      </c>
      <c r="D47" s="147">
        <f>IFERROR('APPENDIX 15'!D47/'APPENDIX 15'!D$49*100,"")</f>
        <v>31.485602799540619</v>
      </c>
      <c r="E47" s="147">
        <f>IFERROR('APPENDIX 15'!E47/'APPENDIX 15'!E$49*100,"")</f>
        <v>3.3993217346454414</v>
      </c>
      <c r="F47" s="147">
        <f>IFERROR('APPENDIX 15'!F47/'APPENDIX 15'!F$49*100,"")</f>
        <v>24.698075945993153</v>
      </c>
      <c r="G47" s="147">
        <f>IFERROR('APPENDIX 15'!G47/'APPENDIX 15'!G$49*100,"")</f>
        <v>7.9730550932297612</v>
      </c>
      <c r="H47" s="147">
        <f>IFERROR('APPENDIX 15'!H47/'APPENDIX 15'!H$49*100,"")</f>
        <v>36.889574481901697</v>
      </c>
      <c r="I47" s="147">
        <f>IFERROR('APPENDIX 15'!I47/'APPENDIX 15'!I$49*100,"")</f>
        <v>6.3277680166131915</v>
      </c>
      <c r="J47" s="147">
        <f>IFERROR('APPENDIX 15'!J47/'APPENDIX 15'!J$49*100,"")</f>
        <v>17.57574326197096</v>
      </c>
      <c r="K47" s="210">
        <f>IFERROR('APPENDIX 15'!K47/'APPENDIX 15'!K$49*100,0)</f>
        <v>0</v>
      </c>
      <c r="L47" s="147">
        <f>IFERROR('APPENDIX 15'!L47/'APPENDIX 15'!L$49*100,"")</f>
        <v>35.669791248303866</v>
      </c>
      <c r="M47" s="147">
        <f>IFERROR('APPENDIX 15'!M47/'APPENDIX 15'!M$49*100,"")</f>
        <v>20.598590323200089</v>
      </c>
      <c r="N47" s="147">
        <f>IFERROR('APPENDIX 15'!N47/'APPENDIX 15'!N$49*100,"")</f>
        <v>-0.31230186495964146</v>
      </c>
      <c r="O47" s="147">
        <f>IFERROR('APPENDIX 15'!O47/'APPENDIX 15'!O$49*100,"")</f>
        <v>27.291482651757608</v>
      </c>
      <c r="P47" s="147">
        <f>IFERROR('APPENDIX 15'!P47/'APPENDIX 15'!$P$49*100,"")</f>
        <v>38.554997450039195</v>
      </c>
      <c r="Q47" s="148">
        <f>IFERROR('APPENDIX 15'!$Q47/'APPENDIX 15'!$Q$49*100,"")</f>
        <v>26.232542986907227</v>
      </c>
    </row>
    <row r="48" spans="2:17" ht="25.5" customHeight="1" x14ac:dyDescent="0.35">
      <c r="B48" s="142" t="str">
        <f>'APPENDIX 15'!B48</f>
        <v>WAICA REINSURANCE KENYA LIMITED</v>
      </c>
      <c r="C48" s="147">
        <f>IFERROR('APPENDIX 15'!C48/'APPENDIX 15'!C$49*100,"")</f>
        <v>38.616960348380211</v>
      </c>
      <c r="D48" s="147">
        <f>IFERROR('APPENDIX 15'!D48/'APPENDIX 15'!D$49*100,"")</f>
        <v>32.275543011923993</v>
      </c>
      <c r="E48" s="147">
        <f>IFERROR('APPENDIX 15'!E48/'APPENDIX 15'!E$49*100,"")</f>
        <v>0.8628743626044304</v>
      </c>
      <c r="F48" s="147">
        <f>IFERROR('APPENDIX 15'!F48/'APPENDIX 15'!F$49*100,"")</f>
        <v>21.89302600150344</v>
      </c>
      <c r="G48" s="147">
        <f>IFERROR('APPENDIX 15'!G48/'APPENDIX 15'!G$49*100,"")</f>
        <v>71.132245934869871</v>
      </c>
      <c r="H48" s="147">
        <f>IFERROR('APPENDIX 15'!H48/'APPENDIX 15'!H$49*100,"")</f>
        <v>17.102864255111879</v>
      </c>
      <c r="I48" s="147">
        <f>IFERROR('APPENDIX 15'!I48/'APPENDIX 15'!I$49*100,"")</f>
        <v>9.8061048924394996</v>
      </c>
      <c r="J48" s="147">
        <f>IFERROR('APPENDIX 15'!J48/'APPENDIX 15'!J$49*100,"")</f>
        <v>11.496396051213189</v>
      </c>
      <c r="K48" s="210">
        <f>IFERROR('APPENDIX 15'!K48/'APPENDIX 15'!K$49*100,0)</f>
        <v>0</v>
      </c>
      <c r="L48" s="147">
        <f>IFERROR('APPENDIX 15'!L48/'APPENDIX 15'!L$49*100,"")</f>
        <v>27.442794617095238</v>
      </c>
      <c r="M48" s="147">
        <f>IFERROR('APPENDIX 15'!M48/'APPENDIX 15'!M$49*100,"")</f>
        <v>46.164069393926773</v>
      </c>
      <c r="N48" s="147">
        <f>IFERROR('APPENDIX 15'!N48/'APPENDIX 15'!N$49*100,"")</f>
        <v>105.3076838480105</v>
      </c>
      <c r="O48" s="147">
        <f>IFERROR('APPENDIX 15'!O48/'APPENDIX 15'!O$49*100,"")</f>
        <v>10.852709985074871</v>
      </c>
      <c r="P48" s="147">
        <f>IFERROR('APPENDIX 15'!P48/'APPENDIX 15'!P$49*100,"")</f>
        <v>0.65487737763600951</v>
      </c>
      <c r="Q48" s="148">
        <f>IFERROR('APPENDIX 15'!$Q48/'APPENDIX 15'!$Q$49*100,"")</f>
        <v>20.687788468470899</v>
      </c>
    </row>
    <row r="49" spans="2:17" ht="25.5" customHeight="1" x14ac:dyDescent="0.35">
      <c r="B49" s="145" t="s">
        <v>171</v>
      </c>
      <c r="C49" s="146">
        <f t="shared" ref="C49:Q49" si="0">SUM(C44:C48)</f>
        <v>100</v>
      </c>
      <c r="D49" s="146">
        <f t="shared" si="0"/>
        <v>100</v>
      </c>
      <c r="E49" s="146">
        <f t="shared" si="0"/>
        <v>100.00000000000001</v>
      </c>
      <c r="F49" s="146">
        <f t="shared" si="0"/>
        <v>100</v>
      </c>
      <c r="G49" s="146">
        <f t="shared" si="0"/>
        <v>100</v>
      </c>
      <c r="H49" s="146">
        <f t="shared" si="0"/>
        <v>100</v>
      </c>
      <c r="I49" s="146">
        <f t="shared" si="0"/>
        <v>99.999999999999972</v>
      </c>
      <c r="J49" s="146">
        <f t="shared" si="0"/>
        <v>100</v>
      </c>
      <c r="K49" s="146">
        <f t="shared" si="0"/>
        <v>0</v>
      </c>
      <c r="L49" s="146">
        <f t="shared" si="0"/>
        <v>100</v>
      </c>
      <c r="M49" s="146">
        <f t="shared" si="0"/>
        <v>100</v>
      </c>
      <c r="N49" s="146">
        <f t="shared" si="0"/>
        <v>99.999999999999986</v>
      </c>
      <c r="O49" s="146">
        <f t="shared" si="0"/>
        <v>99.999999999999986</v>
      </c>
      <c r="P49" s="146">
        <f t="shared" si="0"/>
        <v>100</v>
      </c>
      <c r="Q49" s="146">
        <f t="shared" si="0"/>
        <v>100</v>
      </c>
    </row>
    <row r="50" spans="2:17" ht="18" customHeight="1" x14ac:dyDescent="0.35">
      <c r="B50" s="276" t="s">
        <v>172</v>
      </c>
      <c r="C50" s="255"/>
      <c r="D50" s="255"/>
      <c r="E50" s="255"/>
      <c r="F50" s="255"/>
      <c r="G50" s="255"/>
      <c r="H50" s="255"/>
      <c r="I50" s="255"/>
      <c r="J50" s="255"/>
      <c r="K50" s="255"/>
      <c r="L50" s="255"/>
      <c r="M50" s="255"/>
      <c r="N50" s="255"/>
      <c r="O50" s="255"/>
      <c r="P50" s="255"/>
      <c r="Q50" s="255"/>
    </row>
  </sheetData>
  <sheetProtection algorithmName="SHA-512" hashValue="ErJO+FDPKab1DsUyJOEWwFgW5XilVUu7o3KpVMAOK0NXzP8HMp7rHKpaZAZjWpb+iUF+PC9BLbfx5aJD3tOUKA==" saltValue="/2gzKJruWDLcAuaPneRV2w==" spinCount="100000" sheet="1" objects="1" scenarios="1"/>
  <mergeCells count="4">
    <mergeCell ref="B50:Q50"/>
    <mergeCell ref="B43:Q43"/>
    <mergeCell ref="B3:Q3"/>
    <mergeCell ref="B5:Q5"/>
  </mergeCells>
  <pageMargins left="0.7" right="0.7" top="0.75" bottom="0.75" header="0.3" footer="0.3"/>
  <pageSetup paperSize="9" scale="40"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8">
    <tabColor rgb="FF92D050"/>
    <pageSetUpPr fitToPage="1"/>
  </sheetPr>
  <dimension ref="B3:R50"/>
  <sheetViews>
    <sheetView zoomScale="53" workbookViewId="0">
      <pane xSplit="2" ySplit="5" topLeftCell="C6" activePane="bottomRight" state="frozen"/>
      <selection pane="topRight" activeCell="C1" sqref="C1"/>
      <selection pane="bottomLeft" activeCell="A6" sqref="A6"/>
      <selection pane="bottomRight" activeCell="E17" sqref="E17"/>
    </sheetView>
  </sheetViews>
  <sheetFormatPr defaultColWidth="9.453125" defaultRowHeight="19.5" customHeight="1" x14ac:dyDescent="0.3"/>
  <cols>
    <col min="1" max="1" width="17" style="2" customWidth="1"/>
    <col min="2" max="2" width="45.453125" style="2" bestFit="1" customWidth="1"/>
    <col min="3" max="17" width="19.54296875" style="2" customWidth="1"/>
    <col min="18" max="18" width="11.54296875" style="2" customWidth="1"/>
    <col min="19" max="19" width="16.453125" style="2" customWidth="1"/>
    <col min="20" max="70" width="9.453125" style="2" customWidth="1"/>
    <col min="71" max="16384" width="9.453125" style="2"/>
  </cols>
  <sheetData>
    <row r="3" spans="2:18" ht="24.75" customHeight="1" x14ac:dyDescent="0.35">
      <c r="B3" s="274" t="str">
        <f>_xlfn.CONCAT('Table of Contents'!B24,": ",'Table of Contents'!C24)</f>
        <v>APPENDIX 17: SUMMARY OF CLAIMS PAID UNDER GENERAL INSURANCE BUSINESS FOR THE PERIOD ENDED 31.03.2025</v>
      </c>
      <c r="C3" s="252"/>
      <c r="D3" s="252"/>
      <c r="E3" s="252"/>
      <c r="F3" s="252"/>
      <c r="G3" s="252"/>
      <c r="H3" s="252"/>
      <c r="I3" s="252"/>
      <c r="J3" s="252"/>
      <c r="K3" s="252"/>
      <c r="L3" s="252"/>
      <c r="M3" s="252"/>
      <c r="N3" s="252"/>
      <c r="O3" s="252"/>
      <c r="P3" s="252"/>
      <c r="Q3" s="253"/>
    </row>
    <row r="4" spans="2:18" ht="46.5" customHeight="1" x14ac:dyDescent="0.3">
      <c r="B4" s="43" t="s">
        <v>36</v>
      </c>
      <c r="C4" s="45" t="s">
        <v>156</v>
      </c>
      <c r="D4" s="45" t="s">
        <v>157</v>
      </c>
      <c r="E4" s="45" t="s">
        <v>158</v>
      </c>
      <c r="F4" s="45" t="s">
        <v>159</v>
      </c>
      <c r="G4" s="45" t="s">
        <v>160</v>
      </c>
      <c r="H4" s="45" t="s">
        <v>161</v>
      </c>
      <c r="I4" s="45" t="s">
        <v>162</v>
      </c>
      <c r="J4" s="45" t="s">
        <v>163</v>
      </c>
      <c r="K4" s="45" t="s">
        <v>164</v>
      </c>
      <c r="L4" s="45" t="s">
        <v>165</v>
      </c>
      <c r="M4" s="45" t="s">
        <v>166</v>
      </c>
      <c r="N4" s="45" t="s">
        <v>167</v>
      </c>
      <c r="O4" s="45" t="s">
        <v>168</v>
      </c>
      <c r="P4" s="45" t="s">
        <v>169</v>
      </c>
      <c r="Q4" s="45" t="s">
        <v>170</v>
      </c>
    </row>
    <row r="5" spans="2:18" ht="28.5" customHeight="1" x14ac:dyDescent="0.35">
      <c r="B5" s="275" t="s">
        <v>53</v>
      </c>
      <c r="C5" s="252"/>
      <c r="D5" s="252"/>
      <c r="E5" s="252"/>
      <c r="F5" s="252"/>
      <c r="G5" s="252"/>
      <c r="H5" s="252"/>
      <c r="I5" s="252"/>
      <c r="J5" s="252"/>
      <c r="K5" s="252"/>
      <c r="L5" s="252"/>
      <c r="M5" s="252"/>
      <c r="N5" s="252"/>
      <c r="O5" s="252"/>
      <c r="P5" s="252"/>
      <c r="Q5" s="253"/>
    </row>
    <row r="6" spans="2:18" ht="28.5" customHeight="1" x14ac:dyDescent="0.35">
      <c r="B6" s="55" t="s">
        <v>54</v>
      </c>
      <c r="C6" s="139">
        <v>0</v>
      </c>
      <c r="D6" s="139">
        <v>173.61165025093061</v>
      </c>
      <c r="E6" s="139">
        <v>164.62229726197691</v>
      </c>
      <c r="F6" s="139">
        <v>1660.832723671195</v>
      </c>
      <c r="G6" s="139">
        <v>2761.396824385437</v>
      </c>
      <c r="H6" s="139">
        <v>57.865415019102933</v>
      </c>
      <c r="I6" s="139">
        <v>0</v>
      </c>
      <c r="J6" s="139">
        <v>0</v>
      </c>
      <c r="K6" s="139">
        <v>0</v>
      </c>
      <c r="L6" s="139">
        <v>1033.55286275599</v>
      </c>
      <c r="M6" s="139">
        <v>1161.43109905399</v>
      </c>
      <c r="N6" s="139">
        <v>7944.7535350990738</v>
      </c>
      <c r="O6" s="139">
        <v>1278680.054366309</v>
      </c>
      <c r="P6" s="139">
        <v>1498.014244312393</v>
      </c>
      <c r="Q6" s="140">
        <v>1295136.1350181189</v>
      </c>
      <c r="R6"/>
    </row>
    <row r="7" spans="2:18" ht="28.5" customHeight="1" x14ac:dyDescent="0.35">
      <c r="B7" s="55" t="s">
        <v>55</v>
      </c>
      <c r="C7" s="139">
        <v>0</v>
      </c>
      <c r="D7" s="139">
        <v>612.34</v>
      </c>
      <c r="E7" s="139">
        <v>0</v>
      </c>
      <c r="F7" s="139">
        <v>0</v>
      </c>
      <c r="G7" s="139">
        <v>0</v>
      </c>
      <c r="H7" s="139">
        <v>269.91199999999998</v>
      </c>
      <c r="I7" s="139">
        <v>126280.72900000001</v>
      </c>
      <c r="J7" s="139">
        <v>40402.317000000003</v>
      </c>
      <c r="K7" s="139">
        <v>140000</v>
      </c>
      <c r="L7" s="139">
        <v>14921.248</v>
      </c>
      <c r="M7" s="139">
        <v>0</v>
      </c>
      <c r="N7" s="139">
        <v>11170.89</v>
      </c>
      <c r="O7" s="139">
        <v>0</v>
      </c>
      <c r="P7" s="139">
        <v>6425.5379999999996</v>
      </c>
      <c r="Q7" s="140">
        <v>340082.97399999999</v>
      </c>
      <c r="R7"/>
    </row>
    <row r="8" spans="2:18" ht="28.5" customHeight="1" x14ac:dyDescent="0.35">
      <c r="B8" s="55" t="s">
        <v>56</v>
      </c>
      <c r="C8" s="46">
        <v>0</v>
      </c>
      <c r="D8" s="46">
        <v>8002.6639999999998</v>
      </c>
      <c r="E8" s="46">
        <v>10845.883</v>
      </c>
      <c r="F8" s="46">
        <v>49632.442999999999</v>
      </c>
      <c r="G8" s="46">
        <v>22902.28</v>
      </c>
      <c r="H8" s="46">
        <v>35116.345000000001</v>
      </c>
      <c r="I8" s="46">
        <v>467469.6</v>
      </c>
      <c r="J8" s="46">
        <v>440957.21</v>
      </c>
      <c r="K8" s="46">
        <v>0</v>
      </c>
      <c r="L8" s="46">
        <v>14418.986000000001</v>
      </c>
      <c r="M8" s="46">
        <v>29165.001</v>
      </c>
      <c r="N8" s="46">
        <v>45924.534</v>
      </c>
      <c r="O8" s="46">
        <v>833381.03674799914</v>
      </c>
      <c r="P8" s="46">
        <v>12225.725</v>
      </c>
      <c r="Q8" s="140">
        <v>1970041.7077479991</v>
      </c>
      <c r="R8"/>
    </row>
    <row r="9" spans="2:18" ht="28.5" customHeight="1" x14ac:dyDescent="0.35">
      <c r="B9" s="55" t="s">
        <v>57</v>
      </c>
      <c r="C9" s="46">
        <v>0</v>
      </c>
      <c r="D9" s="46">
        <v>4721.9025952396469</v>
      </c>
      <c r="E9" s="46">
        <v>7051.1264329677379</v>
      </c>
      <c r="F9" s="46">
        <v>94617.471025476276</v>
      </c>
      <c r="G9" s="46">
        <v>1464.7039</v>
      </c>
      <c r="H9" s="46">
        <v>7134.104485087797</v>
      </c>
      <c r="I9" s="46">
        <v>191337.44821999999</v>
      </c>
      <c r="J9" s="46">
        <v>151832.22945000001</v>
      </c>
      <c r="K9" s="46">
        <v>0</v>
      </c>
      <c r="L9" s="46">
        <v>17433.896434464561</v>
      </c>
      <c r="M9" s="46">
        <v>16800.822427045699</v>
      </c>
      <c r="N9" s="46">
        <v>11662.189172584711</v>
      </c>
      <c r="O9" s="46">
        <v>979255.6590799999</v>
      </c>
      <c r="P9" s="46">
        <v>286571.59032999992</v>
      </c>
      <c r="Q9" s="140">
        <v>1769883.1435528661</v>
      </c>
      <c r="R9"/>
    </row>
    <row r="10" spans="2:18" ht="28.5" customHeight="1" x14ac:dyDescent="0.35">
      <c r="B10" s="55" t="s">
        <v>58</v>
      </c>
      <c r="C10" s="46">
        <v>0</v>
      </c>
      <c r="D10" s="46">
        <v>1050.307</v>
      </c>
      <c r="E10" s="46">
        <v>1508.1089999999999</v>
      </c>
      <c r="F10" s="46">
        <v>4811.0590000000002</v>
      </c>
      <c r="G10" s="46">
        <v>839.51499999999999</v>
      </c>
      <c r="H10" s="46">
        <v>-2728.29</v>
      </c>
      <c r="I10" s="46">
        <v>235047.859</v>
      </c>
      <c r="J10" s="46">
        <v>57476.635999999999</v>
      </c>
      <c r="K10" s="46">
        <v>0</v>
      </c>
      <c r="L10" s="46">
        <v>358.47800000000001</v>
      </c>
      <c r="M10" s="46">
        <v>2095.6779999999999</v>
      </c>
      <c r="N10" s="46">
        <v>12290.962</v>
      </c>
      <c r="O10" s="46">
        <v>0</v>
      </c>
      <c r="P10" s="46">
        <v>138.999</v>
      </c>
      <c r="Q10" s="140">
        <v>312889.31199999998</v>
      </c>
      <c r="R10"/>
    </row>
    <row r="11" spans="2:18" ht="28.5" customHeight="1" x14ac:dyDescent="0.35">
      <c r="B11" s="55" t="s">
        <v>59</v>
      </c>
      <c r="C11" s="46">
        <v>0</v>
      </c>
      <c r="D11" s="46">
        <v>9144.7779800000008</v>
      </c>
      <c r="E11" s="46">
        <v>3613.8847000000001</v>
      </c>
      <c r="F11" s="46">
        <v>37818.341569999997</v>
      </c>
      <c r="G11" s="46">
        <v>32165.829880000001</v>
      </c>
      <c r="H11" s="46">
        <v>5457.9871800000001</v>
      </c>
      <c r="I11" s="46">
        <v>503155.66191999998</v>
      </c>
      <c r="J11" s="46">
        <v>428125.55687999999</v>
      </c>
      <c r="K11" s="46">
        <v>0</v>
      </c>
      <c r="L11" s="46">
        <v>5262.2285599999996</v>
      </c>
      <c r="M11" s="46">
        <v>-31187.219000000001</v>
      </c>
      <c r="N11" s="46">
        <v>48217.456330000001</v>
      </c>
      <c r="O11" s="46">
        <v>1560369.51826</v>
      </c>
      <c r="P11" s="46">
        <v>60333.782599999999</v>
      </c>
      <c r="Q11" s="140">
        <v>2662477.8068599999</v>
      </c>
      <c r="R11"/>
    </row>
    <row r="12" spans="2:18" ht="28.5" customHeight="1" x14ac:dyDescent="0.35">
      <c r="B12" s="55" t="s">
        <v>60</v>
      </c>
      <c r="C12" s="46">
        <v>0</v>
      </c>
      <c r="D12" s="46">
        <v>0</v>
      </c>
      <c r="E12" s="46">
        <v>483.82684210526401</v>
      </c>
      <c r="F12" s="46">
        <v>410.77499999999998</v>
      </c>
      <c r="G12" s="46">
        <v>0</v>
      </c>
      <c r="H12" s="46">
        <v>44.25</v>
      </c>
      <c r="I12" s="46">
        <v>10737.252</v>
      </c>
      <c r="J12" s="46">
        <v>982.402063</v>
      </c>
      <c r="K12" s="46">
        <v>0</v>
      </c>
      <c r="L12" s="46">
        <v>0</v>
      </c>
      <c r="M12" s="46">
        <v>173.58699999999999</v>
      </c>
      <c r="N12" s="46">
        <v>492.952</v>
      </c>
      <c r="O12" s="46">
        <v>0</v>
      </c>
      <c r="P12" s="46">
        <v>0</v>
      </c>
      <c r="Q12" s="140">
        <v>13325.04490510526</v>
      </c>
      <c r="R12"/>
    </row>
    <row r="13" spans="2:18" ht="28.5" customHeight="1" x14ac:dyDescent="0.35">
      <c r="B13" s="55" t="s">
        <v>61</v>
      </c>
      <c r="C13" s="46">
        <v>0</v>
      </c>
      <c r="D13" s="46">
        <v>0</v>
      </c>
      <c r="E13" s="46">
        <v>0</v>
      </c>
      <c r="F13" s="46">
        <v>0</v>
      </c>
      <c r="G13" s="46">
        <v>0</v>
      </c>
      <c r="H13" s="46">
        <v>0</v>
      </c>
      <c r="I13" s="46">
        <v>0</v>
      </c>
      <c r="J13" s="46">
        <v>0</v>
      </c>
      <c r="K13" s="46">
        <v>0</v>
      </c>
      <c r="L13" s="46">
        <v>0</v>
      </c>
      <c r="M13" s="46">
        <v>0</v>
      </c>
      <c r="N13" s="46">
        <v>0</v>
      </c>
      <c r="O13" s="46">
        <v>0</v>
      </c>
      <c r="P13" s="46">
        <v>0</v>
      </c>
      <c r="Q13" s="140">
        <v>0</v>
      </c>
      <c r="R13"/>
    </row>
    <row r="14" spans="2:18" ht="28.5" customHeight="1" x14ac:dyDescent="0.35">
      <c r="B14" s="55" t="s">
        <v>62</v>
      </c>
      <c r="C14" s="46">
        <v>0</v>
      </c>
      <c r="D14" s="46">
        <v>0</v>
      </c>
      <c r="E14" s="46">
        <v>0</v>
      </c>
      <c r="F14" s="46">
        <v>0</v>
      </c>
      <c r="G14" s="46">
        <v>0</v>
      </c>
      <c r="H14" s="46">
        <v>0</v>
      </c>
      <c r="I14" s="46">
        <v>115769.8029858598</v>
      </c>
      <c r="J14" s="46">
        <v>58958.393985661452</v>
      </c>
      <c r="K14" s="46">
        <v>914088.21273821534</v>
      </c>
      <c r="L14" s="46">
        <v>0</v>
      </c>
      <c r="M14" s="46">
        <v>0</v>
      </c>
      <c r="N14" s="46">
        <v>0</v>
      </c>
      <c r="O14" s="46">
        <v>0</v>
      </c>
      <c r="P14" s="46">
        <v>0</v>
      </c>
      <c r="Q14" s="140">
        <v>1088816.409709736</v>
      </c>
      <c r="R14"/>
    </row>
    <row r="15" spans="2:18" ht="28.5" customHeight="1" x14ac:dyDescent="0.35">
      <c r="B15" s="55" t="s">
        <v>63</v>
      </c>
      <c r="C15" s="46">
        <v>0</v>
      </c>
      <c r="D15" s="46">
        <v>0</v>
      </c>
      <c r="E15" s="46">
        <v>0</v>
      </c>
      <c r="F15" s="46">
        <v>0</v>
      </c>
      <c r="G15" s="46">
        <v>0</v>
      </c>
      <c r="H15" s="46">
        <v>0</v>
      </c>
      <c r="I15" s="46">
        <v>0</v>
      </c>
      <c r="J15" s="46">
        <v>0</v>
      </c>
      <c r="K15" s="46">
        <v>0</v>
      </c>
      <c r="L15" s="46">
        <v>0</v>
      </c>
      <c r="M15" s="46">
        <v>0</v>
      </c>
      <c r="N15" s="46">
        <v>0</v>
      </c>
      <c r="O15" s="46">
        <v>37057.402999999998</v>
      </c>
      <c r="P15" s="46">
        <v>0</v>
      </c>
      <c r="Q15" s="140">
        <v>37057.402999999998</v>
      </c>
      <c r="R15"/>
    </row>
    <row r="16" spans="2:18" ht="28.5" customHeight="1" x14ac:dyDescent="0.35">
      <c r="B16" s="55" t="s">
        <v>64</v>
      </c>
      <c r="C16" s="46">
        <v>0</v>
      </c>
      <c r="D16" s="46">
        <v>772.18600000000004</v>
      </c>
      <c r="E16" s="46">
        <v>556.78700000000003</v>
      </c>
      <c r="F16" s="46">
        <v>9162.2960000000003</v>
      </c>
      <c r="G16" s="46">
        <v>838.75400000000002</v>
      </c>
      <c r="H16" s="46">
        <v>3225.0819999999999</v>
      </c>
      <c r="I16" s="46">
        <v>217725.867</v>
      </c>
      <c r="J16" s="46">
        <v>112055.79399999999</v>
      </c>
      <c r="K16" s="46">
        <v>3366.134</v>
      </c>
      <c r="L16" s="46">
        <v>4.5</v>
      </c>
      <c r="M16" s="46">
        <v>4478.7529999999997</v>
      </c>
      <c r="N16" s="46">
        <v>17621.216</v>
      </c>
      <c r="O16" s="46">
        <v>7867.6660000000002</v>
      </c>
      <c r="P16" s="46">
        <v>4358.8320000000003</v>
      </c>
      <c r="Q16" s="140">
        <v>382033.86700000003</v>
      </c>
      <c r="R16"/>
    </row>
    <row r="17" spans="2:18" ht="28.5" customHeight="1" x14ac:dyDescent="0.35">
      <c r="B17" s="55" t="s">
        <v>65</v>
      </c>
      <c r="C17" s="46">
        <v>0</v>
      </c>
      <c r="D17" s="46">
        <v>9308.9881900000019</v>
      </c>
      <c r="E17" s="46">
        <v>2370.1109999999999</v>
      </c>
      <c r="F17" s="46">
        <v>32916.099810000072</v>
      </c>
      <c r="G17" s="46">
        <v>6372.7910000000002</v>
      </c>
      <c r="H17" s="46">
        <v>1723.05954</v>
      </c>
      <c r="I17" s="46">
        <v>130674.58990000001</v>
      </c>
      <c r="J17" s="46">
        <v>139636.16680000001</v>
      </c>
      <c r="K17" s="46">
        <v>0</v>
      </c>
      <c r="L17" s="46">
        <v>7164.1041399999986</v>
      </c>
      <c r="M17" s="46">
        <v>2934.1023399999999</v>
      </c>
      <c r="N17" s="46">
        <v>8504.9619999999995</v>
      </c>
      <c r="O17" s="46">
        <v>298507.31037000002</v>
      </c>
      <c r="P17" s="46">
        <v>196.3796800000016</v>
      </c>
      <c r="Q17" s="140">
        <v>640308.66476999992</v>
      </c>
      <c r="R17"/>
    </row>
    <row r="18" spans="2:18" ht="28.5" customHeight="1" x14ac:dyDescent="0.35">
      <c r="B18" s="55" t="s">
        <v>66</v>
      </c>
      <c r="C18" s="46">
        <v>7595.8469999999998</v>
      </c>
      <c r="D18" s="46">
        <v>22039.858</v>
      </c>
      <c r="E18" s="46">
        <v>23831.807000000001</v>
      </c>
      <c r="F18" s="46">
        <v>8548.7880000000005</v>
      </c>
      <c r="G18" s="46">
        <v>12620.212</v>
      </c>
      <c r="H18" s="46">
        <v>27858.937999999998</v>
      </c>
      <c r="I18" s="46">
        <v>292471.77899999998</v>
      </c>
      <c r="J18" s="46">
        <v>302210.554</v>
      </c>
      <c r="K18" s="46">
        <v>0</v>
      </c>
      <c r="L18" s="46">
        <v>2138.165</v>
      </c>
      <c r="M18" s="46">
        <v>60958.483</v>
      </c>
      <c r="N18" s="46">
        <v>182255.81899999999</v>
      </c>
      <c r="O18" s="46">
        <v>436147.85800000001</v>
      </c>
      <c r="P18" s="46">
        <v>116.2</v>
      </c>
      <c r="Q18" s="140">
        <v>1378794.308</v>
      </c>
      <c r="R18"/>
    </row>
    <row r="19" spans="2:18" ht="28.5" customHeight="1" x14ac:dyDescent="0.35">
      <c r="B19" s="55" t="s">
        <v>67</v>
      </c>
      <c r="C19" s="46">
        <v>0</v>
      </c>
      <c r="D19" s="46">
        <v>7179.1880000000001</v>
      </c>
      <c r="E19" s="46">
        <v>6167.2759999999998</v>
      </c>
      <c r="F19" s="46">
        <v>30636.123</v>
      </c>
      <c r="G19" s="46">
        <v>11922.096</v>
      </c>
      <c r="H19" s="46">
        <v>7355.5309999999999</v>
      </c>
      <c r="I19" s="46">
        <v>217657.421</v>
      </c>
      <c r="J19" s="46">
        <v>216872.34599999999</v>
      </c>
      <c r="K19" s="46">
        <v>0</v>
      </c>
      <c r="L19" s="46">
        <v>1166.701</v>
      </c>
      <c r="M19" s="46">
        <v>12537.121999999999</v>
      </c>
      <c r="N19" s="46">
        <v>55920.455000000002</v>
      </c>
      <c r="O19" s="46">
        <v>0</v>
      </c>
      <c r="P19" s="46">
        <v>438.43400000000003</v>
      </c>
      <c r="Q19" s="140">
        <v>567852.69299999997</v>
      </c>
      <c r="R19"/>
    </row>
    <row r="20" spans="2:18" ht="28.5" customHeight="1" x14ac:dyDescent="0.35">
      <c r="B20" s="55" t="s">
        <v>68</v>
      </c>
      <c r="C20" s="46">
        <v>1955.89</v>
      </c>
      <c r="D20" s="46">
        <v>6886.9309999999996</v>
      </c>
      <c r="E20" s="46">
        <v>4025.3989999999999</v>
      </c>
      <c r="F20" s="46">
        <v>20696.043000000001</v>
      </c>
      <c r="G20" s="46">
        <v>737.24800000000005</v>
      </c>
      <c r="H20" s="46">
        <v>3825.3780000000002</v>
      </c>
      <c r="I20" s="46">
        <v>319716.14</v>
      </c>
      <c r="J20" s="46">
        <v>66199.021999999997</v>
      </c>
      <c r="K20" s="46">
        <v>0</v>
      </c>
      <c r="L20" s="46">
        <v>6744.7920000000004</v>
      </c>
      <c r="M20" s="46">
        <v>37904.415999999997</v>
      </c>
      <c r="N20" s="46">
        <v>41665.300999999999</v>
      </c>
      <c r="O20" s="46">
        <v>36195.243999999999</v>
      </c>
      <c r="P20" s="46">
        <v>2851.5390000000002</v>
      </c>
      <c r="Q20" s="140">
        <v>549403.34299999999</v>
      </c>
      <c r="R20"/>
    </row>
    <row r="21" spans="2:18" ht="28.5" customHeight="1" x14ac:dyDescent="0.35">
      <c r="B21" s="55" t="s">
        <v>69</v>
      </c>
      <c r="C21" s="46">
        <v>0</v>
      </c>
      <c r="D21" s="46">
        <v>2814.835</v>
      </c>
      <c r="E21" s="46">
        <v>1168.453</v>
      </c>
      <c r="F21" s="46">
        <v>14722.945</v>
      </c>
      <c r="G21" s="46">
        <v>2343.183</v>
      </c>
      <c r="H21" s="46">
        <v>11012.416999999999</v>
      </c>
      <c r="I21" s="46">
        <v>181971.09400000001</v>
      </c>
      <c r="J21" s="46">
        <v>61383.739000000001</v>
      </c>
      <c r="K21" s="46">
        <v>0</v>
      </c>
      <c r="L21" s="46">
        <v>360.428</v>
      </c>
      <c r="M21" s="46">
        <v>7925.1949999999997</v>
      </c>
      <c r="N21" s="46">
        <v>13967.985000000001</v>
      </c>
      <c r="O21" s="46">
        <v>0</v>
      </c>
      <c r="P21" s="46">
        <v>-6857.69</v>
      </c>
      <c r="Q21" s="140">
        <v>290812.58399999997</v>
      </c>
      <c r="R21"/>
    </row>
    <row r="22" spans="2:18" ht="28.5" customHeight="1" x14ac:dyDescent="0.35">
      <c r="B22" s="55" t="s">
        <v>70</v>
      </c>
      <c r="C22" s="46">
        <v>0</v>
      </c>
      <c r="D22" s="46">
        <v>0</v>
      </c>
      <c r="E22" s="46">
        <v>0</v>
      </c>
      <c r="F22" s="46">
        <v>0</v>
      </c>
      <c r="G22" s="46">
        <v>0</v>
      </c>
      <c r="H22" s="46">
        <v>0</v>
      </c>
      <c r="I22" s="46">
        <v>0</v>
      </c>
      <c r="J22" s="46">
        <v>0</v>
      </c>
      <c r="K22" s="46">
        <v>0</v>
      </c>
      <c r="L22" s="46">
        <v>0</v>
      </c>
      <c r="M22" s="46">
        <v>0</v>
      </c>
      <c r="N22" s="46">
        <v>0</v>
      </c>
      <c r="O22" s="46">
        <v>0</v>
      </c>
      <c r="P22" s="46">
        <v>0</v>
      </c>
      <c r="Q22" s="140">
        <v>0</v>
      </c>
      <c r="R22"/>
    </row>
    <row r="23" spans="2:18" ht="28.5" customHeight="1" x14ac:dyDescent="0.35">
      <c r="B23" s="55" t="s">
        <v>71</v>
      </c>
      <c r="C23" s="46">
        <v>0</v>
      </c>
      <c r="D23" s="46">
        <v>0</v>
      </c>
      <c r="E23" s="46">
        <v>0</v>
      </c>
      <c r="F23" s="46">
        <v>0</v>
      </c>
      <c r="G23" s="46">
        <v>0</v>
      </c>
      <c r="H23" s="46">
        <v>0</v>
      </c>
      <c r="I23" s="46">
        <v>0</v>
      </c>
      <c r="J23" s="46">
        <v>0</v>
      </c>
      <c r="K23" s="46">
        <v>0</v>
      </c>
      <c r="L23" s="46">
        <v>0</v>
      </c>
      <c r="M23" s="46">
        <v>0</v>
      </c>
      <c r="N23" s="46">
        <v>0</v>
      </c>
      <c r="O23" s="46">
        <v>2798584.1069999998</v>
      </c>
      <c r="P23" s="46">
        <v>0</v>
      </c>
      <c r="Q23" s="140">
        <v>2798584.1069999998</v>
      </c>
      <c r="R23"/>
    </row>
    <row r="24" spans="2:18" ht="28.5" customHeight="1" x14ac:dyDescent="0.35">
      <c r="B24" s="55" t="s">
        <v>72</v>
      </c>
      <c r="C24" s="46">
        <v>0</v>
      </c>
      <c r="D24" s="46">
        <v>87.802000000000007</v>
      </c>
      <c r="E24" s="46">
        <v>723.97</v>
      </c>
      <c r="F24" s="46">
        <v>-2327.3409999999999</v>
      </c>
      <c r="G24" s="46">
        <v>5641.7569999999996</v>
      </c>
      <c r="H24" s="46">
        <v>5859.1890000000003</v>
      </c>
      <c r="I24" s="46">
        <v>74036.596000000005</v>
      </c>
      <c r="J24" s="46">
        <v>74014.020999999993</v>
      </c>
      <c r="K24" s="46">
        <v>0</v>
      </c>
      <c r="L24" s="46">
        <v>308.44</v>
      </c>
      <c r="M24" s="46">
        <v>2233.114</v>
      </c>
      <c r="N24" s="46">
        <v>33922.993000000002</v>
      </c>
      <c r="O24" s="46">
        <v>5348.2560000000003</v>
      </c>
      <c r="P24" s="46">
        <v>115.02200000000001</v>
      </c>
      <c r="Q24" s="140">
        <v>199963.81899999999</v>
      </c>
      <c r="R24"/>
    </row>
    <row r="25" spans="2:18" ht="28.5" customHeight="1" x14ac:dyDescent="0.35">
      <c r="B25" s="55" t="s">
        <v>73</v>
      </c>
      <c r="C25" s="46">
        <v>0</v>
      </c>
      <c r="D25" s="46">
        <v>0</v>
      </c>
      <c r="E25" s="46">
        <v>0</v>
      </c>
      <c r="F25" s="46">
        <v>0</v>
      </c>
      <c r="G25" s="46">
        <v>0</v>
      </c>
      <c r="H25" s="46">
        <v>0</v>
      </c>
      <c r="I25" s="46">
        <v>0</v>
      </c>
      <c r="J25" s="46">
        <v>0</v>
      </c>
      <c r="K25" s="46">
        <v>0</v>
      </c>
      <c r="L25" s="46">
        <v>0</v>
      </c>
      <c r="M25" s="46">
        <v>0</v>
      </c>
      <c r="N25" s="46">
        <v>0</v>
      </c>
      <c r="O25" s="46">
        <v>0</v>
      </c>
      <c r="P25" s="46">
        <v>0</v>
      </c>
      <c r="Q25" s="140">
        <v>0</v>
      </c>
      <c r="R25"/>
    </row>
    <row r="26" spans="2:18" ht="28.5" customHeight="1" x14ac:dyDescent="0.35">
      <c r="B26" s="55" t="s">
        <v>74</v>
      </c>
      <c r="C26" s="46">
        <v>0</v>
      </c>
      <c r="D26" s="46">
        <v>10875.529</v>
      </c>
      <c r="E26" s="46">
        <v>2925.1559999999999</v>
      </c>
      <c r="F26" s="46">
        <v>9530.5969999999998</v>
      </c>
      <c r="G26" s="46">
        <v>25211.274000000001</v>
      </c>
      <c r="H26" s="46">
        <v>1436.923</v>
      </c>
      <c r="I26" s="46">
        <v>146233.68700000001</v>
      </c>
      <c r="J26" s="46">
        <v>710347.17</v>
      </c>
      <c r="K26" s="46">
        <v>0</v>
      </c>
      <c r="L26" s="46">
        <v>1366.1220000000001</v>
      </c>
      <c r="M26" s="46">
        <v>1804.9880000000001</v>
      </c>
      <c r="N26" s="46">
        <v>59115.728999999999</v>
      </c>
      <c r="O26" s="46">
        <v>462848.35917800001</v>
      </c>
      <c r="P26" s="46">
        <v>10492.075999999999</v>
      </c>
      <c r="Q26" s="140">
        <v>1442187.6101780001</v>
      </c>
      <c r="R26"/>
    </row>
    <row r="27" spans="2:18" ht="28.5" customHeight="1" x14ac:dyDescent="0.35">
      <c r="B27" s="55" t="s">
        <v>75</v>
      </c>
      <c r="C27" s="46">
        <v>87.602141299999786</v>
      </c>
      <c r="D27" s="46">
        <v>30614.950190337549</v>
      </c>
      <c r="E27" s="46">
        <v>5051.0187400000004</v>
      </c>
      <c r="F27" s="46">
        <v>134813.17436</v>
      </c>
      <c r="G27" s="46">
        <v>2297.26008</v>
      </c>
      <c r="H27" s="46">
        <v>14766.6368475</v>
      </c>
      <c r="I27" s="46">
        <v>80160.498290000003</v>
      </c>
      <c r="J27" s="46">
        <v>84811.230065200012</v>
      </c>
      <c r="K27" s="46">
        <v>0</v>
      </c>
      <c r="L27" s="46">
        <v>1498.56817</v>
      </c>
      <c r="M27" s="46">
        <v>3608.0841499999951</v>
      </c>
      <c r="N27" s="46">
        <v>66540.2497</v>
      </c>
      <c r="O27" s="46">
        <v>0</v>
      </c>
      <c r="P27" s="46">
        <v>2680.1124629999999</v>
      </c>
      <c r="Q27" s="140">
        <v>426929.3851973376</v>
      </c>
      <c r="R27"/>
    </row>
    <row r="28" spans="2:18" ht="28.5" customHeight="1" x14ac:dyDescent="0.35">
      <c r="B28" s="55" t="s">
        <v>76</v>
      </c>
      <c r="C28" s="46">
        <v>0</v>
      </c>
      <c r="D28" s="46">
        <v>374.88479999999998</v>
      </c>
      <c r="E28" s="46">
        <v>55.18</v>
      </c>
      <c r="F28" s="46">
        <v>1156.2687612</v>
      </c>
      <c r="G28" s="46">
        <v>8065.7759999999998</v>
      </c>
      <c r="H28" s="46">
        <v>572.46299999999997</v>
      </c>
      <c r="I28" s="46">
        <v>49379.749900000003</v>
      </c>
      <c r="J28" s="46">
        <v>34581.106079999998</v>
      </c>
      <c r="K28" s="46">
        <v>0</v>
      </c>
      <c r="L28" s="46">
        <v>722.90058999999985</v>
      </c>
      <c r="M28" s="46">
        <v>44.776000000000003</v>
      </c>
      <c r="N28" s="46">
        <v>4151.125</v>
      </c>
      <c r="O28" s="46">
        <v>142874.01618000001</v>
      </c>
      <c r="P28" s="46">
        <v>2952.0786999999991</v>
      </c>
      <c r="Q28" s="140">
        <v>244930.32501120001</v>
      </c>
      <c r="R28"/>
    </row>
    <row r="29" spans="2:18" ht="28.5" customHeight="1" x14ac:dyDescent="0.35">
      <c r="B29" s="55" t="s">
        <v>77</v>
      </c>
      <c r="C29" s="46">
        <v>0</v>
      </c>
      <c r="D29" s="46">
        <v>0</v>
      </c>
      <c r="E29" s="46">
        <v>13264.00698</v>
      </c>
      <c r="F29" s="46">
        <v>14139.624320000041</v>
      </c>
      <c r="G29" s="46">
        <v>3623.56934</v>
      </c>
      <c r="H29" s="46">
        <v>309.69927000000001</v>
      </c>
      <c r="I29" s="46">
        <v>90963.275550000239</v>
      </c>
      <c r="J29" s="46">
        <v>8841.7838299999949</v>
      </c>
      <c r="K29" s="46">
        <v>0</v>
      </c>
      <c r="L29" s="46">
        <v>1103.9748400000001</v>
      </c>
      <c r="M29" s="46">
        <v>7957.6874600000046</v>
      </c>
      <c r="N29" s="46">
        <v>11760.99217000001</v>
      </c>
      <c r="O29" s="46">
        <v>0</v>
      </c>
      <c r="P29" s="46">
        <v>0</v>
      </c>
      <c r="Q29" s="140">
        <v>151964.6137600003</v>
      </c>
      <c r="R29"/>
    </row>
    <row r="30" spans="2:18" ht="28.5" customHeight="1" x14ac:dyDescent="0.35">
      <c r="B30" s="55" t="s">
        <v>78</v>
      </c>
      <c r="C30" s="46">
        <v>0</v>
      </c>
      <c r="D30" s="46">
        <v>15487.6342</v>
      </c>
      <c r="E30" s="46">
        <v>6795.2979999999998</v>
      </c>
      <c r="F30" s="46">
        <v>6179.3450000000003</v>
      </c>
      <c r="G30" s="46">
        <v>87.522000000000006</v>
      </c>
      <c r="H30" s="46">
        <v>8597.6980000000003</v>
      </c>
      <c r="I30" s="46">
        <v>117150.66439999999</v>
      </c>
      <c r="J30" s="46">
        <v>23137.559519999981</v>
      </c>
      <c r="K30" s="46">
        <v>0</v>
      </c>
      <c r="L30" s="46">
        <v>2775.3389999999999</v>
      </c>
      <c r="M30" s="46">
        <v>3033.4389999999999</v>
      </c>
      <c r="N30" s="46">
        <v>45421.387000000002</v>
      </c>
      <c r="O30" s="46">
        <v>0</v>
      </c>
      <c r="P30" s="46">
        <v>5106.9549999999999</v>
      </c>
      <c r="Q30" s="140">
        <v>233772.84112</v>
      </c>
      <c r="R30"/>
    </row>
    <row r="31" spans="2:18" ht="28.5" customHeight="1" x14ac:dyDescent="0.35">
      <c r="B31" s="55" t="s">
        <v>79</v>
      </c>
      <c r="C31" s="46">
        <v>0</v>
      </c>
      <c r="D31" s="46">
        <v>996.79149790000167</v>
      </c>
      <c r="E31" s="46">
        <v>6389.05195</v>
      </c>
      <c r="F31" s="46">
        <v>14033.921260200001</v>
      </c>
      <c r="G31" s="46">
        <v>1592.749433700001</v>
      </c>
      <c r="H31" s="46">
        <v>5282.7071699999997</v>
      </c>
      <c r="I31" s="46">
        <v>201478.40418000001</v>
      </c>
      <c r="J31" s="46">
        <v>168695.5690299999</v>
      </c>
      <c r="K31" s="46">
        <v>0</v>
      </c>
      <c r="L31" s="46">
        <v>2767.5961508</v>
      </c>
      <c r="M31" s="46">
        <v>17851.97565</v>
      </c>
      <c r="N31" s="46">
        <v>28109.555220000009</v>
      </c>
      <c r="O31" s="46">
        <v>2297243.1367299841</v>
      </c>
      <c r="P31" s="46">
        <v>2937.5628000000002</v>
      </c>
      <c r="Q31" s="140">
        <v>2747379.0210725842</v>
      </c>
      <c r="R31"/>
    </row>
    <row r="32" spans="2:18" ht="28.5" customHeight="1" x14ac:dyDescent="0.35">
      <c r="B32" s="55" t="s">
        <v>80</v>
      </c>
      <c r="C32" s="46">
        <v>0</v>
      </c>
      <c r="D32" s="46">
        <v>6067.5339999999997</v>
      </c>
      <c r="E32" s="46">
        <v>462.29</v>
      </c>
      <c r="F32" s="46">
        <v>5667.165</v>
      </c>
      <c r="G32" s="46">
        <v>4055.7919999999999</v>
      </c>
      <c r="H32" s="46">
        <v>0</v>
      </c>
      <c r="I32" s="46">
        <v>93449.983999999997</v>
      </c>
      <c r="J32" s="46">
        <v>45574.152999999998</v>
      </c>
      <c r="K32" s="46">
        <v>0</v>
      </c>
      <c r="L32" s="46">
        <v>1703.1990000000001</v>
      </c>
      <c r="M32" s="46">
        <v>381.774</v>
      </c>
      <c r="N32" s="46">
        <v>4537.3509999999997</v>
      </c>
      <c r="O32" s="46">
        <v>210892.948</v>
      </c>
      <c r="P32" s="46">
        <v>537.71299999999997</v>
      </c>
      <c r="Q32" s="140">
        <v>373329.90299999999</v>
      </c>
      <c r="R32"/>
    </row>
    <row r="33" spans="2:18" ht="28.5" customHeight="1" x14ac:dyDescent="0.35">
      <c r="B33" s="55" t="s">
        <v>81</v>
      </c>
      <c r="C33" s="46">
        <v>0</v>
      </c>
      <c r="D33" s="46">
        <v>864.02700000000004</v>
      </c>
      <c r="E33" s="46">
        <v>541.17600000000004</v>
      </c>
      <c r="F33" s="46">
        <v>30697.547999999999</v>
      </c>
      <c r="G33" s="46">
        <v>114.95</v>
      </c>
      <c r="H33" s="46">
        <v>0</v>
      </c>
      <c r="I33" s="46">
        <v>164989.79428413909</v>
      </c>
      <c r="J33" s="46">
        <v>86328.046000000002</v>
      </c>
      <c r="K33" s="46">
        <v>0</v>
      </c>
      <c r="L33" s="46">
        <v>1344.9449999999999</v>
      </c>
      <c r="M33" s="46">
        <v>2041.5840000000001</v>
      </c>
      <c r="N33" s="46">
        <v>12862.796</v>
      </c>
      <c r="O33" s="46">
        <v>0</v>
      </c>
      <c r="P33" s="46">
        <v>59.55</v>
      </c>
      <c r="Q33" s="140">
        <v>299844.41628413921</v>
      </c>
      <c r="R33"/>
    </row>
    <row r="34" spans="2:18" ht="28.5" customHeight="1" x14ac:dyDescent="0.35">
      <c r="B34" s="55" t="s">
        <v>82</v>
      </c>
      <c r="C34" s="46">
        <v>0</v>
      </c>
      <c r="D34" s="46">
        <v>3779.60574</v>
      </c>
      <c r="E34" s="46">
        <v>15507.553110000001</v>
      </c>
      <c r="F34" s="46">
        <v>11759.418019999999</v>
      </c>
      <c r="G34" s="46">
        <v>-643.51965999999925</v>
      </c>
      <c r="H34" s="46">
        <v>4154.0905000000002</v>
      </c>
      <c r="I34" s="46">
        <v>190305.72080000001</v>
      </c>
      <c r="J34" s="46">
        <v>110100.93061</v>
      </c>
      <c r="K34" s="46">
        <v>17093.98699999999</v>
      </c>
      <c r="L34" s="46">
        <v>183.8053700000001</v>
      </c>
      <c r="M34" s="46">
        <v>0</v>
      </c>
      <c r="N34" s="46">
        <v>16256.683960000029</v>
      </c>
      <c r="O34" s="46">
        <v>9774.3651900000004</v>
      </c>
      <c r="P34" s="46">
        <v>8.2286999999999537</v>
      </c>
      <c r="Q34" s="140">
        <v>378280.86933999998</v>
      </c>
      <c r="R34"/>
    </row>
    <row r="35" spans="2:18" ht="28.5" customHeight="1" x14ac:dyDescent="0.35">
      <c r="B35" s="55" t="s">
        <v>83</v>
      </c>
      <c r="C35" s="46">
        <v>0</v>
      </c>
      <c r="D35" s="46">
        <v>0</v>
      </c>
      <c r="E35" s="46">
        <v>0</v>
      </c>
      <c r="F35" s="46">
        <v>0</v>
      </c>
      <c r="G35" s="46">
        <v>0</v>
      </c>
      <c r="H35" s="46">
        <v>0</v>
      </c>
      <c r="I35" s="46">
        <v>4301.1939999999959</v>
      </c>
      <c r="J35" s="46">
        <v>910</v>
      </c>
      <c r="K35" s="46">
        <v>0</v>
      </c>
      <c r="L35" s="46">
        <v>84.910149999999987</v>
      </c>
      <c r="M35" s="46">
        <v>0</v>
      </c>
      <c r="N35" s="46">
        <v>426.95528000000098</v>
      </c>
      <c r="O35" s="46">
        <v>198982.04857000001</v>
      </c>
      <c r="P35" s="46">
        <v>0</v>
      </c>
      <c r="Q35" s="140">
        <v>204705.10800000001</v>
      </c>
      <c r="R35"/>
    </row>
    <row r="36" spans="2:18" ht="28.5" customHeight="1" x14ac:dyDescent="0.35">
      <c r="B36" s="55" t="s">
        <v>84</v>
      </c>
      <c r="C36" s="46">
        <v>0</v>
      </c>
      <c r="D36" s="46">
        <v>2254.3898473033451</v>
      </c>
      <c r="E36" s="46">
        <v>2798.7214664471039</v>
      </c>
      <c r="F36" s="46">
        <v>2798.7214664471039</v>
      </c>
      <c r="G36" s="46">
        <v>12000.715508643651</v>
      </c>
      <c r="H36" s="46">
        <v>3269.6128894786239</v>
      </c>
      <c r="I36" s="46">
        <v>31169.573017998671</v>
      </c>
      <c r="J36" s="46">
        <v>45304.783506997963</v>
      </c>
      <c r="K36" s="46">
        <v>0</v>
      </c>
      <c r="L36" s="46">
        <v>241.6094873118071</v>
      </c>
      <c r="M36" s="46">
        <v>2931.447762868384</v>
      </c>
      <c r="N36" s="46">
        <v>0</v>
      </c>
      <c r="O36" s="46">
        <v>0</v>
      </c>
      <c r="P36" s="46">
        <v>1532.417973650721</v>
      </c>
      <c r="Q36" s="140">
        <v>104301.9929271474</v>
      </c>
      <c r="R36"/>
    </row>
    <row r="37" spans="2:18" ht="28.5" customHeight="1" x14ac:dyDescent="0.35">
      <c r="B37" s="55" t="s">
        <v>85</v>
      </c>
      <c r="C37" s="46">
        <v>0</v>
      </c>
      <c r="D37" s="46">
        <v>11379.018</v>
      </c>
      <c r="E37" s="46">
        <v>3834.9140000000002</v>
      </c>
      <c r="F37" s="46">
        <v>39844.614000000001</v>
      </c>
      <c r="G37" s="46">
        <v>3043.8510000000001</v>
      </c>
      <c r="H37" s="46">
        <v>5319.3109999999997</v>
      </c>
      <c r="I37" s="46">
        <v>10248.405000000001</v>
      </c>
      <c r="J37" s="46">
        <v>9528.5570000000007</v>
      </c>
      <c r="K37" s="46">
        <v>0</v>
      </c>
      <c r="L37" s="46">
        <v>561.32600000000002</v>
      </c>
      <c r="M37" s="46">
        <v>6650.0630000000001</v>
      </c>
      <c r="N37" s="46">
        <v>15006.403</v>
      </c>
      <c r="O37" s="46">
        <v>98.022999999999996</v>
      </c>
      <c r="P37" s="46">
        <v>572.798</v>
      </c>
      <c r="Q37" s="140">
        <v>106087.283</v>
      </c>
      <c r="R37"/>
    </row>
    <row r="38" spans="2:18" ht="28.5" customHeight="1" x14ac:dyDescent="0.35">
      <c r="B38" s="55" t="s">
        <v>86</v>
      </c>
      <c r="C38" s="46">
        <v>519.76700000000005</v>
      </c>
      <c r="D38" s="46">
        <v>2674.2579999999998</v>
      </c>
      <c r="E38" s="46">
        <v>6431.7929999999997</v>
      </c>
      <c r="F38" s="46">
        <v>18311.636999999999</v>
      </c>
      <c r="G38" s="46">
        <v>4305.2129999999997</v>
      </c>
      <c r="H38" s="46">
        <v>382.774</v>
      </c>
      <c r="I38" s="46">
        <v>184755.709</v>
      </c>
      <c r="J38" s="46">
        <v>72075.826000000001</v>
      </c>
      <c r="K38" s="46">
        <v>1296.367</v>
      </c>
      <c r="L38" s="46">
        <v>3753.2979999999998</v>
      </c>
      <c r="M38" s="46">
        <v>1096.6369999999999</v>
      </c>
      <c r="N38" s="46">
        <v>10043.252</v>
      </c>
      <c r="O38" s="46">
        <v>377264.1</v>
      </c>
      <c r="P38" s="46">
        <v>6595.0119999999997</v>
      </c>
      <c r="Q38" s="140">
        <v>689505.64300000004</v>
      </c>
      <c r="R38"/>
    </row>
    <row r="39" spans="2:18" ht="28.5" customHeight="1" x14ac:dyDescent="0.35">
      <c r="B39" s="55" t="s">
        <v>87</v>
      </c>
      <c r="C39" s="46">
        <v>0</v>
      </c>
      <c r="D39" s="46">
        <v>396.80513000000002</v>
      </c>
      <c r="E39" s="46">
        <v>253.2</v>
      </c>
      <c r="F39" s="46">
        <v>5085.3450000000003</v>
      </c>
      <c r="G39" s="46">
        <v>0</v>
      </c>
      <c r="H39" s="46">
        <v>0</v>
      </c>
      <c r="I39" s="46">
        <v>60468.565599999987</v>
      </c>
      <c r="J39" s="46">
        <v>25872.42038</v>
      </c>
      <c r="K39" s="46">
        <v>0</v>
      </c>
      <c r="L39" s="46">
        <v>168.62877</v>
      </c>
      <c r="M39" s="46">
        <v>0</v>
      </c>
      <c r="N39" s="46">
        <v>2377.9624199999998</v>
      </c>
      <c r="O39" s="46">
        <v>22252.901000000002</v>
      </c>
      <c r="P39" s="46">
        <v>12.79452000000008</v>
      </c>
      <c r="Q39" s="140">
        <v>116888.62282</v>
      </c>
      <c r="R39"/>
    </row>
    <row r="40" spans="2:18" ht="28.5" customHeight="1" x14ac:dyDescent="0.35">
      <c r="B40" s="55" t="s">
        <v>88</v>
      </c>
      <c r="C40" s="46">
        <v>0</v>
      </c>
      <c r="D40" s="46">
        <v>221.167</v>
      </c>
      <c r="E40" s="46">
        <v>0</v>
      </c>
      <c r="F40" s="46">
        <v>168.03100000000001</v>
      </c>
      <c r="G40" s="46">
        <v>-200.85</v>
      </c>
      <c r="H40" s="46">
        <v>-5.23</v>
      </c>
      <c r="I40" s="46">
        <v>93770.164999999994</v>
      </c>
      <c r="J40" s="46">
        <v>78852.804000000004</v>
      </c>
      <c r="K40" s="46">
        <v>0</v>
      </c>
      <c r="L40" s="46">
        <v>155.27199999999999</v>
      </c>
      <c r="M40" s="46">
        <v>-5.2999999999999999E-2</v>
      </c>
      <c r="N40" s="46">
        <v>1178.4190000000001</v>
      </c>
      <c r="O40" s="46">
        <v>0</v>
      </c>
      <c r="P40" s="46">
        <v>464.6</v>
      </c>
      <c r="Q40" s="140">
        <v>174604.32500000001</v>
      </c>
      <c r="R40"/>
    </row>
    <row r="41" spans="2:18" ht="28.5" customHeight="1" x14ac:dyDescent="0.35">
      <c r="B41" s="55" t="s">
        <v>89</v>
      </c>
      <c r="C41" s="46">
        <v>0</v>
      </c>
      <c r="D41" s="46">
        <v>0</v>
      </c>
      <c r="E41" s="46">
        <v>0</v>
      </c>
      <c r="F41" s="46">
        <v>0</v>
      </c>
      <c r="G41" s="46">
        <v>0</v>
      </c>
      <c r="H41" s="46">
        <v>0</v>
      </c>
      <c r="I41" s="46">
        <v>0</v>
      </c>
      <c r="J41" s="46">
        <v>0</v>
      </c>
      <c r="K41" s="46">
        <v>0</v>
      </c>
      <c r="L41" s="46">
        <v>0</v>
      </c>
      <c r="M41" s="46">
        <v>0</v>
      </c>
      <c r="N41" s="46">
        <v>0</v>
      </c>
      <c r="O41" s="46">
        <v>0</v>
      </c>
      <c r="P41" s="46">
        <v>0</v>
      </c>
      <c r="Q41" s="140">
        <v>0</v>
      </c>
      <c r="R41"/>
    </row>
    <row r="42" spans="2:18" ht="28.5" customHeight="1" x14ac:dyDescent="0.3">
      <c r="B42" s="56" t="s">
        <v>90</v>
      </c>
      <c r="C42" s="57">
        <f t="shared" ref="C42:Q42" si="0">SUM(C6:C41)</f>
        <v>10159.106141299999</v>
      </c>
      <c r="D42" s="57">
        <f t="shared" si="0"/>
        <v>158781.98582103144</v>
      </c>
      <c r="E42" s="57">
        <f t="shared" si="0"/>
        <v>126820.61451878209</v>
      </c>
      <c r="F42" s="57">
        <f t="shared" si="0"/>
        <v>597491.28631699469</v>
      </c>
      <c r="G42" s="57">
        <f t="shared" si="0"/>
        <v>164164.0693067291</v>
      </c>
      <c r="H42" s="57">
        <f t="shared" si="0"/>
        <v>150298.4542970855</v>
      </c>
      <c r="I42" s="57">
        <f t="shared" si="0"/>
        <v>4602877.2300479999</v>
      </c>
      <c r="J42" s="57">
        <f t="shared" si="0"/>
        <v>3656068.3272008593</v>
      </c>
      <c r="K42" s="57">
        <f t="shared" si="0"/>
        <v>1075844.7007382156</v>
      </c>
      <c r="L42" s="57">
        <f t="shared" si="0"/>
        <v>89747.014525332357</v>
      </c>
      <c r="M42" s="57">
        <f t="shared" si="0"/>
        <v>194582.88888896815</v>
      </c>
      <c r="N42" s="57">
        <f t="shared" si="0"/>
        <v>769351.32878768386</v>
      </c>
      <c r="O42" s="57">
        <f t="shared" si="0"/>
        <v>11993624.010672292</v>
      </c>
      <c r="P42" s="57">
        <f t="shared" si="0"/>
        <v>402364.26501096302</v>
      </c>
      <c r="Q42" s="57">
        <f t="shared" si="0"/>
        <v>23992175.282274242</v>
      </c>
    </row>
    <row r="43" spans="2:18" ht="28.5" customHeight="1" x14ac:dyDescent="0.35">
      <c r="B43" s="273" t="s">
        <v>91</v>
      </c>
      <c r="C43" s="252"/>
      <c r="D43" s="252"/>
      <c r="E43" s="252"/>
      <c r="F43" s="252"/>
      <c r="G43" s="252"/>
      <c r="H43" s="252"/>
      <c r="I43" s="252"/>
      <c r="J43" s="252"/>
      <c r="K43" s="252"/>
      <c r="L43" s="252"/>
      <c r="M43" s="252"/>
      <c r="N43" s="252"/>
      <c r="O43" s="252"/>
      <c r="P43" s="252"/>
      <c r="Q43" s="253"/>
    </row>
    <row r="44" spans="2:18" ht="28.5" customHeight="1" x14ac:dyDescent="0.35">
      <c r="B44" s="55" t="s">
        <v>92</v>
      </c>
      <c r="C44" s="46">
        <v>2267.7069895999998</v>
      </c>
      <c r="D44" s="46">
        <v>65233.74409</v>
      </c>
      <c r="E44" s="46">
        <v>56922.834378800013</v>
      </c>
      <c r="F44" s="46">
        <v>162011.14400120001</v>
      </c>
      <c r="G44" s="46">
        <v>7389.103780800001</v>
      </c>
      <c r="H44" s="46">
        <v>26078.630380400002</v>
      </c>
      <c r="I44" s="46">
        <v>1935.2414664</v>
      </c>
      <c r="J44" s="46">
        <v>8268.7589927999998</v>
      </c>
      <c r="K44" s="46">
        <v>0</v>
      </c>
      <c r="L44" s="46">
        <v>8045.2002232999994</v>
      </c>
      <c r="M44" s="46">
        <v>423.43159070000002</v>
      </c>
      <c r="N44" s="46">
        <v>846.86318140000003</v>
      </c>
      <c r="O44" s="46">
        <v>252351.65724999999</v>
      </c>
      <c r="P44" s="46">
        <v>33027.664074599998</v>
      </c>
      <c r="Q44" s="58">
        <v>624801.98039999988</v>
      </c>
      <c r="R44"/>
    </row>
    <row r="45" spans="2:18" ht="28.5" customHeight="1" x14ac:dyDescent="0.35">
      <c r="B45" s="55" t="s">
        <v>93</v>
      </c>
      <c r="C45" s="46">
        <v>6.6212700000000009</v>
      </c>
      <c r="D45" s="46">
        <v>50999.188129999988</v>
      </c>
      <c r="E45" s="46">
        <v>-19366.695650000001</v>
      </c>
      <c r="F45" s="46">
        <v>230953.45151000001</v>
      </c>
      <c r="G45" s="46">
        <v>456.21550999999999</v>
      </c>
      <c r="H45" s="46">
        <v>18297.42901</v>
      </c>
      <c r="I45" s="46">
        <v>0</v>
      </c>
      <c r="J45" s="46">
        <v>28095.076639999999</v>
      </c>
      <c r="K45" s="46">
        <v>0</v>
      </c>
      <c r="L45" s="46">
        <v>3333.5247299999992</v>
      </c>
      <c r="M45" s="46">
        <v>0</v>
      </c>
      <c r="N45" s="46">
        <v>0</v>
      </c>
      <c r="O45" s="46">
        <v>185320.88380000001</v>
      </c>
      <c r="P45" s="46">
        <v>35930.498290000003</v>
      </c>
      <c r="Q45" s="58">
        <v>534026.19324000005</v>
      </c>
      <c r="R45"/>
    </row>
    <row r="46" spans="2:18" ht="28.5" customHeight="1" x14ac:dyDescent="0.35">
      <c r="B46" s="55" t="s">
        <v>94</v>
      </c>
      <c r="C46" s="46">
        <v>0</v>
      </c>
      <c r="D46" s="46">
        <v>10934.781000000001</v>
      </c>
      <c r="E46" s="46">
        <v>28890.653999999999</v>
      </c>
      <c r="F46" s="46">
        <v>211864.79699999999</v>
      </c>
      <c r="G46" s="46">
        <v>422.512</v>
      </c>
      <c r="H46" s="46">
        <v>9000.5319999999992</v>
      </c>
      <c r="I46" s="46">
        <v>1270.076</v>
      </c>
      <c r="J46" s="46">
        <v>1375.9159999999999</v>
      </c>
      <c r="K46" s="46">
        <v>0</v>
      </c>
      <c r="L46" s="46">
        <v>270.38900000000001</v>
      </c>
      <c r="M46" s="46">
        <v>10626.674999999999</v>
      </c>
      <c r="N46" s="46">
        <v>823.25800000000004</v>
      </c>
      <c r="O46" s="46">
        <v>77269.494999999995</v>
      </c>
      <c r="P46" s="46">
        <v>626.92100000000005</v>
      </c>
      <c r="Q46" s="58">
        <v>353376.00599999999</v>
      </c>
      <c r="R46"/>
    </row>
    <row r="47" spans="2:18" ht="28.5" customHeight="1" x14ac:dyDescent="0.35">
      <c r="B47" s="141" t="s">
        <v>95</v>
      </c>
      <c r="C47" s="46">
        <v>-16042.578680000001</v>
      </c>
      <c r="D47" s="46">
        <v>103273.3315</v>
      </c>
      <c r="E47" s="46">
        <v>80757.974119999984</v>
      </c>
      <c r="F47" s="46">
        <v>676792.69180000003</v>
      </c>
      <c r="G47" s="46">
        <v>3602.8672499999989</v>
      </c>
      <c r="H47" s="46">
        <v>16009.60769999998</v>
      </c>
      <c r="I47" s="46">
        <v>3029.0575699999999</v>
      </c>
      <c r="J47" s="46">
        <v>217896.31294</v>
      </c>
      <c r="K47" s="46">
        <v>0</v>
      </c>
      <c r="L47" s="46">
        <v>67681.073870000007</v>
      </c>
      <c r="M47" s="46">
        <v>935.60137000000009</v>
      </c>
      <c r="N47" s="46">
        <v>1687.3298299999999</v>
      </c>
      <c r="O47" s="46">
        <v>519877.65723000013</v>
      </c>
      <c r="P47" s="46">
        <v>227253.8485799999</v>
      </c>
      <c r="Q47" s="58">
        <v>1902754.7750800001</v>
      </c>
      <c r="R47"/>
    </row>
    <row r="48" spans="2:18" ht="28.5" customHeight="1" x14ac:dyDescent="0.35">
      <c r="B48" s="55" t="s">
        <v>96</v>
      </c>
      <c r="C48" s="46">
        <v>-773.27585843422969</v>
      </c>
      <c r="D48" s="46">
        <v>80238.631573009101</v>
      </c>
      <c r="E48" s="46">
        <v>1441.6207829084281</v>
      </c>
      <c r="F48" s="46">
        <v>343361.44175991282</v>
      </c>
      <c r="G48" s="46">
        <v>177160.0886133477</v>
      </c>
      <c r="H48" s="46">
        <v>71544.955679537888</v>
      </c>
      <c r="I48" s="46">
        <v>9452.6341788762347</v>
      </c>
      <c r="J48" s="46">
        <v>53021.255983146577</v>
      </c>
      <c r="K48" s="46">
        <v>0</v>
      </c>
      <c r="L48" s="46">
        <v>65575.686207136358</v>
      </c>
      <c r="M48" s="46">
        <v>1266.1218638611999</v>
      </c>
      <c r="N48" s="46">
        <v>56345.490333186128</v>
      </c>
      <c r="O48" s="46">
        <v>119812.6514136562</v>
      </c>
      <c r="P48" s="46">
        <v>169968.47465060209</v>
      </c>
      <c r="Q48" s="58">
        <v>1148415.7771807469</v>
      </c>
      <c r="R48"/>
    </row>
    <row r="49" spans="2:17" ht="28.5" customHeight="1" x14ac:dyDescent="0.3">
      <c r="B49" s="56" t="s">
        <v>90</v>
      </c>
      <c r="C49" s="57">
        <f t="shared" ref="C49:Q49" si="1">SUM(C44:C48)</f>
        <v>-14541.52627883423</v>
      </c>
      <c r="D49" s="57">
        <f t="shared" si="1"/>
        <v>310679.67629300908</v>
      </c>
      <c r="E49" s="57">
        <f t="shared" si="1"/>
        <v>148646.38763170844</v>
      </c>
      <c r="F49" s="57">
        <f t="shared" si="1"/>
        <v>1624983.5260711128</v>
      </c>
      <c r="G49" s="57">
        <f t="shared" si="1"/>
        <v>189030.78715414769</v>
      </c>
      <c r="H49" s="57">
        <f t="shared" si="1"/>
        <v>140931.15476993786</v>
      </c>
      <c r="I49" s="57">
        <f t="shared" si="1"/>
        <v>15687.009215276234</v>
      </c>
      <c r="J49" s="57">
        <f t="shared" si="1"/>
        <v>308657.32055594656</v>
      </c>
      <c r="K49" s="57">
        <f t="shared" si="1"/>
        <v>0</v>
      </c>
      <c r="L49" s="57">
        <f t="shared" si="1"/>
        <v>144905.87403043636</v>
      </c>
      <c r="M49" s="57">
        <f t="shared" si="1"/>
        <v>13251.829824561199</v>
      </c>
      <c r="N49" s="57">
        <f t="shared" si="1"/>
        <v>59702.941344586128</v>
      </c>
      <c r="O49" s="57">
        <f t="shared" si="1"/>
        <v>1154632.3446936563</v>
      </c>
      <c r="P49" s="57">
        <f t="shared" si="1"/>
        <v>466807.40659520199</v>
      </c>
      <c r="Q49" s="57">
        <f t="shared" si="1"/>
        <v>4563374.7319007469</v>
      </c>
    </row>
    <row r="50" spans="2:17" ht="19.5" customHeight="1" x14ac:dyDescent="0.3">
      <c r="B50" s="272" t="s">
        <v>98</v>
      </c>
      <c r="C50" s="238"/>
      <c r="D50" s="238"/>
      <c r="E50" s="238"/>
      <c r="F50" s="238"/>
      <c r="G50" s="238"/>
      <c r="H50" s="238"/>
      <c r="I50" s="238"/>
      <c r="J50" s="238"/>
      <c r="K50" s="238"/>
      <c r="L50" s="238"/>
      <c r="M50" s="238"/>
      <c r="N50" s="238"/>
      <c r="O50" s="238"/>
      <c r="P50" s="238"/>
      <c r="Q50" s="238"/>
    </row>
  </sheetData>
  <sheetProtection algorithmName="SHA-512" hashValue="34Ih+LNZ/TmyqsIvOgJDUxmJuXbaf15BuF9vu/8KAtJEBCRLRdPpMEHab4EY/DMfsiJR0ydVEgfRhbDiTCQEVg==" saltValue="Kv9LvFxajIfju8+7ZxMXJw==" spinCount="100000" sheet="1" objects="1" scenarios="1"/>
  <mergeCells count="4">
    <mergeCell ref="B50:Q50"/>
    <mergeCell ref="B43:Q43"/>
    <mergeCell ref="B3:Q3"/>
    <mergeCell ref="B5:Q5"/>
  </mergeCells>
  <pageMargins left="0.7" right="0.7" top="0.75" bottom="0.75" header="0.3" footer="0.3"/>
  <pageSetup scale="34"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9">
    <tabColor rgb="FF92D050"/>
  </sheetPr>
  <dimension ref="B3:R50"/>
  <sheetViews>
    <sheetView zoomScale="53" zoomScaleNormal="85" workbookViewId="0">
      <pane xSplit="2" ySplit="5" topLeftCell="C23" activePane="bottomRight" state="frozen"/>
      <selection pane="topRight" activeCell="C1" sqref="C1"/>
      <selection pane="bottomLeft" activeCell="A6" sqref="A6"/>
      <selection pane="bottomRight" activeCell="G33" sqref="G33"/>
    </sheetView>
  </sheetViews>
  <sheetFormatPr defaultColWidth="9.453125" defaultRowHeight="14" x14ac:dyDescent="0.3"/>
  <cols>
    <col min="1" max="1" width="16.453125" style="2" customWidth="1"/>
    <col min="2" max="2" width="52.7265625" style="2" bestFit="1" customWidth="1"/>
    <col min="3" max="17" width="19.54296875" style="2" customWidth="1"/>
    <col min="18" max="18" width="21.54296875" style="2" customWidth="1"/>
    <col min="19" max="19" width="14.54296875" style="2" bestFit="1" customWidth="1"/>
    <col min="20" max="70" width="9.453125" style="2" customWidth="1"/>
    <col min="71" max="16384" width="9.453125" style="2"/>
  </cols>
  <sheetData>
    <row r="3" spans="2:18" ht="19.5" customHeight="1" x14ac:dyDescent="0.35">
      <c r="B3" s="279" t="str">
        <f>_xlfn.CONCAT('Table of Contents'!B25,": ",'Table of Contents'!C25)</f>
        <v>APPENDIX 18: SUMMARY OF CLAIMS INCURRED UNDER GENERAL INSURANCE BUSINESS FOR THE PERIOD ENDED 31.03.2025</v>
      </c>
      <c r="C3" s="252"/>
      <c r="D3" s="252"/>
      <c r="E3" s="252"/>
      <c r="F3" s="252"/>
      <c r="G3" s="252"/>
      <c r="H3" s="252"/>
      <c r="I3" s="252"/>
      <c r="J3" s="252"/>
      <c r="K3" s="252"/>
      <c r="L3" s="252"/>
      <c r="M3" s="252"/>
      <c r="N3" s="252"/>
      <c r="O3" s="252"/>
      <c r="P3" s="252"/>
      <c r="Q3" s="253"/>
    </row>
    <row r="4" spans="2:18" s="59" customFormat="1" ht="46.5" customHeight="1" x14ac:dyDescent="0.35">
      <c r="B4" s="107" t="s">
        <v>36</v>
      </c>
      <c r="C4" s="107" t="s">
        <v>156</v>
      </c>
      <c r="D4" s="107" t="s">
        <v>157</v>
      </c>
      <c r="E4" s="107" t="s">
        <v>158</v>
      </c>
      <c r="F4" s="107" t="s">
        <v>159</v>
      </c>
      <c r="G4" s="107" t="s">
        <v>160</v>
      </c>
      <c r="H4" s="107" t="s">
        <v>161</v>
      </c>
      <c r="I4" s="107" t="s">
        <v>162</v>
      </c>
      <c r="J4" s="107" t="s">
        <v>163</v>
      </c>
      <c r="K4" s="107" t="s">
        <v>164</v>
      </c>
      <c r="L4" s="107" t="s">
        <v>165</v>
      </c>
      <c r="M4" s="107" t="s">
        <v>166</v>
      </c>
      <c r="N4" s="107" t="s">
        <v>167</v>
      </c>
      <c r="O4" s="107" t="s">
        <v>168</v>
      </c>
      <c r="P4" s="107" t="s">
        <v>169</v>
      </c>
      <c r="Q4" s="107" t="s">
        <v>170</v>
      </c>
    </row>
    <row r="5" spans="2:18" ht="28.5" customHeight="1" x14ac:dyDescent="0.35">
      <c r="B5" s="280" t="s">
        <v>53</v>
      </c>
      <c r="C5" s="252"/>
      <c r="D5" s="252"/>
      <c r="E5" s="252"/>
      <c r="F5" s="252"/>
      <c r="G5" s="252"/>
      <c r="H5" s="252"/>
      <c r="I5" s="252"/>
      <c r="J5" s="252"/>
      <c r="K5" s="252"/>
      <c r="L5" s="252"/>
      <c r="M5" s="252"/>
      <c r="N5" s="252"/>
      <c r="O5" s="252"/>
      <c r="P5" s="252"/>
      <c r="Q5" s="253"/>
    </row>
    <row r="6" spans="2:18" ht="28.5" customHeight="1" x14ac:dyDescent="0.35">
      <c r="B6" s="100" t="s">
        <v>54</v>
      </c>
      <c r="C6" s="108">
        <v>0</v>
      </c>
      <c r="D6" s="101">
        <v>254.35605494410831</v>
      </c>
      <c r="E6" s="101">
        <v>341.95443905065838</v>
      </c>
      <c r="F6" s="101">
        <v>2556.7827594651458</v>
      </c>
      <c r="G6" s="101">
        <v>295.35650427361759</v>
      </c>
      <c r="H6" s="101">
        <v>-214.126585698626</v>
      </c>
      <c r="I6" s="101">
        <v>0</v>
      </c>
      <c r="J6" s="101">
        <v>0</v>
      </c>
      <c r="K6" s="101">
        <v>0</v>
      </c>
      <c r="L6" s="101">
        <v>3138.321596372537</v>
      </c>
      <c r="M6" s="101">
        <v>849.32674085287567</v>
      </c>
      <c r="N6" s="101">
        <v>6070.3844889693637</v>
      </c>
      <c r="O6" s="101">
        <v>1521687.0128870821</v>
      </c>
      <c r="P6" s="101">
        <v>1546.545104687774</v>
      </c>
      <c r="Q6" s="102">
        <v>1536525.91399</v>
      </c>
      <c r="R6"/>
    </row>
    <row r="7" spans="2:18" ht="28.5" customHeight="1" x14ac:dyDescent="0.35">
      <c r="B7" s="100" t="s">
        <v>55</v>
      </c>
      <c r="C7" s="101">
        <v>0</v>
      </c>
      <c r="D7" s="101">
        <v>-8472.1984755996582</v>
      </c>
      <c r="E7" s="101">
        <v>0</v>
      </c>
      <c r="F7" s="101">
        <v>0</v>
      </c>
      <c r="G7" s="101">
        <v>0</v>
      </c>
      <c r="H7" s="101">
        <v>593.80639999999994</v>
      </c>
      <c r="I7" s="101">
        <v>285744.98899999988</v>
      </c>
      <c r="J7" s="101">
        <v>-31114.902794157741</v>
      </c>
      <c r="K7" s="101">
        <v>351999.99999319587</v>
      </c>
      <c r="L7" s="101">
        <v>32826.745600000002</v>
      </c>
      <c r="M7" s="101">
        <v>0</v>
      </c>
      <c r="N7" s="101">
        <v>24575.957999999999</v>
      </c>
      <c r="O7" s="101">
        <v>0</v>
      </c>
      <c r="P7" s="101">
        <v>14136.1836</v>
      </c>
      <c r="Q7" s="102">
        <v>670290.58132343844</v>
      </c>
      <c r="R7"/>
    </row>
    <row r="8" spans="2:18" ht="28.5" customHeight="1" x14ac:dyDescent="0.35">
      <c r="B8" s="100" t="s">
        <v>56</v>
      </c>
      <c r="C8" s="103">
        <v>0.60445207523275168</v>
      </c>
      <c r="D8" s="103">
        <v>28442.170155802141</v>
      </c>
      <c r="E8" s="103">
        <v>4224.9676031259078</v>
      </c>
      <c r="F8" s="103">
        <v>24522.345675077559</v>
      </c>
      <c r="G8" s="103">
        <v>62079.609909867409</v>
      </c>
      <c r="H8" s="103">
        <v>29740.51886156949</v>
      </c>
      <c r="I8" s="103">
        <v>602263.91053726</v>
      </c>
      <c r="J8" s="103">
        <v>432002.52585736458</v>
      </c>
      <c r="K8" s="103">
        <v>0</v>
      </c>
      <c r="L8" s="103">
        <v>-1062.561191890135</v>
      </c>
      <c r="M8" s="103">
        <v>35881.743467699933</v>
      </c>
      <c r="N8" s="103">
        <v>59459.707939561842</v>
      </c>
      <c r="O8" s="103">
        <v>797208.97210339713</v>
      </c>
      <c r="P8" s="103">
        <v>23033.431215537959</v>
      </c>
      <c r="Q8" s="102">
        <v>2097797.9465864492</v>
      </c>
      <c r="R8"/>
    </row>
    <row r="9" spans="2:18" ht="28.5" customHeight="1" x14ac:dyDescent="0.35">
      <c r="B9" s="100" t="s">
        <v>57</v>
      </c>
      <c r="C9" s="103">
        <v>0</v>
      </c>
      <c r="D9" s="103">
        <v>4709.5812352398707</v>
      </c>
      <c r="E9" s="103">
        <v>2412.4918829677331</v>
      </c>
      <c r="F9" s="103">
        <v>67812.074745476188</v>
      </c>
      <c r="G9" s="103">
        <v>12239.851859999981</v>
      </c>
      <c r="H9" s="103">
        <v>9449.0772750878332</v>
      </c>
      <c r="I9" s="103">
        <v>205718.6426900001</v>
      </c>
      <c r="J9" s="103">
        <v>145274.1428700001</v>
      </c>
      <c r="K9" s="103">
        <v>0</v>
      </c>
      <c r="L9" s="103">
        <v>36284.283484464533</v>
      </c>
      <c r="M9" s="103">
        <v>17502.16738704568</v>
      </c>
      <c r="N9" s="103">
        <v>31053.260392584329</v>
      </c>
      <c r="O9" s="103">
        <v>937466.03515999985</v>
      </c>
      <c r="P9" s="103">
        <v>211284.91622000001</v>
      </c>
      <c r="Q9" s="102">
        <v>1681206.5252028659</v>
      </c>
      <c r="R9"/>
    </row>
    <row r="10" spans="2:18" ht="28.5" customHeight="1" x14ac:dyDescent="0.35">
      <c r="B10" s="100" t="s">
        <v>58</v>
      </c>
      <c r="C10" s="103">
        <v>0</v>
      </c>
      <c r="D10" s="103">
        <v>-7912.7061400000002</v>
      </c>
      <c r="E10" s="103">
        <v>1792.787</v>
      </c>
      <c r="F10" s="103">
        <v>12230.392</v>
      </c>
      <c r="G10" s="103">
        <v>3510.23</v>
      </c>
      <c r="H10" s="103">
        <v>-4283.3500000000004</v>
      </c>
      <c r="I10" s="103">
        <v>290624.22399999987</v>
      </c>
      <c r="J10" s="103">
        <v>60984.197</v>
      </c>
      <c r="K10" s="103">
        <v>0</v>
      </c>
      <c r="L10" s="103">
        <v>803.65800000000002</v>
      </c>
      <c r="M10" s="103">
        <v>2914.5390000000002</v>
      </c>
      <c r="N10" s="103">
        <v>10743.942999999999</v>
      </c>
      <c r="O10" s="103">
        <v>0</v>
      </c>
      <c r="P10" s="103">
        <v>129.80389000000059</v>
      </c>
      <c r="Q10" s="102">
        <v>371537.71775000001</v>
      </c>
      <c r="R10"/>
    </row>
    <row r="11" spans="2:18" ht="28.5" customHeight="1" x14ac:dyDescent="0.35">
      <c r="B11" s="100" t="s">
        <v>59</v>
      </c>
      <c r="C11" s="103">
        <v>0</v>
      </c>
      <c r="D11" s="103">
        <v>5612.5939200000166</v>
      </c>
      <c r="E11" s="103">
        <v>3321.822099999998</v>
      </c>
      <c r="F11" s="103">
        <v>-13865.65152000001</v>
      </c>
      <c r="G11" s="103">
        <v>18453.449999999939</v>
      </c>
      <c r="H11" s="103">
        <v>-1974.897960000008</v>
      </c>
      <c r="I11" s="103">
        <v>550221.99308999989</v>
      </c>
      <c r="J11" s="103">
        <v>484625.52811999992</v>
      </c>
      <c r="K11" s="103">
        <v>0</v>
      </c>
      <c r="L11" s="103">
        <v>5869.306460000008</v>
      </c>
      <c r="M11" s="103">
        <v>-27439.28217999998</v>
      </c>
      <c r="N11" s="103">
        <v>45972.410629999998</v>
      </c>
      <c r="O11" s="103">
        <v>1627179.3764500001</v>
      </c>
      <c r="P11" s="103">
        <v>41658.197810000012</v>
      </c>
      <c r="Q11" s="102">
        <v>2739634.846919999</v>
      </c>
      <c r="R11"/>
    </row>
    <row r="12" spans="2:18" ht="28.5" customHeight="1" x14ac:dyDescent="0.35">
      <c r="B12" s="100" t="s">
        <v>60</v>
      </c>
      <c r="C12" s="103">
        <v>0</v>
      </c>
      <c r="D12" s="103">
        <v>-136.4758688999936</v>
      </c>
      <c r="E12" s="103">
        <v>-1145.07502631579</v>
      </c>
      <c r="F12" s="103">
        <v>69.876128638509655</v>
      </c>
      <c r="G12" s="103">
        <v>-3.527999599999748</v>
      </c>
      <c r="H12" s="103">
        <v>-87.201999999994413</v>
      </c>
      <c r="I12" s="103">
        <v>2198.694249287963</v>
      </c>
      <c r="J12" s="103">
        <v>-5147.295462409943</v>
      </c>
      <c r="K12" s="103">
        <v>0</v>
      </c>
      <c r="L12" s="103">
        <v>-100.4611319350002</v>
      </c>
      <c r="M12" s="103">
        <v>-378.173</v>
      </c>
      <c r="N12" s="103">
        <v>-916.48272839999947</v>
      </c>
      <c r="O12" s="103">
        <v>0</v>
      </c>
      <c r="P12" s="103">
        <v>0</v>
      </c>
      <c r="Q12" s="102">
        <v>-5646.1228396342494</v>
      </c>
      <c r="R12"/>
    </row>
    <row r="13" spans="2:18" ht="28.5" customHeight="1" x14ac:dyDescent="0.35">
      <c r="B13" s="100" t="s">
        <v>61</v>
      </c>
      <c r="C13" s="103">
        <v>0</v>
      </c>
      <c r="D13" s="103">
        <v>0</v>
      </c>
      <c r="E13" s="103">
        <v>0</v>
      </c>
      <c r="F13" s="103">
        <v>0</v>
      </c>
      <c r="G13" s="103">
        <v>0</v>
      </c>
      <c r="H13" s="103">
        <v>0</v>
      </c>
      <c r="I13" s="103">
        <v>17.5</v>
      </c>
      <c r="J13" s="103">
        <v>0</v>
      </c>
      <c r="K13" s="103">
        <v>16453.599999999999</v>
      </c>
      <c r="L13" s="103">
        <v>0</v>
      </c>
      <c r="M13" s="103">
        <v>0</v>
      </c>
      <c r="N13" s="103">
        <v>0</v>
      </c>
      <c r="O13" s="103">
        <v>0</v>
      </c>
      <c r="P13" s="103">
        <v>0</v>
      </c>
      <c r="Q13" s="102">
        <v>16471.099999999999</v>
      </c>
      <c r="R13"/>
    </row>
    <row r="14" spans="2:18" ht="28.5" customHeight="1" x14ac:dyDescent="0.35">
      <c r="B14" s="100" t="s">
        <v>62</v>
      </c>
      <c r="C14" s="103">
        <v>0</v>
      </c>
      <c r="D14" s="103">
        <v>0</v>
      </c>
      <c r="E14" s="103">
        <v>0</v>
      </c>
      <c r="F14" s="103">
        <v>0</v>
      </c>
      <c r="G14" s="103">
        <v>0</v>
      </c>
      <c r="H14" s="103">
        <v>0</v>
      </c>
      <c r="I14" s="103">
        <v>115769.8029858599</v>
      </c>
      <c r="J14" s="103">
        <v>58958.393985661452</v>
      </c>
      <c r="K14" s="103">
        <v>914088.21273821546</v>
      </c>
      <c r="L14" s="103">
        <v>0</v>
      </c>
      <c r="M14" s="103">
        <v>0</v>
      </c>
      <c r="N14" s="103">
        <v>0</v>
      </c>
      <c r="O14" s="103">
        <v>0</v>
      </c>
      <c r="P14" s="103">
        <v>0</v>
      </c>
      <c r="Q14" s="102">
        <v>1088816.4097097369</v>
      </c>
      <c r="R14"/>
    </row>
    <row r="15" spans="2:18" ht="28.5" customHeight="1" x14ac:dyDescent="0.35">
      <c r="B15" s="100" t="s">
        <v>63</v>
      </c>
      <c r="C15" s="103">
        <v>0</v>
      </c>
      <c r="D15" s="103">
        <v>0</v>
      </c>
      <c r="E15" s="103">
        <v>0</v>
      </c>
      <c r="F15" s="103">
        <v>0</v>
      </c>
      <c r="G15" s="103">
        <v>0</v>
      </c>
      <c r="H15" s="103">
        <v>0</v>
      </c>
      <c r="I15" s="103">
        <v>0</v>
      </c>
      <c r="J15" s="103">
        <v>0</v>
      </c>
      <c r="K15" s="103">
        <v>0</v>
      </c>
      <c r="L15" s="103">
        <v>0</v>
      </c>
      <c r="M15" s="103">
        <v>96.6</v>
      </c>
      <c r="N15" s="103">
        <v>0</v>
      </c>
      <c r="O15" s="103">
        <v>162699.75700000001</v>
      </c>
      <c r="P15" s="103">
        <v>0</v>
      </c>
      <c r="Q15" s="102">
        <v>162796.35699999999</v>
      </c>
      <c r="R15"/>
    </row>
    <row r="16" spans="2:18" ht="28.5" customHeight="1" x14ac:dyDescent="0.35">
      <c r="B16" s="100" t="s">
        <v>64</v>
      </c>
      <c r="C16" s="103">
        <v>0</v>
      </c>
      <c r="D16" s="103">
        <v>-6313.8919999999998</v>
      </c>
      <c r="E16" s="103">
        <v>1444.2639999999999</v>
      </c>
      <c r="F16" s="103">
        <v>2254.9810000000002</v>
      </c>
      <c r="G16" s="103">
        <v>7501.9480000000003</v>
      </c>
      <c r="H16" s="103">
        <v>3659.808</v>
      </c>
      <c r="I16" s="103">
        <v>237355.84914999999</v>
      </c>
      <c r="J16" s="103">
        <v>221502.995</v>
      </c>
      <c r="K16" s="103">
        <v>2226.5100000000002</v>
      </c>
      <c r="L16" s="103">
        <v>226.38499999999999</v>
      </c>
      <c r="M16" s="103">
        <v>4018.1880000000001</v>
      </c>
      <c r="N16" s="103">
        <v>35890.764000000003</v>
      </c>
      <c r="O16" s="103">
        <v>17347.294999999998</v>
      </c>
      <c r="P16" s="103">
        <v>11835.994119999999</v>
      </c>
      <c r="Q16" s="102">
        <v>538951.08927</v>
      </c>
      <c r="R16"/>
    </row>
    <row r="17" spans="2:18" ht="28.5" customHeight="1" x14ac:dyDescent="0.35">
      <c r="B17" s="100" t="s">
        <v>65</v>
      </c>
      <c r="C17" s="103">
        <v>0</v>
      </c>
      <c r="D17" s="103">
        <v>-9670.2128000000012</v>
      </c>
      <c r="E17" s="103">
        <v>1960.5429999999999</v>
      </c>
      <c r="F17" s="103">
        <v>-48771.519499999908</v>
      </c>
      <c r="G17" s="103">
        <v>14366.757890000001</v>
      </c>
      <c r="H17" s="103">
        <v>9762.3005500000036</v>
      </c>
      <c r="I17" s="103">
        <v>89779.286579999927</v>
      </c>
      <c r="J17" s="103">
        <v>78512.257849999907</v>
      </c>
      <c r="K17" s="103">
        <v>0</v>
      </c>
      <c r="L17" s="103">
        <v>11133.586540000009</v>
      </c>
      <c r="M17" s="103">
        <v>8814.7395699999961</v>
      </c>
      <c r="N17" s="103">
        <v>5532.116</v>
      </c>
      <c r="O17" s="103">
        <v>376843.17190499988</v>
      </c>
      <c r="P17" s="103">
        <v>125.7029700000024</v>
      </c>
      <c r="Q17" s="102">
        <v>538388.73055499978</v>
      </c>
      <c r="R17"/>
    </row>
    <row r="18" spans="2:18" ht="28.5" customHeight="1" x14ac:dyDescent="0.35">
      <c r="B18" s="100" t="s">
        <v>66</v>
      </c>
      <c r="C18" s="103">
        <v>7781.1890000000003</v>
      </c>
      <c r="D18" s="103">
        <v>24865.415000000001</v>
      </c>
      <c r="E18" s="103">
        <v>20915.317999999999</v>
      </c>
      <c r="F18" s="103">
        <v>58460.004999999997</v>
      </c>
      <c r="G18" s="103">
        <v>18831.973000000002</v>
      </c>
      <c r="H18" s="103">
        <v>22107.673999999999</v>
      </c>
      <c r="I18" s="103">
        <v>397154.21600000001</v>
      </c>
      <c r="J18" s="103">
        <v>408745.05099999998</v>
      </c>
      <c r="K18" s="103">
        <v>0</v>
      </c>
      <c r="L18" s="103">
        <v>2610.047</v>
      </c>
      <c r="M18" s="103">
        <v>49714.171999999999</v>
      </c>
      <c r="N18" s="103">
        <v>137838.91500000001</v>
      </c>
      <c r="O18" s="103">
        <v>444771.87699999998</v>
      </c>
      <c r="P18" s="103">
        <v>-1085.4639999999999</v>
      </c>
      <c r="Q18" s="102">
        <v>1592710.388</v>
      </c>
      <c r="R18"/>
    </row>
    <row r="19" spans="2:18" ht="28.5" customHeight="1" x14ac:dyDescent="0.35">
      <c r="B19" s="100" t="s">
        <v>67</v>
      </c>
      <c r="C19" s="103">
        <v>55.328000000000003</v>
      </c>
      <c r="D19" s="103">
        <v>14273.691999999999</v>
      </c>
      <c r="E19" s="103">
        <v>15993.349</v>
      </c>
      <c r="F19" s="103">
        <v>41476.239999999998</v>
      </c>
      <c r="G19" s="103">
        <v>23618.028999999999</v>
      </c>
      <c r="H19" s="103">
        <v>26027.942999999999</v>
      </c>
      <c r="I19" s="103">
        <v>367866.28600000002</v>
      </c>
      <c r="J19" s="103">
        <v>387933.98499999999</v>
      </c>
      <c r="K19" s="103">
        <v>0</v>
      </c>
      <c r="L19" s="103">
        <v>5357.6090000000004</v>
      </c>
      <c r="M19" s="103">
        <v>19181.423999999999</v>
      </c>
      <c r="N19" s="103">
        <v>234016.82800000001</v>
      </c>
      <c r="O19" s="103">
        <v>0</v>
      </c>
      <c r="P19" s="103">
        <v>8835.2309999999998</v>
      </c>
      <c r="Q19" s="102">
        <v>1144635.9439999999</v>
      </c>
      <c r="R19"/>
    </row>
    <row r="20" spans="2:18" ht="28.5" customHeight="1" x14ac:dyDescent="0.35">
      <c r="B20" s="100" t="s">
        <v>68</v>
      </c>
      <c r="C20" s="103">
        <v>6799.2389999999996</v>
      </c>
      <c r="D20" s="103">
        <v>3861.0749999999998</v>
      </c>
      <c r="E20" s="103">
        <v>833.69399999999996</v>
      </c>
      <c r="F20" s="103">
        <v>24999.322</v>
      </c>
      <c r="G20" s="103">
        <v>9978.2630000000008</v>
      </c>
      <c r="H20" s="103">
        <v>14898.362999999999</v>
      </c>
      <c r="I20" s="103">
        <v>378954.04599999997</v>
      </c>
      <c r="J20" s="103">
        <v>72391.736000000004</v>
      </c>
      <c r="K20" s="103">
        <v>0</v>
      </c>
      <c r="L20" s="103">
        <v>69894.94</v>
      </c>
      <c r="M20" s="103">
        <v>13241.663</v>
      </c>
      <c r="N20" s="103">
        <v>41433.627999999997</v>
      </c>
      <c r="O20" s="103">
        <v>36195.243999999999</v>
      </c>
      <c r="P20" s="103">
        <v>-53.241999999999997</v>
      </c>
      <c r="Q20" s="102">
        <v>673427.97100000002</v>
      </c>
      <c r="R20"/>
    </row>
    <row r="21" spans="2:18" ht="28.5" customHeight="1" x14ac:dyDescent="0.35">
      <c r="B21" s="100" t="s">
        <v>69</v>
      </c>
      <c r="C21" s="103">
        <v>0</v>
      </c>
      <c r="D21" s="103">
        <v>-2586.21</v>
      </c>
      <c r="E21" s="103">
        <v>5741.5010000000002</v>
      </c>
      <c r="F21" s="103">
        <v>17044.629000000001</v>
      </c>
      <c r="G21" s="103">
        <v>11050.032999999999</v>
      </c>
      <c r="H21" s="103">
        <v>5502.15</v>
      </c>
      <c r="I21" s="103">
        <v>220572.71100000001</v>
      </c>
      <c r="J21" s="103">
        <v>39509.112000000001</v>
      </c>
      <c r="K21" s="103">
        <v>0</v>
      </c>
      <c r="L21" s="103">
        <v>14794.165999999999</v>
      </c>
      <c r="M21" s="103">
        <v>10040.151</v>
      </c>
      <c r="N21" s="103">
        <v>-32742.593000000001</v>
      </c>
      <c r="O21" s="103">
        <v>0</v>
      </c>
      <c r="P21" s="103">
        <v>675.38699999999994</v>
      </c>
      <c r="Q21" s="102">
        <v>289601.03700000001</v>
      </c>
      <c r="R21"/>
    </row>
    <row r="22" spans="2:18" ht="28.5" customHeight="1" x14ac:dyDescent="0.35">
      <c r="B22" s="100" t="s">
        <v>70</v>
      </c>
      <c r="C22" s="103">
        <v>0</v>
      </c>
      <c r="D22" s="103">
        <v>0</v>
      </c>
      <c r="E22" s="103">
        <v>0</v>
      </c>
      <c r="F22" s="103">
        <v>0</v>
      </c>
      <c r="G22" s="103">
        <v>0</v>
      </c>
      <c r="H22" s="103">
        <v>0</v>
      </c>
      <c r="I22" s="103">
        <v>0</v>
      </c>
      <c r="J22" s="103">
        <v>0</v>
      </c>
      <c r="K22" s="103">
        <v>0</v>
      </c>
      <c r="L22" s="103">
        <v>0</v>
      </c>
      <c r="M22" s="103">
        <v>0</v>
      </c>
      <c r="N22" s="103">
        <v>0</v>
      </c>
      <c r="O22" s="103">
        <v>0</v>
      </c>
      <c r="P22" s="103">
        <v>0</v>
      </c>
      <c r="Q22" s="102">
        <v>0</v>
      </c>
      <c r="R22"/>
    </row>
    <row r="23" spans="2:18" ht="28.5" customHeight="1" x14ac:dyDescent="0.35">
      <c r="B23" s="100" t="s">
        <v>71</v>
      </c>
      <c r="C23" s="103">
        <v>0</v>
      </c>
      <c r="D23" s="103">
        <v>0</v>
      </c>
      <c r="E23" s="103">
        <v>0</v>
      </c>
      <c r="F23" s="103">
        <v>0</v>
      </c>
      <c r="G23" s="103">
        <v>0</v>
      </c>
      <c r="H23" s="103">
        <v>0</v>
      </c>
      <c r="I23" s="103">
        <v>0</v>
      </c>
      <c r="J23" s="103">
        <v>0</v>
      </c>
      <c r="K23" s="103">
        <v>0</v>
      </c>
      <c r="L23" s="103">
        <v>0</v>
      </c>
      <c r="M23" s="103">
        <v>0</v>
      </c>
      <c r="N23" s="103">
        <v>0</v>
      </c>
      <c r="O23" s="103">
        <v>3042136.6836700002</v>
      </c>
      <c r="P23" s="103">
        <v>0</v>
      </c>
      <c r="Q23" s="102">
        <v>3042136.6836700002</v>
      </c>
      <c r="R23"/>
    </row>
    <row r="24" spans="2:18" ht="28.5" customHeight="1" x14ac:dyDescent="0.35">
      <c r="B24" s="100" t="s">
        <v>72</v>
      </c>
      <c r="C24" s="103">
        <v>0</v>
      </c>
      <c r="D24" s="103">
        <v>2158.694</v>
      </c>
      <c r="E24" s="103">
        <v>-1711.67</v>
      </c>
      <c r="F24" s="103">
        <v>36670.161</v>
      </c>
      <c r="G24" s="103">
        <v>12584.069</v>
      </c>
      <c r="H24" s="103">
        <v>14199.102999999999</v>
      </c>
      <c r="I24" s="103">
        <v>91184.11</v>
      </c>
      <c r="J24" s="103">
        <v>-82981.686000000002</v>
      </c>
      <c r="K24" s="103">
        <v>0</v>
      </c>
      <c r="L24" s="103">
        <v>266.435</v>
      </c>
      <c r="M24" s="103">
        <v>-1376.49</v>
      </c>
      <c r="N24" s="103">
        <v>86617.288</v>
      </c>
      <c r="O24" s="103">
        <v>9162.8739999999998</v>
      </c>
      <c r="P24" s="103">
        <v>2601.8159999999998</v>
      </c>
      <c r="Q24" s="102">
        <v>169374.704</v>
      </c>
      <c r="R24"/>
    </row>
    <row r="25" spans="2:18" ht="28.5" customHeight="1" x14ac:dyDescent="0.35">
      <c r="B25" s="100" t="s">
        <v>73</v>
      </c>
      <c r="C25" s="103">
        <v>0</v>
      </c>
      <c r="D25" s="103">
        <v>0</v>
      </c>
      <c r="E25" s="103">
        <v>0</v>
      </c>
      <c r="F25" s="103">
        <v>0</v>
      </c>
      <c r="G25" s="103">
        <v>0</v>
      </c>
      <c r="H25" s="103">
        <v>0</v>
      </c>
      <c r="I25" s="103">
        <v>0</v>
      </c>
      <c r="J25" s="103">
        <v>0</v>
      </c>
      <c r="K25" s="103">
        <v>0</v>
      </c>
      <c r="L25" s="103">
        <v>0</v>
      </c>
      <c r="M25" s="103">
        <v>0</v>
      </c>
      <c r="N25" s="103">
        <v>0</v>
      </c>
      <c r="O25" s="103">
        <v>0</v>
      </c>
      <c r="P25" s="103">
        <v>0</v>
      </c>
      <c r="Q25" s="102">
        <v>0</v>
      </c>
      <c r="R25"/>
    </row>
    <row r="26" spans="2:18" ht="28.5" customHeight="1" x14ac:dyDescent="0.35">
      <c r="B26" s="100" t="s">
        <v>74</v>
      </c>
      <c r="C26" s="103">
        <v>0</v>
      </c>
      <c r="D26" s="103">
        <v>-7341.8830603015349</v>
      </c>
      <c r="E26" s="103">
        <v>1108.0685897961921</v>
      </c>
      <c r="F26" s="103">
        <v>-17073.817207436881</v>
      </c>
      <c r="G26" s="103">
        <v>66489.073520753984</v>
      </c>
      <c r="H26" s="103">
        <v>-344.04506562424029</v>
      </c>
      <c r="I26" s="103">
        <v>148148.55549683041</v>
      </c>
      <c r="J26" s="103">
        <v>388122.5574194956</v>
      </c>
      <c r="K26" s="103">
        <v>0</v>
      </c>
      <c r="L26" s="103">
        <v>-438.71569858353018</v>
      </c>
      <c r="M26" s="103">
        <v>-8163.2233401394933</v>
      </c>
      <c r="N26" s="103">
        <v>21301.612032085861</v>
      </c>
      <c r="O26" s="103">
        <v>607352.76209319022</v>
      </c>
      <c r="P26" s="103">
        <v>11116.62903273695</v>
      </c>
      <c r="Q26" s="102">
        <v>1210277.573812803</v>
      </c>
      <c r="R26"/>
    </row>
    <row r="27" spans="2:18" ht="28.5" customHeight="1" x14ac:dyDescent="0.35">
      <c r="B27" s="100" t="s">
        <v>75</v>
      </c>
      <c r="C27" s="103">
        <v>1433.190789086394</v>
      </c>
      <c r="D27" s="103">
        <v>-22605.842181068001</v>
      </c>
      <c r="E27" s="103">
        <v>2885.7948283975352</v>
      </c>
      <c r="F27" s="103">
        <v>-20292.749047178389</v>
      </c>
      <c r="G27" s="103">
        <v>6294.9105097815554</v>
      </c>
      <c r="H27" s="103">
        <v>4413.8969946059588</v>
      </c>
      <c r="I27" s="103">
        <v>77957.382579402809</v>
      </c>
      <c r="J27" s="103">
        <v>66262.730160249237</v>
      </c>
      <c r="K27" s="103">
        <v>0</v>
      </c>
      <c r="L27" s="103">
        <v>1714.2315837509091</v>
      </c>
      <c r="M27" s="103">
        <v>6957.8801323774678</v>
      </c>
      <c r="N27" s="103">
        <v>128107.3910959458</v>
      </c>
      <c r="O27" s="103">
        <v>0</v>
      </c>
      <c r="P27" s="103">
        <v>6783.3090673834531</v>
      </c>
      <c r="Q27" s="102">
        <v>259912.1265127348</v>
      </c>
      <c r="R27"/>
    </row>
    <row r="28" spans="2:18" ht="28.5" customHeight="1" x14ac:dyDescent="0.35">
      <c r="B28" s="100" t="s">
        <v>76</v>
      </c>
      <c r="C28" s="103">
        <v>921.19486876446013</v>
      </c>
      <c r="D28" s="103">
        <v>3469.074294848811</v>
      </c>
      <c r="E28" s="103">
        <v>-69.366516912676516</v>
      </c>
      <c r="F28" s="103">
        <v>-2965.678288603794</v>
      </c>
      <c r="G28" s="103">
        <v>2200.621552686006</v>
      </c>
      <c r="H28" s="103">
        <v>1715.8892712977629</v>
      </c>
      <c r="I28" s="103">
        <v>32300.010303532119</v>
      </c>
      <c r="J28" s="103">
        <v>34048.828473333713</v>
      </c>
      <c r="K28" s="103">
        <v>0</v>
      </c>
      <c r="L28" s="103">
        <v>356.0186885007825</v>
      </c>
      <c r="M28" s="103">
        <v>-941.92290638169459</v>
      </c>
      <c r="N28" s="103">
        <v>5611.9774933040744</v>
      </c>
      <c r="O28" s="103">
        <v>150758.47318</v>
      </c>
      <c r="P28" s="103">
        <v>663.85057402634618</v>
      </c>
      <c r="Q28" s="102">
        <v>228068.97098839589</v>
      </c>
      <c r="R28"/>
    </row>
    <row r="29" spans="2:18" ht="28.5" customHeight="1" x14ac:dyDescent="0.35">
      <c r="B29" s="100" t="s">
        <v>77</v>
      </c>
      <c r="C29" s="103">
        <v>0</v>
      </c>
      <c r="D29" s="103">
        <v>5137.3230569622219</v>
      </c>
      <c r="E29" s="103">
        <v>14881.685648152639</v>
      </c>
      <c r="F29" s="103">
        <v>5454.9236356728516</v>
      </c>
      <c r="G29" s="103">
        <v>10270.397380375891</v>
      </c>
      <c r="H29" s="103">
        <v>874.09699110806775</v>
      </c>
      <c r="I29" s="103">
        <v>97093.228393683909</v>
      </c>
      <c r="J29" s="103">
        <v>9495.7700443523227</v>
      </c>
      <c r="K29" s="103">
        <v>0</v>
      </c>
      <c r="L29" s="103">
        <v>3156.0033413169899</v>
      </c>
      <c r="M29" s="103">
        <v>7823.5725652339461</v>
      </c>
      <c r="N29" s="103">
        <v>7956.6516943295519</v>
      </c>
      <c r="O29" s="103">
        <v>0</v>
      </c>
      <c r="P29" s="103">
        <v>0</v>
      </c>
      <c r="Q29" s="102">
        <v>162143.65275118841</v>
      </c>
      <c r="R29"/>
    </row>
    <row r="30" spans="2:18" ht="28.5" customHeight="1" x14ac:dyDescent="0.35">
      <c r="B30" s="100" t="s">
        <v>78</v>
      </c>
      <c r="C30" s="103">
        <v>0</v>
      </c>
      <c r="D30" s="103">
        <v>13018.58078280804</v>
      </c>
      <c r="E30" s="103">
        <v>5986.9799828374071</v>
      </c>
      <c r="F30" s="103">
        <v>403.15641215461488</v>
      </c>
      <c r="G30" s="103">
        <v>-78.666405904300049</v>
      </c>
      <c r="H30" s="103">
        <v>6004.8502949284166</v>
      </c>
      <c r="I30" s="103">
        <v>82024.499602417229</v>
      </c>
      <c r="J30" s="103">
        <v>-12215.40233491939</v>
      </c>
      <c r="K30" s="103">
        <v>0</v>
      </c>
      <c r="L30" s="103">
        <v>2240.7847300290932</v>
      </c>
      <c r="M30" s="103">
        <v>1243.6201473118069</v>
      </c>
      <c r="N30" s="103">
        <v>36809.294667946393</v>
      </c>
      <c r="O30" s="103">
        <v>0</v>
      </c>
      <c r="P30" s="103">
        <v>3388.6497329528111</v>
      </c>
      <c r="Q30" s="102">
        <v>138826.34761256209</v>
      </c>
      <c r="R30"/>
    </row>
    <row r="31" spans="2:18" ht="28.5" customHeight="1" x14ac:dyDescent="0.35">
      <c r="B31" s="100" t="s">
        <v>79</v>
      </c>
      <c r="C31" s="103">
        <v>-303.61609419998518</v>
      </c>
      <c r="D31" s="103">
        <v>8815.1193349025252</v>
      </c>
      <c r="E31" s="103">
        <v>5332.2055341535124</v>
      </c>
      <c r="F31" s="103">
        <v>22086.193463720741</v>
      </c>
      <c r="G31" s="103">
        <v>3987.0925357309579</v>
      </c>
      <c r="H31" s="103">
        <v>10712.14173250651</v>
      </c>
      <c r="I31" s="103">
        <v>235802.8038121936</v>
      </c>
      <c r="J31" s="103">
        <v>222567.6058799348</v>
      </c>
      <c r="K31" s="103">
        <v>0</v>
      </c>
      <c r="L31" s="103">
        <v>1931.0974445603449</v>
      </c>
      <c r="M31" s="103">
        <v>21297.578753349018</v>
      </c>
      <c r="N31" s="103">
        <v>7354.8122748907808</v>
      </c>
      <c r="O31" s="103">
        <v>2164617.7261973461</v>
      </c>
      <c r="P31" s="103">
        <v>3354.064371790696</v>
      </c>
      <c r="Q31" s="102">
        <v>2707554.8252408789</v>
      </c>
      <c r="R31"/>
    </row>
    <row r="32" spans="2:18" ht="28.5" customHeight="1" x14ac:dyDescent="0.35">
      <c r="B32" s="100" t="s">
        <v>80</v>
      </c>
      <c r="C32" s="103">
        <v>0</v>
      </c>
      <c r="D32" s="103">
        <v>1196.6110000000001</v>
      </c>
      <c r="E32" s="103">
        <v>301.25200000000001</v>
      </c>
      <c r="F32" s="103">
        <v>-1343.635</v>
      </c>
      <c r="G32" s="103">
        <v>6633.1769999999997</v>
      </c>
      <c r="H32" s="103">
        <v>0</v>
      </c>
      <c r="I32" s="103">
        <v>89785.85</v>
      </c>
      <c r="J32" s="103">
        <v>65504.495000000003</v>
      </c>
      <c r="K32" s="103">
        <v>0</v>
      </c>
      <c r="L32" s="103">
        <v>290.50700000000001</v>
      </c>
      <c r="M32" s="103">
        <v>799.72199999999998</v>
      </c>
      <c r="N32" s="103">
        <v>9410.5660000000007</v>
      </c>
      <c r="O32" s="103">
        <v>179142.75</v>
      </c>
      <c r="P32" s="103">
        <v>0</v>
      </c>
      <c r="Q32" s="102">
        <v>351721.29499999998</v>
      </c>
      <c r="R32"/>
    </row>
    <row r="33" spans="2:18" ht="28.5" customHeight="1" x14ac:dyDescent="0.35">
      <c r="B33" s="100" t="s">
        <v>81</v>
      </c>
      <c r="C33" s="103">
        <v>0</v>
      </c>
      <c r="D33" s="103">
        <v>-702.58399999999995</v>
      </c>
      <c r="E33" s="103">
        <v>288.976</v>
      </c>
      <c r="F33" s="103">
        <v>-61214.91</v>
      </c>
      <c r="G33" s="103">
        <v>5944.4830000000002</v>
      </c>
      <c r="H33" s="103">
        <v>-281.39499999999998</v>
      </c>
      <c r="I33" s="103">
        <v>215136.1512841392</v>
      </c>
      <c r="J33" s="103">
        <v>274422.76299999998</v>
      </c>
      <c r="K33" s="103">
        <v>0</v>
      </c>
      <c r="L33" s="103">
        <v>3237.8330000000001</v>
      </c>
      <c r="M33" s="103">
        <v>5959.3270000000002</v>
      </c>
      <c r="N33" s="103">
        <v>23791.312000000002</v>
      </c>
      <c r="O33" s="103">
        <v>0</v>
      </c>
      <c r="P33" s="103">
        <v>-199.67500000000001</v>
      </c>
      <c r="Q33" s="102">
        <v>466382.28128413908</v>
      </c>
      <c r="R33"/>
    </row>
    <row r="34" spans="2:18" ht="28.5" customHeight="1" x14ac:dyDescent="0.35">
      <c r="B34" s="100" t="s">
        <v>82</v>
      </c>
      <c r="C34" s="103">
        <v>0</v>
      </c>
      <c r="D34" s="103">
        <v>4453.7135258828603</v>
      </c>
      <c r="E34" s="103">
        <v>19723.139750235201</v>
      </c>
      <c r="F34" s="103">
        <v>25528.47248363007</v>
      </c>
      <c r="G34" s="103">
        <v>-1021.7701631185</v>
      </c>
      <c r="H34" s="103">
        <v>4060.0906980372438</v>
      </c>
      <c r="I34" s="103">
        <v>182495.8885556724</v>
      </c>
      <c r="J34" s="103">
        <v>120826.9902048017</v>
      </c>
      <c r="K34" s="103">
        <v>-2438.0243373619019</v>
      </c>
      <c r="L34" s="103">
        <v>673.50937023090194</v>
      </c>
      <c r="M34" s="103">
        <v>-643.29152592061268</v>
      </c>
      <c r="N34" s="103">
        <v>1874.830312136799</v>
      </c>
      <c r="O34" s="103">
        <v>9778.6000750000003</v>
      </c>
      <c r="P34" s="103">
        <v>-75.610286523827114</v>
      </c>
      <c r="Q34" s="102">
        <v>365236.53866270231</v>
      </c>
      <c r="R34"/>
    </row>
    <row r="35" spans="2:18" ht="28.5" customHeight="1" x14ac:dyDescent="0.35">
      <c r="B35" s="100" t="s">
        <v>83</v>
      </c>
      <c r="C35" s="103">
        <v>0</v>
      </c>
      <c r="D35" s="103">
        <v>0</v>
      </c>
      <c r="E35" s="103">
        <v>0</v>
      </c>
      <c r="F35" s="103">
        <v>0</v>
      </c>
      <c r="G35" s="103">
        <v>0</v>
      </c>
      <c r="H35" s="103">
        <v>0</v>
      </c>
      <c r="I35" s="103">
        <v>24792.48862</v>
      </c>
      <c r="J35" s="103">
        <v>3906.2611300000008</v>
      </c>
      <c r="K35" s="103">
        <v>0</v>
      </c>
      <c r="L35" s="103">
        <v>22.772979999999979</v>
      </c>
      <c r="M35" s="103">
        <v>557.76319999998805</v>
      </c>
      <c r="N35" s="103">
        <v>4149.6851799999986</v>
      </c>
      <c r="O35" s="103">
        <v>116444.34428</v>
      </c>
      <c r="P35" s="103">
        <v>0</v>
      </c>
      <c r="Q35" s="102">
        <v>149873.31539</v>
      </c>
      <c r="R35"/>
    </row>
    <row r="36" spans="2:18" ht="28.5" customHeight="1" x14ac:dyDescent="0.35">
      <c r="B36" s="100" t="s">
        <v>84</v>
      </c>
      <c r="C36" s="103">
        <v>0</v>
      </c>
      <c r="D36" s="103">
        <v>2255.2966484184722</v>
      </c>
      <c r="E36" s="103">
        <v>2798.743188757127</v>
      </c>
      <c r="F36" s="103">
        <v>2808.5117141513902</v>
      </c>
      <c r="G36" s="103">
        <v>12003.54507708757</v>
      </c>
      <c r="H36" s="103">
        <v>3269.6128894786239</v>
      </c>
      <c r="I36" s="103">
        <v>31232.935603403719</v>
      </c>
      <c r="J36" s="103">
        <v>39192.936556429573</v>
      </c>
      <c r="K36" s="103">
        <v>0</v>
      </c>
      <c r="L36" s="103">
        <v>241.6172030095554</v>
      </c>
      <c r="M36" s="103">
        <v>2934.893676104698</v>
      </c>
      <c r="N36" s="103">
        <v>8.8760687585659319</v>
      </c>
      <c r="O36" s="103">
        <v>0</v>
      </c>
      <c r="P36" s="103">
        <v>1533.17482645575</v>
      </c>
      <c r="Q36" s="102">
        <v>98280.143452055039</v>
      </c>
      <c r="R36"/>
    </row>
    <row r="37" spans="2:18" ht="28.5" customHeight="1" x14ac:dyDescent="0.35">
      <c r="B37" s="100" t="s">
        <v>85</v>
      </c>
      <c r="C37" s="103">
        <v>0</v>
      </c>
      <c r="D37" s="103">
        <v>11401.188</v>
      </c>
      <c r="E37" s="103">
        <v>3842.386</v>
      </c>
      <c r="F37" s="103">
        <v>39922.241000000002</v>
      </c>
      <c r="G37" s="103">
        <v>3049.7820000000002</v>
      </c>
      <c r="H37" s="103">
        <v>5329.6750000000002</v>
      </c>
      <c r="I37" s="103">
        <v>10268.370999999999</v>
      </c>
      <c r="J37" s="103">
        <v>9547.1209999999992</v>
      </c>
      <c r="K37" s="103">
        <v>0</v>
      </c>
      <c r="L37" s="103">
        <v>562.41999999999996</v>
      </c>
      <c r="M37" s="103">
        <v>6663.0190000000002</v>
      </c>
      <c r="N37" s="103">
        <v>15035.638999999999</v>
      </c>
      <c r="O37" s="103">
        <v>98.213999999999999</v>
      </c>
      <c r="P37" s="103">
        <v>573.91499999999996</v>
      </c>
      <c r="Q37" s="102">
        <v>106293.97100000001</v>
      </c>
      <c r="R37"/>
    </row>
    <row r="38" spans="2:18" ht="28.5" customHeight="1" x14ac:dyDescent="0.35">
      <c r="B38" s="100" t="s">
        <v>86</v>
      </c>
      <c r="C38" s="103">
        <v>298.12900000000002</v>
      </c>
      <c r="D38" s="103">
        <v>7198.0479999999998</v>
      </c>
      <c r="E38" s="103">
        <v>4218.9930000000004</v>
      </c>
      <c r="F38" s="103">
        <v>2151.576</v>
      </c>
      <c r="G38" s="103">
        <v>15630.575999999999</v>
      </c>
      <c r="H38" s="103">
        <v>6400.5169999999998</v>
      </c>
      <c r="I38" s="103">
        <v>189858.19099999999</v>
      </c>
      <c r="J38" s="103">
        <v>77487.755999999994</v>
      </c>
      <c r="K38" s="103">
        <v>4279.9849999999997</v>
      </c>
      <c r="L38" s="103">
        <v>-24586.23</v>
      </c>
      <c r="M38" s="103">
        <v>-2069.6120000000001</v>
      </c>
      <c r="N38" s="103">
        <v>9830.509</v>
      </c>
      <c r="O38" s="103">
        <v>459507.799</v>
      </c>
      <c r="P38" s="103">
        <v>6039.6009999999997</v>
      </c>
      <c r="Q38" s="102">
        <v>756245.83799999999</v>
      </c>
      <c r="R38"/>
    </row>
    <row r="39" spans="2:18" ht="28.5" customHeight="1" x14ac:dyDescent="0.35">
      <c r="B39" s="100" t="s">
        <v>87</v>
      </c>
      <c r="C39" s="103">
        <v>0</v>
      </c>
      <c r="D39" s="103">
        <v>-1203.1643819998751</v>
      </c>
      <c r="E39" s="103">
        <v>-132.87728255576079</v>
      </c>
      <c r="F39" s="103">
        <v>2064.3785121179671</v>
      </c>
      <c r="G39" s="103">
        <v>-381.09429724138369</v>
      </c>
      <c r="H39" s="103">
        <v>-588.43209623959103</v>
      </c>
      <c r="I39" s="103">
        <v>127022.3709320753</v>
      </c>
      <c r="J39" s="103">
        <v>68013.836223002698</v>
      </c>
      <c r="K39" s="103">
        <v>0</v>
      </c>
      <c r="L39" s="103">
        <v>178.65268480386209</v>
      </c>
      <c r="M39" s="103">
        <v>-1390.0635709454571</v>
      </c>
      <c r="N39" s="103">
        <v>-12881.52504825641</v>
      </c>
      <c r="O39" s="103">
        <v>86213.005354875975</v>
      </c>
      <c r="P39" s="103">
        <v>2192.2177992024999</v>
      </c>
      <c r="Q39" s="102">
        <v>269107.30482883978</v>
      </c>
      <c r="R39"/>
    </row>
    <row r="40" spans="2:18" ht="28.5" customHeight="1" x14ac:dyDescent="0.35">
      <c r="B40" s="100" t="s">
        <v>88</v>
      </c>
      <c r="C40" s="103">
        <v>0</v>
      </c>
      <c r="D40" s="103">
        <v>173.29499999999999</v>
      </c>
      <c r="E40" s="103">
        <v>0</v>
      </c>
      <c r="F40" s="103">
        <v>-1984.5070000000001</v>
      </c>
      <c r="G40" s="103">
        <v>0</v>
      </c>
      <c r="H40" s="103">
        <v>-1E-3</v>
      </c>
      <c r="I40" s="103">
        <v>109526.8055</v>
      </c>
      <c r="J40" s="103">
        <v>88465.859010000044</v>
      </c>
      <c r="K40" s="103">
        <v>0</v>
      </c>
      <c r="L40" s="103">
        <v>373.74700000000001</v>
      </c>
      <c r="M40" s="103">
        <v>-137.62200000000001</v>
      </c>
      <c r="N40" s="103">
        <v>1272.8019999999999</v>
      </c>
      <c r="O40" s="103">
        <v>0</v>
      </c>
      <c r="P40" s="103">
        <v>937.55</v>
      </c>
      <c r="Q40" s="102">
        <v>198627.92851000011</v>
      </c>
      <c r="R40"/>
    </row>
    <row r="41" spans="2:18" ht="28.5" customHeight="1" x14ac:dyDescent="0.35">
      <c r="B41" s="100" t="s">
        <v>89</v>
      </c>
      <c r="C41" s="103">
        <v>0</v>
      </c>
      <c r="D41" s="103">
        <v>0</v>
      </c>
      <c r="E41" s="103">
        <v>0</v>
      </c>
      <c r="F41" s="103">
        <v>0</v>
      </c>
      <c r="G41" s="103">
        <v>0</v>
      </c>
      <c r="H41" s="103">
        <v>0</v>
      </c>
      <c r="I41" s="103">
        <v>0</v>
      </c>
      <c r="J41" s="103">
        <v>0</v>
      </c>
      <c r="K41" s="103">
        <v>0</v>
      </c>
      <c r="L41" s="103">
        <v>0</v>
      </c>
      <c r="M41" s="103">
        <v>0</v>
      </c>
      <c r="N41" s="103">
        <v>0</v>
      </c>
      <c r="O41" s="103">
        <v>0</v>
      </c>
      <c r="P41" s="103">
        <v>0</v>
      </c>
      <c r="Q41" s="102">
        <v>0</v>
      </c>
      <c r="R41"/>
    </row>
    <row r="42" spans="2:18" ht="28.5" customHeight="1" x14ac:dyDescent="0.35">
      <c r="B42" s="104" t="s">
        <v>90</v>
      </c>
      <c r="C42" s="105">
        <f>SUM(C6:C41)</f>
        <v>16985.259015726107</v>
      </c>
      <c r="D42" s="105">
        <f t="shared" ref="D42:Q42" si="0">SUM(D6:D41)</f>
        <v>74350.658101939989</v>
      </c>
      <c r="E42" s="105">
        <f t="shared" si="0"/>
        <v>117291.92772168969</v>
      </c>
      <c r="F42" s="105">
        <f t="shared" si="0"/>
        <v>221003.79496688602</v>
      </c>
      <c r="G42" s="105">
        <f t="shared" si="0"/>
        <v>325528.17087469285</v>
      </c>
      <c r="H42" s="105">
        <f t="shared" si="0"/>
        <v>170948.06525105741</v>
      </c>
      <c r="I42" s="105">
        <f t="shared" si="0"/>
        <v>5488871.7939657578</v>
      </c>
      <c r="J42" s="105">
        <f t="shared" si="0"/>
        <v>3726846.1481931391</v>
      </c>
      <c r="K42" s="105">
        <f t="shared" si="0"/>
        <v>1286610.2833940496</v>
      </c>
      <c r="L42" s="105">
        <f t="shared" si="0"/>
        <v>171996.7106846309</v>
      </c>
      <c r="M42" s="105">
        <f t="shared" si="0"/>
        <v>173952.41011658817</v>
      </c>
      <c r="N42" s="105">
        <f t="shared" si="0"/>
        <v>945180.56149385707</v>
      </c>
      <c r="O42" s="105">
        <f t="shared" si="0"/>
        <v>12746611.973355893</v>
      </c>
      <c r="P42" s="105">
        <f t="shared" si="0"/>
        <v>351032.17904825043</v>
      </c>
      <c r="Q42" s="105">
        <f t="shared" si="0"/>
        <v>25817209.93618416</v>
      </c>
    </row>
    <row r="43" spans="2:18" ht="28.5" customHeight="1" x14ac:dyDescent="0.35">
      <c r="B43" s="278" t="s">
        <v>91</v>
      </c>
      <c r="C43" s="252"/>
      <c r="D43" s="252"/>
      <c r="E43" s="252"/>
      <c r="F43" s="252"/>
      <c r="G43" s="252"/>
      <c r="H43" s="252"/>
      <c r="I43" s="252"/>
      <c r="J43" s="252"/>
      <c r="K43" s="252"/>
      <c r="L43" s="252"/>
      <c r="M43" s="252"/>
      <c r="N43" s="252"/>
      <c r="O43" s="252"/>
      <c r="P43" s="252"/>
      <c r="Q43" s="253"/>
    </row>
    <row r="44" spans="2:18" ht="28.5" customHeight="1" x14ac:dyDescent="0.35">
      <c r="B44" s="100" t="s">
        <v>92</v>
      </c>
      <c r="C44" s="103">
        <v>4762.6788380323906</v>
      </c>
      <c r="D44" s="103">
        <v>-67659.840931992978</v>
      </c>
      <c r="E44" s="103">
        <v>68822.851726593857</v>
      </c>
      <c r="F44" s="103">
        <v>195880.42222184371</v>
      </c>
      <c r="G44" s="103">
        <v>24740.538171246531</v>
      </c>
      <c r="H44" s="103">
        <v>54770.810637372488</v>
      </c>
      <c r="I44" s="103">
        <v>6479.6644972312342</v>
      </c>
      <c r="J44" s="103">
        <v>27685.84021544252</v>
      </c>
      <c r="K44" s="103">
        <v>0</v>
      </c>
      <c r="L44" s="103">
        <v>-6617.4913055599627</v>
      </c>
      <c r="M44" s="103">
        <v>-348.28927923999822</v>
      </c>
      <c r="N44" s="103">
        <v>-696.57855847999645</v>
      </c>
      <c r="O44" s="103">
        <v>200431.31046093459</v>
      </c>
      <c r="P44" s="103">
        <v>-27166.54578072</v>
      </c>
      <c r="Q44" s="106">
        <v>481085.37091270438</v>
      </c>
      <c r="R44"/>
    </row>
    <row r="45" spans="2:18" ht="28.5" customHeight="1" x14ac:dyDescent="0.35">
      <c r="B45" s="100" t="s">
        <v>93</v>
      </c>
      <c r="C45" s="103">
        <v>181.04296600633981</v>
      </c>
      <c r="D45" s="103">
        <v>46610.410124980917</v>
      </c>
      <c r="E45" s="103">
        <v>-19366.695650000001</v>
      </c>
      <c r="F45" s="103">
        <v>346168.68899891857</v>
      </c>
      <c r="G45" s="103">
        <v>-1575.9619276174001</v>
      </c>
      <c r="H45" s="103">
        <v>44594.092013661822</v>
      </c>
      <c r="I45" s="103">
        <v>0</v>
      </c>
      <c r="J45" s="103">
        <v>6729.4553453644512</v>
      </c>
      <c r="K45" s="103">
        <v>0</v>
      </c>
      <c r="L45" s="103">
        <v>-42.422725987490267</v>
      </c>
      <c r="M45" s="103">
        <v>0</v>
      </c>
      <c r="N45" s="103">
        <v>0</v>
      </c>
      <c r="O45" s="103">
        <v>300864.99363670731</v>
      </c>
      <c r="P45" s="103">
        <v>29382.393981586229</v>
      </c>
      <c r="Q45" s="106">
        <v>753545.99676362087</v>
      </c>
      <c r="R45"/>
    </row>
    <row r="46" spans="2:18" ht="28.5" customHeight="1" x14ac:dyDescent="0.35">
      <c r="B46" s="100" t="s">
        <v>94</v>
      </c>
      <c r="C46" s="103">
        <v>2878.8940413692631</v>
      </c>
      <c r="D46" s="103">
        <v>43865.816429903927</v>
      </c>
      <c r="E46" s="103">
        <v>75490.011355654424</v>
      </c>
      <c r="F46" s="103">
        <v>258464.15435565449</v>
      </c>
      <c r="G46" s="103">
        <v>1580.114790539242</v>
      </c>
      <c r="H46" s="103">
        <v>9492.442692212031</v>
      </c>
      <c r="I46" s="103">
        <v>9343.501444478743</v>
      </c>
      <c r="J46" s="103">
        <v>9449.3414444787359</v>
      </c>
      <c r="K46" s="103">
        <v>0</v>
      </c>
      <c r="L46" s="103">
        <v>-2819.256195553809</v>
      </c>
      <c r="M46" s="103">
        <v>11166.323686945479</v>
      </c>
      <c r="N46" s="103">
        <v>-2266.3871955538079</v>
      </c>
      <c r="O46" s="103">
        <v>133985.21663516809</v>
      </c>
      <c r="P46" s="103">
        <v>1995.6442945154879</v>
      </c>
      <c r="Q46" s="106">
        <v>552625.8177798125</v>
      </c>
      <c r="R46"/>
    </row>
    <row r="47" spans="2:18" ht="28.5" customHeight="1" x14ac:dyDescent="0.35">
      <c r="B47" s="97" t="s">
        <v>95</v>
      </c>
      <c r="C47" s="103">
        <v>-16042.578680000001</v>
      </c>
      <c r="D47" s="103">
        <v>103273.3315</v>
      </c>
      <c r="E47" s="103">
        <v>80757.974119999984</v>
      </c>
      <c r="F47" s="103">
        <v>676792.69180000003</v>
      </c>
      <c r="G47" s="103">
        <v>3602.8672499999989</v>
      </c>
      <c r="H47" s="103">
        <v>16009.60769999998</v>
      </c>
      <c r="I47" s="103">
        <v>3029.0575699999999</v>
      </c>
      <c r="J47" s="103">
        <v>217896.31294</v>
      </c>
      <c r="K47" s="103">
        <v>0</v>
      </c>
      <c r="L47" s="103">
        <v>67681.073870000007</v>
      </c>
      <c r="M47" s="103">
        <v>935.60137000000009</v>
      </c>
      <c r="N47" s="103">
        <v>1687.3298299999999</v>
      </c>
      <c r="O47" s="103">
        <v>519877.65723000013</v>
      </c>
      <c r="P47" s="103">
        <v>227253.8485799999</v>
      </c>
      <c r="Q47" s="106">
        <v>1902754.7750800001</v>
      </c>
      <c r="R47"/>
    </row>
    <row r="48" spans="2:18" ht="28.5" customHeight="1" x14ac:dyDescent="0.35">
      <c r="B48" s="100" t="s">
        <v>96</v>
      </c>
      <c r="C48" s="103">
        <v>11145.692574819541</v>
      </c>
      <c r="D48" s="103">
        <v>439356.36186193803</v>
      </c>
      <c r="E48" s="103">
        <v>7183.0510043813774</v>
      </c>
      <c r="F48" s="103">
        <v>-285146.6680063603</v>
      </c>
      <c r="G48" s="103">
        <v>-557093.71607666998</v>
      </c>
      <c r="H48" s="103">
        <v>170027.67871518221</v>
      </c>
      <c r="I48" s="103">
        <v>-65.115659546274685</v>
      </c>
      <c r="J48" s="103">
        <v>154303.46806279969</v>
      </c>
      <c r="K48" s="103">
        <v>0</v>
      </c>
      <c r="L48" s="103">
        <v>146423.00433961069</v>
      </c>
      <c r="M48" s="103">
        <v>-901.86851180189899</v>
      </c>
      <c r="N48" s="103">
        <v>57831.277593767853</v>
      </c>
      <c r="O48" s="103">
        <v>410562.37710301788</v>
      </c>
      <c r="P48" s="103">
        <v>108943.3561413977</v>
      </c>
      <c r="Q48" s="106">
        <v>662568.89914253668</v>
      </c>
      <c r="R48"/>
    </row>
    <row r="49" spans="2:17" ht="28.5" customHeight="1" x14ac:dyDescent="0.35">
      <c r="B49" s="104" t="s">
        <v>90</v>
      </c>
      <c r="C49" s="105">
        <f t="shared" ref="C49:Q49" si="1">SUM(C44:C48)</f>
        <v>2925.7297402275344</v>
      </c>
      <c r="D49" s="105">
        <f t="shared" si="1"/>
        <v>565446.07898482983</v>
      </c>
      <c r="E49" s="105">
        <f t="shared" si="1"/>
        <v>212887.19255662966</v>
      </c>
      <c r="F49" s="105">
        <f t="shared" si="1"/>
        <v>1192159.2893700565</v>
      </c>
      <c r="G49" s="105">
        <f t="shared" si="1"/>
        <v>-528746.15779250162</v>
      </c>
      <c r="H49" s="105">
        <f t="shared" si="1"/>
        <v>294894.63175842853</v>
      </c>
      <c r="I49" s="105">
        <f t="shared" si="1"/>
        <v>18787.107852163703</v>
      </c>
      <c r="J49" s="105">
        <f t="shared" si="1"/>
        <v>416064.4180080854</v>
      </c>
      <c r="K49" s="105">
        <f t="shared" si="1"/>
        <v>0</v>
      </c>
      <c r="L49" s="105">
        <f t="shared" si="1"/>
        <v>204624.90798250944</v>
      </c>
      <c r="M49" s="105">
        <f t="shared" si="1"/>
        <v>10851.767265903583</v>
      </c>
      <c r="N49" s="105">
        <f t="shared" si="1"/>
        <v>56555.641669734046</v>
      </c>
      <c r="O49" s="105">
        <f t="shared" si="1"/>
        <v>1565721.5550658281</v>
      </c>
      <c r="P49" s="105">
        <f t="shared" si="1"/>
        <v>340408.69721677934</v>
      </c>
      <c r="Q49" s="105">
        <f t="shared" si="1"/>
        <v>4352580.8596786745</v>
      </c>
    </row>
    <row r="50" spans="2:17" ht="18.75" customHeight="1" x14ac:dyDescent="0.35">
      <c r="B50" s="277" t="s">
        <v>98</v>
      </c>
      <c r="C50" s="255"/>
      <c r="D50" s="255"/>
      <c r="E50" s="255"/>
      <c r="F50" s="255"/>
      <c r="G50" s="255"/>
      <c r="H50" s="255"/>
      <c r="I50" s="255"/>
      <c r="J50" s="255"/>
      <c r="K50" s="255"/>
      <c r="L50" s="255"/>
      <c r="M50" s="255"/>
      <c r="N50" s="255"/>
      <c r="O50" s="255"/>
      <c r="P50" s="255"/>
      <c r="Q50" s="255"/>
    </row>
  </sheetData>
  <sheetProtection algorithmName="SHA-512" hashValue="HV8eOXIncLrZvhdP7f11Jpf/HP6RXaltCoeVkoTBBNQ65jTbQcKf+ymRr0GI0y6QgrHmRlP4eiBwfyPH141oHA==" saltValue="OkuWRfanF5R2MMfOH1eUHw==" spinCount="100000" sheet="1" objects="1" scenarios="1"/>
  <mergeCells count="4">
    <mergeCell ref="B50:Q50"/>
    <mergeCell ref="B43:Q43"/>
    <mergeCell ref="B3:Q3"/>
    <mergeCell ref="B5:Q5"/>
  </mergeCells>
  <pageMargins left="0.7" right="0.7" top="0.75" bottom="0.75" header="0.3" footer="0.3"/>
  <pageSetup paperSize="9" scale="31"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0">
    <tabColor rgb="FF92D050"/>
    <pageSetUpPr fitToPage="1"/>
  </sheetPr>
  <dimension ref="B3:R51"/>
  <sheetViews>
    <sheetView tabSelected="1" topLeftCell="B4" zoomScale="57" workbookViewId="0">
      <selection activeCell="H18" sqref="H18"/>
    </sheetView>
  </sheetViews>
  <sheetFormatPr defaultColWidth="9.453125" defaultRowHeight="14" x14ac:dyDescent="0.3"/>
  <cols>
    <col min="1" max="1" width="17.453125" style="2" customWidth="1"/>
    <col min="2" max="2" width="50.6328125" style="2" bestFit="1" customWidth="1"/>
    <col min="3" max="17" width="20.453125" style="2" customWidth="1"/>
    <col min="18" max="18" width="9.1796875" style="2" customWidth="1"/>
    <col min="19" max="69" width="9.453125" style="2" customWidth="1"/>
    <col min="70" max="16384" width="9.453125" style="2"/>
  </cols>
  <sheetData>
    <row r="3" spans="2:18" ht="21" customHeight="1" x14ac:dyDescent="0.35">
      <c r="B3" s="279" t="str">
        <f>_xlfn.CONCAT('Table of Contents'!B26,": ",'Table of Contents'!C26)</f>
        <v>APPENDIX 19: SUMMARY OF INCURRED CLAIMS RATIOS UNDER GENERAL INSURANCE BUSINESS FOR THE PERIOD ENDED 31.03.2025</v>
      </c>
      <c r="C3" s="252"/>
      <c r="D3" s="252"/>
      <c r="E3" s="252"/>
      <c r="F3" s="252"/>
      <c r="G3" s="252"/>
      <c r="H3" s="252"/>
      <c r="I3" s="252"/>
      <c r="J3" s="252"/>
      <c r="K3" s="252"/>
      <c r="L3" s="252"/>
      <c r="M3" s="252"/>
      <c r="N3" s="252"/>
      <c r="O3" s="252"/>
      <c r="P3" s="252"/>
      <c r="Q3" s="253"/>
    </row>
    <row r="4" spans="2:18" ht="31" customHeight="1" x14ac:dyDescent="0.35">
      <c r="B4" s="98" t="s">
        <v>36</v>
      </c>
      <c r="C4" s="99" t="s">
        <v>156</v>
      </c>
      <c r="D4" s="99" t="s">
        <v>157</v>
      </c>
      <c r="E4" s="99" t="s">
        <v>158</v>
      </c>
      <c r="F4" s="99" t="s">
        <v>159</v>
      </c>
      <c r="G4" s="99" t="s">
        <v>160</v>
      </c>
      <c r="H4" s="99" t="s">
        <v>161</v>
      </c>
      <c r="I4" s="99" t="s">
        <v>162</v>
      </c>
      <c r="J4" s="99" t="s">
        <v>163</v>
      </c>
      <c r="K4" s="99" t="s">
        <v>164</v>
      </c>
      <c r="L4" s="99" t="s">
        <v>165</v>
      </c>
      <c r="M4" s="99" t="s">
        <v>166</v>
      </c>
      <c r="N4" s="99" t="s">
        <v>167</v>
      </c>
      <c r="O4" s="99" t="s">
        <v>168</v>
      </c>
      <c r="P4" s="99" t="s">
        <v>169</v>
      </c>
      <c r="Q4" s="99" t="s">
        <v>170</v>
      </c>
    </row>
    <row r="5" spans="2:18" ht="27" customHeight="1" x14ac:dyDescent="0.35">
      <c r="B5" s="280" t="s">
        <v>53</v>
      </c>
      <c r="C5" s="252"/>
      <c r="D5" s="252"/>
      <c r="E5" s="252"/>
      <c r="F5" s="252"/>
      <c r="G5" s="252"/>
      <c r="H5" s="252"/>
      <c r="I5" s="252"/>
      <c r="J5" s="252"/>
      <c r="K5" s="252"/>
      <c r="L5" s="252"/>
      <c r="M5" s="252"/>
      <c r="N5" s="252"/>
      <c r="O5" s="252"/>
      <c r="P5" s="252"/>
      <c r="Q5" s="253"/>
    </row>
    <row r="6" spans="2:18" ht="27" customHeight="1" x14ac:dyDescent="0.35">
      <c r="B6" s="109" t="s">
        <v>54</v>
      </c>
      <c r="C6" s="110" t="str">
        <f>IFERROR('APPENDIX 18'!C6/NEPI!C6*100,"0.00")</f>
        <v>0.00</v>
      </c>
      <c r="D6" s="110">
        <f>IFERROR('APPENDIX 18'!D6/NEPI!D6*100,"0.00")</f>
        <v>-70.838112694535056</v>
      </c>
      <c r="E6" s="110">
        <f>IFERROR('APPENDIX 18'!E6/NEPI!E6*100,"0.00")</f>
        <v>112.23813367646549</v>
      </c>
      <c r="F6" s="110">
        <f>IFERROR('APPENDIX 18'!F6/NEPI!F6*100,"0.00")</f>
        <v>-232.94525033031746</v>
      </c>
      <c r="G6" s="110">
        <f>IFERROR('APPENDIX 18'!G6/NEPI!G6*100,"0.00")</f>
        <v>4.2614805620494094</v>
      </c>
      <c r="H6" s="110">
        <f>IFERROR('APPENDIX 18'!H6/NEPI!H6*100,"0.00")</f>
        <v>-136.62559702097644</v>
      </c>
      <c r="I6" s="110" t="str">
        <f>IFERROR('APPENDIX 18'!I6/NEPI!I6*100,"0.00")</f>
        <v>0.00</v>
      </c>
      <c r="J6" s="110" t="str">
        <f>IFERROR('APPENDIX 18'!J6/NEPI!J6*100,"0.00")</f>
        <v>0.00</v>
      </c>
      <c r="K6" s="110" t="str">
        <f>IFERROR('APPENDIX 18'!K6/NEPI!K6*100,"0.00")</f>
        <v>0.00</v>
      </c>
      <c r="L6" s="110">
        <f>IFERROR('APPENDIX 18'!L6/NEPI!L6*100,"0.00")</f>
        <v>112.11024562744831</v>
      </c>
      <c r="M6" s="110">
        <f>IFERROR('APPENDIX 18'!M6/NEPI!M6*100,"0.00")</f>
        <v>32.994309953356961</v>
      </c>
      <c r="N6" s="110">
        <f>IFERROR('APPENDIX 18'!N6/NEPI!N6*100,"0.00")</f>
        <v>28.210859855747078</v>
      </c>
      <c r="O6" s="110">
        <f>IFERROR('APPENDIX 18'!O6/NEPI!O6*100,"0.00")</f>
        <v>78.143263486151454</v>
      </c>
      <c r="P6" s="110">
        <f>IFERROR('APPENDIX 18'!P6/NEPI!P6*100,"0.00")</f>
        <v>95.26708165422933</v>
      </c>
      <c r="Q6" s="111">
        <f>IFERROR('APPENDIX 18'!Q6/NEPI!Q6*100,"0.00")</f>
        <v>77.533616016343359</v>
      </c>
      <c r="R6"/>
    </row>
    <row r="7" spans="2:18" ht="27" customHeight="1" x14ac:dyDescent="0.35">
      <c r="B7" s="109" t="s">
        <v>55</v>
      </c>
      <c r="C7" s="110" t="str">
        <f>IFERROR('APPENDIX 18'!C7/NEPI!C7*100,"0.00")</f>
        <v>0.00</v>
      </c>
      <c r="D7" s="110">
        <f>IFERROR('APPENDIX 18'!D7/NEPI!D7*100,"0.00")</f>
        <v>-225.20843936272374</v>
      </c>
      <c r="E7" s="110">
        <f>IFERROR('APPENDIX 18'!E7/NEPI!E7*100,"0.00")</f>
        <v>0</v>
      </c>
      <c r="F7" s="110">
        <f>IFERROR('APPENDIX 18'!F7/NEPI!F7*100,"0.00")</f>
        <v>0</v>
      </c>
      <c r="G7" s="110">
        <f>IFERROR('APPENDIX 18'!G7/NEPI!G7*100,"0.00")</f>
        <v>0</v>
      </c>
      <c r="H7" s="110">
        <f>IFERROR('APPENDIX 18'!H7/NEPI!H7*100,"0.00")</f>
        <v>-460.52163277274474</v>
      </c>
      <c r="I7" s="110">
        <f>IFERROR('APPENDIX 18'!I7/NEPI!I7*100,"0.00")</f>
        <v>267.84845711556392</v>
      </c>
      <c r="J7" s="110">
        <f>IFERROR('APPENDIX 18'!J7/NEPI!J7*100,"0.00")</f>
        <v>-19.317756460304743</v>
      </c>
      <c r="K7" s="110">
        <f>IFERROR('APPENDIX 18'!K7/NEPI!K7*100,"0.00")</f>
        <v>47.301227541951995</v>
      </c>
      <c r="L7" s="110">
        <f>IFERROR('APPENDIX 18'!L7/NEPI!L7*100,"0.00")</f>
        <v>919.96054643366415</v>
      </c>
      <c r="M7" s="110">
        <f>IFERROR('APPENDIX 18'!M7/NEPI!M7*100,"0.00")</f>
        <v>0</v>
      </c>
      <c r="N7" s="110">
        <f>IFERROR('APPENDIX 18'!N7/NEPI!N7*100,"0.00")</f>
        <v>46.141143644969077</v>
      </c>
      <c r="O7" s="110" t="str">
        <f>IFERROR('APPENDIX 18'!O7/NEPI!O7*100,"0.00")</f>
        <v>0.00</v>
      </c>
      <c r="P7" s="110">
        <f>IFERROR('APPENDIX 18'!P7/NEPI!P7*100,"0.00")</f>
        <v>890.22948588681209</v>
      </c>
      <c r="Q7" s="111">
        <f>IFERROR('APPENDIX 18'!Q7/NEPI!Q7*100,"0.00")</f>
        <v>61.959747703816106</v>
      </c>
      <c r="R7"/>
    </row>
    <row r="8" spans="2:18" ht="27" customHeight="1" x14ac:dyDescent="0.35">
      <c r="B8" s="109" t="s">
        <v>56</v>
      </c>
      <c r="C8" s="110">
        <f>IFERROR('APPENDIX 18'!C8/NEPI!C8*100,"0.00")</f>
        <v>0.95215372405016208</v>
      </c>
      <c r="D8" s="110">
        <f>IFERROR('APPENDIX 18'!D8/NEPI!D8*100,"0.00")</f>
        <v>100.08608709135478</v>
      </c>
      <c r="E8" s="110">
        <f>IFERROR('APPENDIX 18'!E8/NEPI!E8*100,"0.00")</f>
        <v>16.288430904624384</v>
      </c>
      <c r="F8" s="110">
        <f>IFERROR('APPENDIX 18'!F8/NEPI!F8*100,"0.00")</f>
        <v>14.730499295731175</v>
      </c>
      <c r="G8" s="110">
        <f>IFERROR('APPENDIX 18'!G8/NEPI!G8*100,"0.00")</f>
        <v>241.38808845688823</v>
      </c>
      <c r="H8" s="110">
        <f>IFERROR('APPENDIX 18'!H8/NEPI!H8*100,"0.00")</f>
        <v>80.183389766047867</v>
      </c>
      <c r="I8" s="110">
        <f>IFERROR('APPENDIX 18'!I8/NEPI!I8*100,"0.00")</f>
        <v>79.770205981310156</v>
      </c>
      <c r="J8" s="110">
        <f>IFERROR('APPENDIX 18'!J8/NEPI!J8*100,"0.00")</f>
        <v>75.350538320544103</v>
      </c>
      <c r="K8" s="110" t="str">
        <f>IFERROR('APPENDIX 18'!K8/NEPI!K8*100,"0.00")</f>
        <v>0.00</v>
      </c>
      <c r="L8" s="110">
        <f>IFERROR('APPENDIX 18'!L8/NEPI!L8*100,"0.00")</f>
        <v>-2.7501314913393355</v>
      </c>
      <c r="M8" s="110">
        <f>IFERROR('APPENDIX 18'!M8/NEPI!M8*100,"0.00")</f>
        <v>58.788102688681299</v>
      </c>
      <c r="N8" s="110">
        <f>IFERROR('APPENDIX 18'!N8/NEPI!N8*100,"0.00")</f>
        <v>43.363636333764198</v>
      </c>
      <c r="O8" s="110">
        <f>IFERROR('APPENDIX 18'!O8/NEPI!O8*100,"0.00")</f>
        <v>72.713799797611202</v>
      </c>
      <c r="P8" s="110">
        <f>IFERROR('APPENDIX 18'!P8/NEPI!P8*100,"0.00")</f>
        <v>28.542216103341183</v>
      </c>
      <c r="Q8" s="111">
        <f>IFERROR('APPENDIX 18'!Q8/NEPI!Q8*100,"0.00")</f>
        <v>69.328527205711097</v>
      </c>
      <c r="R8"/>
    </row>
    <row r="9" spans="2:18" ht="27" customHeight="1" x14ac:dyDescent="0.35">
      <c r="B9" s="109" t="s">
        <v>57</v>
      </c>
      <c r="C9" s="110">
        <f>IFERROR('APPENDIX 18'!C9/NEPI!C9*100,"0.00")</f>
        <v>0</v>
      </c>
      <c r="D9" s="110">
        <f>IFERROR('APPENDIX 18'!D9/NEPI!D9*100,"0.00")</f>
        <v>331.19710500398998</v>
      </c>
      <c r="E9" s="110">
        <f>IFERROR('APPENDIX 18'!E9/NEPI!E9*100,"0.00")</f>
        <v>7.8797331336103209</v>
      </c>
      <c r="F9" s="110">
        <f>IFERROR('APPENDIX 18'!F9/NEPI!F9*100,"0.00")</f>
        <v>93.264925733406429</v>
      </c>
      <c r="G9" s="110">
        <f>IFERROR('APPENDIX 18'!G9/NEPI!G9*100,"0.00")</f>
        <v>32.973683004340408</v>
      </c>
      <c r="H9" s="110">
        <f>IFERROR('APPENDIX 18'!H9/NEPI!H9*100,"0.00")</f>
        <v>41.433897360132391</v>
      </c>
      <c r="I9" s="110">
        <f>IFERROR('APPENDIX 18'!I9/NEPI!I9*100,"0.00")</f>
        <v>64.042366464554874</v>
      </c>
      <c r="J9" s="110">
        <f>IFERROR('APPENDIX 18'!J9/NEPI!J9*100,"0.00")</f>
        <v>85.31717051115838</v>
      </c>
      <c r="K9" s="110" t="str">
        <f>IFERROR('APPENDIX 18'!K9/NEPI!K9*100,"0.00")</f>
        <v>0.00</v>
      </c>
      <c r="L9" s="110">
        <f>IFERROR('APPENDIX 18'!L9/NEPI!L9*100,"0.00")</f>
        <v>52.373841618001485</v>
      </c>
      <c r="M9" s="110">
        <f>IFERROR('APPENDIX 18'!M9/NEPI!M9*100,"0.00")</f>
        <v>193.46332008305654</v>
      </c>
      <c r="N9" s="110">
        <f>IFERROR('APPENDIX 18'!N9/NEPI!N9*100,"0.00")</f>
        <v>20.46031508834162</v>
      </c>
      <c r="O9" s="110">
        <f>IFERROR('APPENDIX 18'!O9/NEPI!O9*100,"0.00")</f>
        <v>70.842355056496075</v>
      </c>
      <c r="P9" s="110">
        <f>IFERROR('APPENDIX 18'!P9/NEPI!P9*100,"0.00")</f>
        <v>90.38792171264798</v>
      </c>
      <c r="Q9" s="111">
        <f>IFERROR('APPENDIX 18'!Q9/NEPI!Q9*100,"0.00")</f>
        <v>68.801451632174533</v>
      </c>
      <c r="R9"/>
    </row>
    <row r="10" spans="2:18" ht="27" customHeight="1" x14ac:dyDescent="0.35">
      <c r="B10" s="109" t="s">
        <v>58</v>
      </c>
      <c r="C10" s="110" t="str">
        <f>IFERROR('APPENDIX 18'!C10/NEPI!C10*100,"0.00")</f>
        <v>0.00</v>
      </c>
      <c r="D10" s="110">
        <f>IFERROR('APPENDIX 18'!D10/NEPI!D10*100,"0.00")</f>
        <v>-285.20062210709176</v>
      </c>
      <c r="E10" s="110">
        <f>IFERROR('APPENDIX 18'!E10/NEPI!E10*100,"0.00")</f>
        <v>61.387713689122826</v>
      </c>
      <c r="F10" s="110">
        <f>IFERROR('APPENDIX 18'!F10/NEPI!F10*100,"0.00")</f>
        <v>151.05578011876344</v>
      </c>
      <c r="G10" s="110">
        <f>IFERROR('APPENDIX 18'!G10/NEPI!G10*100,"0.00")</f>
        <v>68.318664658031352</v>
      </c>
      <c r="H10" s="110">
        <f>IFERROR('APPENDIX 18'!H10/NEPI!H10*100,"0.00")</f>
        <v>-114.67210670648788</v>
      </c>
      <c r="I10" s="110">
        <f>IFERROR('APPENDIX 18'!I10/NEPI!I10*100,"0.00")</f>
        <v>94.231792050709714</v>
      </c>
      <c r="J10" s="110">
        <f>IFERROR('APPENDIX 18'!J10/NEPI!J10*100,"0.00")</f>
        <v>74.221581106136284</v>
      </c>
      <c r="K10" s="110" t="str">
        <f>IFERROR('APPENDIX 18'!K10/NEPI!K10*100,"0.00")</f>
        <v>0.00</v>
      </c>
      <c r="L10" s="110">
        <f>IFERROR('APPENDIX 18'!L10/NEPI!L10*100,"0.00")</f>
        <v>-4.7760421093968777</v>
      </c>
      <c r="M10" s="110">
        <f>IFERROR('APPENDIX 18'!M10/NEPI!M10*100,"0.00")</f>
        <v>41.193741035103621</v>
      </c>
      <c r="N10" s="110">
        <f>IFERROR('APPENDIX 18'!N10/NEPI!N10*100,"0.00")</f>
        <v>29.639045875875112</v>
      </c>
      <c r="O10" s="110" t="str">
        <f>IFERROR('APPENDIX 18'!O10/NEPI!O10*100,"0.00")</f>
        <v>0.00</v>
      </c>
      <c r="P10" s="110">
        <f>IFERROR('APPENDIX 18'!P10/NEPI!P10*100,"0.00")</f>
        <v>-1.1480134543136951</v>
      </c>
      <c r="Q10" s="111">
        <f>IFERROR('APPENDIX 18'!Q10/NEPI!Q10*100,"0.00")</f>
        <v>86.719771701821543</v>
      </c>
      <c r="R10"/>
    </row>
    <row r="11" spans="2:18" ht="23" customHeight="1" x14ac:dyDescent="0.35">
      <c r="B11" s="109" t="s">
        <v>59</v>
      </c>
      <c r="C11" s="110" t="str">
        <f>IFERROR('APPENDIX 18'!C11/NEPI!C11*100,"0.00")</f>
        <v>0.00</v>
      </c>
      <c r="D11" s="110">
        <f>IFERROR('APPENDIX 18'!D11/NEPI!D11*100,"0.00")</f>
        <v>31.73169922907099</v>
      </c>
      <c r="E11" s="110">
        <f>IFERROR('APPENDIX 18'!E11/NEPI!E11*100,"0.00")</f>
        <v>16.720024504714541</v>
      </c>
      <c r="F11" s="110">
        <f>IFERROR('APPENDIX 18'!F11/NEPI!F11*100,"0.00")</f>
        <v>-23.440027489429458</v>
      </c>
      <c r="G11" s="110">
        <f>IFERROR('APPENDIX 18'!G11/NEPI!G11*100,"0.00")</f>
        <v>93.581794923812268</v>
      </c>
      <c r="H11" s="110">
        <f>IFERROR('APPENDIX 18'!H11/NEPI!H11*100,"0.00")</f>
        <v>-17.721007794045473</v>
      </c>
      <c r="I11" s="110">
        <f>IFERROR('APPENDIX 18'!I11/NEPI!I11*100,"0.00")</f>
        <v>69.915323219068938</v>
      </c>
      <c r="J11" s="110">
        <f>IFERROR('APPENDIX 18'!J11/NEPI!J11*100,"0.00")</f>
        <v>89.350863566789457</v>
      </c>
      <c r="K11" s="110" t="str">
        <f>IFERROR('APPENDIX 18'!K11/NEPI!K11*100,"0.00")</f>
        <v>0.00</v>
      </c>
      <c r="L11" s="110">
        <f>IFERROR('APPENDIX 18'!L11/NEPI!L11*100,"0.00")</f>
        <v>21.606851655622059</v>
      </c>
      <c r="M11" s="110">
        <f>IFERROR('APPENDIX 18'!M11/NEPI!M11*100,"0.00")</f>
        <v>-23.454146680991752</v>
      </c>
      <c r="N11" s="110">
        <f>IFERROR('APPENDIX 18'!N11/NEPI!N11*100,"0.00")</f>
        <v>40.972199879343847</v>
      </c>
      <c r="O11" s="110">
        <f>IFERROR('APPENDIX 18'!O11/NEPI!O11*100,"0.00")</f>
        <v>80.098756296516257</v>
      </c>
      <c r="P11" s="110">
        <f>IFERROR('APPENDIX 18'!P11/NEPI!P11*100,"0.00")</f>
        <v>383.82222606069467</v>
      </c>
      <c r="Q11" s="111">
        <f>IFERROR('APPENDIX 18'!Q11/NEPI!Q11*100,"0.00")</f>
        <v>72.947613428478292</v>
      </c>
      <c r="R11"/>
    </row>
    <row r="12" spans="2:18" ht="27" customHeight="1" x14ac:dyDescent="0.35">
      <c r="B12" s="109" t="s">
        <v>60</v>
      </c>
      <c r="C12" s="110" t="str">
        <f>IFERROR('APPENDIX 18'!C12/NEPI!C12*100,"0.00")</f>
        <v>0.00</v>
      </c>
      <c r="D12" s="110">
        <f>IFERROR('APPENDIX 18'!D12/NEPI!D12*100,"0.00")</f>
        <v>2.7230758568635274</v>
      </c>
      <c r="E12" s="110">
        <f>IFERROR('APPENDIX 18'!E12/NEPI!E12*100,"0.00")</f>
        <v>-1271.3426918316429</v>
      </c>
      <c r="F12" s="110">
        <f>IFERROR('APPENDIX 18'!F12/NEPI!F12*100,"0.00")</f>
        <v>1.2205352798458451</v>
      </c>
      <c r="G12" s="110">
        <f>IFERROR('APPENDIX 18'!G12/NEPI!G12*100,"0.00")</f>
        <v>-0.38252669328605154</v>
      </c>
      <c r="H12" s="110">
        <f>IFERROR('APPENDIX 18'!H12/NEPI!H12*100,"0.00")</f>
        <v>-9.8525257163337692</v>
      </c>
      <c r="I12" s="110">
        <f>IFERROR('APPENDIX 18'!I12/NEPI!I12*100,"0.00")</f>
        <v>12.668943157453885</v>
      </c>
      <c r="J12" s="110">
        <f>IFERROR('APPENDIX 18'!J12/NEPI!J12*100,"0.00")</f>
        <v>-67.312367164895548</v>
      </c>
      <c r="K12" s="110" t="str">
        <f>IFERROR('APPENDIX 18'!K12/NEPI!K12*100,"0.00")</f>
        <v>0.00</v>
      </c>
      <c r="L12" s="110">
        <f>IFERROR('APPENDIX 18'!L12/NEPI!L12*100,"0.00")</f>
        <v>-5.705344724257726</v>
      </c>
      <c r="M12" s="110">
        <f>IFERROR('APPENDIX 18'!M12/NEPI!M12*100,"0.00")</f>
        <v>-25.434009024505439</v>
      </c>
      <c r="N12" s="110">
        <f>IFERROR('APPENDIX 18'!N12/NEPI!N12*100,"0.00")</f>
        <v>-19.922424038345383</v>
      </c>
      <c r="O12" s="110" t="str">
        <f>IFERROR('APPENDIX 18'!O12/NEPI!O12*100,"0.00")</f>
        <v>0.00</v>
      </c>
      <c r="P12" s="110">
        <f>IFERROR('APPENDIX 18'!P12/NEPI!P12*100,"0.00")</f>
        <v>0</v>
      </c>
      <c r="Q12" s="111">
        <f>IFERROR('APPENDIX 18'!Q12/NEPI!Q12*100,"0.00")</f>
        <v>-20.163584300673289</v>
      </c>
      <c r="R12"/>
    </row>
    <row r="13" spans="2:18" ht="27" customHeight="1" x14ac:dyDescent="0.35">
      <c r="B13" s="109" t="s">
        <v>61</v>
      </c>
      <c r="C13" s="110" t="str">
        <f>IFERROR('APPENDIX 18'!C13/NEPI!C13*100,"0.00")</f>
        <v>0.00</v>
      </c>
      <c r="D13" s="110">
        <f>IFERROR('APPENDIX 18'!D13/NEPI!D13*100,"0.00")</f>
        <v>0</v>
      </c>
      <c r="E13" s="110" t="str">
        <f>IFERROR('APPENDIX 18'!E13/NEPI!E13*100,"0.00")</f>
        <v>0.00</v>
      </c>
      <c r="F13" s="110">
        <f>IFERROR('APPENDIX 18'!F13/NEPI!F13*100,"0.00")</f>
        <v>0</v>
      </c>
      <c r="G13" s="110" t="str">
        <f>IFERROR('APPENDIX 18'!G13/NEPI!G13*100,"0.00")</f>
        <v>0.00</v>
      </c>
      <c r="H13" s="110" t="str">
        <f>IFERROR('APPENDIX 18'!H13/NEPI!H13*100,"0.00")</f>
        <v>0.00</v>
      </c>
      <c r="I13" s="110">
        <f>IFERROR('APPENDIX 18'!I13/NEPI!I13*100,"0.00")</f>
        <v>-0.21540278769167398</v>
      </c>
      <c r="J13" s="110">
        <f>IFERROR('APPENDIX 18'!J13/NEPI!J13*100,"0.00")</f>
        <v>0</v>
      </c>
      <c r="K13" s="110">
        <f>IFERROR('APPENDIX 18'!K13/NEPI!K13*100,"0.00")</f>
        <v>-164.87500460809983</v>
      </c>
      <c r="L13" s="110">
        <f>IFERROR('APPENDIX 18'!L13/NEPI!L13*100,"0.00")</f>
        <v>0</v>
      </c>
      <c r="M13" s="110">
        <f>IFERROR('APPENDIX 18'!M13/NEPI!M13*100,"0.00")</f>
        <v>0</v>
      </c>
      <c r="N13" s="110">
        <f>IFERROR('APPENDIX 18'!N13/NEPI!N13*100,"0.00")</f>
        <v>0</v>
      </c>
      <c r="O13" s="110" t="str">
        <f>IFERROR('APPENDIX 18'!O13/NEPI!O13*100,"0.00")</f>
        <v>0.00</v>
      </c>
      <c r="P13" s="110">
        <f>IFERROR('APPENDIX 18'!P13/NEPI!P13*100,"0.00")</f>
        <v>0</v>
      </c>
      <c r="Q13" s="111">
        <f>IFERROR('APPENDIX 18'!Q13/NEPI!Q13*100,"0.00")</f>
        <v>-46.044907582626685</v>
      </c>
      <c r="R13"/>
    </row>
    <row r="14" spans="2:18" ht="27" customHeight="1" x14ac:dyDescent="0.35">
      <c r="B14" s="109" t="s">
        <v>62</v>
      </c>
      <c r="C14" s="110" t="str">
        <f>IFERROR('APPENDIX 18'!C14/NEPI!C14*100,"0.00")</f>
        <v>0.00</v>
      </c>
      <c r="D14" s="110" t="str">
        <f>IFERROR('APPENDIX 18'!D14/NEPI!D14*100,"0.00")</f>
        <v>0.00</v>
      </c>
      <c r="E14" s="110">
        <f>IFERROR('APPENDIX 18'!E14/NEPI!E14*100,"0.00")</f>
        <v>0</v>
      </c>
      <c r="F14" s="110">
        <f>IFERROR('APPENDIX 18'!F14/NEPI!F14*100,"0.00")</f>
        <v>0</v>
      </c>
      <c r="G14" s="110">
        <f>IFERROR('APPENDIX 18'!G14/NEPI!G14*100,"0.00")</f>
        <v>0</v>
      </c>
      <c r="H14" s="110">
        <f>IFERROR('APPENDIX 18'!H14/NEPI!H14*100,"0.00")</f>
        <v>0</v>
      </c>
      <c r="I14" s="110">
        <f>IFERROR('APPENDIX 18'!I14/NEPI!I14*100,"0.00")</f>
        <v>93.861008588713005</v>
      </c>
      <c r="J14" s="110">
        <f>IFERROR('APPENDIX 18'!J14/NEPI!J14*100,"0.00")</f>
        <v>157.43207420393966</v>
      </c>
      <c r="K14" s="110">
        <f>IFERROR('APPENDIX 18'!K14/NEPI!K14*100,"0.00")</f>
        <v>194.52177846423675</v>
      </c>
      <c r="L14" s="110">
        <f>IFERROR('APPENDIX 18'!L14/NEPI!L14*100,"0.00")</f>
        <v>0</v>
      </c>
      <c r="M14" s="110">
        <f>IFERROR('APPENDIX 18'!M14/NEPI!M14*100,"0.00")</f>
        <v>0</v>
      </c>
      <c r="N14" s="110">
        <f>IFERROR('APPENDIX 18'!N14/NEPI!N14*100,"0.00")</f>
        <v>0</v>
      </c>
      <c r="O14" s="110" t="str">
        <f>IFERROR('APPENDIX 18'!O14/NEPI!O14*100,"0.00")</f>
        <v>0.00</v>
      </c>
      <c r="P14" s="110">
        <f>IFERROR('APPENDIX 18'!P14/NEPI!P14*100,"0.00")</f>
        <v>0</v>
      </c>
      <c r="Q14" s="111">
        <f>IFERROR('APPENDIX 18'!Q14/NEPI!Q14*100,"0.00")</f>
        <v>171.27993398302596</v>
      </c>
      <c r="R14"/>
    </row>
    <row r="15" spans="2:18" ht="27" customHeight="1" x14ac:dyDescent="0.35">
      <c r="B15" s="109" t="s">
        <v>63</v>
      </c>
      <c r="C15" s="110" t="str">
        <f>IFERROR('APPENDIX 18'!C15/NEPI!C15*100,"0.00")</f>
        <v>0.00</v>
      </c>
      <c r="D15" s="110">
        <f>IFERROR('APPENDIX 18'!D15/NEPI!D15*100,"0.00")</f>
        <v>0</v>
      </c>
      <c r="E15" s="110" t="str">
        <f>IFERROR('APPENDIX 18'!E15/NEPI!E15*100,"0.00")</f>
        <v>0.00</v>
      </c>
      <c r="F15" s="110">
        <f>IFERROR('APPENDIX 18'!F15/NEPI!F15*100,"0.00")</f>
        <v>0</v>
      </c>
      <c r="G15" s="110">
        <f>IFERROR('APPENDIX 18'!G15/NEPI!G15*100,"0.00")</f>
        <v>0</v>
      </c>
      <c r="H15" s="110" t="str">
        <f>IFERROR('APPENDIX 18'!H15/NEPI!H15*100,"0.00")</f>
        <v>0.00</v>
      </c>
      <c r="I15" s="110" t="str">
        <f>IFERROR('APPENDIX 18'!I15/NEPI!I15*100,"0.00")</f>
        <v>0.00</v>
      </c>
      <c r="J15" s="110" t="str">
        <f>IFERROR('APPENDIX 18'!J15/NEPI!J15*100,"0.00")</f>
        <v>0.00</v>
      </c>
      <c r="K15" s="110" t="str">
        <f>IFERROR('APPENDIX 18'!K15/NEPI!K15*100,"0.00")</f>
        <v>0.00</v>
      </c>
      <c r="L15" s="110" t="str">
        <f>IFERROR('APPENDIX 18'!L15/NEPI!L15*100,"0.00")</f>
        <v>0.00</v>
      </c>
      <c r="M15" s="110">
        <f>IFERROR('APPENDIX 18'!M15/NEPI!M15*100,"0.00")</f>
        <v>1.9649058858898196</v>
      </c>
      <c r="N15" s="110" t="str">
        <f>IFERROR('APPENDIX 18'!N15/NEPI!N15*100,"0.00")</f>
        <v>0.00</v>
      </c>
      <c r="O15" s="110">
        <f>IFERROR('APPENDIX 18'!O15/NEPI!O15*100,"0.00")</f>
        <v>77.304144454797722</v>
      </c>
      <c r="P15" s="110" t="str">
        <f>IFERROR('APPENDIX 18'!P15/NEPI!P15*100,"0.00")</f>
        <v>0.00</v>
      </c>
      <c r="Q15" s="111">
        <f>IFERROR('APPENDIX 18'!Q15/NEPI!Q15*100,"0.00")</f>
        <v>81.096320114156015</v>
      </c>
      <c r="R15"/>
    </row>
    <row r="16" spans="2:18" ht="27" customHeight="1" x14ac:dyDescent="0.35">
      <c r="B16" s="109" t="s">
        <v>64</v>
      </c>
      <c r="C16" s="110">
        <f>IFERROR('APPENDIX 18'!C16/NEPI!C16*100,"0.00")</f>
        <v>0</v>
      </c>
      <c r="D16" s="110">
        <f>IFERROR('APPENDIX 18'!D16/NEPI!D16*100,"0.00")</f>
        <v>-122.55669994233098</v>
      </c>
      <c r="E16" s="110">
        <f>IFERROR('APPENDIX 18'!E16/NEPI!E16*100,"0.00")</f>
        <v>34.25836140234356</v>
      </c>
      <c r="F16" s="110">
        <f>IFERROR('APPENDIX 18'!F16/NEPI!F16*100,"0.00")</f>
        <v>26.911460786687702</v>
      </c>
      <c r="G16" s="110">
        <f>IFERROR('APPENDIX 18'!G16/NEPI!G16*100,"0.00")</f>
        <v>59.281011643560454</v>
      </c>
      <c r="H16" s="110">
        <f>IFERROR('APPENDIX 18'!H16/NEPI!H16*100,"0.00")</f>
        <v>45.971868011611143</v>
      </c>
      <c r="I16" s="110">
        <f>IFERROR('APPENDIX 18'!I16/NEPI!I16*100,"0.00")</f>
        <v>76.854541287367866</v>
      </c>
      <c r="J16" s="110">
        <f>IFERROR('APPENDIX 18'!J16/NEPI!J16*100,"0.00")</f>
        <v>95.488073640510279</v>
      </c>
      <c r="K16" s="110">
        <f>IFERROR('APPENDIX 18'!K16/NEPI!K16*100,"0.00")</f>
        <v>56.923898981945001</v>
      </c>
      <c r="L16" s="110">
        <f>IFERROR('APPENDIX 18'!L16/NEPI!L16*100,"0.00")</f>
        <v>11.534871350148322</v>
      </c>
      <c r="M16" s="110">
        <f>IFERROR('APPENDIX 18'!M16/NEPI!M16*100,"0.00")</f>
        <v>27.833241934019188</v>
      </c>
      <c r="N16" s="110">
        <f>IFERROR('APPENDIX 18'!N16/NEPI!N16*100,"0.00")</f>
        <v>49.713892871487019</v>
      </c>
      <c r="O16" s="110">
        <f>IFERROR('APPENDIX 18'!O16/NEPI!O16*100,"0.00")</f>
        <v>70.908586500791273</v>
      </c>
      <c r="P16" s="110">
        <f>IFERROR('APPENDIX 18'!P16/NEPI!P16*100,"0.00")</f>
        <v>163.73661245713083</v>
      </c>
      <c r="Q16" s="111">
        <f>IFERROR('APPENDIX 18'!Q16/NEPI!Q16*100,"0.00")</f>
        <v>76.637029154214062</v>
      </c>
      <c r="R16"/>
    </row>
    <row r="17" spans="2:18" ht="27" customHeight="1" x14ac:dyDescent="0.35">
      <c r="B17" s="109" t="s">
        <v>65</v>
      </c>
      <c r="C17" s="110" t="str">
        <f>IFERROR('APPENDIX 18'!C17/NEPI!C17*100,"0.00")</f>
        <v>0.00</v>
      </c>
      <c r="D17" s="110">
        <f>IFERROR('APPENDIX 18'!D17/NEPI!D17*100,"0.00")</f>
        <v>-134.24219028138393</v>
      </c>
      <c r="E17" s="110">
        <f>IFERROR('APPENDIX 18'!E17/NEPI!E17*100,"0.00")</f>
        <v>13.16249364067156</v>
      </c>
      <c r="F17" s="110">
        <f>IFERROR('APPENDIX 18'!F17/NEPI!F17*100,"0.00")</f>
        <v>-189.23449397585478</v>
      </c>
      <c r="G17" s="110">
        <f>IFERROR('APPENDIX 18'!G17/NEPI!G17*100,"0.00")</f>
        <v>128.67253023446449</v>
      </c>
      <c r="H17" s="110">
        <f>IFERROR('APPENDIX 18'!H17/NEPI!H17*100,"0.00")</f>
        <v>70.633123690461957</v>
      </c>
      <c r="I17" s="110">
        <f>IFERROR('APPENDIX 18'!I17/NEPI!I17*100,"0.00")</f>
        <v>47.479493476091903</v>
      </c>
      <c r="J17" s="110">
        <f>IFERROR('APPENDIX 18'!J17/NEPI!J17*100,"0.00")</f>
        <v>50.882605525134636</v>
      </c>
      <c r="K17" s="110" t="str">
        <f>IFERROR('APPENDIX 18'!K17/NEPI!K17*100,"0.00")</f>
        <v>0.00</v>
      </c>
      <c r="L17" s="110">
        <f>IFERROR('APPENDIX 18'!L17/NEPI!L17*100,"0.00")</f>
        <v>18.317559776184847</v>
      </c>
      <c r="M17" s="110">
        <f>IFERROR('APPENDIX 18'!M17/NEPI!M17*100,"0.00")</f>
        <v>63.236651827826783</v>
      </c>
      <c r="N17" s="110">
        <f>IFERROR('APPENDIX 18'!N17/NEPI!N17*100,"0.00")</f>
        <v>12.391751032225821</v>
      </c>
      <c r="O17" s="110">
        <f>IFERROR('APPENDIX 18'!O17/NEPI!O17*100,"0.00")</f>
        <v>87.098375277177027</v>
      </c>
      <c r="P17" s="110">
        <f>IFERROR('APPENDIX 18'!P17/NEPI!P17*100,"0.00")</f>
        <v>-25.735440432666458</v>
      </c>
      <c r="Q17" s="111">
        <f>IFERROR('APPENDIX 18'!Q17/NEPI!Q17*100,"0.00")</f>
        <v>55.630816959032572</v>
      </c>
      <c r="R17"/>
    </row>
    <row r="18" spans="2:18" ht="27" customHeight="1" x14ac:dyDescent="0.35">
      <c r="B18" s="109" t="s">
        <v>66</v>
      </c>
      <c r="C18" s="110">
        <f>IFERROR('APPENDIX 18'!C18/NEPI!C18*100,"0.00")</f>
        <v>-31.112093377995159</v>
      </c>
      <c r="D18" s="110">
        <f>IFERROR('APPENDIX 18'!D18/NEPI!D18*100,"0.00")</f>
        <v>168.63882290506297</v>
      </c>
      <c r="E18" s="110">
        <f>IFERROR('APPENDIX 18'!E18/NEPI!E18*100,"0.00")</f>
        <v>55.404264052893147</v>
      </c>
      <c r="F18" s="110">
        <f>IFERROR('APPENDIX 18'!F18/NEPI!F18*100,"0.00")</f>
        <v>31.057447230421296</v>
      </c>
      <c r="G18" s="110">
        <f>IFERROR('APPENDIX 18'!G18/NEPI!G18*100,"0.00")</f>
        <v>70.833348848837957</v>
      </c>
      <c r="H18" s="110">
        <f>IFERROR('APPENDIX 18'!H18/NEPI!H18*100,"0.00")</f>
        <v>22.674945817485696</v>
      </c>
      <c r="I18" s="110">
        <f>IFERROR('APPENDIX 18'!I18/NEPI!I18*100,"0.00")</f>
        <v>72.335282757767843</v>
      </c>
      <c r="J18" s="110">
        <f>IFERROR('APPENDIX 18'!J18/NEPI!J18*100,"0.00")</f>
        <v>100.16204246019265</v>
      </c>
      <c r="K18" s="110">
        <f>IFERROR('APPENDIX 18'!K18/NEPI!K18*100,"0.00")</f>
        <v>0</v>
      </c>
      <c r="L18" s="110">
        <f>IFERROR('APPENDIX 18'!L18/NEPI!L18*100,"0.00")</f>
        <v>14.672801848672282</v>
      </c>
      <c r="M18" s="110">
        <f>IFERROR('APPENDIX 18'!M18/NEPI!M18*100,"0.00")</f>
        <v>49.274591887533553</v>
      </c>
      <c r="N18" s="110">
        <f>IFERROR('APPENDIX 18'!N18/NEPI!N18*100,"0.00")</f>
        <v>243.86086842433167</v>
      </c>
      <c r="O18" s="110">
        <f>IFERROR('APPENDIX 18'!O18/NEPI!O18*100,"0.00")</f>
        <v>100.86317029274437</v>
      </c>
      <c r="P18" s="110">
        <f>IFERROR('APPENDIX 18'!P18/NEPI!P18*100,"0.00")</f>
        <v>-6.5925775257864565</v>
      </c>
      <c r="Q18" s="111">
        <f>IFERROR('APPENDIX 18'!Q18/NEPI!Q18*100,"0.00")</f>
        <v>80.188493073722427</v>
      </c>
      <c r="R18"/>
    </row>
    <row r="19" spans="2:18" ht="27" customHeight="1" x14ac:dyDescent="0.35">
      <c r="B19" s="109" t="s">
        <v>67</v>
      </c>
      <c r="C19" s="110">
        <f>IFERROR('APPENDIX 18'!C19/NEPI!C19*100,"0.00")</f>
        <v>2.3810722657670511</v>
      </c>
      <c r="D19" s="110">
        <f>IFERROR('APPENDIX 18'!D19/NEPI!D19*100,"0.00")</f>
        <v>104.21371559190271</v>
      </c>
      <c r="E19" s="110">
        <f>IFERROR('APPENDIX 18'!E19/NEPI!E19*100,"0.00")</f>
        <v>126.88873283899669</v>
      </c>
      <c r="F19" s="110">
        <f>IFERROR('APPENDIX 18'!F19/NEPI!F19*100,"0.00")</f>
        <v>80.419065521362782</v>
      </c>
      <c r="G19" s="110">
        <f>IFERROR('APPENDIX 18'!G19/NEPI!G19*100,"0.00")</f>
        <v>99.373499201348224</v>
      </c>
      <c r="H19" s="110">
        <f>IFERROR('APPENDIX 18'!H19/NEPI!H19*100,"0.00")</f>
        <v>77.68496332430766</v>
      </c>
      <c r="I19" s="110">
        <f>IFERROR('APPENDIX 18'!I19/NEPI!I19*100,"0.00")</f>
        <v>98.700180596296789</v>
      </c>
      <c r="J19" s="110">
        <f>IFERROR('APPENDIX 18'!J19/NEPI!J19*100,"0.00")</f>
        <v>128.81276068996218</v>
      </c>
      <c r="K19" s="110" t="str">
        <f>IFERROR('APPENDIX 18'!K19/NEPI!K19*100,"0.00")</f>
        <v>0.00</v>
      </c>
      <c r="L19" s="110">
        <f>IFERROR('APPENDIX 18'!L19/NEPI!L19*100,"0.00")</f>
        <v>56.811005215690273</v>
      </c>
      <c r="M19" s="110">
        <f>IFERROR('APPENDIX 18'!M19/NEPI!M19*100,"0.00")</f>
        <v>79.973659849578127</v>
      </c>
      <c r="N19" s="110">
        <f>IFERROR('APPENDIX 18'!N19/NEPI!N19*100,"0.00")</f>
        <v>227.13811376409626</v>
      </c>
      <c r="O19" s="110" t="str">
        <f>IFERROR('APPENDIX 18'!O19/NEPI!O19*100,"0.00")</f>
        <v>0.00</v>
      </c>
      <c r="P19" s="110">
        <f>IFERROR('APPENDIX 18'!P19/NEPI!P19*100,"0.00")</f>
        <v>157.03481585016624</v>
      </c>
      <c r="Q19" s="111">
        <f>IFERROR('APPENDIX 18'!Q19/NEPI!Q19*100,"0.00")</f>
        <v>120.0566791117635</v>
      </c>
      <c r="R19"/>
    </row>
    <row r="20" spans="2:18" ht="27" customHeight="1" x14ac:dyDescent="0.35">
      <c r="B20" s="109" t="s">
        <v>68</v>
      </c>
      <c r="C20" s="110">
        <f>IFERROR('APPENDIX 18'!C20/NEPI!C20*100,"0.00")</f>
        <v>265.33398165322353</v>
      </c>
      <c r="D20" s="110">
        <f>IFERROR('APPENDIX 18'!D20/NEPI!D20*100,"0.00")</f>
        <v>26.293793280319555</v>
      </c>
      <c r="E20" s="110">
        <f>IFERROR('APPENDIX 18'!E20/NEPI!E20*100,"0.00")</f>
        <v>3.431901135836958</v>
      </c>
      <c r="F20" s="110">
        <f>IFERROR('APPENDIX 18'!F20/NEPI!F20*100,"0.00")</f>
        <v>51.351368450432901</v>
      </c>
      <c r="G20" s="110">
        <f>IFERROR('APPENDIX 18'!G20/NEPI!G20*100,"0.00")</f>
        <v>75.222612506405966</v>
      </c>
      <c r="H20" s="110">
        <f>IFERROR('APPENDIX 18'!H20/NEPI!H20*100,"0.00")</f>
        <v>44.937594729960232</v>
      </c>
      <c r="I20" s="110">
        <f>IFERROR('APPENDIX 18'!I20/NEPI!I20*100,"0.00")</f>
        <v>72.21903057345294</v>
      </c>
      <c r="J20" s="110">
        <f>IFERROR('APPENDIX 18'!J20/NEPI!J20*100,"0.00")</f>
        <v>49.046941987693927</v>
      </c>
      <c r="K20" s="110" t="str">
        <f>IFERROR('APPENDIX 18'!K20/NEPI!K20*100,"0.00")</f>
        <v>0.00</v>
      </c>
      <c r="L20" s="110">
        <f>IFERROR('APPENDIX 18'!L20/NEPI!L20*100,"0.00")</f>
        <v>179.53027883045047</v>
      </c>
      <c r="M20" s="110">
        <f>IFERROR('APPENDIX 18'!M20/NEPI!M20*100,"0.00")</f>
        <v>32.274152627771983</v>
      </c>
      <c r="N20" s="110">
        <f>IFERROR('APPENDIX 18'!N20/NEPI!N20*100,"0.00")</f>
        <v>22.000398542438475</v>
      </c>
      <c r="O20" s="110">
        <f>IFERROR('APPENDIX 18'!O20/NEPI!O20*100,"0.00")</f>
        <v>97.744582260510853</v>
      </c>
      <c r="P20" s="110">
        <f>IFERROR('APPENDIX 18'!P20/NEPI!P20*100,"0.00")</f>
        <v>-1.451906319018522</v>
      </c>
      <c r="Q20" s="111">
        <f>IFERROR('APPENDIX 18'!Q20/NEPI!Q20*100,"0.00")</f>
        <v>60.237439181218178</v>
      </c>
      <c r="R20"/>
    </row>
    <row r="21" spans="2:18" ht="27" customHeight="1" x14ac:dyDescent="0.35">
      <c r="B21" s="109" t="s">
        <v>69</v>
      </c>
      <c r="C21" s="110" t="str">
        <f>IFERROR('APPENDIX 18'!C21/NEPI!C21*100,"0.00")</f>
        <v>0.00</v>
      </c>
      <c r="D21" s="110">
        <f>IFERROR('APPENDIX 18'!D21/NEPI!D21*100,"0.00")</f>
        <v>-11.313021008490113</v>
      </c>
      <c r="E21" s="110">
        <f>IFERROR('APPENDIX 18'!E21/NEPI!E21*100,"0.00")</f>
        <v>67.144880652524392</v>
      </c>
      <c r="F21" s="110">
        <f>IFERROR('APPENDIX 18'!F21/NEPI!F21*100,"0.00")</f>
        <v>53.736348006497316</v>
      </c>
      <c r="G21" s="110">
        <f>IFERROR('APPENDIX 18'!G21/NEPI!G21*100,"0.00")</f>
        <v>175.27754839311419</v>
      </c>
      <c r="H21" s="110">
        <f>IFERROR('APPENDIX 18'!H21/NEPI!H21*100,"0.00")</f>
        <v>14.741484887884848</v>
      </c>
      <c r="I21" s="110">
        <f>IFERROR('APPENDIX 18'!I21/NEPI!I21*100,"0.00")</f>
        <v>121.44598517925706</v>
      </c>
      <c r="J21" s="110">
        <f>IFERROR('APPENDIX 18'!J21/NEPI!J21*100,"0.00")</f>
        <v>63.917186572378156</v>
      </c>
      <c r="K21" s="110">
        <f>IFERROR('APPENDIX 18'!K21/NEPI!K21*100,"0.00")</f>
        <v>0</v>
      </c>
      <c r="L21" s="110">
        <f>IFERROR('APPENDIX 18'!L21/NEPI!L21*100,"0.00")</f>
        <v>483.43487835347725</v>
      </c>
      <c r="M21" s="110">
        <f>IFERROR('APPENDIX 18'!M21/NEPI!M21*100,"0.00")</f>
        <v>70.518459509492487</v>
      </c>
      <c r="N21" s="110">
        <f>IFERROR('APPENDIX 18'!N21/NEPI!N21*100,"0.00")</f>
        <v>-59.905412563292494</v>
      </c>
      <c r="O21" s="110" t="str">
        <f>IFERROR('APPENDIX 18'!O21/NEPI!O21*100,"0.00")</f>
        <v>0.00</v>
      </c>
      <c r="P21" s="110">
        <f>IFERROR('APPENDIX 18'!P21/NEPI!P21*100,"0.00")</f>
        <v>7.0446146305714814</v>
      </c>
      <c r="Q21" s="111">
        <f>IFERROR('APPENDIX 18'!Q21/NEPI!Q21*100,"0.00")</f>
        <v>63.64918331840704</v>
      </c>
      <c r="R21"/>
    </row>
    <row r="22" spans="2:18" ht="27" customHeight="1" x14ac:dyDescent="0.35">
      <c r="B22" s="109" t="s">
        <v>70</v>
      </c>
      <c r="C22" s="110" t="str">
        <f>IFERROR('APPENDIX 18'!C22/NEPI!C22*100,"0.00")</f>
        <v>0.00</v>
      </c>
      <c r="D22" s="110" t="str">
        <f>IFERROR('APPENDIX 18'!D22/NEPI!D22*100,"0.00")</f>
        <v>0.00</v>
      </c>
      <c r="E22" s="110" t="str">
        <f>IFERROR('APPENDIX 18'!E22/NEPI!E22*100,"0.00")</f>
        <v>0.00</v>
      </c>
      <c r="F22" s="110" t="str">
        <f>IFERROR('APPENDIX 18'!F22/NEPI!F22*100,"0.00")</f>
        <v>0.00</v>
      </c>
      <c r="G22" s="110" t="str">
        <f>IFERROR('APPENDIX 18'!G22/NEPI!G22*100,"0.00")</f>
        <v>0.00</v>
      </c>
      <c r="H22" s="110" t="str">
        <f>IFERROR('APPENDIX 18'!H22/NEPI!H22*100,"0.00")</f>
        <v>0.00</v>
      </c>
      <c r="I22" s="110" t="str">
        <f>IFERROR('APPENDIX 18'!I22/NEPI!I22*100,"0.00")</f>
        <v>0.00</v>
      </c>
      <c r="J22" s="110" t="str">
        <f>IFERROR('APPENDIX 18'!J22/NEPI!J22*100,"0.00")</f>
        <v>0.00</v>
      </c>
      <c r="K22" s="110" t="str">
        <f>IFERROR('APPENDIX 18'!K22/NEPI!K22*100,"0.00")</f>
        <v>0.00</v>
      </c>
      <c r="L22" s="110" t="str">
        <f>IFERROR('APPENDIX 18'!L22/NEPI!L22*100,"0.00")</f>
        <v>0.00</v>
      </c>
      <c r="M22" s="110" t="str">
        <f>IFERROR('APPENDIX 18'!M22/NEPI!M22*100,"0.00")</f>
        <v>0.00</v>
      </c>
      <c r="N22" s="110" t="str">
        <f>IFERROR('APPENDIX 18'!N22/NEPI!N22*100,"0.00")</f>
        <v>0.00</v>
      </c>
      <c r="O22" s="110" t="str">
        <f>IFERROR('APPENDIX 18'!O22/NEPI!O22*100,"0.00")</f>
        <v>0.00</v>
      </c>
      <c r="P22" s="110" t="str">
        <f>IFERROR('APPENDIX 18'!P22/NEPI!P22*100,"0.00")</f>
        <v>0.00</v>
      </c>
      <c r="Q22" s="111" t="str">
        <f>IFERROR('APPENDIX 18'!Q22/NEPI!Q22*100,"0.00")</f>
        <v>0.00</v>
      </c>
      <c r="R22"/>
    </row>
    <row r="23" spans="2:18" ht="27" customHeight="1" x14ac:dyDescent="0.35">
      <c r="B23" s="109" t="s">
        <v>71</v>
      </c>
      <c r="C23" s="110" t="str">
        <f>IFERROR('APPENDIX 18'!C23/NEPI!C23*100,"0.00")</f>
        <v>0.00</v>
      </c>
      <c r="D23" s="110" t="str">
        <f>IFERROR('APPENDIX 18'!D23/NEPI!D23*100,"0.00")</f>
        <v>0.00</v>
      </c>
      <c r="E23" s="110" t="str">
        <f>IFERROR('APPENDIX 18'!E23/NEPI!E23*100,"0.00")</f>
        <v>0.00</v>
      </c>
      <c r="F23" s="110" t="str">
        <f>IFERROR('APPENDIX 18'!F23/NEPI!F23*100,"0.00")</f>
        <v>0.00</v>
      </c>
      <c r="G23" s="110" t="str">
        <f>IFERROR('APPENDIX 18'!G23/NEPI!G23*100,"0.00")</f>
        <v>0.00</v>
      </c>
      <c r="H23" s="110" t="str">
        <f>IFERROR('APPENDIX 18'!H23/NEPI!H23*100,"0.00")</f>
        <v>0.00</v>
      </c>
      <c r="I23" s="110" t="str">
        <f>IFERROR('APPENDIX 18'!I23/NEPI!I23*100,"0.00")</f>
        <v>0.00</v>
      </c>
      <c r="J23" s="110" t="str">
        <f>IFERROR('APPENDIX 18'!J23/NEPI!J23*100,"0.00")</f>
        <v>0.00</v>
      </c>
      <c r="K23" s="110" t="str">
        <f>IFERROR('APPENDIX 18'!K23/NEPI!K23*100,"0.00")</f>
        <v>0.00</v>
      </c>
      <c r="L23" s="110" t="str">
        <f>IFERROR('APPENDIX 18'!L23/NEPI!L23*100,"0.00")</f>
        <v>0.00</v>
      </c>
      <c r="M23" s="110" t="str">
        <f>IFERROR('APPENDIX 18'!M23/NEPI!M23*100,"0.00")</f>
        <v>0.00</v>
      </c>
      <c r="N23" s="110" t="str">
        <f>IFERROR('APPENDIX 18'!N23/NEPI!N23*100,"0.00")</f>
        <v>0.00</v>
      </c>
      <c r="O23" s="110">
        <f>IFERROR('APPENDIX 18'!O23/NEPI!O23*100,"0.00")</f>
        <v>76.928173973229775</v>
      </c>
      <c r="P23" s="110" t="str">
        <f>IFERROR('APPENDIX 18'!P23/NEPI!P23*100,"0.00")</f>
        <v>0.00</v>
      </c>
      <c r="Q23" s="111">
        <f>IFERROR('APPENDIX 18'!Q23/NEPI!Q23*100,"0.00")</f>
        <v>76.928173973229775</v>
      </c>
      <c r="R23"/>
    </row>
    <row r="24" spans="2:18" ht="27" customHeight="1" x14ac:dyDescent="0.35">
      <c r="B24" s="109" t="s">
        <v>72</v>
      </c>
      <c r="C24" s="110" t="str">
        <f>IFERROR('APPENDIX 18'!C24/NEPI!C24*100,"0.00")</f>
        <v>0.00</v>
      </c>
      <c r="D24" s="110">
        <f>IFERROR('APPENDIX 18'!D24/NEPI!D24*100,"0.00")</f>
        <v>94.598323019091495</v>
      </c>
      <c r="E24" s="110">
        <f>IFERROR('APPENDIX 18'!E24/NEPI!E24*100,"0.00")</f>
        <v>-41.865732332960334</v>
      </c>
      <c r="F24" s="110">
        <f>IFERROR('APPENDIX 18'!F24/NEPI!F24*100,"0.00")</f>
        <v>-111.79093473700101</v>
      </c>
      <c r="G24" s="110">
        <f>IFERROR('APPENDIX 18'!G24/NEPI!G24*100,"0.00")</f>
        <v>169.7334562716195</v>
      </c>
      <c r="H24" s="110">
        <f>IFERROR('APPENDIX 18'!H24/NEPI!H24*100,"0.00")</f>
        <v>101.46512026913108</v>
      </c>
      <c r="I24" s="110">
        <f>IFERROR('APPENDIX 18'!I24/NEPI!I24*100,"0.00")</f>
        <v>60.904852626885628</v>
      </c>
      <c r="J24" s="110">
        <f>IFERROR('APPENDIX 18'!J24/NEPI!J24*100,"0.00")</f>
        <v>-105.77945637959539</v>
      </c>
      <c r="K24" s="110" t="str">
        <f>IFERROR('APPENDIX 18'!K24/NEPI!K24*100,"0.00")</f>
        <v>0.00</v>
      </c>
      <c r="L24" s="110">
        <f>IFERROR('APPENDIX 18'!L24/NEPI!L24*100,"0.00")</f>
        <v>19.920627028530458</v>
      </c>
      <c r="M24" s="110">
        <f>IFERROR('APPENDIX 18'!M24/NEPI!M24*100,"0.00")</f>
        <v>24.767825811734724</v>
      </c>
      <c r="N24" s="110">
        <f>IFERROR('APPENDIX 18'!N24/NEPI!N24*100,"0.00")</f>
        <v>168.97897897722143</v>
      </c>
      <c r="O24" s="110">
        <f>IFERROR('APPENDIX 18'!O24/NEPI!O24*100,"0.00")</f>
        <v>58.219283790665656</v>
      </c>
      <c r="P24" s="110">
        <f>IFERROR('APPENDIX 18'!P24/NEPI!P24*100,"0.00")</f>
        <v>200.8567509084354</v>
      </c>
      <c r="Q24" s="111">
        <f>IFERROR('APPENDIX 18'!Q24/NEPI!Q24*100,"0.00")</f>
        <v>58.971889437779978</v>
      </c>
      <c r="R24"/>
    </row>
    <row r="25" spans="2:18" ht="27" customHeight="1" x14ac:dyDescent="0.35">
      <c r="B25" s="109" t="s">
        <v>73</v>
      </c>
      <c r="C25" s="110" t="str">
        <f>IFERROR('APPENDIX 18'!C25/NEPI!C25*100,"0.00")</f>
        <v>0.00</v>
      </c>
      <c r="D25" s="110" t="str">
        <f>IFERROR('APPENDIX 18'!D25/NEPI!D25*100,"0.00")</f>
        <v>0.00</v>
      </c>
      <c r="E25" s="110" t="str">
        <f>IFERROR('APPENDIX 18'!E25/NEPI!E25*100,"0.00")</f>
        <v>0.00</v>
      </c>
      <c r="F25" s="110" t="str">
        <f>IFERROR('APPENDIX 18'!F25/NEPI!F25*100,"0.00")</f>
        <v>0.00</v>
      </c>
      <c r="G25" s="110" t="str">
        <f>IFERROR('APPENDIX 18'!G25/NEPI!G25*100,"0.00")</f>
        <v>0.00</v>
      </c>
      <c r="H25" s="110" t="str">
        <f>IFERROR('APPENDIX 18'!H25/NEPI!H25*100,"0.00")</f>
        <v>0.00</v>
      </c>
      <c r="I25" s="110" t="str">
        <f>IFERROR('APPENDIX 18'!I25/NEPI!I25*100,"0.00")</f>
        <v>0.00</v>
      </c>
      <c r="J25" s="110" t="str">
        <f>IFERROR('APPENDIX 18'!J25/NEPI!J25*100,"0.00")</f>
        <v>0.00</v>
      </c>
      <c r="K25" s="110" t="str">
        <f>IFERROR('APPENDIX 18'!K25/NEPI!K25*100,"0.00")</f>
        <v>0.00</v>
      </c>
      <c r="L25" s="110" t="str">
        <f>IFERROR('APPENDIX 18'!L25/NEPI!L25*100,"0.00")</f>
        <v>0.00</v>
      </c>
      <c r="M25" s="110" t="str">
        <f>IFERROR('APPENDIX 18'!M25/NEPI!M25*100,"0.00")</f>
        <v>0.00</v>
      </c>
      <c r="N25" s="110" t="str">
        <f>IFERROR('APPENDIX 18'!N25/NEPI!N25*100,"0.00")</f>
        <v>0.00</v>
      </c>
      <c r="O25" s="110" t="str">
        <f>IFERROR('APPENDIX 18'!O25/NEPI!O25*100,"0.00")</f>
        <v>0.00</v>
      </c>
      <c r="P25" s="110" t="str">
        <f>IFERROR('APPENDIX 18'!P25/NEPI!P25*100,"0.00")</f>
        <v>0.00</v>
      </c>
      <c r="Q25" s="111" t="str">
        <f>IFERROR('APPENDIX 18'!Q25/NEPI!Q25*100,"0.00")</f>
        <v>0.00</v>
      </c>
      <c r="R25"/>
    </row>
    <row r="26" spans="2:18" ht="27" customHeight="1" x14ac:dyDescent="0.35">
      <c r="B26" s="109" t="s">
        <v>74</v>
      </c>
      <c r="C26" s="110" t="str">
        <f>IFERROR('APPENDIX 18'!C26/NEPI!C26*100,"0.00")</f>
        <v>0.00</v>
      </c>
      <c r="D26" s="110">
        <f>IFERROR('APPENDIX 18'!D26/NEPI!D26*100,"0.00")</f>
        <v>-39.340813680588269</v>
      </c>
      <c r="E26" s="110">
        <f>IFERROR('APPENDIX 18'!E26/NEPI!E26*100,"0.00")</f>
        <v>17.134010900826159</v>
      </c>
      <c r="F26" s="110">
        <f>IFERROR('APPENDIX 18'!F26/NEPI!F26*100,"0.00")</f>
        <v>-35.260529678856528</v>
      </c>
      <c r="G26" s="110">
        <f>IFERROR('APPENDIX 18'!G26/NEPI!G26*100,"0.00")</f>
        <v>115.75431114950831</v>
      </c>
      <c r="H26" s="110">
        <f>IFERROR('APPENDIX 18'!H26/NEPI!H26*100,"0.00")</f>
        <v>-9.8372717672253742</v>
      </c>
      <c r="I26" s="110">
        <f>IFERROR('APPENDIX 18'!I26/NEPI!I26*100,"0.00")</f>
        <v>102.82231318125892</v>
      </c>
      <c r="J26" s="110">
        <f>IFERROR('APPENDIX 18'!J26/NEPI!J26*100,"0.00")</f>
        <v>43.009351448576965</v>
      </c>
      <c r="K26" s="110" t="str">
        <f>IFERROR('APPENDIX 18'!K26/NEPI!K26*100,"0.00")</f>
        <v>0.00</v>
      </c>
      <c r="L26" s="110">
        <f>IFERROR('APPENDIX 18'!L26/NEPI!L26*100,"0.00")</f>
        <v>-7.1875220370231352</v>
      </c>
      <c r="M26" s="110">
        <f>IFERROR('APPENDIX 18'!M26/NEPI!M26*100,"0.00")</f>
        <v>-115.85387592573136</v>
      </c>
      <c r="N26" s="110">
        <f>IFERROR('APPENDIX 18'!N26/NEPI!N26*100,"0.00")</f>
        <v>19.005797727489114</v>
      </c>
      <c r="O26" s="110">
        <f>IFERROR('APPENDIX 18'!O26/NEPI!O26*100,"0.00")</f>
        <v>98.91944601946085</v>
      </c>
      <c r="P26" s="110">
        <f>IFERROR('APPENDIX 18'!P26/NEPI!P26*100,"0.00")</f>
        <v>16.1320272504739</v>
      </c>
      <c r="Q26" s="111">
        <f>IFERROR('APPENDIX 18'!Q26/NEPI!Q26*100,"0.00")</f>
        <v>60.845121701083841</v>
      </c>
      <c r="R26"/>
    </row>
    <row r="27" spans="2:18" ht="27" customHeight="1" x14ac:dyDescent="0.35">
      <c r="B27" s="109" t="s">
        <v>75</v>
      </c>
      <c r="C27" s="110">
        <f>IFERROR('APPENDIX 18'!C27/NEPI!C27*100,"0.00")</f>
        <v>754.11213022723223</v>
      </c>
      <c r="D27" s="110">
        <f>IFERROR('APPENDIX 18'!D27/NEPI!D27*100,"0.00")</f>
        <v>-36.132914433018406</v>
      </c>
      <c r="E27" s="110">
        <f>IFERROR('APPENDIX 18'!E27/NEPI!E27*100,"0.00")</f>
        <v>10.654636628370879</v>
      </c>
      <c r="F27" s="110">
        <f>IFERROR('APPENDIX 18'!F27/NEPI!F27*100,"0.00")</f>
        <v>-28.436165534583214</v>
      </c>
      <c r="G27" s="110">
        <f>IFERROR('APPENDIX 18'!G27/NEPI!G27*100,"0.00")</f>
        <v>20.849973528320717</v>
      </c>
      <c r="H27" s="110">
        <f>IFERROR('APPENDIX 18'!H27/NEPI!H27*100,"0.00")</f>
        <v>5.2481905232061736</v>
      </c>
      <c r="I27" s="110">
        <f>IFERROR('APPENDIX 18'!I27/NEPI!I27*100,"0.00")</f>
        <v>41.226995641787383</v>
      </c>
      <c r="J27" s="110">
        <f>IFERROR('APPENDIX 18'!J27/NEPI!J27*100,"0.00")</f>
        <v>46.182428849701239</v>
      </c>
      <c r="K27" s="110">
        <f>IFERROR('APPENDIX 18'!K27/NEPI!K27*100,"0.00")</f>
        <v>0</v>
      </c>
      <c r="L27" s="110">
        <f>IFERROR('APPENDIX 18'!L27/NEPI!L27*100,"0.00")</f>
        <v>22.710140758410862</v>
      </c>
      <c r="M27" s="110">
        <f>IFERROR('APPENDIX 18'!M27/NEPI!M27*100,"0.00")</f>
        <v>43.046129584521523</v>
      </c>
      <c r="N27" s="110">
        <f>IFERROR('APPENDIX 18'!N27/NEPI!N27*100,"0.00")</f>
        <v>62.180678265809497</v>
      </c>
      <c r="O27" s="110" t="str">
        <f>IFERROR('APPENDIX 18'!O27/NEPI!O27*100,"0.00")</f>
        <v>0.00</v>
      </c>
      <c r="P27" s="110">
        <f>IFERROR('APPENDIX 18'!P27/NEPI!P27*100,"0.00")</f>
        <v>10.45448210413292</v>
      </c>
      <c r="Q27" s="111">
        <f>IFERROR('APPENDIX 18'!Q27/NEPI!Q27*100,"0.00")</f>
        <v>28.562467222652611</v>
      </c>
      <c r="R27"/>
    </row>
    <row r="28" spans="2:18" ht="27" customHeight="1" x14ac:dyDescent="0.35">
      <c r="B28" s="109" t="s">
        <v>76</v>
      </c>
      <c r="C28" s="110">
        <f>IFERROR('APPENDIX 18'!C28/NEPI!C28*100,"0.00")</f>
        <v>35.078415932184299</v>
      </c>
      <c r="D28" s="110">
        <f>IFERROR('APPENDIX 18'!D28/NEPI!D28*100,"0.00")</f>
        <v>92.93142820559747</v>
      </c>
      <c r="E28" s="110">
        <f>IFERROR('APPENDIX 18'!E28/NEPI!E28*100,"0.00")</f>
        <v>-2.8889554195912885</v>
      </c>
      <c r="F28" s="110">
        <f>IFERROR('APPENDIX 18'!F28/NEPI!F28*100,"0.00")</f>
        <v>-34.213357949958876</v>
      </c>
      <c r="G28" s="110">
        <f>IFERROR('APPENDIX 18'!G28/NEPI!G28*100,"0.00")</f>
        <v>606.35039468505738</v>
      </c>
      <c r="H28" s="110">
        <f>IFERROR('APPENDIX 18'!H28/NEPI!H28*100,"0.00")</f>
        <v>37.060895866843332</v>
      </c>
      <c r="I28" s="110">
        <f>IFERROR('APPENDIX 18'!I28/NEPI!I28*100,"0.00")</f>
        <v>55.236248104656539</v>
      </c>
      <c r="J28" s="110">
        <f>IFERROR('APPENDIX 18'!J28/NEPI!J28*100,"0.00")</f>
        <v>135.45935307590617</v>
      </c>
      <c r="K28" s="110" t="str">
        <f>IFERROR('APPENDIX 18'!K28/NEPI!K28*100,"0.00")</f>
        <v>0.00</v>
      </c>
      <c r="L28" s="110">
        <f>IFERROR('APPENDIX 18'!L28/NEPI!L28*100,"0.00")</f>
        <v>13.825323635032902</v>
      </c>
      <c r="M28" s="110">
        <f>IFERROR('APPENDIX 18'!M28/NEPI!M28*100,"0.00")</f>
        <v>-4.9592829463453327</v>
      </c>
      <c r="N28" s="110">
        <f>IFERROR('APPENDIX 18'!N28/NEPI!N28*100,"0.00")</f>
        <v>29.346143005211538</v>
      </c>
      <c r="O28" s="110">
        <f>IFERROR('APPENDIX 18'!O28/NEPI!O28*100,"0.00")</f>
        <v>99.084041817806252</v>
      </c>
      <c r="P28" s="110">
        <f>IFERROR('APPENDIX 18'!P28/NEPI!P28*100,"0.00")</f>
        <v>133.88161298481285</v>
      </c>
      <c r="Q28" s="111">
        <f>IFERROR('APPENDIX 18'!Q28/NEPI!Q28*100,"0.00")</f>
        <v>76.182282668074023</v>
      </c>
      <c r="R28"/>
    </row>
    <row r="29" spans="2:18" ht="27" customHeight="1" x14ac:dyDescent="0.35">
      <c r="B29" s="109" t="s">
        <v>77</v>
      </c>
      <c r="C29" s="110" t="str">
        <f>IFERROR('APPENDIX 18'!C29/NEPI!C29*100,"0.00")</f>
        <v>0.00</v>
      </c>
      <c r="D29" s="110">
        <f>IFERROR('APPENDIX 18'!D29/NEPI!D29*100,"0.00")</f>
        <v>1079.8149016777036</v>
      </c>
      <c r="E29" s="110">
        <f>IFERROR('APPENDIX 18'!E29/NEPI!E29*100,"0.00")</f>
        <v>78.639878126283577</v>
      </c>
      <c r="F29" s="110">
        <f>IFERROR('APPENDIX 18'!F29/NEPI!F29*100,"0.00")</f>
        <v>10.446646343232102</v>
      </c>
      <c r="G29" s="110">
        <f>IFERROR('APPENDIX 18'!G29/NEPI!G29*100,"0.00")</f>
        <v>25.382021040717856</v>
      </c>
      <c r="H29" s="110">
        <f>IFERROR('APPENDIX 18'!H29/NEPI!H29*100,"0.00")</f>
        <v>157.0247589803694</v>
      </c>
      <c r="I29" s="110">
        <f>IFERROR('APPENDIX 18'!I29/NEPI!I29*100,"0.00")</f>
        <v>52.726986944408594</v>
      </c>
      <c r="J29" s="110">
        <f>IFERROR('APPENDIX 18'!J29/NEPI!J29*100,"0.00")</f>
        <v>55.498912801539269</v>
      </c>
      <c r="K29" s="110" t="str">
        <f>IFERROR('APPENDIX 18'!K29/NEPI!K29*100,"0.00")</f>
        <v>0.00</v>
      </c>
      <c r="L29" s="110">
        <f>IFERROR('APPENDIX 18'!L29/NEPI!L29*100,"0.00")</f>
        <v>22.750376418796456</v>
      </c>
      <c r="M29" s="110">
        <f>IFERROR('APPENDIX 18'!M29/NEPI!M29*100,"0.00")</f>
        <v>243.71361430479604</v>
      </c>
      <c r="N29" s="110">
        <f>IFERROR('APPENDIX 18'!N29/NEPI!N29*100,"0.00")</f>
        <v>28.876611805106727</v>
      </c>
      <c r="O29" s="110" t="str">
        <f>IFERROR('APPENDIX 18'!O29/NEPI!O29*100,"0.00")</f>
        <v>0.00</v>
      </c>
      <c r="P29" s="110">
        <f>IFERROR('APPENDIX 18'!P29/NEPI!P29*100,"0.00")</f>
        <v>0</v>
      </c>
      <c r="Q29" s="111">
        <f>IFERROR('APPENDIX 18'!Q29/NEPI!Q29*100,"0.00")</f>
        <v>45.224092521229949</v>
      </c>
      <c r="R29"/>
    </row>
    <row r="30" spans="2:18" ht="27" customHeight="1" x14ac:dyDescent="0.35">
      <c r="B30" s="109" t="s">
        <v>78</v>
      </c>
      <c r="C30" s="110">
        <f>IFERROR('APPENDIX 18'!C30/NEPI!C30*100,"0.00")</f>
        <v>0</v>
      </c>
      <c r="D30" s="110">
        <f>IFERROR('APPENDIX 18'!D30/NEPI!D30*100,"0.00")</f>
        <v>170.66833890385215</v>
      </c>
      <c r="E30" s="110">
        <f>IFERROR('APPENDIX 18'!E30/NEPI!E30*100,"0.00")</f>
        <v>121.6850106360526</v>
      </c>
      <c r="F30" s="110">
        <f>IFERROR('APPENDIX 18'!F30/NEPI!F30*100,"0.00")</f>
        <v>2.9490842862611224</v>
      </c>
      <c r="G30" s="110">
        <f>IFERROR('APPENDIX 18'!G30/NEPI!G30*100,"0.00")</f>
        <v>-1.0470655676364944</v>
      </c>
      <c r="H30" s="110">
        <f>IFERROR('APPENDIX 18'!H30/NEPI!H30*100,"0.00")</f>
        <v>-108.77766725656785</v>
      </c>
      <c r="I30" s="110">
        <f>IFERROR('APPENDIX 18'!I30/NEPI!I30*100,"0.00")</f>
        <v>73.356942388308042</v>
      </c>
      <c r="J30" s="110">
        <f>IFERROR('APPENDIX 18'!J30/NEPI!J30*100,"0.00")</f>
        <v>13.365829222986925</v>
      </c>
      <c r="K30" s="110">
        <f>IFERROR('APPENDIX 18'!K30/NEPI!K30*100,"0.00")</f>
        <v>0</v>
      </c>
      <c r="L30" s="110">
        <f>IFERROR('APPENDIX 18'!L30/NEPI!L30*100,"0.00")</f>
        <v>37.062061883173406</v>
      </c>
      <c r="M30" s="110">
        <f>IFERROR('APPENDIX 18'!M30/NEPI!M30*100,"0.00")</f>
        <v>4.0404890844989074</v>
      </c>
      <c r="N30" s="110">
        <f>IFERROR('APPENDIX 18'!N30/NEPI!N30*100,"0.00")</f>
        <v>116.1215330583604</v>
      </c>
      <c r="O30" s="110" t="str">
        <f>IFERROR('APPENDIX 18'!O30/NEPI!O30*100,"0.00")</f>
        <v>0.00</v>
      </c>
      <c r="P30" s="110">
        <f>IFERROR('APPENDIX 18'!P30/NEPI!P30*100,"0.00")</f>
        <v>-776.69104874324535</v>
      </c>
      <c r="Q30" s="111">
        <f>IFERROR('APPENDIX 18'!Q30/NEPI!Q30*100,"0.00")</f>
        <v>62.126235135196119</v>
      </c>
      <c r="R30"/>
    </row>
    <row r="31" spans="2:18" ht="27" customHeight="1" x14ac:dyDescent="0.35">
      <c r="B31" s="109" t="s">
        <v>79</v>
      </c>
      <c r="C31" s="110">
        <f>IFERROR('APPENDIX 18'!C31/NEPI!C31*100,"0.00")</f>
        <v>-219.31515343706681</v>
      </c>
      <c r="D31" s="110">
        <f>IFERROR('APPENDIX 18'!D31/NEPI!D31*100,"0.00")</f>
        <v>47.274141797972852</v>
      </c>
      <c r="E31" s="110">
        <f>IFERROR('APPENDIX 18'!E31/NEPI!E31*100,"0.00")</f>
        <v>12.355906525203077</v>
      </c>
      <c r="F31" s="110">
        <f>IFERROR('APPENDIX 18'!F31/NEPI!F31*100,"0.00")</f>
        <v>23.478890435366711</v>
      </c>
      <c r="G31" s="110">
        <f>IFERROR('APPENDIX 18'!G31/NEPI!G31*100,"0.00")</f>
        <v>17.808647123613401</v>
      </c>
      <c r="H31" s="110">
        <f>IFERROR('APPENDIX 18'!H31/NEPI!H31*100,"0.00")</f>
        <v>53.095055407597101</v>
      </c>
      <c r="I31" s="110">
        <f>IFERROR('APPENDIX 18'!I31/NEPI!I31*100,"0.00")</f>
        <v>64.600417000227779</v>
      </c>
      <c r="J31" s="110">
        <f>IFERROR('APPENDIX 18'!J31/NEPI!J31*100,"0.00")</f>
        <v>71.30663387563024</v>
      </c>
      <c r="K31" s="110" t="str">
        <f>IFERROR('APPENDIX 18'!K31/NEPI!K31*100,"0.00")</f>
        <v>0.00</v>
      </c>
      <c r="L31" s="110">
        <f>IFERROR('APPENDIX 18'!L31/NEPI!L31*100,"0.00")</f>
        <v>13.776522202227984</v>
      </c>
      <c r="M31" s="110">
        <f>IFERROR('APPENDIX 18'!M31/NEPI!M31*100,"0.00")</f>
        <v>55.043987669161176</v>
      </c>
      <c r="N31" s="110">
        <f>IFERROR('APPENDIX 18'!N31/NEPI!N31*100,"0.00")</f>
        <v>7.4996279162701711</v>
      </c>
      <c r="O31" s="110">
        <f>IFERROR('APPENDIX 18'!O31/NEPI!O31*100,"0.00")</f>
        <v>79.071424430457398</v>
      </c>
      <c r="P31" s="110">
        <f>IFERROR('APPENDIX 18'!P31/NEPI!P31*100,"0.00")</f>
        <v>142.65690813298818</v>
      </c>
      <c r="Q31" s="111">
        <f>IFERROR('APPENDIX 18'!Q31/NEPI!Q31*100,"0.00")</f>
        <v>71.887183777960445</v>
      </c>
      <c r="R31"/>
    </row>
    <row r="32" spans="2:18" ht="27" customHeight="1" x14ac:dyDescent="0.35">
      <c r="B32" s="109" t="s">
        <v>80</v>
      </c>
      <c r="C32" s="110" t="str">
        <f>IFERROR('APPENDIX 18'!C32/NEPI!C32*100,"0.00")</f>
        <v>0.00</v>
      </c>
      <c r="D32" s="110">
        <f>IFERROR('APPENDIX 18'!D32/NEPI!D32*100,"0.00")</f>
        <v>24.108909375027707</v>
      </c>
      <c r="E32" s="110">
        <f>IFERROR('APPENDIX 18'!E32/NEPI!E32*100,"0.00")</f>
        <v>7.0746108755010608</v>
      </c>
      <c r="F32" s="110">
        <f>IFERROR('APPENDIX 18'!F32/NEPI!F32*100,"0.00")</f>
        <v>-6.3630527100968584</v>
      </c>
      <c r="G32" s="110">
        <f>IFERROR('APPENDIX 18'!G32/NEPI!G32*100,"0.00")</f>
        <v>17.435824118786915</v>
      </c>
      <c r="H32" s="110">
        <f>IFERROR('APPENDIX 18'!H32/NEPI!H32*100,"0.00")</f>
        <v>0</v>
      </c>
      <c r="I32" s="110">
        <f>IFERROR('APPENDIX 18'!I32/NEPI!I32*100,"0.00")</f>
        <v>62.925978066209829</v>
      </c>
      <c r="J32" s="110">
        <f>IFERROR('APPENDIX 18'!J32/NEPI!J32*100,"0.00")</f>
        <v>42.767761943315229</v>
      </c>
      <c r="K32" s="110" t="str">
        <f>IFERROR('APPENDIX 18'!K32/NEPI!K32*100,"0.00")</f>
        <v>0.00</v>
      </c>
      <c r="L32" s="110">
        <f>IFERROR('APPENDIX 18'!L32/NEPI!L32*100,"0.00")</f>
        <v>3.3249111909579243</v>
      </c>
      <c r="M32" s="110">
        <f>IFERROR('APPENDIX 18'!M32/NEPI!M32*100,"0.00")</f>
        <v>9.6624435970220617</v>
      </c>
      <c r="N32" s="110">
        <f>IFERROR('APPENDIX 18'!N32/NEPI!N32*100,"0.00")</f>
        <v>29.754046219956827</v>
      </c>
      <c r="O32" s="110">
        <f>IFERROR('APPENDIX 18'!O32/NEPI!O32*100,"0.00")</f>
        <v>74.932654818813731</v>
      </c>
      <c r="P32" s="110">
        <f>IFERROR('APPENDIX 18'!P32/NEPI!P32*100,"0.00")</f>
        <v>0</v>
      </c>
      <c r="Q32" s="111">
        <f>IFERROR('APPENDIX 18'!Q32/NEPI!Q32*100,"0.00")</f>
        <v>53.706116059967577</v>
      </c>
      <c r="R32"/>
    </row>
    <row r="33" spans="2:18" ht="27" customHeight="1" x14ac:dyDescent="0.35">
      <c r="B33" s="109" t="s">
        <v>81</v>
      </c>
      <c r="C33" s="110">
        <f>IFERROR('APPENDIX 18'!C33/NEPI!C33*100,"0.00")</f>
        <v>0</v>
      </c>
      <c r="D33" s="110">
        <f>IFERROR('APPENDIX 18'!D33/NEPI!D33*100,"0.00")</f>
        <v>-0.72017294312943003</v>
      </c>
      <c r="E33" s="110">
        <f>IFERROR('APPENDIX 18'!E33/NEPI!E33*100,"0.00")</f>
        <v>10.077048591831012</v>
      </c>
      <c r="F33" s="110">
        <f>IFERROR('APPENDIX 18'!F33/NEPI!F33*100,"0.00")</f>
        <v>82.371155077014976</v>
      </c>
      <c r="G33" s="110">
        <f>IFERROR('APPENDIX 18'!G33/NEPI!G33*100,"0.00")</f>
        <v>57.408928012364292</v>
      </c>
      <c r="H33" s="110">
        <f>IFERROR('APPENDIX 18'!H33/NEPI!H33*100,"0.00")</f>
        <v>-6.4937230032497322</v>
      </c>
      <c r="I33" s="110">
        <f>IFERROR('APPENDIX 18'!I33/NEPI!I33*100,"0.00")</f>
        <v>84.266520813649549</v>
      </c>
      <c r="J33" s="110">
        <f>IFERROR('APPENDIX 18'!J33/NEPI!J33*100,"0.00")</f>
        <v>207.70090478138064</v>
      </c>
      <c r="K33" s="110">
        <f>IFERROR('APPENDIX 18'!K33/NEPI!K33*100,"0.00")</f>
        <v>0</v>
      </c>
      <c r="L33" s="110">
        <f>IFERROR('APPENDIX 18'!L33/NEPI!L33*100,"0.00")</f>
        <v>103.45378082146392</v>
      </c>
      <c r="M33" s="110">
        <f>IFERROR('APPENDIX 18'!M33/NEPI!M33*100,"0.00")</f>
        <v>59.250694540316132</v>
      </c>
      <c r="N33" s="110">
        <f>IFERROR('APPENDIX 18'!N33/NEPI!N33*100,"0.00")</f>
        <v>54.913298892948546</v>
      </c>
      <c r="O33" s="110" t="str">
        <f>IFERROR('APPENDIX 18'!O33/NEPI!O33*100,"0.00")</f>
        <v>0.00</v>
      </c>
      <c r="P33" s="110">
        <f>IFERROR('APPENDIX 18'!P33/NEPI!P33*100,"0.00")</f>
        <v>-2.3361043342315311</v>
      </c>
      <c r="Q33" s="111">
        <f>IFERROR('APPENDIX 18'!Q33/NEPI!Q33*100,"0.00")</f>
        <v>94.424834857290591</v>
      </c>
      <c r="R33"/>
    </row>
    <row r="34" spans="2:18" ht="27" customHeight="1" x14ac:dyDescent="0.35">
      <c r="B34" s="109" t="s">
        <v>82</v>
      </c>
      <c r="C34" s="110" t="str">
        <f>IFERROR('APPENDIX 18'!C34/NEPI!C34*100,"0.00")</f>
        <v>0.00</v>
      </c>
      <c r="D34" s="110">
        <f>IFERROR('APPENDIX 18'!D34/NEPI!D34*100,"0.00")</f>
        <v>85.422516014392855</v>
      </c>
      <c r="E34" s="110">
        <f>IFERROR('APPENDIX 18'!E34/NEPI!E34*100,"0.00")</f>
        <v>68.969677447506854</v>
      </c>
      <c r="F34" s="110">
        <f>IFERROR('APPENDIX 18'!F34/NEPI!F34*100,"0.00")</f>
        <v>-584.8281750943512</v>
      </c>
      <c r="G34" s="110">
        <f>IFERROR('APPENDIX 18'!G34/NEPI!G34*100,"0.00")</f>
        <v>-3.8884530925570093</v>
      </c>
      <c r="H34" s="110">
        <f>IFERROR('APPENDIX 18'!H34/NEPI!H34*100,"0.00")</f>
        <v>66.72789027556793</v>
      </c>
      <c r="I34" s="110">
        <f>IFERROR('APPENDIX 18'!I34/NEPI!I34*100,"0.00")</f>
        <v>107.66956779464152</v>
      </c>
      <c r="J34" s="110">
        <f>IFERROR('APPENDIX 18'!J34/NEPI!J34*100,"0.00")</f>
        <v>72.444946377051963</v>
      </c>
      <c r="K34" s="110">
        <f>IFERROR('APPENDIX 18'!K34/NEPI!K34*100,"0.00")</f>
        <v>113.11981013232703</v>
      </c>
      <c r="L34" s="110">
        <f>IFERROR('APPENDIX 18'!L34/NEPI!L34*100,"0.00")</f>
        <v>-4.6977335105133644</v>
      </c>
      <c r="M34" s="110">
        <f>IFERROR('APPENDIX 18'!M34/NEPI!M34*100,"0.00")</f>
        <v>-3.9522243793936402</v>
      </c>
      <c r="N34" s="110">
        <f>IFERROR('APPENDIX 18'!N34/NEPI!N34*100,"0.00")</f>
        <v>4.6440721040800392</v>
      </c>
      <c r="O34" s="110" t="str">
        <f>IFERROR('APPENDIX 18'!O34/NEPI!O34*100,"0.00")</f>
        <v>0.00</v>
      </c>
      <c r="P34" s="110">
        <f>IFERROR('APPENDIX 18'!P34/NEPI!P34*100,"0.00")</f>
        <v>-6.2561970501887592</v>
      </c>
      <c r="Q34" s="111">
        <f>IFERROR('APPENDIX 18'!Q34/NEPI!Q34*100,"0.00")</f>
        <v>83.111937673125311</v>
      </c>
      <c r="R34"/>
    </row>
    <row r="35" spans="2:18" ht="27" customHeight="1" x14ac:dyDescent="0.35">
      <c r="B35" s="109" t="s">
        <v>83</v>
      </c>
      <c r="C35" s="110">
        <f>IFERROR('APPENDIX 18'!C35/NEPI!C35*100,"0.00")</f>
        <v>0</v>
      </c>
      <c r="D35" s="110">
        <f>IFERROR('APPENDIX 18'!D35/NEPI!D35*100,"0.00")</f>
        <v>0</v>
      </c>
      <c r="E35" s="110">
        <f>IFERROR('APPENDIX 18'!E35/NEPI!E35*100,"0.00")</f>
        <v>0</v>
      </c>
      <c r="F35" s="110">
        <f>IFERROR('APPENDIX 18'!F35/NEPI!F35*100,"0.00")</f>
        <v>0</v>
      </c>
      <c r="G35" s="110">
        <f>IFERROR('APPENDIX 18'!G35/NEPI!G35*100,"0.00")</f>
        <v>0</v>
      </c>
      <c r="H35" s="110">
        <f>IFERROR('APPENDIX 18'!H35/NEPI!H35*100,"0.00")</f>
        <v>0</v>
      </c>
      <c r="I35" s="110">
        <f>IFERROR('APPENDIX 18'!I35/NEPI!I35*100,"0.00")</f>
        <v>-212.76964758206057</v>
      </c>
      <c r="J35" s="110">
        <f>IFERROR('APPENDIX 18'!J35/NEPI!J35*100,"0.00")</f>
        <v>32.750266440781999</v>
      </c>
      <c r="K35" s="110">
        <f>IFERROR('APPENDIX 18'!K35/NEPI!K35*100,"0.00")</f>
        <v>0</v>
      </c>
      <c r="L35" s="110">
        <f>IFERROR('APPENDIX 18'!L35/NEPI!L35*100,"0.00")</f>
        <v>0.69283224222228557</v>
      </c>
      <c r="M35" s="110">
        <f>IFERROR('APPENDIX 18'!M35/NEPI!M35*100,"0.00")</f>
        <v>1.8145814287112112</v>
      </c>
      <c r="N35" s="110">
        <f>IFERROR('APPENDIX 18'!N35/NEPI!N35*100,"0.00")</f>
        <v>19.139108886406142</v>
      </c>
      <c r="O35" s="110">
        <f>IFERROR('APPENDIX 18'!O35/NEPI!O35*100,"0.00")</f>
        <v>65.531380786882309</v>
      </c>
      <c r="P35" s="110">
        <f>IFERROR('APPENDIX 18'!P35/NEPI!P35*100,"0.00")</f>
        <v>0</v>
      </c>
      <c r="Q35" s="111">
        <f>IFERROR('APPENDIX 18'!Q35/NEPI!Q35*100,"0.00")</f>
        <v>-173.5979296358226</v>
      </c>
      <c r="R35"/>
    </row>
    <row r="36" spans="2:18" ht="27" customHeight="1" x14ac:dyDescent="0.35">
      <c r="B36" s="109" t="s">
        <v>84</v>
      </c>
      <c r="C36" s="110" t="str">
        <f>IFERROR('APPENDIX 18'!C36/NEPI!C36*100,"0.00")</f>
        <v>0.00</v>
      </c>
      <c r="D36" s="110">
        <f>IFERROR('APPENDIX 18'!D36/NEPI!D36*100,"0.00")</f>
        <v>-117.02732335565915</v>
      </c>
      <c r="E36" s="110">
        <f>IFERROR('APPENDIX 18'!E36/NEPI!E36*100,"0.00")</f>
        <v>374.17363175350158</v>
      </c>
      <c r="F36" s="110">
        <f>IFERROR('APPENDIX 18'!F36/NEPI!F36*100,"0.00")</f>
        <v>-28.987305251480759</v>
      </c>
      <c r="G36" s="110">
        <f>IFERROR('APPENDIX 18'!G36/NEPI!G36*100,"0.00")</f>
        <v>563.33695731578064</v>
      </c>
      <c r="H36" s="110">
        <f>IFERROR('APPENDIX 18'!H36/NEPI!H36*100,"0.00")</f>
        <v>-182.67822637422825</v>
      </c>
      <c r="I36" s="110">
        <f>IFERROR('APPENDIX 18'!I36/NEPI!I36*100,"0.00")</f>
        <v>43.506249988860084</v>
      </c>
      <c r="J36" s="110">
        <f>IFERROR('APPENDIX 18'!J36/NEPI!J36*100,"0.00")</f>
        <v>40.146955799365571</v>
      </c>
      <c r="K36" s="110" t="str">
        <f>IFERROR('APPENDIX 18'!K36/NEPI!K36*100,"0.00")</f>
        <v>0.00</v>
      </c>
      <c r="L36" s="110">
        <f>IFERROR('APPENDIX 18'!L36/NEPI!L36*100,"0.00")</f>
        <v>47.205558975591586</v>
      </c>
      <c r="M36" s="110">
        <f>IFERROR('APPENDIX 18'!M36/NEPI!M36*100,"0.00")</f>
        <v>44.701106940455887</v>
      </c>
      <c r="N36" s="110">
        <f>IFERROR('APPENDIX 18'!N36/NEPI!N36*100,"0.00")</f>
        <v>0.16261781271499628</v>
      </c>
      <c r="O36" s="110">
        <f>IFERROR('APPENDIX 18'!O36/NEPI!O36*100,"0.00")</f>
        <v>0</v>
      </c>
      <c r="P36" s="110">
        <f>IFERROR('APPENDIX 18'!P36/NEPI!P36*100,"0.00")</f>
        <v>724.7241805495778</v>
      </c>
      <c r="Q36" s="111">
        <f>IFERROR('APPENDIX 18'!Q36/NEPI!Q36*100,"0.00")</f>
        <v>56.341932098909353</v>
      </c>
      <c r="R36"/>
    </row>
    <row r="37" spans="2:18" ht="27" customHeight="1" x14ac:dyDescent="0.35">
      <c r="B37" s="109" t="s">
        <v>85</v>
      </c>
      <c r="C37" s="110" t="str">
        <f>IFERROR('APPENDIX 18'!C37/NEPI!C37*100,"0.00")</f>
        <v>0.00</v>
      </c>
      <c r="D37" s="110">
        <f>IFERROR('APPENDIX 18'!D37/NEPI!D37*100,"0.00")</f>
        <v>1285.2593254758972</v>
      </c>
      <c r="E37" s="110">
        <f>IFERROR('APPENDIX 18'!E37/NEPI!E37*100,"0.00")</f>
        <v>21.89075121036873</v>
      </c>
      <c r="F37" s="110">
        <f>IFERROR('APPENDIX 18'!F37/NEPI!F37*100,"0.00")</f>
        <v>-51.801790357310097</v>
      </c>
      <c r="G37" s="110">
        <f>IFERROR('APPENDIX 18'!G37/NEPI!G37*100,"0.00")</f>
        <v>23.018765277286686</v>
      </c>
      <c r="H37" s="110">
        <f>IFERROR('APPENDIX 18'!H37/NEPI!H37*100,"0.00")</f>
        <v>21.315451098910653</v>
      </c>
      <c r="I37" s="110">
        <f>IFERROR('APPENDIX 18'!I37/NEPI!I37*100,"0.00")</f>
        <v>12.925526705385215</v>
      </c>
      <c r="J37" s="110">
        <f>IFERROR('APPENDIX 18'!J37/NEPI!J37*100,"0.00")</f>
        <v>12.643507388752587</v>
      </c>
      <c r="K37" s="110" t="str">
        <f>IFERROR('APPENDIX 18'!K37/NEPI!K37*100,"0.00")</f>
        <v>0.00</v>
      </c>
      <c r="L37" s="110">
        <f>IFERROR('APPENDIX 18'!L37/NEPI!L37*100,"0.00")</f>
        <v>18.525223858666916</v>
      </c>
      <c r="M37" s="110">
        <f>IFERROR('APPENDIX 18'!M37/NEPI!M37*100,"0.00")</f>
        <v>13.520166825491863</v>
      </c>
      <c r="N37" s="110">
        <f>IFERROR('APPENDIX 18'!N37/NEPI!N37*100,"0.00")</f>
        <v>12.443012550818446</v>
      </c>
      <c r="O37" s="110">
        <f>IFERROR('APPENDIX 18'!O37/NEPI!O37*100,"0.00")</f>
        <v>11.137779390963061</v>
      </c>
      <c r="P37" s="110">
        <f>IFERROR('APPENDIX 18'!P37/NEPI!P37*100,"0.00")</f>
        <v>66.012055435232654</v>
      </c>
      <c r="Q37" s="111">
        <f>IFERROR('APPENDIX 18'!Q37/NEPI!Q37*100,"0.00")</f>
        <v>34.345639864336405</v>
      </c>
      <c r="R37"/>
    </row>
    <row r="38" spans="2:18" ht="27" customHeight="1" x14ac:dyDescent="0.35">
      <c r="B38" s="109" t="s">
        <v>86</v>
      </c>
      <c r="C38" s="110">
        <f>IFERROR('APPENDIX 18'!C38/NEPI!C38*100,"0.00")</f>
        <v>47.436815407430039</v>
      </c>
      <c r="D38" s="110">
        <f>IFERROR('APPENDIX 18'!D38/NEPI!D38*100,"0.00")</f>
        <v>51.772837437539266</v>
      </c>
      <c r="E38" s="110">
        <f>IFERROR('APPENDIX 18'!E38/NEPI!E38*100,"0.00")</f>
        <v>19.487731854277161</v>
      </c>
      <c r="F38" s="110">
        <f>IFERROR('APPENDIX 18'!F38/NEPI!F38*100,"0.00")</f>
        <v>4.6361403713814822</v>
      </c>
      <c r="G38" s="110">
        <f>IFERROR('APPENDIX 18'!G38/NEPI!G38*100,"0.00")</f>
        <v>34.865250327175893</v>
      </c>
      <c r="H38" s="110">
        <f>IFERROR('APPENDIX 18'!H38/NEPI!H38*100,"0.00")</f>
        <v>40.500791062096177</v>
      </c>
      <c r="I38" s="110">
        <f>IFERROR('APPENDIX 18'!I38/NEPI!I38*100,"0.00")</f>
        <v>59.740331232928526</v>
      </c>
      <c r="J38" s="110">
        <f>IFERROR('APPENDIX 18'!J38/NEPI!J38*100,"0.00")</f>
        <v>56.94074340530819</v>
      </c>
      <c r="K38" s="110">
        <f>IFERROR('APPENDIX 18'!K38/NEPI!K38*100,"0.00")</f>
        <v>145.53034947467779</v>
      </c>
      <c r="L38" s="110">
        <f>IFERROR('APPENDIX 18'!L38/NEPI!L38*100,"0.00")</f>
        <v>-62.738232595853404</v>
      </c>
      <c r="M38" s="110">
        <f>IFERROR('APPENDIX 18'!M38/NEPI!M38*100,"0.00")</f>
        <v>-7.5765758351684047</v>
      </c>
      <c r="N38" s="110">
        <f>IFERROR('APPENDIX 18'!N38/NEPI!N38*100,"0.00")</f>
        <v>9.8981956332348364</v>
      </c>
      <c r="O38" s="110">
        <f>IFERROR('APPENDIX 18'!O38/NEPI!O38*100,"0.00")</f>
        <v>74.253911061638931</v>
      </c>
      <c r="P38" s="110">
        <f>IFERROR('APPENDIX 18'!P38/NEPI!P38*100,"0.00")</f>
        <v>14.660717064689759</v>
      </c>
      <c r="Q38" s="111">
        <f>IFERROR('APPENDIX 18'!Q38/NEPI!Q38*100,"0.00")</f>
        <v>53.036167030224789</v>
      </c>
      <c r="R38"/>
    </row>
    <row r="39" spans="2:18" ht="27" customHeight="1" x14ac:dyDescent="0.35">
      <c r="B39" s="109" t="s">
        <v>87</v>
      </c>
      <c r="C39" s="110" t="str">
        <f>IFERROR('APPENDIX 18'!C39/NEPI!C39*100,"0.00")</f>
        <v>0.00</v>
      </c>
      <c r="D39" s="110">
        <f>IFERROR('APPENDIX 18'!D39/NEPI!D39*100,"0.00")</f>
        <v>-24.886892141236657</v>
      </c>
      <c r="E39" s="110">
        <f>IFERROR('APPENDIX 18'!E39/NEPI!E39*100,"0.00")</f>
        <v>-12.537308491166787</v>
      </c>
      <c r="F39" s="110">
        <f>IFERROR('APPENDIX 18'!F39/NEPI!F39*100,"0.00")</f>
        <v>8.640919819097709</v>
      </c>
      <c r="G39" s="110">
        <f>IFERROR('APPENDIX 18'!G39/NEPI!G39*100,"0.00")</f>
        <v>-6.7518558774425417</v>
      </c>
      <c r="H39" s="110">
        <f>IFERROR('APPENDIX 18'!H39/NEPI!H39*100,"0.00")</f>
        <v>-51.256232099250489</v>
      </c>
      <c r="I39" s="110">
        <f>IFERROR('APPENDIX 18'!I39/NEPI!I39*100,"0.00")</f>
        <v>68.959464392451551</v>
      </c>
      <c r="J39" s="110">
        <f>IFERROR('APPENDIX 18'!J39/NEPI!J39*100,"0.00")</f>
        <v>98.070081926925383</v>
      </c>
      <c r="K39" s="110" t="str">
        <f>IFERROR('APPENDIX 18'!K39/NEPI!K39*100,"0.00")</f>
        <v>0.00</v>
      </c>
      <c r="L39" s="110">
        <f>IFERROR('APPENDIX 18'!L39/NEPI!L39*100,"0.00")</f>
        <v>6.7647463668097023</v>
      </c>
      <c r="M39" s="110">
        <f>IFERROR('APPENDIX 18'!M39/NEPI!M39*100,"0.00")</f>
        <v>-39.804319030185191</v>
      </c>
      <c r="N39" s="110">
        <f>IFERROR('APPENDIX 18'!N39/NEPI!N39*100,"0.00")</f>
        <v>-39.810582198700573</v>
      </c>
      <c r="O39" s="110">
        <f>IFERROR('APPENDIX 18'!O39/NEPI!O39*100,"0.00")</f>
        <v>47.655792757998036</v>
      </c>
      <c r="P39" s="110">
        <f>IFERROR('APPENDIX 18'!P39/NEPI!P39*100,"0.00")</f>
        <v>75.749735024513186</v>
      </c>
      <c r="Q39" s="111">
        <f>IFERROR('APPENDIX 18'!Q39/NEPI!Q39*100,"0.00")</f>
        <v>52.516913176286465</v>
      </c>
      <c r="R39"/>
    </row>
    <row r="40" spans="2:18" ht="27" customHeight="1" x14ac:dyDescent="0.35">
      <c r="B40" s="109" t="s">
        <v>88</v>
      </c>
      <c r="C40" s="110" t="str">
        <f>IFERROR('APPENDIX 18'!C40/NEPI!C40*100,"0.00")</f>
        <v>0.00</v>
      </c>
      <c r="D40" s="110">
        <f>IFERROR('APPENDIX 18'!D40/NEPI!D40*100,"0.00")</f>
        <v>34.675065602052406</v>
      </c>
      <c r="E40" s="110">
        <f>IFERROR('APPENDIX 18'!E40/NEPI!E40*100,"0.00")</f>
        <v>0</v>
      </c>
      <c r="F40" s="110">
        <f>IFERROR('APPENDIX 18'!F40/NEPI!F40*100,"0.00")</f>
        <v>4750.9433011654755</v>
      </c>
      <c r="G40" s="110">
        <f>IFERROR('APPENDIX 18'!G40/NEPI!G40*100,"0.00")</f>
        <v>0</v>
      </c>
      <c r="H40" s="110">
        <f>IFERROR('APPENDIX 18'!H40/NEPI!H40*100,"0.00")</f>
        <v>-1.2215478845692676E-3</v>
      </c>
      <c r="I40" s="110">
        <f>IFERROR('APPENDIX 18'!I40/NEPI!I40*100,"0.00")</f>
        <v>38.24511339390547</v>
      </c>
      <c r="J40" s="110">
        <f>IFERROR('APPENDIX 18'!J40/NEPI!J40*100,"0.00")</f>
        <v>66.962312017803598</v>
      </c>
      <c r="K40" s="110" t="str">
        <f>IFERROR('APPENDIX 18'!K40/NEPI!K40*100,"0.00")</f>
        <v>0.00</v>
      </c>
      <c r="L40" s="110">
        <f>IFERROR('APPENDIX 18'!L40/NEPI!L40*100,"0.00")</f>
        <v>20.646362265465196</v>
      </c>
      <c r="M40" s="110">
        <f>IFERROR('APPENDIX 18'!M40/NEPI!M40*100,"0.00")</f>
        <v>-41.707487257230092</v>
      </c>
      <c r="N40" s="110">
        <f>IFERROR('APPENDIX 18'!N40/NEPI!N40*100,"0.00")</f>
        <v>64.620048856842132</v>
      </c>
      <c r="O40" s="110" t="str">
        <f>IFERROR('APPENDIX 18'!O40/NEPI!O40*100,"0.00")</f>
        <v>0.00</v>
      </c>
      <c r="P40" s="110">
        <f>IFERROR('APPENDIX 18'!P40/NEPI!P40*100,"0.00")</f>
        <v>26.633152275734634</v>
      </c>
      <c r="Q40" s="111">
        <f>IFERROR('APPENDIX 18'!Q40/NEPI!Q40*100,"0.00")</f>
        <v>46.350551705344024</v>
      </c>
      <c r="R40"/>
    </row>
    <row r="41" spans="2:18" ht="27" customHeight="1" x14ac:dyDescent="0.35">
      <c r="B41" s="109" t="s">
        <v>89</v>
      </c>
      <c r="C41" s="110" t="str">
        <f>IFERROR('APPENDIX 18'!C41/NEPI!C41*100,"0.00")</f>
        <v>0.00</v>
      </c>
      <c r="D41" s="110" t="str">
        <f>IFERROR('APPENDIX 18'!D41/NEPI!D41*100,"0.00")</f>
        <v>0.00</v>
      </c>
      <c r="E41" s="110" t="str">
        <f>IFERROR('APPENDIX 18'!E41/NEPI!E41*100,"0.00")</f>
        <v>0.00</v>
      </c>
      <c r="F41" s="110" t="str">
        <f>IFERROR('APPENDIX 18'!F41/NEPI!F41*100,"0.00")</f>
        <v>0.00</v>
      </c>
      <c r="G41" s="110" t="str">
        <f>IFERROR('APPENDIX 18'!G41/NEPI!G41*100,"0.00")</f>
        <v>0.00</v>
      </c>
      <c r="H41" s="110" t="str">
        <f>IFERROR('APPENDIX 18'!H41/NEPI!H41*100,"0.00")</f>
        <v>0.00</v>
      </c>
      <c r="I41" s="110" t="str">
        <f>IFERROR('APPENDIX 18'!I41/NEPI!I41*100,"0.00")</f>
        <v>0.00</v>
      </c>
      <c r="J41" s="110" t="str">
        <f>IFERROR('APPENDIX 18'!J41/NEPI!J41*100,"0.00")</f>
        <v>0.00</v>
      </c>
      <c r="K41" s="110" t="str">
        <f>IFERROR('APPENDIX 18'!K41/NEPI!K41*100,"0.00")</f>
        <v>0.00</v>
      </c>
      <c r="L41" s="110" t="str">
        <f>IFERROR('APPENDIX 18'!L41/NEPI!L41*100,"0.00")</f>
        <v>0.00</v>
      </c>
      <c r="M41" s="110" t="str">
        <f>IFERROR('APPENDIX 18'!M41/NEPI!M41*100,"0.00")</f>
        <v>0.00</v>
      </c>
      <c r="N41" s="110" t="str">
        <f>IFERROR('APPENDIX 18'!N41/NEPI!N41*100,"0.00")</f>
        <v>0.00</v>
      </c>
      <c r="O41" s="110" t="str">
        <f>IFERROR('APPENDIX 18'!O41/NEPI!O41*100,"0.00")</f>
        <v>0.00</v>
      </c>
      <c r="P41" s="110" t="str">
        <f>IFERROR('APPENDIX 18'!P41/NEPI!P41*100,"0.00")</f>
        <v>0.00</v>
      </c>
      <c r="Q41" s="111" t="str">
        <f>IFERROR('APPENDIX 18'!Q41/NEPI!Q41*100,"0.00")</f>
        <v>0.00</v>
      </c>
      <c r="R41"/>
    </row>
    <row r="42" spans="2:18" ht="27" customHeight="1" x14ac:dyDescent="0.35">
      <c r="B42" s="104" t="s">
        <v>90</v>
      </c>
      <c r="C42" s="112">
        <f>IFERROR('APPENDIX 18'!C42/NEPI!C42*100,"0.00")</f>
        <v>-5.3612089768862079</v>
      </c>
      <c r="D42" s="112">
        <f>IFERROR('APPENDIX 18'!D42/NEPI!D42*100,"0.00")</f>
        <v>20.938883112246046</v>
      </c>
      <c r="E42" s="112">
        <f>IFERROR('APPENDIX 18'!E42/NEPI!E42*100,"0.00")</f>
        <v>32.034600091432161</v>
      </c>
      <c r="F42" s="112">
        <f>IFERROR('APPENDIX 18'!F42/NEPI!F42*100,"0.00")</f>
        <v>25.953651956671802</v>
      </c>
      <c r="G42" s="112">
        <f>IFERROR('APPENDIX 18'!G42/NEPI!G42*100,"0.00")</f>
        <v>63.407859428918826</v>
      </c>
      <c r="H42" s="112">
        <f>IFERROR('APPENDIX 18'!H42/NEPI!H42*100,"0.00")</f>
        <v>36.076033726587589</v>
      </c>
      <c r="I42" s="112">
        <f>IFERROR('APPENDIX 18'!I42/NEPI!I42*100,"0.00")</f>
        <v>75.868647785838121</v>
      </c>
      <c r="J42" s="112">
        <f>IFERROR('APPENDIX 18'!J42/NEPI!J42*100,"0.00")</f>
        <v>71.194694907021912</v>
      </c>
      <c r="K42" s="112">
        <f>IFERROR('APPENDIX 18'!K42/NEPI!K42*100,"0.00")</f>
        <v>93.292021238165859</v>
      </c>
      <c r="L42" s="112">
        <f>IFERROR('APPENDIX 18'!L42/NEPI!L42*100,"0.00")</f>
        <v>48.022768874475211</v>
      </c>
      <c r="M42" s="112">
        <f>IFERROR('APPENDIX 18'!M42/NEPI!M42*100,"0.00")</f>
        <v>25.766509557295887</v>
      </c>
      <c r="N42" s="112">
        <f>IFERROR('APPENDIX 18'!N42/NEPI!N42*100,"0.00")</f>
        <v>47.598337060156481</v>
      </c>
      <c r="O42" s="112">
        <f>IFERROR('APPENDIX 18'!O42/NEPI!O42*100,"0.00")</f>
        <v>78.497837091111023</v>
      </c>
      <c r="P42" s="112">
        <f>IFERROR('APPENDIX 18'!P42/NEPI!P42*100,"0.00")</f>
        <v>67.282446400675738</v>
      </c>
      <c r="Q42" s="112">
        <f>IFERROR('APPENDIX 18'!Q42/NEPI!Q42*100,"0.00")</f>
        <v>71.973092506542642</v>
      </c>
      <c r="R42"/>
    </row>
    <row r="43" spans="2:18" ht="27" customHeight="1" x14ac:dyDescent="0.35">
      <c r="B43" s="280" t="str">
        <f>'APPENDIX 18'!B43</f>
        <v>REINSURERS</v>
      </c>
      <c r="C43" s="252"/>
      <c r="D43" s="252"/>
      <c r="E43" s="252"/>
      <c r="F43" s="252"/>
      <c r="G43" s="252"/>
      <c r="H43" s="252"/>
      <c r="I43" s="252"/>
      <c r="J43" s="252"/>
      <c r="K43" s="252"/>
      <c r="L43" s="252"/>
      <c r="M43" s="252"/>
      <c r="N43" s="252"/>
      <c r="O43" s="252"/>
      <c r="P43" s="252"/>
      <c r="Q43" s="253"/>
      <c r="R43"/>
    </row>
    <row r="44" spans="2:18" ht="27" customHeight="1" x14ac:dyDescent="0.35">
      <c r="B44" s="109" t="s">
        <v>92</v>
      </c>
      <c r="C44" s="110">
        <f>IFERROR('APPENDIX 18'!C44/NEPI!C44*100,"0.00")</f>
        <v>105.97944310296708</v>
      </c>
      <c r="D44" s="110">
        <f>IFERROR('APPENDIX 18'!D44/NEPI!D44*100,"0.00")</f>
        <v>-108.40205727081111</v>
      </c>
      <c r="E44" s="110">
        <f>IFERROR('APPENDIX 18'!E44/NEPI!E44*100,"0.00")</f>
        <v>49.382120786846187</v>
      </c>
      <c r="F44" s="110">
        <f>IFERROR('APPENDIX 18'!F44/NEPI!F44*100,"0.00")</f>
        <v>52.223977232657916</v>
      </c>
      <c r="G44" s="110">
        <f>IFERROR('APPENDIX 18'!G44/NEPI!G44*100,"0.00")</f>
        <v>87.257907872618176</v>
      </c>
      <c r="H44" s="110">
        <f>IFERROR('APPENDIX 18'!H44/NEPI!H44*100,"0.00")</f>
        <v>116.73471620452129</v>
      </c>
      <c r="I44" s="110">
        <f>IFERROR('APPENDIX 18'!I44/NEPI!I44*100,"0.00")</f>
        <v>83.582461480609823</v>
      </c>
      <c r="J44" s="110">
        <f>IFERROR('APPENDIX 18'!J44/NEPI!J44*100,"0.00")</f>
        <v>80.951312302918112</v>
      </c>
      <c r="K44" s="110" t="str">
        <f>IFERROR('APPENDIX 18'!K44/NEPI!K44*100,"0.00")</f>
        <v>0.00</v>
      </c>
      <c r="L44" s="110">
        <f>IFERROR('APPENDIX 18'!L44/NEPI!L44*100,"0.00")</f>
        <v>-15.744603713939947</v>
      </c>
      <c r="M44" s="110">
        <f>IFERROR('APPENDIX 18'!M44/NEPI!M44*100,"0.00")</f>
        <v>-11.018325333598883</v>
      </c>
      <c r="N44" s="110">
        <f>IFERROR('APPENDIX 18'!N44/NEPI!N44*100,"0.00")</f>
        <v>-15.511808694958907</v>
      </c>
      <c r="O44" s="110">
        <f>IFERROR('APPENDIX 18'!O44/NEPI!O44*100,"0.00")</f>
        <v>93.094755630798502</v>
      </c>
      <c r="P44" s="110">
        <f>IFERROR('APPENDIX 18'!P44/NEPI!P44*100,"0.00")</f>
        <v>-14.507205382277183</v>
      </c>
      <c r="Q44" s="111">
        <f>IFERROR('APPENDIX 18'!Q44/NEPI!Q44*100,"0.00")</f>
        <v>41.803593430225497</v>
      </c>
      <c r="R44"/>
    </row>
    <row r="45" spans="2:18" ht="27" customHeight="1" x14ac:dyDescent="0.35">
      <c r="B45" s="109" t="s">
        <v>93</v>
      </c>
      <c r="C45" s="110">
        <f>IFERROR('APPENDIX 18'!C45/NEPI!C45*100,"0.00")</f>
        <v>15.599775554311131</v>
      </c>
      <c r="D45" s="110">
        <f>IFERROR('APPENDIX 18'!D45/NEPI!D45*100,"0.00")</f>
        <v>114.02307367282496</v>
      </c>
      <c r="E45" s="110" t="str">
        <f>IFERROR('APPENDIX 18'!E45/NEPI!E45*100,"0.00")</f>
        <v>0.00</v>
      </c>
      <c r="F45" s="110">
        <f>IFERROR('APPENDIX 18'!F45/NEPI!F45*100,"0.00")</f>
        <v>73.631506474774838</v>
      </c>
      <c r="G45" s="110">
        <f>IFERROR('APPENDIX 18'!G45/NEPI!G45*100,"0.00")</f>
        <v>-17.096321730956209</v>
      </c>
      <c r="H45" s="110">
        <f>IFERROR('APPENDIX 18'!H45/NEPI!H45*100,"0.00")</f>
        <v>52.947727741295523</v>
      </c>
      <c r="I45" s="110" t="str">
        <f>IFERROR('APPENDIX 18'!I45/NEPI!I45*100,"0.00")</f>
        <v>0.00</v>
      </c>
      <c r="J45" s="110">
        <f>IFERROR('APPENDIX 18'!J45/NEPI!J45*100,"0.00")</f>
        <v>9.8426430151526034</v>
      </c>
      <c r="K45" s="110" t="str">
        <f>IFERROR('APPENDIX 18'!K45/NEPI!K45*100,"0.00")</f>
        <v>0.00</v>
      </c>
      <c r="L45" s="110">
        <f>IFERROR('APPENDIX 18'!L45/NEPI!L45*100,"0.00")</f>
        <v>-0.19211956046984258</v>
      </c>
      <c r="M45" s="110" t="str">
        <f>IFERROR('APPENDIX 18'!M45/NEPI!M45*100,"0.00")</f>
        <v>0.00</v>
      </c>
      <c r="N45" s="110" t="str">
        <f>IFERROR('APPENDIX 18'!N45/NEPI!N45*100,"0.00")</f>
        <v>0.00</v>
      </c>
      <c r="O45" s="110">
        <f>IFERROR('APPENDIX 18'!O45/NEPI!O45*100,"0.00")</f>
        <v>91.832291226134998</v>
      </c>
      <c r="P45" s="110">
        <f>IFERROR('APPENDIX 18'!P45/NEPI!P45*100,"0.00")</f>
        <v>12.255202412785758</v>
      </c>
      <c r="Q45" s="111">
        <f>IFERROR('APPENDIX 18'!Q45/NEPI!Q45*100,"0.00")</f>
        <v>59.642077894547022</v>
      </c>
      <c r="R45"/>
    </row>
    <row r="46" spans="2:18" ht="27" customHeight="1" x14ac:dyDescent="0.35">
      <c r="B46" s="109" t="s">
        <v>94</v>
      </c>
      <c r="C46" s="110">
        <f>IFERROR('APPENDIX 18'!C46/NEPI!C46*100,"0.00")</f>
        <v>94.980588999830474</v>
      </c>
      <c r="D46" s="110">
        <f>IFERROR('APPENDIX 18'!D46/NEPI!D46*100,"0.00")</f>
        <v>105.82040955603446</v>
      </c>
      <c r="E46" s="110">
        <f>IFERROR('APPENDIX 18'!E46/NEPI!E46*100,"0.00")</f>
        <v>110.66348122752055</v>
      </c>
      <c r="F46" s="110">
        <f>IFERROR('APPENDIX 18'!F46/NEPI!F46*100,"0.00")</f>
        <v>65.508634311833617</v>
      </c>
      <c r="G46" s="110">
        <f>IFERROR('APPENDIX 18'!G46/NEPI!G46*100,"0.00")</f>
        <v>12.969832907540422</v>
      </c>
      <c r="H46" s="110">
        <f>IFERROR('APPENDIX 18'!H46/NEPI!H46*100,"0.00")</f>
        <v>31.26310406405538</v>
      </c>
      <c r="I46" s="110">
        <f>IFERROR('APPENDIX 18'!I46/NEPI!I46*100,"0.00")</f>
        <v>35.828599567961419</v>
      </c>
      <c r="J46" s="110">
        <f>IFERROR('APPENDIX 18'!J46/NEPI!J46*100,"0.00")</f>
        <v>32.591249005906022</v>
      </c>
      <c r="K46" s="110" t="str">
        <f>IFERROR('APPENDIX 18'!K46/NEPI!K46*100,"0.00")</f>
        <v>0.00</v>
      </c>
      <c r="L46" s="110">
        <f>IFERROR('APPENDIX 18'!L46/NEPI!L46*100,"0.00")</f>
        <v>-143.81752347916083</v>
      </c>
      <c r="M46" s="110">
        <f>IFERROR('APPENDIX 18'!M46/NEPI!M46*100,"0.00")</f>
        <v>47.090525629905869</v>
      </c>
      <c r="N46" s="110">
        <f>IFERROR('APPENDIX 18'!N46/NEPI!N46*100,"0.00")</f>
        <v>15.874737209080275</v>
      </c>
      <c r="O46" s="110">
        <f>IFERROR('APPENDIX 18'!O46/NEPI!O46*100,"0.00")</f>
        <v>63.134919294254409</v>
      </c>
      <c r="P46" s="110">
        <f>IFERROR('APPENDIX 18'!P46/NEPI!P46*100,"0.00")</f>
        <v>4.8116187761455951</v>
      </c>
      <c r="Q46" s="111">
        <f>IFERROR('APPENDIX 18'!Q46/NEPI!Q46*100,"0.00")</f>
        <v>63.523153959501307</v>
      </c>
      <c r="R46"/>
    </row>
    <row r="47" spans="2:18" ht="27" customHeight="1" x14ac:dyDescent="0.35">
      <c r="B47" s="109" t="s">
        <v>95</v>
      </c>
      <c r="C47" s="110">
        <f>IFERROR('APPENDIX 18'!C47/NEPI!C47*100,"0.00")</f>
        <v>-175.20299640297435</v>
      </c>
      <c r="D47" s="110">
        <f>IFERROR('APPENDIX 18'!D47/NEPI!D47*100,"0.00")</f>
        <v>-309.38416020027984</v>
      </c>
      <c r="E47" s="110">
        <f>IFERROR('APPENDIX 18'!E47/NEPI!E47*100,"0.00")</f>
        <v>358.12617489503231</v>
      </c>
      <c r="F47" s="110">
        <f>IFERROR('APPENDIX 18'!F47/NEPI!F47*100,"0.00")</f>
        <v>63.805648769590185</v>
      </c>
      <c r="G47" s="110">
        <f>IFERROR('APPENDIX 18'!G47/NEPI!G47*100,"0.00")</f>
        <v>15.124418425440901</v>
      </c>
      <c r="H47" s="110">
        <f>IFERROR('APPENDIX 18'!H47/NEPI!H47*100,"0.00")</f>
        <v>9.8751465147854649</v>
      </c>
      <c r="I47" s="110">
        <f>IFERROR('APPENDIX 18'!I47/NEPI!I47*100,"0.00")</f>
        <v>-148.62633390197331</v>
      </c>
      <c r="J47" s="110">
        <f>IFERROR('APPENDIX 18'!J47/NEPI!J47*100,"0.00")</f>
        <v>600.21143873315214</v>
      </c>
      <c r="K47" s="110" t="str">
        <f>IFERROR('APPENDIX 18'!K47/NEPI!K47*100,"0.00")</f>
        <v>0.00</v>
      </c>
      <c r="L47" s="110">
        <f>IFERROR('APPENDIX 18'!L47/NEPI!L47*100,"0.00")</f>
        <v>34.959116204019573</v>
      </c>
      <c r="M47" s="110">
        <f>IFERROR('APPENDIX 18'!M47/NEPI!M47*100,"0.00")</f>
        <v>1.1686369317879726</v>
      </c>
      <c r="N47" s="110">
        <f>IFERROR('APPENDIX 18'!N47/NEPI!N47*100,"0.00")</f>
        <v>-444.36385325904035</v>
      </c>
      <c r="O47" s="110">
        <f>IFERROR('APPENDIX 18'!O47/NEPI!O47*100,"0.00")</f>
        <v>99.566975037968547</v>
      </c>
      <c r="P47" s="110">
        <f>IFERROR('APPENDIX 18'!P47/NEPI!P47*100,"0.00")</f>
        <v>63.250116322812111</v>
      </c>
      <c r="Q47" s="111">
        <f>IFERROR('APPENDIX 18'!Q47/NEPI!Q47*100,"0.00")</f>
        <v>78.175404213400924</v>
      </c>
      <c r="R47"/>
    </row>
    <row r="48" spans="2:18" ht="27" customHeight="1" x14ac:dyDescent="0.35">
      <c r="B48" s="109" t="s">
        <v>96</v>
      </c>
      <c r="C48" s="110">
        <f>IFERROR('APPENDIX 18'!C48/NEPI!C48*100,"0.00")</f>
        <v>-403.52830969788255</v>
      </c>
      <c r="D48" s="110">
        <f>IFERROR('APPENDIX 18'!D48/NEPI!D48*100,"0.00")</f>
        <v>288.41482776026817</v>
      </c>
      <c r="E48" s="110">
        <f>IFERROR('APPENDIX 18'!E48/NEPI!E48*100,"0.00")</f>
        <v>-7075.4000736085727</v>
      </c>
      <c r="F48" s="110">
        <f>IFERROR('APPENDIX 18'!F48/NEPI!F48*100,"0.00")</f>
        <v>-56.882138449651229</v>
      </c>
      <c r="G48" s="110">
        <f>IFERROR('APPENDIX 18'!G48/NEPI!G48*100,"0.00")</f>
        <v>-214.6042012714671</v>
      </c>
      <c r="H48" s="110">
        <f>IFERROR('APPENDIX 18'!H48/NEPI!H48*100,"0.00")</f>
        <v>298.27065110846479</v>
      </c>
      <c r="I48" s="110">
        <f>IFERROR('APPENDIX 18'!I48/NEPI!I48*100,"0.00")</f>
        <v>-0.51150009697518983</v>
      </c>
      <c r="J48" s="110">
        <f>IFERROR('APPENDIX 18'!J48/NEPI!J48*100,"0.00")</f>
        <v>714.92050989761503</v>
      </c>
      <c r="K48" s="110" t="str">
        <f>IFERROR('APPENDIX 18'!K48/NEPI!K48*100,"0.00")</f>
        <v>0.00</v>
      </c>
      <c r="L48" s="110">
        <f>IFERROR('APPENDIX 18'!L48/NEPI!L48*100,"0.00")</f>
        <v>236.0694336069316</v>
      </c>
      <c r="M48" s="110">
        <f>IFERROR('APPENDIX 18'!M48/NEPI!M48*100,"0.00")</f>
        <v>-2.6656664138760613</v>
      </c>
      <c r="N48" s="110">
        <f>IFERROR('APPENDIX 18'!N48/NEPI!N48*100,"0.00")</f>
        <v>83.602945291854198</v>
      </c>
      <c r="O48" s="110">
        <f>IFERROR('APPENDIX 18'!O48/NEPI!O48*100,"0.00")</f>
        <v>361.18542431917871</v>
      </c>
      <c r="P48" s="110">
        <f>IFERROR('APPENDIX 18'!P48/NEPI!P48*100,"0.00")</f>
        <v>176.20204842102615</v>
      </c>
      <c r="Q48" s="111">
        <f>IFERROR('APPENDIX 18'!Q48/NEPI!Q48*100,"0.00")</f>
        <v>49.364178080589141</v>
      </c>
      <c r="R48"/>
    </row>
    <row r="49" spans="2:18" ht="27" customHeight="1" x14ac:dyDescent="0.35">
      <c r="B49" s="104" t="s">
        <v>90</v>
      </c>
      <c r="C49" s="112">
        <f>IFERROR('APPENDIX 18'!C49/NEPI!C49*100,"0.00")</f>
        <v>19.401321180709907</v>
      </c>
      <c r="D49" s="112">
        <f>IFERROR('APPENDIX 18'!D49/NEPI!D49*100,"0.00")</f>
        <v>214.42668783504769</v>
      </c>
      <c r="E49" s="112">
        <f>IFERROR('APPENDIX 18'!E49/NEPI!E49*100,"0.00")</f>
        <v>92.546608678696245</v>
      </c>
      <c r="F49" s="112">
        <f>IFERROR('APPENDIX 18'!F49/NEPI!F49*100,"0.00")</f>
        <v>42.550257710951009</v>
      </c>
      <c r="G49" s="112">
        <f>IFERROR('APPENDIX 18'!G49/NEPI!G49*100,"0.00")</f>
        <v>-158.70291975645267</v>
      </c>
      <c r="H49" s="112">
        <f>IFERROR('APPENDIX 18'!H49/NEPI!H49*100,"0.00")</f>
        <v>77.475467787617433</v>
      </c>
      <c r="I49" s="112">
        <f>IFERROR('APPENDIX 18'!I49/NEPI!I49*100,"0.00")</f>
        <v>42.196362841355231</v>
      </c>
      <c r="J49" s="112">
        <f>IFERROR('APPENDIX 18'!J49/NEPI!J49*100,"0.00")</f>
        <v>219.61576269782651</v>
      </c>
      <c r="K49" s="112" t="str">
        <f>IFERROR('APPENDIX 18'!K49/NEPI!K49*100,"0.00")</f>
        <v>0.00</v>
      </c>
      <c r="L49" s="112">
        <f>IFERROR('APPENDIX 18'!L49/NEPI!L49*100,"0.00")</f>
        <v>63.607769129441273</v>
      </c>
      <c r="M49" s="112">
        <f>IFERROR('APPENDIX 18'!M49/NEPI!M49*100,"0.00")</f>
        <v>7.7091142612121386</v>
      </c>
      <c r="N49" s="112">
        <f>IFERROR('APPENDIX 18'!N49/NEPI!N49*100,"0.00")</f>
        <v>95.844093540273875</v>
      </c>
      <c r="O49" s="112">
        <f>IFERROR('APPENDIX 18'!O49/NEPI!O49*100,"0.00")</f>
        <v>112.56470420147137</v>
      </c>
      <c r="P49" s="112">
        <f>IFERROR('APPENDIX 18'!P49/NEPI!P49*100,"0.00")</f>
        <v>38.264719469547032</v>
      </c>
      <c r="Q49" s="112">
        <f>IFERROR('APPENDIX 18'!Q49/NEPI!Q49*100,"0.00")</f>
        <v>61.647870507313542</v>
      </c>
      <c r="R49"/>
    </row>
    <row r="50" spans="2:18" ht="15.5" customHeight="1" x14ac:dyDescent="0.35">
      <c r="B50" s="277" t="s">
        <v>98</v>
      </c>
      <c r="C50" s="255"/>
      <c r="D50" s="255"/>
      <c r="E50" s="255"/>
      <c r="F50" s="255"/>
      <c r="G50" s="255"/>
      <c r="H50" s="255"/>
      <c r="I50" s="255"/>
      <c r="J50" s="255"/>
      <c r="K50" s="255"/>
      <c r="L50" s="255"/>
      <c r="M50" s="255"/>
      <c r="N50" s="255"/>
      <c r="O50" s="255"/>
      <c r="P50" s="255"/>
      <c r="Q50" s="255"/>
    </row>
    <row r="51" spans="2:18" ht="14.5" customHeight="1" x14ac:dyDescent="0.3"/>
  </sheetData>
  <sheetProtection algorithmName="SHA-512" hashValue="Y+/RV5IBp/HpC0GkIRmZL+pAQJ7apagEiYZGs2h+WSetuylaSi5Joz309Pa9m063oepE08v93PJKmYPvt3iDpw==" saltValue="zd0D7Hl5zqJXVKXwdJurAA==" spinCount="100000" sheet="1" objects="1" scenarios="1"/>
  <mergeCells count="4">
    <mergeCell ref="B50:Q50"/>
    <mergeCell ref="B43:Q43"/>
    <mergeCell ref="B3:Q3"/>
    <mergeCell ref="B5:Q5"/>
  </mergeCells>
  <pageMargins left="0.7" right="0.7" top="0.75" bottom="0.75" header="0.3" footer="0.3"/>
  <pageSetup paperSize="9" scale="36"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7">
    <tabColor rgb="FFA2D668"/>
    <pageSetUpPr fitToPage="1"/>
  </sheetPr>
  <dimension ref="B3:R50"/>
  <sheetViews>
    <sheetView zoomScale="55" workbookViewId="0">
      <pane xSplit="2" ySplit="5" topLeftCell="C43" activePane="bottomRight" state="frozen"/>
      <selection activeCell="B3" sqref="B3:Q50"/>
      <selection pane="topRight" activeCell="B3" sqref="B3:Q50"/>
      <selection pane="bottomLeft" activeCell="B3" sqref="B3:Q50"/>
      <selection pane="bottomRight" activeCell="B3" sqref="B3:Q50"/>
    </sheetView>
  </sheetViews>
  <sheetFormatPr defaultColWidth="9.453125" defaultRowHeight="14" x14ac:dyDescent="0.3"/>
  <cols>
    <col min="1" max="1" width="15.453125" style="2" customWidth="1"/>
    <col min="2" max="2" width="51.453125" style="2" customWidth="1"/>
    <col min="3" max="17" width="21.54296875" style="2" customWidth="1"/>
    <col min="18" max="19" width="6.453125" style="2" bestFit="1" customWidth="1"/>
    <col min="20" max="20" width="13.54296875" style="2" customWidth="1"/>
    <col min="21" max="71" width="9.453125" style="2" customWidth="1"/>
    <col min="72" max="16384" width="9.453125" style="2"/>
  </cols>
  <sheetData>
    <row r="3" spans="2:18" ht="22.5" customHeight="1" x14ac:dyDescent="0.35">
      <c r="B3" s="279" t="str">
        <f>_xlfn.CONCAT("NPI: SUMMARY OF NET PREMIUM INCOME UNDER GENERAL INSURANCE BUSINESS FOR THE PERIOD ENDED"," ",Details!F18)</f>
        <v>NPI: SUMMARY OF NET PREMIUM INCOME UNDER GENERAL INSURANCE BUSINESS FOR THE PERIOD ENDED 31.03.2025</v>
      </c>
      <c r="C3" s="252"/>
      <c r="D3" s="252"/>
      <c r="E3" s="252"/>
      <c r="F3" s="252"/>
      <c r="G3" s="252"/>
      <c r="H3" s="252"/>
      <c r="I3" s="252"/>
      <c r="J3" s="252"/>
      <c r="K3" s="252"/>
      <c r="L3" s="252"/>
      <c r="M3" s="252"/>
      <c r="N3" s="252"/>
      <c r="O3" s="252"/>
      <c r="P3" s="252"/>
      <c r="Q3" s="253"/>
    </row>
    <row r="4" spans="2:18" ht="31" customHeight="1" x14ac:dyDescent="0.35">
      <c r="B4" s="98" t="s">
        <v>36</v>
      </c>
      <c r="C4" s="99" t="s">
        <v>156</v>
      </c>
      <c r="D4" s="99" t="s">
        <v>157</v>
      </c>
      <c r="E4" s="99" t="s">
        <v>158</v>
      </c>
      <c r="F4" s="99" t="s">
        <v>159</v>
      </c>
      <c r="G4" s="99" t="s">
        <v>160</v>
      </c>
      <c r="H4" s="99" t="s">
        <v>161</v>
      </c>
      <c r="I4" s="99" t="s">
        <v>162</v>
      </c>
      <c r="J4" s="99" t="s">
        <v>163</v>
      </c>
      <c r="K4" s="99" t="s">
        <v>164</v>
      </c>
      <c r="L4" s="99" t="s">
        <v>165</v>
      </c>
      <c r="M4" s="99" t="s">
        <v>166</v>
      </c>
      <c r="N4" s="99" t="s">
        <v>167</v>
      </c>
      <c r="O4" s="99" t="s">
        <v>168</v>
      </c>
      <c r="P4" s="99" t="s">
        <v>169</v>
      </c>
      <c r="Q4" s="99" t="s">
        <v>170</v>
      </c>
    </row>
    <row r="5" spans="2:18" ht="30" customHeight="1" x14ac:dyDescent="0.35">
      <c r="B5" s="280" t="s">
        <v>53</v>
      </c>
      <c r="C5" s="252"/>
      <c r="D5" s="252"/>
      <c r="E5" s="252"/>
      <c r="F5" s="252"/>
      <c r="G5" s="252"/>
      <c r="H5" s="252"/>
      <c r="I5" s="252"/>
      <c r="J5" s="252"/>
      <c r="K5" s="252"/>
      <c r="L5" s="252"/>
      <c r="M5" s="252"/>
      <c r="N5" s="252"/>
      <c r="O5" s="252"/>
      <c r="P5" s="252"/>
      <c r="Q5" s="253"/>
    </row>
    <row r="6" spans="2:18" ht="30" customHeight="1" x14ac:dyDescent="0.35">
      <c r="B6" s="100" t="s">
        <v>54</v>
      </c>
      <c r="C6" s="103">
        <v>0</v>
      </c>
      <c r="D6" s="103">
        <v>290.28754147622237</v>
      </c>
      <c r="E6" s="103">
        <v>168.43199000000001</v>
      </c>
      <c r="F6" s="103">
        <v>1083.9579781653949</v>
      </c>
      <c r="G6" s="103">
        <v>8576.2155199999997</v>
      </c>
      <c r="H6" s="103">
        <v>48.25</v>
      </c>
      <c r="I6" s="103">
        <v>0</v>
      </c>
      <c r="J6" s="103">
        <v>0</v>
      </c>
      <c r="K6" s="103">
        <v>0</v>
      </c>
      <c r="L6" s="103">
        <v>3405.4688000000001</v>
      </c>
      <c r="M6" s="103">
        <v>5499.1003806849321</v>
      </c>
      <c r="N6" s="103">
        <v>38019.920339999997</v>
      </c>
      <c r="O6" s="103">
        <v>2444443.7604851001</v>
      </c>
      <c r="P6" s="103">
        <v>4121.2265229931563</v>
      </c>
      <c r="Q6" s="106">
        <v>2505656.6195584191</v>
      </c>
      <c r="R6">
        <v>0</v>
      </c>
    </row>
    <row r="7" spans="2:18" ht="30" customHeight="1" x14ac:dyDescent="0.35">
      <c r="B7" s="100" t="s">
        <v>55</v>
      </c>
      <c r="C7" s="103">
        <v>0</v>
      </c>
      <c r="D7" s="103">
        <v>6243.2349999999997</v>
      </c>
      <c r="E7" s="103">
        <v>123.53700000000001</v>
      </c>
      <c r="F7" s="103">
        <v>831.83699999999999</v>
      </c>
      <c r="G7" s="103">
        <v>6388.55</v>
      </c>
      <c r="H7" s="103">
        <v>-54.415999999999997</v>
      </c>
      <c r="I7" s="103">
        <v>118667.337</v>
      </c>
      <c r="J7" s="103">
        <v>170748.09400000001</v>
      </c>
      <c r="K7" s="103">
        <v>755613.81400000001</v>
      </c>
      <c r="L7" s="103">
        <v>4010.1840000000002</v>
      </c>
      <c r="M7" s="103">
        <v>1401.527</v>
      </c>
      <c r="N7" s="103">
        <v>54109.281000000003</v>
      </c>
      <c r="O7" s="103">
        <v>0</v>
      </c>
      <c r="P7" s="103">
        <v>2686.7460000000001</v>
      </c>
      <c r="Q7" s="106">
        <v>1120769.726</v>
      </c>
      <c r="R7">
        <v>0</v>
      </c>
    </row>
    <row r="8" spans="2:18" ht="30" customHeight="1" x14ac:dyDescent="0.35">
      <c r="B8" s="100" t="s">
        <v>56</v>
      </c>
      <c r="C8" s="103">
        <v>152.589</v>
      </c>
      <c r="D8" s="103">
        <v>33921.574923000007</v>
      </c>
      <c r="E8" s="103">
        <v>33101.704296600001</v>
      </c>
      <c r="F8" s="103">
        <v>218702.85015059999</v>
      </c>
      <c r="G8" s="103">
        <v>49381.51334143999</v>
      </c>
      <c r="H8" s="103">
        <v>58299.726549050007</v>
      </c>
      <c r="I8" s="103">
        <v>871900.68430726009</v>
      </c>
      <c r="J8" s="103">
        <v>760994.39131887991</v>
      </c>
      <c r="K8" s="103">
        <v>0</v>
      </c>
      <c r="L8" s="103">
        <v>60192.895229819987</v>
      </c>
      <c r="M8" s="103">
        <v>104665.87197342</v>
      </c>
      <c r="N8" s="103">
        <v>246222.08871876</v>
      </c>
      <c r="O8" s="103">
        <v>1665758.8695845611</v>
      </c>
      <c r="P8" s="103">
        <v>99923.46451938001</v>
      </c>
      <c r="Q8" s="106">
        <v>4203218.2239127709</v>
      </c>
      <c r="R8">
        <v>0</v>
      </c>
    </row>
    <row r="9" spans="2:18" ht="30" customHeight="1" x14ac:dyDescent="0.35">
      <c r="B9" s="100" t="s">
        <v>57</v>
      </c>
      <c r="C9" s="103">
        <v>2.1962100000008942</v>
      </c>
      <c r="D9" s="103">
        <v>26748.835600132759</v>
      </c>
      <c r="E9" s="103">
        <v>50523.652170000001</v>
      </c>
      <c r="F9" s="103">
        <v>118099.3546634722</v>
      </c>
      <c r="G9" s="103">
        <v>62181.114654645142</v>
      </c>
      <c r="H9" s="103">
        <v>22780.95199500009</v>
      </c>
      <c r="I9" s="103">
        <v>422881.46696748899</v>
      </c>
      <c r="J9" s="103">
        <v>206693.5455187381</v>
      </c>
      <c r="K9" s="103">
        <v>0</v>
      </c>
      <c r="L9" s="103">
        <v>58441.484296049537</v>
      </c>
      <c r="M9" s="103">
        <v>40111.570582233908</v>
      </c>
      <c r="N9" s="103">
        <v>112668.6599910237</v>
      </c>
      <c r="O9" s="103">
        <v>2043577.2644164269</v>
      </c>
      <c r="P9" s="103">
        <v>18539.23045228585</v>
      </c>
      <c r="Q9" s="106">
        <v>3183249.3275174969</v>
      </c>
      <c r="R9">
        <v>0</v>
      </c>
    </row>
    <row r="10" spans="2:18" ht="30" customHeight="1" x14ac:dyDescent="0.35">
      <c r="B10" s="100" t="s">
        <v>58</v>
      </c>
      <c r="C10" s="103">
        <v>0</v>
      </c>
      <c r="D10" s="103">
        <v>1538.1780000000001</v>
      </c>
      <c r="E10" s="103">
        <v>4334.95</v>
      </c>
      <c r="F10" s="103">
        <v>9006.5565099999985</v>
      </c>
      <c r="G10" s="103">
        <v>6884.5330000000004</v>
      </c>
      <c r="H10" s="103">
        <v>4877.5959999999995</v>
      </c>
      <c r="I10" s="103">
        <v>367695.46171</v>
      </c>
      <c r="J10" s="103">
        <v>110138.382</v>
      </c>
      <c r="K10" s="103">
        <v>0</v>
      </c>
      <c r="L10" s="103">
        <v>-15660.189</v>
      </c>
      <c r="M10" s="103">
        <v>7123.8879999999999</v>
      </c>
      <c r="N10" s="103">
        <v>37848.137000000002</v>
      </c>
      <c r="O10" s="103">
        <v>0</v>
      </c>
      <c r="P10" s="103">
        <v>-10645.048000000001</v>
      </c>
      <c r="Q10" s="106">
        <v>523142.44521999999</v>
      </c>
      <c r="R10">
        <v>0</v>
      </c>
    </row>
    <row r="11" spans="2:18" ht="30" customHeight="1" x14ac:dyDescent="0.35">
      <c r="B11" s="100" t="s">
        <v>59</v>
      </c>
      <c r="C11" s="103">
        <v>0</v>
      </c>
      <c r="D11" s="103">
        <v>24542.043369999999</v>
      </c>
      <c r="E11" s="103">
        <v>34361.430940000013</v>
      </c>
      <c r="F11" s="103">
        <v>74724.653040000063</v>
      </c>
      <c r="G11" s="103">
        <v>39290.738690000013</v>
      </c>
      <c r="H11" s="103">
        <v>14031.363530000001</v>
      </c>
      <c r="I11" s="103">
        <v>835921.44158000045</v>
      </c>
      <c r="J11" s="103">
        <v>672577.46250000014</v>
      </c>
      <c r="K11" s="103">
        <v>0</v>
      </c>
      <c r="L11" s="103">
        <v>53082.988470000033</v>
      </c>
      <c r="M11" s="103">
        <v>297289.9696699999</v>
      </c>
      <c r="N11" s="103">
        <v>165267.64086000001</v>
      </c>
      <c r="O11" s="103">
        <v>3673719.524939999</v>
      </c>
      <c r="P11" s="103">
        <v>20739.467679380439</v>
      </c>
      <c r="Q11" s="106">
        <v>5905548.72526938</v>
      </c>
      <c r="R11">
        <v>0</v>
      </c>
    </row>
    <row r="12" spans="2:18" ht="30" customHeight="1" x14ac:dyDescent="0.35">
      <c r="B12" s="100" t="s">
        <v>60</v>
      </c>
      <c r="C12" s="103">
        <v>0</v>
      </c>
      <c r="D12" s="103">
        <v>-2544.8258107582328</v>
      </c>
      <c r="E12" s="103">
        <v>850.95048675635553</v>
      </c>
      <c r="F12" s="103">
        <v>3681.7788595168458</v>
      </c>
      <c r="G12" s="103">
        <v>2051.466778922927</v>
      </c>
      <c r="H12" s="103">
        <v>617.53148678498144</v>
      </c>
      <c r="I12" s="103">
        <v>14116.57066118882</v>
      </c>
      <c r="J12" s="103">
        <v>6168.2494478966219</v>
      </c>
      <c r="K12" s="103">
        <v>0</v>
      </c>
      <c r="L12" s="103">
        <v>2608.5153199828519</v>
      </c>
      <c r="M12" s="103">
        <v>1849.9515154124661</v>
      </c>
      <c r="N12" s="103">
        <v>3752.2722831321112</v>
      </c>
      <c r="O12" s="103">
        <v>0</v>
      </c>
      <c r="P12" s="103">
        <v>-3308.5704009475298</v>
      </c>
      <c r="Q12" s="106">
        <v>29843.89062788821</v>
      </c>
      <c r="R12">
        <v>0</v>
      </c>
    </row>
    <row r="13" spans="2:18" ht="30" customHeight="1" x14ac:dyDescent="0.35">
      <c r="B13" s="100" t="s">
        <v>61</v>
      </c>
      <c r="C13" s="103">
        <v>0</v>
      </c>
      <c r="D13" s="103">
        <v>56.4</v>
      </c>
      <c r="E13" s="103">
        <v>0</v>
      </c>
      <c r="F13" s="103">
        <v>239.36699999999999</v>
      </c>
      <c r="G13" s="103">
        <v>0</v>
      </c>
      <c r="H13" s="103">
        <v>0</v>
      </c>
      <c r="I13" s="103">
        <v>4.6000000089406972E-4</v>
      </c>
      <c r="J13" s="103">
        <v>-2114.3706000000002</v>
      </c>
      <c r="K13" s="103">
        <v>1992.990309999999</v>
      </c>
      <c r="L13" s="103">
        <v>1.246</v>
      </c>
      <c r="M13" s="103">
        <v>500.54399999999998</v>
      </c>
      <c r="N13" s="103">
        <v>30.803000000000001</v>
      </c>
      <c r="O13" s="103">
        <v>0</v>
      </c>
      <c r="P13" s="103">
        <v>5204.3710000000001</v>
      </c>
      <c r="Q13" s="106">
        <v>5911.3511699999999</v>
      </c>
      <c r="R13">
        <v>0</v>
      </c>
    </row>
    <row r="14" spans="2:18" ht="30" customHeight="1" x14ac:dyDescent="0.35">
      <c r="B14" s="100" t="s">
        <v>62</v>
      </c>
      <c r="C14" s="103">
        <v>0</v>
      </c>
      <c r="D14" s="103">
        <v>0</v>
      </c>
      <c r="E14" s="103">
        <v>0</v>
      </c>
      <c r="F14" s="103">
        <v>0</v>
      </c>
      <c r="G14" s="103">
        <v>0</v>
      </c>
      <c r="H14" s="103">
        <v>0</v>
      </c>
      <c r="I14" s="103">
        <v>70428.599379999971</v>
      </c>
      <c r="J14" s="103">
        <v>21704.979551504752</v>
      </c>
      <c r="K14" s="103">
        <v>479387.35179000022</v>
      </c>
      <c r="L14" s="103">
        <v>0</v>
      </c>
      <c r="M14" s="103">
        <v>0</v>
      </c>
      <c r="N14" s="103">
        <v>0</v>
      </c>
      <c r="O14" s="103">
        <v>0</v>
      </c>
      <c r="P14" s="103">
        <v>0</v>
      </c>
      <c r="Q14" s="106">
        <v>571520.93072150496</v>
      </c>
      <c r="R14">
        <v>0</v>
      </c>
    </row>
    <row r="15" spans="2:18" ht="30" customHeight="1" x14ac:dyDescent="0.35">
      <c r="B15" s="100" t="s">
        <v>63</v>
      </c>
      <c r="C15" s="103">
        <v>0</v>
      </c>
      <c r="D15" s="103">
        <v>-10981.994000000001</v>
      </c>
      <c r="E15" s="103">
        <v>0</v>
      </c>
      <c r="F15" s="103">
        <v>154.72300000000001</v>
      </c>
      <c r="G15" s="103">
        <v>1611.0381015796361</v>
      </c>
      <c r="H15" s="103">
        <v>0</v>
      </c>
      <c r="I15" s="103">
        <v>0</v>
      </c>
      <c r="J15" s="103">
        <v>0</v>
      </c>
      <c r="K15" s="103">
        <v>0</v>
      </c>
      <c r="L15" s="103">
        <v>0</v>
      </c>
      <c r="M15" s="103">
        <v>16742.208999999999</v>
      </c>
      <c r="N15" s="103">
        <v>0</v>
      </c>
      <c r="O15" s="103">
        <v>1049359.024</v>
      </c>
      <c r="P15" s="103">
        <v>0</v>
      </c>
      <c r="Q15" s="106">
        <v>1056885.0001015801</v>
      </c>
      <c r="R15">
        <v>0</v>
      </c>
    </row>
    <row r="16" spans="2:18" ht="30" customHeight="1" x14ac:dyDescent="0.35">
      <c r="B16" s="100" t="s">
        <v>64</v>
      </c>
      <c r="C16" s="103">
        <v>-6.0999999999999999E-2</v>
      </c>
      <c r="D16" s="103">
        <v>7545.5439999999999</v>
      </c>
      <c r="E16" s="103">
        <v>6891.8670000000002</v>
      </c>
      <c r="F16" s="103">
        <v>12120.037</v>
      </c>
      <c r="G16" s="103">
        <v>21080.25</v>
      </c>
      <c r="H16" s="103">
        <v>15701.870999999999</v>
      </c>
      <c r="I16" s="103">
        <v>359103.20299999998</v>
      </c>
      <c r="J16" s="103">
        <v>450287.29200000002</v>
      </c>
      <c r="K16" s="103">
        <v>12925.16</v>
      </c>
      <c r="L16" s="103">
        <v>3044.442</v>
      </c>
      <c r="M16" s="103">
        <v>17790.701000000001</v>
      </c>
      <c r="N16" s="103">
        <v>120687.107</v>
      </c>
      <c r="O16" s="103">
        <v>68659.323000000004</v>
      </c>
      <c r="P16" s="103">
        <v>10652.539000000001</v>
      </c>
      <c r="Q16" s="106">
        <v>1106489.2749999999</v>
      </c>
      <c r="R16">
        <v>0</v>
      </c>
    </row>
    <row r="17" spans="2:18" ht="30" customHeight="1" x14ac:dyDescent="0.35">
      <c r="B17" s="100" t="s">
        <v>65</v>
      </c>
      <c r="C17" s="103">
        <v>0</v>
      </c>
      <c r="D17" s="103">
        <v>9831.5552699999953</v>
      </c>
      <c r="E17" s="103">
        <v>10491.692230000001</v>
      </c>
      <c r="F17" s="103">
        <v>38641.423296000001</v>
      </c>
      <c r="G17" s="103">
        <v>12912.439560000001</v>
      </c>
      <c r="H17" s="103">
        <v>14765.619280000001</v>
      </c>
      <c r="I17" s="103">
        <v>210465.43083999999</v>
      </c>
      <c r="J17" s="103">
        <v>192974.31508999999</v>
      </c>
      <c r="K17" s="103">
        <v>0</v>
      </c>
      <c r="L17" s="103">
        <v>47657.091030000003</v>
      </c>
      <c r="M17" s="103">
        <v>24558.90868</v>
      </c>
      <c r="N17" s="103">
        <v>42397.806790000002</v>
      </c>
      <c r="O17" s="103">
        <v>927559.22060999996</v>
      </c>
      <c r="P17" s="103">
        <v>6733.1964053999964</v>
      </c>
      <c r="Q17" s="106">
        <v>1538988.6990813999</v>
      </c>
      <c r="R17">
        <v>0</v>
      </c>
    </row>
    <row r="18" spans="2:18" ht="30" customHeight="1" x14ac:dyDescent="0.35">
      <c r="B18" s="100" t="s">
        <v>66</v>
      </c>
      <c r="C18" s="103">
        <v>-6355.37</v>
      </c>
      <c r="D18" s="103">
        <v>56938.889000000003</v>
      </c>
      <c r="E18" s="103">
        <v>54554.637000000002</v>
      </c>
      <c r="F18" s="103">
        <v>355951.761</v>
      </c>
      <c r="G18" s="103">
        <v>72814.875</v>
      </c>
      <c r="H18" s="103">
        <v>67136.607000000004</v>
      </c>
      <c r="I18" s="103">
        <v>575692.74199999997</v>
      </c>
      <c r="J18" s="103">
        <v>582582.71499999997</v>
      </c>
      <c r="K18" s="103">
        <v>56642.11</v>
      </c>
      <c r="L18" s="103">
        <v>32680.971000000001</v>
      </c>
      <c r="M18" s="103">
        <v>227153.731</v>
      </c>
      <c r="N18" s="103">
        <v>357726.43400000001</v>
      </c>
      <c r="O18" s="103">
        <v>753125.71699999995</v>
      </c>
      <c r="P18" s="103">
        <v>22692.274000000001</v>
      </c>
      <c r="Q18" s="106">
        <v>3209338.0929999999</v>
      </c>
      <c r="R18">
        <v>0</v>
      </c>
    </row>
    <row r="19" spans="2:18" ht="30" customHeight="1" x14ac:dyDescent="0.35">
      <c r="B19" s="100" t="s">
        <v>67</v>
      </c>
      <c r="C19" s="103">
        <v>1458.3420000000001</v>
      </c>
      <c r="D19" s="103">
        <v>27832.156999999999</v>
      </c>
      <c r="E19" s="103">
        <v>24323.809000000001</v>
      </c>
      <c r="F19" s="103">
        <v>99892.798999999999</v>
      </c>
      <c r="G19" s="103">
        <v>44639.964999999997</v>
      </c>
      <c r="H19" s="103">
        <v>53954.964999999997</v>
      </c>
      <c r="I19" s="103">
        <v>348127.85</v>
      </c>
      <c r="J19" s="103">
        <v>450178.79200000002</v>
      </c>
      <c r="K19" s="103">
        <v>0</v>
      </c>
      <c r="L19" s="103">
        <v>27199.16</v>
      </c>
      <c r="M19" s="103">
        <v>56874.553</v>
      </c>
      <c r="N19" s="103">
        <v>202169.288</v>
      </c>
      <c r="O19" s="103">
        <v>0</v>
      </c>
      <c r="P19" s="103">
        <v>6759.1469999999999</v>
      </c>
      <c r="Q19" s="106">
        <v>1343410.827</v>
      </c>
      <c r="R19">
        <v>0</v>
      </c>
    </row>
    <row r="20" spans="2:18" ht="30" customHeight="1" x14ac:dyDescent="0.35">
      <c r="B20" s="100" t="s">
        <v>68</v>
      </c>
      <c r="C20" s="103">
        <v>1911.289</v>
      </c>
      <c r="D20" s="103">
        <v>29036.7</v>
      </c>
      <c r="E20" s="103">
        <v>30678.268</v>
      </c>
      <c r="F20" s="103">
        <v>76449.798999999999</v>
      </c>
      <c r="G20" s="103">
        <v>27290.288</v>
      </c>
      <c r="H20" s="103">
        <v>36339.334000000003</v>
      </c>
      <c r="I20" s="103">
        <v>692886.38800000004</v>
      </c>
      <c r="J20" s="103">
        <v>254761.818</v>
      </c>
      <c r="K20" s="103">
        <v>0</v>
      </c>
      <c r="L20" s="103">
        <v>42168.883999999998</v>
      </c>
      <c r="M20" s="103">
        <v>60055.839999999997</v>
      </c>
      <c r="N20" s="103">
        <v>226872.77600000001</v>
      </c>
      <c r="O20" s="103">
        <v>51358.705999999998</v>
      </c>
      <c r="P20" s="103">
        <v>7759.8760000000002</v>
      </c>
      <c r="Q20" s="106">
        <v>1537569.966</v>
      </c>
      <c r="R20">
        <v>0</v>
      </c>
    </row>
    <row r="21" spans="2:18" ht="30" customHeight="1" x14ac:dyDescent="0.35">
      <c r="B21" s="100" t="s">
        <v>69</v>
      </c>
      <c r="C21" s="103">
        <v>0</v>
      </c>
      <c r="D21" s="103">
        <v>62892.34</v>
      </c>
      <c r="E21" s="103">
        <v>15114.508</v>
      </c>
      <c r="F21" s="103">
        <v>78499.956000000006</v>
      </c>
      <c r="G21" s="103">
        <v>19364.162</v>
      </c>
      <c r="H21" s="103">
        <v>46510.858</v>
      </c>
      <c r="I21" s="103">
        <v>258613.283</v>
      </c>
      <c r="J21" s="103">
        <v>122527.429</v>
      </c>
      <c r="K21" s="103">
        <v>23259.424999999999</v>
      </c>
      <c r="L21" s="103">
        <v>4937.2849999999999</v>
      </c>
      <c r="M21" s="103">
        <v>31894.629000000001</v>
      </c>
      <c r="N21" s="103">
        <v>129982.488</v>
      </c>
      <c r="O21" s="103">
        <v>0</v>
      </c>
      <c r="P21" s="103">
        <v>21382.269</v>
      </c>
      <c r="Q21" s="106">
        <v>814978.63199999998</v>
      </c>
      <c r="R21">
        <v>0</v>
      </c>
    </row>
    <row r="22" spans="2:18" ht="30" customHeight="1" x14ac:dyDescent="0.35">
      <c r="B22" s="100" t="s">
        <v>70</v>
      </c>
      <c r="C22" s="103">
        <v>0</v>
      </c>
      <c r="D22" s="103">
        <v>0</v>
      </c>
      <c r="E22" s="103">
        <v>0</v>
      </c>
      <c r="F22" s="103">
        <v>0</v>
      </c>
      <c r="G22" s="103">
        <v>0</v>
      </c>
      <c r="H22" s="103">
        <v>0</v>
      </c>
      <c r="I22" s="103">
        <v>0</v>
      </c>
      <c r="J22" s="103">
        <v>0</v>
      </c>
      <c r="K22" s="103">
        <v>0</v>
      </c>
      <c r="L22" s="103">
        <v>0</v>
      </c>
      <c r="M22" s="103">
        <v>0</v>
      </c>
      <c r="N22" s="103">
        <v>0</v>
      </c>
      <c r="O22" s="103">
        <v>0</v>
      </c>
      <c r="P22" s="103">
        <v>0</v>
      </c>
      <c r="Q22" s="106">
        <v>0</v>
      </c>
      <c r="R22">
        <v>0</v>
      </c>
    </row>
    <row r="23" spans="2:18" ht="30" customHeight="1" x14ac:dyDescent="0.35">
      <c r="B23" s="100" t="s">
        <v>71</v>
      </c>
      <c r="C23" s="103">
        <v>0</v>
      </c>
      <c r="D23" s="103">
        <v>0</v>
      </c>
      <c r="E23" s="103">
        <v>0</v>
      </c>
      <c r="F23" s="103">
        <v>0</v>
      </c>
      <c r="G23" s="103">
        <v>0</v>
      </c>
      <c r="H23" s="103">
        <v>0</v>
      </c>
      <c r="I23" s="103">
        <v>0</v>
      </c>
      <c r="J23" s="103">
        <v>0</v>
      </c>
      <c r="K23" s="103">
        <v>0</v>
      </c>
      <c r="L23" s="103">
        <v>0</v>
      </c>
      <c r="M23" s="103">
        <v>0</v>
      </c>
      <c r="N23" s="103">
        <v>0</v>
      </c>
      <c r="O23" s="103">
        <v>5588641.7869708231</v>
      </c>
      <c r="P23" s="103">
        <v>0</v>
      </c>
      <c r="Q23" s="106">
        <v>5588641.7869708231</v>
      </c>
      <c r="R23">
        <v>0</v>
      </c>
    </row>
    <row r="24" spans="2:18" ht="30" customHeight="1" x14ac:dyDescent="0.35">
      <c r="B24" s="100" t="s">
        <v>72</v>
      </c>
      <c r="C24" s="103">
        <v>0</v>
      </c>
      <c r="D24" s="103">
        <v>14089.727000000001</v>
      </c>
      <c r="E24" s="103">
        <v>10907.581</v>
      </c>
      <c r="F24" s="103">
        <v>45088.408000000003</v>
      </c>
      <c r="G24" s="103">
        <v>5575.5079999999998</v>
      </c>
      <c r="H24" s="103">
        <v>29887.87</v>
      </c>
      <c r="I24" s="103">
        <v>183959.20499999999</v>
      </c>
      <c r="J24" s="103">
        <v>170535.109</v>
      </c>
      <c r="K24" s="103">
        <v>0</v>
      </c>
      <c r="L24" s="103">
        <v>1421.796</v>
      </c>
      <c r="M24" s="103">
        <v>19320.307000000001</v>
      </c>
      <c r="N24" s="103">
        <v>71118.679999999993</v>
      </c>
      <c r="O24" s="103">
        <v>16814.474999999999</v>
      </c>
      <c r="P24" s="103">
        <v>1386.787</v>
      </c>
      <c r="Q24" s="106">
        <v>570105.45299999998</v>
      </c>
      <c r="R24">
        <v>0</v>
      </c>
    </row>
    <row r="25" spans="2:18" ht="30" customHeight="1" x14ac:dyDescent="0.35">
      <c r="B25" s="100" t="s">
        <v>73</v>
      </c>
      <c r="C25" s="103">
        <v>0</v>
      </c>
      <c r="D25" s="103">
        <v>0</v>
      </c>
      <c r="E25" s="103">
        <v>0</v>
      </c>
      <c r="F25" s="103">
        <v>0</v>
      </c>
      <c r="G25" s="103">
        <v>0</v>
      </c>
      <c r="H25" s="103">
        <v>0</v>
      </c>
      <c r="I25" s="103">
        <v>0</v>
      </c>
      <c r="J25" s="103">
        <v>0</v>
      </c>
      <c r="K25" s="103">
        <v>0</v>
      </c>
      <c r="L25" s="103">
        <v>0</v>
      </c>
      <c r="M25" s="103">
        <v>0</v>
      </c>
      <c r="N25" s="103">
        <v>0</v>
      </c>
      <c r="O25" s="103">
        <v>0</v>
      </c>
      <c r="P25" s="103">
        <v>0</v>
      </c>
      <c r="Q25" s="106">
        <v>0</v>
      </c>
      <c r="R25">
        <v>0</v>
      </c>
    </row>
    <row r="26" spans="2:18" ht="30" customHeight="1" x14ac:dyDescent="0.35">
      <c r="B26" s="100" t="s">
        <v>74</v>
      </c>
      <c r="C26" s="103">
        <v>0</v>
      </c>
      <c r="D26" s="103">
        <v>21181.315047076791</v>
      </c>
      <c r="E26" s="103">
        <v>9417.8050204535939</v>
      </c>
      <c r="F26" s="103">
        <v>45057.515932469607</v>
      </c>
      <c r="G26" s="103">
        <v>85903.210047754474</v>
      </c>
      <c r="H26" s="103">
        <v>3784.3960266494519</v>
      </c>
      <c r="I26" s="103">
        <v>180476.9713126577</v>
      </c>
      <c r="J26" s="103">
        <v>1050875.6755041829</v>
      </c>
      <c r="K26" s="103">
        <v>0</v>
      </c>
      <c r="L26" s="103">
        <v>10809.070118498201</v>
      </c>
      <c r="M26" s="103">
        <v>10201.35277625358</v>
      </c>
      <c r="N26" s="103">
        <v>143755.28309793011</v>
      </c>
      <c r="O26" s="103">
        <v>1020654.234977999</v>
      </c>
      <c r="P26" s="103">
        <v>71546.605006073354</v>
      </c>
      <c r="Q26" s="106">
        <v>2653663.434868</v>
      </c>
      <c r="R26">
        <v>0</v>
      </c>
    </row>
    <row r="27" spans="2:18" ht="30" customHeight="1" x14ac:dyDescent="0.35">
      <c r="B27" s="100" t="s">
        <v>75</v>
      </c>
      <c r="C27" s="103">
        <v>103.6456900000572</v>
      </c>
      <c r="D27" s="103">
        <v>101016.6435606397</v>
      </c>
      <c r="E27" s="103">
        <v>47336.113977590721</v>
      </c>
      <c r="F27" s="103">
        <v>91534.985471769338</v>
      </c>
      <c r="G27" s="103">
        <v>57160.947483151358</v>
      </c>
      <c r="H27" s="103">
        <v>118969.7468931895</v>
      </c>
      <c r="I27" s="103">
        <v>302205.82473691471</v>
      </c>
      <c r="J27" s="103">
        <v>301519.52731243748</v>
      </c>
      <c r="K27" s="103">
        <v>7288.5950000000003</v>
      </c>
      <c r="L27" s="103">
        <v>12889.052</v>
      </c>
      <c r="M27" s="103">
        <v>37226.642399999997</v>
      </c>
      <c r="N27" s="103">
        <v>402177.55222795438</v>
      </c>
      <c r="O27" s="103">
        <v>0</v>
      </c>
      <c r="P27" s="103">
        <v>108168.8350879545</v>
      </c>
      <c r="Q27" s="106">
        <v>1587598.111841602</v>
      </c>
      <c r="R27">
        <v>0</v>
      </c>
    </row>
    <row r="28" spans="2:18" ht="30" customHeight="1" x14ac:dyDescent="0.35">
      <c r="B28" s="100" t="s">
        <v>76</v>
      </c>
      <c r="C28" s="103">
        <v>2291.4090000000001</v>
      </c>
      <c r="D28" s="103">
        <v>3625.03</v>
      </c>
      <c r="E28" s="103">
        <v>2815.0830000000001</v>
      </c>
      <c r="F28" s="103">
        <v>14066.76</v>
      </c>
      <c r="G28" s="103">
        <v>2818.0357999999969</v>
      </c>
      <c r="H28" s="103">
        <v>4755.788239999998</v>
      </c>
      <c r="I28" s="103">
        <v>78412.734110430596</v>
      </c>
      <c r="J28" s="103">
        <v>46925.177889569393</v>
      </c>
      <c r="K28" s="103">
        <v>0</v>
      </c>
      <c r="L28" s="103">
        <v>8330.7019999999993</v>
      </c>
      <c r="M28" s="103">
        <v>19507.8478</v>
      </c>
      <c r="N28" s="103">
        <v>40696.101999999999</v>
      </c>
      <c r="O28" s="103">
        <v>640845.69999999995</v>
      </c>
      <c r="P28" s="103">
        <v>3670.7919999999999</v>
      </c>
      <c r="Q28" s="106">
        <v>868761.16184000007</v>
      </c>
      <c r="R28">
        <v>0</v>
      </c>
    </row>
    <row r="29" spans="2:18" ht="30" customHeight="1" x14ac:dyDescent="0.35">
      <c r="B29" s="100" t="s">
        <v>77</v>
      </c>
      <c r="C29" s="103">
        <v>0</v>
      </c>
      <c r="D29" s="103">
        <v>2016.7559200000021</v>
      </c>
      <c r="E29" s="103">
        <v>20366.06080939608</v>
      </c>
      <c r="F29" s="103">
        <v>106987.44860685449</v>
      </c>
      <c r="G29" s="103">
        <v>54148.885909999968</v>
      </c>
      <c r="H29" s="103">
        <v>1486.2986999999989</v>
      </c>
      <c r="I29" s="103">
        <v>316151.78693264659</v>
      </c>
      <c r="J29" s="103">
        <v>39932.618182646482</v>
      </c>
      <c r="K29" s="103">
        <v>0</v>
      </c>
      <c r="L29" s="103">
        <v>33648.857489999071</v>
      </c>
      <c r="M29" s="103">
        <v>2703.3741499999992</v>
      </c>
      <c r="N29" s="103">
        <v>33747.094358456437</v>
      </c>
      <c r="O29" s="103">
        <v>0</v>
      </c>
      <c r="P29" s="103">
        <v>0</v>
      </c>
      <c r="Q29" s="106">
        <v>611189.18105999928</v>
      </c>
      <c r="R29">
        <v>0</v>
      </c>
    </row>
    <row r="30" spans="2:18" ht="30" customHeight="1" x14ac:dyDescent="0.35">
      <c r="B30" s="100" t="s">
        <v>78</v>
      </c>
      <c r="C30" s="103">
        <v>24306.737000000001</v>
      </c>
      <c r="D30" s="103">
        <v>11160.659</v>
      </c>
      <c r="E30" s="103">
        <v>7648.8096599999999</v>
      </c>
      <c r="F30" s="103">
        <v>31416.836879999999</v>
      </c>
      <c r="G30" s="103">
        <v>6826.6629999999996</v>
      </c>
      <c r="H30" s="103">
        <v>-2.2549999999999999</v>
      </c>
      <c r="I30" s="103">
        <v>104270.899</v>
      </c>
      <c r="J30" s="103">
        <v>6610.7259999999997</v>
      </c>
      <c r="K30" s="103">
        <v>0</v>
      </c>
      <c r="L30" s="103">
        <v>9577.5319999999992</v>
      </c>
      <c r="M30" s="103">
        <v>36019.055999999997</v>
      </c>
      <c r="N30" s="103">
        <v>46651.332000000002</v>
      </c>
      <c r="O30" s="103">
        <v>0</v>
      </c>
      <c r="P30" s="103">
        <v>1673.537</v>
      </c>
      <c r="Q30" s="106">
        <v>286160.53253999999</v>
      </c>
      <c r="R30">
        <v>0</v>
      </c>
    </row>
    <row r="31" spans="2:18" ht="30" customHeight="1" x14ac:dyDescent="0.35">
      <c r="B31" s="100" t="s">
        <v>79</v>
      </c>
      <c r="C31" s="103">
        <v>277.83544000001251</v>
      </c>
      <c r="D31" s="103">
        <v>32669.456659999982</v>
      </c>
      <c r="E31" s="103">
        <v>64129.870510000008</v>
      </c>
      <c r="F31" s="103">
        <v>155096.75444999989</v>
      </c>
      <c r="G31" s="103">
        <v>41027.695399999997</v>
      </c>
      <c r="H31" s="103">
        <v>39709.084150000002</v>
      </c>
      <c r="I31" s="103">
        <v>441967.61207000009</v>
      </c>
      <c r="J31" s="103">
        <v>420408.60106999998</v>
      </c>
      <c r="K31" s="103">
        <v>0</v>
      </c>
      <c r="L31" s="103">
        <v>22467.17679999999</v>
      </c>
      <c r="M31" s="103">
        <v>69645.180920000013</v>
      </c>
      <c r="N31" s="103">
        <v>109210.79799000001</v>
      </c>
      <c r="O31" s="103">
        <v>4629123.7287900001</v>
      </c>
      <c r="P31" s="103">
        <v>2439.7987899999998</v>
      </c>
      <c r="Q31" s="106">
        <v>6028173.5930399997</v>
      </c>
      <c r="R31">
        <v>0</v>
      </c>
    </row>
    <row r="32" spans="2:18" ht="30" customHeight="1" x14ac:dyDescent="0.35">
      <c r="B32" s="100" t="s">
        <v>80</v>
      </c>
      <c r="C32" s="103">
        <v>0</v>
      </c>
      <c r="D32" s="103">
        <v>7865.6040000000003</v>
      </c>
      <c r="E32" s="103">
        <v>5476.0259999999998</v>
      </c>
      <c r="F32" s="103">
        <v>26320.69</v>
      </c>
      <c r="G32" s="103">
        <v>17243.418000000001</v>
      </c>
      <c r="H32" s="103">
        <v>982.702</v>
      </c>
      <c r="I32" s="103">
        <v>193069.11</v>
      </c>
      <c r="J32" s="103">
        <v>250780.38</v>
      </c>
      <c r="K32" s="103">
        <v>0</v>
      </c>
      <c r="L32" s="103">
        <v>15907.504999999999</v>
      </c>
      <c r="M32" s="103">
        <v>11472.566999999999</v>
      </c>
      <c r="N32" s="103">
        <v>50254.26</v>
      </c>
      <c r="O32" s="103">
        <v>438877.26199999999</v>
      </c>
      <c r="P32" s="103">
        <v>1991.6980000000001</v>
      </c>
      <c r="Q32" s="106">
        <v>1020241.222</v>
      </c>
      <c r="R32">
        <v>0</v>
      </c>
    </row>
    <row r="33" spans="2:18" ht="30" customHeight="1" x14ac:dyDescent="0.35">
      <c r="B33" s="100" t="s">
        <v>81</v>
      </c>
      <c r="C33" s="103">
        <v>486.00684356916702</v>
      </c>
      <c r="D33" s="103">
        <v>107912.271874845</v>
      </c>
      <c r="E33" s="103">
        <v>2829.285044646695</v>
      </c>
      <c r="F33" s="103">
        <v>-87525.529344412906</v>
      </c>
      <c r="G33" s="103">
        <v>13040.39459792798</v>
      </c>
      <c r="H33" s="103">
        <v>2934.4245156585539</v>
      </c>
      <c r="I33" s="103">
        <v>310128.49089240952</v>
      </c>
      <c r="J33" s="103">
        <v>170621.50242058901</v>
      </c>
      <c r="K33" s="103">
        <v>215.78</v>
      </c>
      <c r="L33" s="103">
        <v>7339.8506855176529</v>
      </c>
      <c r="M33" s="103">
        <v>10485.04896523091</v>
      </c>
      <c r="N33" s="103">
        <v>16817.019095256641</v>
      </c>
      <c r="O33" s="103">
        <v>0</v>
      </c>
      <c r="P33" s="103">
        <v>14488.170408761909</v>
      </c>
      <c r="Q33" s="106">
        <v>569772.71600000013</v>
      </c>
      <c r="R33">
        <v>0</v>
      </c>
    </row>
    <row r="34" spans="2:18" ht="30" customHeight="1" x14ac:dyDescent="0.35">
      <c r="B34" s="100" t="s">
        <v>82</v>
      </c>
      <c r="C34" s="103">
        <v>0</v>
      </c>
      <c r="D34" s="103">
        <v>5672.4214793873134</v>
      </c>
      <c r="E34" s="103">
        <v>11932.847737334911</v>
      </c>
      <c r="F34" s="103">
        <v>41010.075870932487</v>
      </c>
      <c r="G34" s="103">
        <v>37236.136362184392</v>
      </c>
      <c r="H34" s="103">
        <v>18681.06447768187</v>
      </c>
      <c r="I34" s="103">
        <v>197718.44739058049</v>
      </c>
      <c r="J34" s="103">
        <v>194847.34521999999</v>
      </c>
      <c r="K34" s="103">
        <v>-2155.2585126424028</v>
      </c>
      <c r="L34" s="103">
        <v>-11400.97206165836</v>
      </c>
      <c r="M34" s="103">
        <v>16333.428808750739</v>
      </c>
      <c r="N34" s="103">
        <v>53985.727572418931</v>
      </c>
      <c r="O34" s="103">
        <v>0</v>
      </c>
      <c r="P34" s="103">
        <v>300.54662502963401</v>
      </c>
      <c r="Q34" s="106">
        <v>564161.81097000011</v>
      </c>
      <c r="R34">
        <v>0</v>
      </c>
    </row>
    <row r="35" spans="2:18" ht="30" customHeight="1" x14ac:dyDescent="0.35">
      <c r="B35" s="100" t="s">
        <v>83</v>
      </c>
      <c r="C35" s="103">
        <v>-4.6000000089406971E-3</v>
      </c>
      <c r="D35" s="103">
        <v>561.97885000000053</v>
      </c>
      <c r="E35" s="103">
        <v>61.609019999999987</v>
      </c>
      <c r="F35" s="103">
        <v>484.19453000000118</v>
      </c>
      <c r="G35" s="103">
        <v>374.80200000000002</v>
      </c>
      <c r="H35" s="103">
        <v>1578.8771600000009</v>
      </c>
      <c r="I35" s="103">
        <v>49984.13</v>
      </c>
      <c r="J35" s="103">
        <v>15874.218999999999</v>
      </c>
      <c r="K35" s="103">
        <v>0</v>
      </c>
      <c r="L35" s="103">
        <v>229.99404000000001</v>
      </c>
      <c r="M35" s="103">
        <v>245.65378000000001</v>
      </c>
      <c r="N35" s="103">
        <v>11840.295</v>
      </c>
      <c r="O35" s="103">
        <v>0</v>
      </c>
      <c r="P35" s="103">
        <v>-3031.661200000015</v>
      </c>
      <c r="Q35" s="106">
        <v>78204.087579999978</v>
      </c>
      <c r="R35">
        <v>0</v>
      </c>
    </row>
    <row r="36" spans="2:18" ht="30" customHeight="1" x14ac:dyDescent="0.35">
      <c r="B36" s="100" t="s">
        <v>84</v>
      </c>
      <c r="C36" s="103">
        <v>0</v>
      </c>
      <c r="D36" s="103">
        <v>4353.4950721932746</v>
      </c>
      <c r="E36" s="103">
        <v>1012.911906436613</v>
      </c>
      <c r="F36" s="103">
        <v>12788.05109628022</v>
      </c>
      <c r="G36" s="103">
        <v>7415.7588916442992</v>
      </c>
      <c r="H36" s="103">
        <v>2799.5382270990181</v>
      </c>
      <c r="I36" s="103">
        <v>56123.061628387477</v>
      </c>
      <c r="J36" s="103">
        <v>99133.52755688662</v>
      </c>
      <c r="K36" s="103">
        <v>0</v>
      </c>
      <c r="L36" s="103">
        <v>518.65860852853029</v>
      </c>
      <c r="M36" s="103">
        <v>9434.0277977588285</v>
      </c>
      <c r="N36" s="103">
        <v>11534.135101732119</v>
      </c>
      <c r="O36" s="103">
        <v>3901.882516239285</v>
      </c>
      <c r="P36" s="103">
        <v>2250.757290392628</v>
      </c>
      <c r="Q36" s="106">
        <v>211265.80569357891</v>
      </c>
      <c r="R36">
        <v>0</v>
      </c>
    </row>
    <row r="37" spans="2:18" ht="30" customHeight="1" x14ac:dyDescent="0.35">
      <c r="B37" s="100" t="s">
        <v>85</v>
      </c>
      <c r="C37" s="103">
        <v>0</v>
      </c>
      <c r="D37" s="103">
        <v>40497.9</v>
      </c>
      <c r="E37" s="103">
        <v>34318.841999999997</v>
      </c>
      <c r="F37" s="103">
        <v>86700.799249999938</v>
      </c>
      <c r="G37" s="103">
        <v>25056.651999999998</v>
      </c>
      <c r="H37" s="103">
        <v>45973.252119999997</v>
      </c>
      <c r="I37" s="103">
        <v>124866.67</v>
      </c>
      <c r="J37" s="103">
        <v>116327.92</v>
      </c>
      <c r="K37" s="103">
        <v>0</v>
      </c>
      <c r="L37" s="103">
        <v>5350.9059999999999</v>
      </c>
      <c r="M37" s="103">
        <v>75375.73</v>
      </c>
      <c r="N37" s="103">
        <v>181360.36900000001</v>
      </c>
      <c r="O37" s="103">
        <v>1222.8599999999999</v>
      </c>
      <c r="P37" s="103">
        <v>3217.3892000000001</v>
      </c>
      <c r="Q37" s="106">
        <v>740269.28956999991</v>
      </c>
      <c r="R37">
        <v>0</v>
      </c>
    </row>
    <row r="38" spans="2:18" ht="30" customHeight="1" x14ac:dyDescent="0.35">
      <c r="B38" s="100" t="s">
        <v>86</v>
      </c>
      <c r="C38" s="103">
        <v>395.68299999999999</v>
      </c>
      <c r="D38" s="103">
        <v>20038.312999999998</v>
      </c>
      <c r="E38" s="103">
        <v>41644.957999999999</v>
      </c>
      <c r="F38" s="103">
        <v>79716.84</v>
      </c>
      <c r="G38" s="103">
        <v>54181.014000000003</v>
      </c>
      <c r="H38" s="103">
        <v>15596.831</v>
      </c>
      <c r="I38" s="103">
        <v>334762.11099999998</v>
      </c>
      <c r="J38" s="103">
        <v>169524.30100000001</v>
      </c>
      <c r="K38" s="103">
        <v>0</v>
      </c>
      <c r="L38" s="103">
        <v>57871.042999999998</v>
      </c>
      <c r="M38" s="103">
        <v>46669.85</v>
      </c>
      <c r="N38" s="103">
        <v>138330.32399999999</v>
      </c>
      <c r="O38" s="103">
        <v>1650376.1950000001</v>
      </c>
      <c r="P38" s="103">
        <v>42856.805999999997</v>
      </c>
      <c r="Q38" s="106">
        <v>2651964.2689999999</v>
      </c>
      <c r="R38">
        <v>0</v>
      </c>
    </row>
    <row r="39" spans="2:18" ht="30" customHeight="1" x14ac:dyDescent="0.35">
      <c r="B39" s="100" t="s">
        <v>87</v>
      </c>
      <c r="C39" s="103">
        <v>0</v>
      </c>
      <c r="D39" s="103">
        <v>3096.9758099999999</v>
      </c>
      <c r="E39" s="103">
        <v>836.94524000000001</v>
      </c>
      <c r="F39" s="103">
        <v>2676.4134399999989</v>
      </c>
      <c r="G39" s="103">
        <v>4161.2450900000003</v>
      </c>
      <c r="H39" s="103">
        <v>904.70299999999997</v>
      </c>
      <c r="I39" s="103">
        <v>164230.76379999999</v>
      </c>
      <c r="J39" s="103">
        <v>53480.527970000032</v>
      </c>
      <c r="K39" s="103">
        <v>0</v>
      </c>
      <c r="L39" s="103">
        <v>2045.4192700000001</v>
      </c>
      <c r="M39" s="103">
        <v>2652.04511</v>
      </c>
      <c r="N39" s="103">
        <v>14997.048129999999</v>
      </c>
      <c r="O39" s="103">
        <v>147370.95199999999</v>
      </c>
      <c r="P39" s="103">
        <v>642.51664000000062</v>
      </c>
      <c r="Q39" s="106">
        <v>397095.55550000002</v>
      </c>
      <c r="R39">
        <v>0</v>
      </c>
    </row>
    <row r="40" spans="2:18" ht="30" customHeight="1" x14ac:dyDescent="0.35">
      <c r="B40" s="100" t="s">
        <v>88</v>
      </c>
      <c r="C40" s="103">
        <v>0</v>
      </c>
      <c r="D40" s="103">
        <v>473.77199999999999</v>
      </c>
      <c r="E40" s="103">
        <v>284.33499999999998</v>
      </c>
      <c r="F40" s="103">
        <v>-345.42899999999997</v>
      </c>
      <c r="G40" s="103">
        <v>1234.355</v>
      </c>
      <c r="H40" s="103">
        <v>176.601</v>
      </c>
      <c r="I40" s="103">
        <v>343896.31</v>
      </c>
      <c r="J40" s="103">
        <v>215413.00200000001</v>
      </c>
      <c r="K40" s="103">
        <v>0</v>
      </c>
      <c r="L40" s="103">
        <v>183.34700000000001</v>
      </c>
      <c r="M40" s="103">
        <v>552.69799999999998</v>
      </c>
      <c r="N40" s="103">
        <v>4210.9610000000002</v>
      </c>
      <c r="O40" s="103">
        <v>0</v>
      </c>
      <c r="P40" s="103">
        <v>4300.8050000000003</v>
      </c>
      <c r="Q40" s="106">
        <v>570380.75699999998</v>
      </c>
      <c r="R40">
        <v>0</v>
      </c>
    </row>
    <row r="41" spans="2:18" ht="30" customHeight="1" x14ac:dyDescent="0.35">
      <c r="B41" s="100" t="s">
        <v>89</v>
      </c>
      <c r="C41" s="103">
        <v>0</v>
      </c>
      <c r="D41" s="103">
        <v>0</v>
      </c>
      <c r="E41" s="103">
        <v>0</v>
      </c>
      <c r="F41" s="103">
        <v>0</v>
      </c>
      <c r="G41" s="103">
        <v>0</v>
      </c>
      <c r="H41" s="103">
        <v>0</v>
      </c>
      <c r="I41" s="103">
        <v>0</v>
      </c>
      <c r="J41" s="103">
        <v>0</v>
      </c>
      <c r="K41" s="103">
        <v>0</v>
      </c>
      <c r="L41" s="103">
        <v>0</v>
      </c>
      <c r="M41" s="103">
        <v>0</v>
      </c>
      <c r="N41" s="103">
        <v>0</v>
      </c>
      <c r="O41" s="103">
        <v>0</v>
      </c>
      <c r="P41" s="103">
        <v>0</v>
      </c>
      <c r="Q41" s="106">
        <v>0</v>
      </c>
      <c r="R41">
        <v>0</v>
      </c>
    </row>
    <row r="42" spans="2:18" ht="30" customHeight="1" x14ac:dyDescent="0.35">
      <c r="B42" s="104" t="s">
        <v>90</v>
      </c>
      <c r="C42" s="105">
        <f t="shared" ref="C42:Q42" si="0">SUM(C6:C41)</f>
        <v>25030.297583569234</v>
      </c>
      <c r="D42" s="105">
        <f t="shared" si="0"/>
        <v>650123.23916799284</v>
      </c>
      <c r="E42" s="105">
        <f t="shared" si="0"/>
        <v>526538.52203921508</v>
      </c>
      <c r="F42" s="105">
        <f t="shared" si="0"/>
        <v>1739155.6686816476</v>
      </c>
      <c r="G42" s="105">
        <f t="shared" si="0"/>
        <v>787871.87122924987</v>
      </c>
      <c r="H42" s="105">
        <f t="shared" si="0"/>
        <v>623229.18035111343</v>
      </c>
      <c r="I42" s="105">
        <f t="shared" si="0"/>
        <v>8528724.5867799651</v>
      </c>
      <c r="J42" s="105">
        <f t="shared" si="0"/>
        <v>7323033.2549533313</v>
      </c>
      <c r="K42" s="105">
        <f t="shared" si="0"/>
        <v>1335169.9675873579</v>
      </c>
      <c r="L42" s="105">
        <f t="shared" si="0"/>
        <v>500960.36409673764</v>
      </c>
      <c r="M42" s="105">
        <f t="shared" si="0"/>
        <v>1261357.8053097455</v>
      </c>
      <c r="N42" s="105">
        <f t="shared" si="0"/>
        <v>3068441.6835566633</v>
      </c>
      <c r="O42" s="105">
        <f t="shared" si="0"/>
        <v>26815390.487291146</v>
      </c>
      <c r="P42" s="105">
        <f t="shared" si="0"/>
        <v>469143.5720267038</v>
      </c>
      <c r="Q42" s="105">
        <f t="shared" si="0"/>
        <v>53654170.500654444</v>
      </c>
    </row>
    <row r="43" spans="2:18" ht="30" customHeight="1" x14ac:dyDescent="0.35">
      <c r="B43" s="278" t="s">
        <v>91</v>
      </c>
      <c r="C43" s="252"/>
      <c r="D43" s="252"/>
      <c r="E43" s="252"/>
      <c r="F43" s="252"/>
      <c r="G43" s="252"/>
      <c r="H43" s="252"/>
      <c r="I43" s="252"/>
      <c r="J43" s="252"/>
      <c r="K43" s="252"/>
      <c r="L43" s="252"/>
      <c r="M43" s="252"/>
      <c r="N43" s="252"/>
      <c r="O43" s="252"/>
      <c r="P43" s="252"/>
      <c r="Q43" s="253"/>
    </row>
    <row r="44" spans="2:18" ht="30" customHeight="1" x14ac:dyDescent="0.35">
      <c r="B44" s="100" t="s">
        <v>92</v>
      </c>
      <c r="C44" s="103">
        <v>5956.370216210843</v>
      </c>
      <c r="D44" s="103">
        <v>121748.8815084714</v>
      </c>
      <c r="E44" s="103">
        <v>251419.20491101811</v>
      </c>
      <c r="F44" s="103">
        <v>693992.66189996828</v>
      </c>
      <c r="G44" s="103">
        <v>49537.088653438237</v>
      </c>
      <c r="H44" s="103">
        <v>63736.704711305712</v>
      </c>
      <c r="I44" s="103">
        <v>13300.543824316261</v>
      </c>
      <c r="J44" s="103">
        <v>57906.221717152097</v>
      </c>
      <c r="K44" s="103">
        <v>0</v>
      </c>
      <c r="L44" s="103">
        <v>76856.245535621973</v>
      </c>
      <c r="M44" s="103">
        <v>4993.948944015061</v>
      </c>
      <c r="N44" s="103">
        <v>8156.5316283689754</v>
      </c>
      <c r="O44" s="103">
        <v>546879.96067726798</v>
      </c>
      <c r="P44" s="103">
        <v>330232.43984814611</v>
      </c>
      <c r="Q44" s="106">
        <v>2224716.8040753012</v>
      </c>
      <c r="R44">
        <v>0</v>
      </c>
    </row>
    <row r="45" spans="2:18" ht="30" customHeight="1" x14ac:dyDescent="0.35">
      <c r="B45" s="100" t="s">
        <v>93</v>
      </c>
      <c r="C45" s="103">
        <v>585.75190455092138</v>
      </c>
      <c r="D45" s="103">
        <v>37649.811009372133</v>
      </c>
      <c r="E45" s="103">
        <v>0</v>
      </c>
      <c r="F45" s="103">
        <v>511083.10214476462</v>
      </c>
      <c r="G45" s="103">
        <v>15908.15466713257</v>
      </c>
      <c r="H45" s="103">
        <v>79150.797017990291</v>
      </c>
      <c r="I45" s="103">
        <v>0</v>
      </c>
      <c r="J45" s="103">
        <v>100253.49964909541</v>
      </c>
      <c r="K45" s="103">
        <v>0</v>
      </c>
      <c r="L45" s="103">
        <v>17263.89516516983</v>
      </c>
      <c r="M45" s="103">
        <v>0</v>
      </c>
      <c r="N45" s="103">
        <v>0</v>
      </c>
      <c r="O45" s="103">
        <v>314628.92760766839</v>
      </c>
      <c r="P45" s="103">
        <v>132414.00246472339</v>
      </c>
      <c r="Q45" s="106">
        <v>1208937.9416304671</v>
      </c>
      <c r="R45">
        <v>0</v>
      </c>
    </row>
    <row r="46" spans="2:18" ht="30" customHeight="1" x14ac:dyDescent="0.35">
      <c r="B46" s="100" t="s">
        <v>94</v>
      </c>
      <c r="C46" s="103">
        <v>1126.9179999999999</v>
      </c>
      <c r="D46" s="103">
        <v>78264.899000000005</v>
      </c>
      <c r="E46" s="103">
        <v>57050.544999999998</v>
      </c>
      <c r="F46" s="103">
        <v>383384.46799999999</v>
      </c>
      <c r="G46" s="103">
        <v>20256.177</v>
      </c>
      <c r="H46" s="103">
        <v>59207.883000000002</v>
      </c>
      <c r="I46" s="103">
        <v>34981.896999999997</v>
      </c>
      <c r="J46" s="103">
        <v>37897.057000000001</v>
      </c>
      <c r="K46" s="103">
        <v>0</v>
      </c>
      <c r="L46" s="103">
        <v>2561.038</v>
      </c>
      <c r="M46" s="103">
        <v>7438.067</v>
      </c>
      <c r="N46" s="103">
        <v>-13675.954</v>
      </c>
      <c r="O46" s="103">
        <v>42264.728999999999</v>
      </c>
      <c r="P46" s="103">
        <v>51765.324999999997</v>
      </c>
      <c r="Q46" s="106">
        <v>762523.049</v>
      </c>
      <c r="R46">
        <v>0</v>
      </c>
    </row>
    <row r="47" spans="2:18" ht="30" customHeight="1" x14ac:dyDescent="0.35">
      <c r="B47" s="97" t="s">
        <v>95</v>
      </c>
      <c r="C47" s="103">
        <v>15538.626759999999</v>
      </c>
      <c r="D47" s="103">
        <v>187167.08139000009</v>
      </c>
      <c r="E47" s="103">
        <v>12833.17497</v>
      </c>
      <c r="F47" s="103">
        <v>890714.91189999995</v>
      </c>
      <c r="G47" s="103">
        <v>35668.26969999999</v>
      </c>
      <c r="H47" s="103">
        <v>155522.45753000001</v>
      </c>
      <c r="I47" s="103">
        <v>3771.9159399999999</v>
      </c>
      <c r="J47" s="103">
        <v>50125.317270000007</v>
      </c>
      <c r="K47" s="103">
        <v>0</v>
      </c>
      <c r="L47" s="103">
        <v>109814.19004</v>
      </c>
      <c r="M47" s="103">
        <v>7755.0912299999991</v>
      </c>
      <c r="N47" s="103">
        <v>-220.39310999999941</v>
      </c>
      <c r="O47" s="103">
        <v>430393.60777000012</v>
      </c>
      <c r="P47" s="103">
        <v>374111.85799999902</v>
      </c>
      <c r="Q47" s="106">
        <v>2273196.109389999</v>
      </c>
      <c r="R47">
        <v>0</v>
      </c>
    </row>
    <row r="48" spans="2:18" ht="30" customHeight="1" x14ac:dyDescent="0.35">
      <c r="B48" s="100" t="s">
        <v>96</v>
      </c>
      <c r="C48" s="103">
        <v>1156.4561652393429</v>
      </c>
      <c r="D48" s="103">
        <v>225096.40318817159</v>
      </c>
      <c r="E48" s="103">
        <v>2824.770340669947</v>
      </c>
      <c r="F48" s="103">
        <v>602111.58429235651</v>
      </c>
      <c r="G48" s="103">
        <v>295103.96721666161</v>
      </c>
      <c r="H48" s="103">
        <v>74160.604088862528</v>
      </c>
      <c r="I48" s="103">
        <v>5755.8647893997959</v>
      </c>
      <c r="J48" s="103">
        <v>32682.64910576108</v>
      </c>
      <c r="K48" s="103">
        <v>0</v>
      </c>
      <c r="L48" s="103">
        <v>84932.105768199559</v>
      </c>
      <c r="M48" s="103">
        <v>16429.991256034849</v>
      </c>
      <c r="N48" s="103">
        <v>74072.415691878443</v>
      </c>
      <c r="O48" s="103">
        <v>171142.32586303391</v>
      </c>
      <c r="P48" s="103">
        <v>-11312.092499100399</v>
      </c>
      <c r="Q48" s="106">
        <v>1574157.045267168</v>
      </c>
      <c r="R48">
        <v>0</v>
      </c>
    </row>
    <row r="49" spans="2:17" ht="30" customHeight="1" x14ac:dyDescent="0.35">
      <c r="B49" s="104" t="s">
        <v>90</v>
      </c>
      <c r="C49" s="105">
        <f t="shared" ref="C49:Q49" si="1">SUM(C44:C48)</f>
        <v>24364.123046001107</v>
      </c>
      <c r="D49" s="105">
        <f t="shared" si="1"/>
        <v>649927.07609601517</v>
      </c>
      <c r="E49" s="105">
        <f t="shared" si="1"/>
        <v>324127.69522168807</v>
      </c>
      <c r="F49" s="105">
        <f t="shared" si="1"/>
        <v>3081286.7282370892</v>
      </c>
      <c r="G49" s="105">
        <f t="shared" si="1"/>
        <v>416473.65723723243</v>
      </c>
      <c r="H49" s="105">
        <f t="shared" si="1"/>
        <v>431778.44634815853</v>
      </c>
      <c r="I49" s="105">
        <f t="shared" si="1"/>
        <v>57810.221553716059</v>
      </c>
      <c r="J49" s="105">
        <f t="shared" si="1"/>
        <v>278864.74474200857</v>
      </c>
      <c r="K49" s="105">
        <f t="shared" si="1"/>
        <v>0</v>
      </c>
      <c r="L49" s="105">
        <f t="shared" si="1"/>
        <v>291427.47450899135</v>
      </c>
      <c r="M49" s="105">
        <f t="shared" si="1"/>
        <v>36617.098430049911</v>
      </c>
      <c r="N49" s="105">
        <f t="shared" si="1"/>
        <v>68332.600210247416</v>
      </c>
      <c r="O49" s="105">
        <f t="shared" si="1"/>
        <v>1505309.5509179705</v>
      </c>
      <c r="P49" s="105">
        <f t="shared" si="1"/>
        <v>877211.53281376814</v>
      </c>
      <c r="Q49" s="105">
        <f t="shared" si="1"/>
        <v>8043530.9493629355</v>
      </c>
    </row>
    <row r="50" spans="2:17" ht="20.25" customHeight="1" x14ac:dyDescent="0.35">
      <c r="B50" s="281" t="s">
        <v>98</v>
      </c>
      <c r="C50" s="238"/>
      <c r="D50" s="238"/>
      <c r="E50" s="238"/>
      <c r="F50" s="238"/>
      <c r="G50" s="238"/>
      <c r="H50" s="238"/>
      <c r="I50" s="238"/>
      <c r="J50" s="238"/>
      <c r="K50" s="238"/>
      <c r="L50" s="238"/>
      <c r="M50" s="238"/>
      <c r="N50" s="238"/>
      <c r="O50" s="238"/>
      <c r="P50" s="238"/>
      <c r="Q50" s="238"/>
    </row>
  </sheetData>
  <sheetProtection algorithmName="SHA-512" hashValue="BnY9Fr8Llu5pBUMWgUMNkUTgRt1D55lJ5eWHYp/bMc8yiho203cVrEG5gLdfCBKVY1sVLz6vvexEG+NimIFQ4Q==" saltValue="j1tWbFIacs8cz5B5d3ytBQ==" spinCount="100000" sheet="1" objects="1" scenarios="1"/>
  <mergeCells count="4">
    <mergeCell ref="B50:Q50"/>
    <mergeCell ref="B43:Q43"/>
    <mergeCell ref="B3:Q3"/>
    <mergeCell ref="B5:Q5"/>
  </mergeCells>
  <pageMargins left="0.7" right="0.7" top="0.75" bottom="0.75" header="0.3" footer="0.3"/>
  <pageSetup paperSize="9" scale="33"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8">
    <tabColor rgb="FFA2D668"/>
    <pageSetUpPr fitToPage="1"/>
  </sheetPr>
  <dimension ref="B3:R50"/>
  <sheetViews>
    <sheetView topLeftCell="B31" zoomScale="42" workbookViewId="0">
      <selection activeCell="B3" sqref="B3:Q50"/>
    </sheetView>
  </sheetViews>
  <sheetFormatPr defaultColWidth="9.453125" defaultRowHeight="14" x14ac:dyDescent="0.3"/>
  <cols>
    <col min="1" max="1" width="15.453125" style="2" customWidth="1"/>
    <col min="2" max="2" width="51.453125" style="2" customWidth="1"/>
    <col min="3" max="17" width="21.54296875" style="2" customWidth="1"/>
    <col min="18" max="19" width="6.453125" style="2" bestFit="1" customWidth="1"/>
    <col min="20" max="20" width="13.54296875" style="2" customWidth="1"/>
    <col min="21" max="71" width="9.453125" style="2" customWidth="1"/>
    <col min="72" max="16384" width="9.453125" style="2"/>
  </cols>
  <sheetData>
    <row r="3" spans="2:18" ht="22.5" customHeight="1" x14ac:dyDescent="0.35">
      <c r="B3" s="279" t="str">
        <f>_xlfn.CONCAT("NEPI: SUMMARY OF NET EARNED PREMIUM UNDER GENERAL INSURANCE BUSINESS FOR THE PERIOD ENDED"," ",Details!F18)</f>
        <v>NEPI: SUMMARY OF NET EARNED PREMIUM UNDER GENERAL INSURANCE BUSINESS FOR THE PERIOD ENDED 31.03.2025</v>
      </c>
      <c r="C3" s="252"/>
      <c r="D3" s="252"/>
      <c r="E3" s="252"/>
      <c r="F3" s="252"/>
      <c r="G3" s="252"/>
      <c r="H3" s="252"/>
      <c r="I3" s="252"/>
      <c r="J3" s="252"/>
      <c r="K3" s="252"/>
      <c r="L3" s="252"/>
      <c r="M3" s="252"/>
      <c r="N3" s="252"/>
      <c r="O3" s="252"/>
      <c r="P3" s="252"/>
      <c r="Q3" s="253"/>
    </row>
    <row r="4" spans="2:18" ht="31" customHeight="1" x14ac:dyDescent="0.35">
      <c r="B4" s="98" t="s">
        <v>36</v>
      </c>
      <c r="C4" s="99" t="s">
        <v>156</v>
      </c>
      <c r="D4" s="99" t="s">
        <v>157</v>
      </c>
      <c r="E4" s="99" t="s">
        <v>158</v>
      </c>
      <c r="F4" s="99" t="s">
        <v>159</v>
      </c>
      <c r="G4" s="99" t="s">
        <v>160</v>
      </c>
      <c r="H4" s="99" t="s">
        <v>161</v>
      </c>
      <c r="I4" s="99" t="s">
        <v>162</v>
      </c>
      <c r="J4" s="99" t="s">
        <v>163</v>
      </c>
      <c r="K4" s="99" t="s">
        <v>164</v>
      </c>
      <c r="L4" s="99" t="s">
        <v>165</v>
      </c>
      <c r="M4" s="99" t="s">
        <v>166</v>
      </c>
      <c r="N4" s="99" t="s">
        <v>167</v>
      </c>
      <c r="O4" s="99" t="s">
        <v>168</v>
      </c>
      <c r="P4" s="99" t="s">
        <v>169</v>
      </c>
      <c r="Q4" s="99" t="s">
        <v>170</v>
      </c>
    </row>
    <row r="5" spans="2:18" ht="30" customHeight="1" x14ac:dyDescent="0.35">
      <c r="B5" s="280" t="s">
        <v>53</v>
      </c>
      <c r="C5" s="252"/>
      <c r="D5" s="252"/>
      <c r="E5" s="252"/>
      <c r="F5" s="252"/>
      <c r="G5" s="252"/>
      <c r="H5" s="252"/>
      <c r="I5" s="252"/>
      <c r="J5" s="252"/>
      <c r="K5" s="252"/>
      <c r="L5" s="252"/>
      <c r="M5" s="252"/>
      <c r="N5" s="252"/>
      <c r="O5" s="252"/>
      <c r="P5" s="252"/>
      <c r="Q5" s="253"/>
    </row>
    <row r="6" spans="2:18" ht="30" customHeight="1" x14ac:dyDescent="0.35">
      <c r="B6" s="100" t="s">
        <v>54</v>
      </c>
      <c r="C6" s="103">
        <v>0</v>
      </c>
      <c r="D6" s="103">
        <v>-359.06667367174379</v>
      </c>
      <c r="E6" s="103">
        <v>304.66867886129211</v>
      </c>
      <c r="F6" s="103">
        <v>-1097.5895648611061</v>
      </c>
      <c r="G6" s="103">
        <v>6930.8424612777362</v>
      </c>
      <c r="H6" s="103">
        <v>156.72508692917231</v>
      </c>
      <c r="I6" s="103">
        <v>0</v>
      </c>
      <c r="J6" s="103">
        <v>0</v>
      </c>
      <c r="K6" s="103">
        <v>0</v>
      </c>
      <c r="L6" s="103">
        <v>2799.3173851401962</v>
      </c>
      <c r="M6" s="103">
        <v>2574.161247965309</v>
      </c>
      <c r="N6" s="103">
        <v>21517.899560699541</v>
      </c>
      <c r="O6" s="103">
        <v>1947304.150097027</v>
      </c>
      <c r="P6" s="103">
        <v>1623.3782727815051</v>
      </c>
      <c r="Q6" s="106">
        <v>1981754.4865521491</v>
      </c>
      <c r="R6">
        <v>0</v>
      </c>
    </row>
    <row r="7" spans="2:18" ht="30" customHeight="1" x14ac:dyDescent="0.35">
      <c r="B7" s="100" t="s">
        <v>55</v>
      </c>
      <c r="C7" s="103">
        <v>0</v>
      </c>
      <c r="D7" s="103">
        <v>3761.9364973948518</v>
      </c>
      <c r="E7" s="103">
        <v>100.39742695730951</v>
      </c>
      <c r="F7" s="103">
        <v>670.23875618435864</v>
      </c>
      <c r="G7" s="103">
        <v>5776.3741640532799</v>
      </c>
      <c r="H7" s="103">
        <v>-128.94212947712441</v>
      </c>
      <c r="I7" s="103">
        <v>106681.5885658488</v>
      </c>
      <c r="J7" s="103">
        <v>161068.925669989</v>
      </c>
      <c r="K7" s="103">
        <v>744166.73368783738</v>
      </c>
      <c r="L7" s="103">
        <v>3568.2775448639359</v>
      </c>
      <c r="M7" s="103">
        <v>1300.165047375265</v>
      </c>
      <c r="N7" s="103">
        <v>53262.567978588879</v>
      </c>
      <c r="O7" s="103">
        <v>0</v>
      </c>
      <c r="P7" s="103">
        <v>1587.9257903840471</v>
      </c>
      <c r="Q7" s="106">
        <v>1081816.189</v>
      </c>
      <c r="R7">
        <v>0</v>
      </c>
    </row>
    <row r="8" spans="2:18" ht="30" customHeight="1" x14ac:dyDescent="0.35">
      <c r="B8" s="100" t="s">
        <v>56</v>
      </c>
      <c r="C8" s="103">
        <v>63.482614200320818</v>
      </c>
      <c r="D8" s="103">
        <v>28417.70617912279</v>
      </c>
      <c r="E8" s="103">
        <v>25938.456735733911</v>
      </c>
      <c r="F8" s="103">
        <v>166473.28228842869</v>
      </c>
      <c r="G8" s="103">
        <v>25717.760270078441</v>
      </c>
      <c r="H8" s="103">
        <v>37090.623068373381</v>
      </c>
      <c r="I8" s="103">
        <v>754998.5651013212</v>
      </c>
      <c r="J8" s="103">
        <v>573323.74192153628</v>
      </c>
      <c r="K8" s="103">
        <v>0</v>
      </c>
      <c r="L8" s="103">
        <v>38636.741378960731</v>
      </c>
      <c r="M8" s="103">
        <v>61035.722921210021</v>
      </c>
      <c r="N8" s="103">
        <v>137118.8234351665</v>
      </c>
      <c r="O8" s="103">
        <v>1096365.4413912049</v>
      </c>
      <c r="P8" s="103">
        <v>80699.519379091376</v>
      </c>
      <c r="Q8" s="106">
        <v>3025879.8666844289</v>
      </c>
      <c r="R8">
        <v>0</v>
      </c>
    </row>
    <row r="9" spans="2:18" ht="30" customHeight="1" x14ac:dyDescent="0.35">
      <c r="B9" s="100" t="s">
        <v>57</v>
      </c>
      <c r="C9" s="103">
        <v>226.02184000001469</v>
      </c>
      <c r="D9" s="103">
        <v>1421.987440132707</v>
      </c>
      <c r="E9" s="103">
        <v>30616.416090000021</v>
      </c>
      <c r="F9" s="103">
        <v>72709.085663472171</v>
      </c>
      <c r="G9" s="103">
        <v>37120.062864645173</v>
      </c>
      <c r="H9" s="103">
        <v>22805.185795000099</v>
      </c>
      <c r="I9" s="103">
        <v>321222.73745748901</v>
      </c>
      <c r="J9" s="103">
        <v>170275.3877087381</v>
      </c>
      <c r="K9" s="103">
        <v>0</v>
      </c>
      <c r="L9" s="103">
        <v>69279.400486049533</v>
      </c>
      <c r="M9" s="103">
        <v>9046.7626522338978</v>
      </c>
      <c r="N9" s="103">
        <v>151773.12890102371</v>
      </c>
      <c r="O9" s="103">
        <v>1323312.916986427</v>
      </c>
      <c r="P9" s="103">
        <v>233753.48411228589</v>
      </c>
      <c r="Q9" s="106">
        <v>2443562.5779974982</v>
      </c>
      <c r="R9">
        <v>0</v>
      </c>
    </row>
    <row r="10" spans="2:18" ht="30" customHeight="1" x14ac:dyDescent="0.35">
      <c r="B10" s="100" t="s">
        <v>58</v>
      </c>
      <c r="C10" s="103">
        <v>0</v>
      </c>
      <c r="D10" s="103">
        <v>2774.435091179012</v>
      </c>
      <c r="E10" s="103">
        <v>2920.4329209570492</v>
      </c>
      <c r="F10" s="103">
        <v>8096.6064260395669</v>
      </c>
      <c r="G10" s="103">
        <v>5138.0248978378513</v>
      </c>
      <c r="H10" s="103">
        <v>3735.3024401684411</v>
      </c>
      <c r="I10" s="103">
        <v>308414.19618084299</v>
      </c>
      <c r="J10" s="103">
        <v>82165.047000000006</v>
      </c>
      <c r="K10" s="103">
        <v>0</v>
      </c>
      <c r="L10" s="103">
        <v>-16826.861689908481</v>
      </c>
      <c r="M10" s="103">
        <v>7075.1986266951317</v>
      </c>
      <c r="N10" s="103">
        <v>36249.287662613657</v>
      </c>
      <c r="O10" s="103">
        <v>0</v>
      </c>
      <c r="P10" s="103">
        <v>-11306.82654565228</v>
      </c>
      <c r="Q10" s="106">
        <v>428434.84301077313</v>
      </c>
      <c r="R10">
        <v>0</v>
      </c>
    </row>
    <row r="11" spans="2:18" ht="30" customHeight="1" x14ac:dyDescent="0.35">
      <c r="B11" s="100" t="s">
        <v>59</v>
      </c>
      <c r="C11" s="103">
        <v>0</v>
      </c>
      <c r="D11" s="103">
        <v>17687.656370000001</v>
      </c>
      <c r="E11" s="103">
        <v>19867.327939999999</v>
      </c>
      <c r="F11" s="103">
        <v>59153.734040000083</v>
      </c>
      <c r="G11" s="103">
        <v>19719.059690000009</v>
      </c>
      <c r="H11" s="103">
        <v>11144.388529999989</v>
      </c>
      <c r="I11" s="103">
        <v>786983.40758000035</v>
      </c>
      <c r="J11" s="103">
        <v>542384.82849999995</v>
      </c>
      <c r="K11" s="103">
        <v>0</v>
      </c>
      <c r="L11" s="103">
        <v>27164.09847000003</v>
      </c>
      <c r="M11" s="103">
        <v>116991.1766699999</v>
      </c>
      <c r="N11" s="103">
        <v>112203.91086</v>
      </c>
      <c r="O11" s="103">
        <v>2031466.4692499989</v>
      </c>
      <c r="P11" s="103">
        <v>10853.513679380439</v>
      </c>
      <c r="Q11" s="106">
        <v>3755619.57157938</v>
      </c>
      <c r="R11">
        <v>0</v>
      </c>
    </row>
    <row r="12" spans="2:18" ht="30" customHeight="1" x14ac:dyDescent="0.35">
      <c r="B12" s="100" t="s">
        <v>60</v>
      </c>
      <c r="C12" s="103">
        <v>0</v>
      </c>
      <c r="D12" s="103">
        <v>-5011.827656435109</v>
      </c>
      <c r="E12" s="103">
        <v>90.068164443220482</v>
      </c>
      <c r="F12" s="103">
        <v>5725.0396438630669</v>
      </c>
      <c r="G12" s="103">
        <v>922.28847343772884</v>
      </c>
      <c r="H12" s="103">
        <v>885.07254394097856</v>
      </c>
      <c r="I12" s="103">
        <v>17354.993403647419</v>
      </c>
      <c r="J12" s="103">
        <v>7646.8792871309652</v>
      </c>
      <c r="K12" s="103">
        <v>0</v>
      </c>
      <c r="L12" s="103">
        <v>1760.824924528471</v>
      </c>
      <c r="M12" s="103">
        <v>1486.8792396654169</v>
      </c>
      <c r="N12" s="103">
        <v>4600.2571104601184</v>
      </c>
      <c r="O12" s="103">
        <v>0</v>
      </c>
      <c r="P12" s="103">
        <v>-7458.8919070131824</v>
      </c>
      <c r="Q12" s="106">
        <v>28001.583227669089</v>
      </c>
      <c r="R12">
        <v>0</v>
      </c>
    </row>
    <row r="13" spans="2:18" ht="30" customHeight="1" x14ac:dyDescent="0.35">
      <c r="B13" s="100" t="s">
        <v>61</v>
      </c>
      <c r="C13" s="103">
        <v>0</v>
      </c>
      <c r="D13" s="103">
        <v>14.797000000000001</v>
      </c>
      <c r="E13" s="103">
        <v>0</v>
      </c>
      <c r="F13" s="103">
        <v>71.617000000000004</v>
      </c>
      <c r="G13" s="103">
        <v>0</v>
      </c>
      <c r="H13" s="103">
        <v>0</v>
      </c>
      <c r="I13" s="103">
        <v>-8124.3145399999994</v>
      </c>
      <c r="J13" s="103">
        <v>-6521.1686</v>
      </c>
      <c r="K13" s="103">
        <v>-9979.4386900000009</v>
      </c>
      <c r="L13" s="103">
        <v>0.26200000000000001</v>
      </c>
      <c r="M13" s="103">
        <v>90.933999999999997</v>
      </c>
      <c r="N13" s="103">
        <v>5.4279999999999999</v>
      </c>
      <c r="O13" s="103">
        <v>0</v>
      </c>
      <c r="P13" s="103">
        <v>-11329.933000000001</v>
      </c>
      <c r="Q13" s="106">
        <v>-35771.816830000003</v>
      </c>
      <c r="R13">
        <v>0</v>
      </c>
    </row>
    <row r="14" spans="2:18" ht="30" customHeight="1" x14ac:dyDescent="0.35">
      <c r="B14" s="100" t="s">
        <v>62</v>
      </c>
      <c r="C14" s="103">
        <v>0</v>
      </c>
      <c r="D14" s="103">
        <v>0</v>
      </c>
      <c r="E14" s="103">
        <v>50.359220000000001</v>
      </c>
      <c r="F14" s="103">
        <v>9906.2613599999986</v>
      </c>
      <c r="G14" s="103">
        <v>575.02412000000004</v>
      </c>
      <c r="H14" s="103">
        <v>52.784109999999998</v>
      </c>
      <c r="I14" s="103">
        <v>123341.74192944</v>
      </c>
      <c r="J14" s="103">
        <v>37450.052210635258</v>
      </c>
      <c r="K14" s="103">
        <v>469915.61559585092</v>
      </c>
      <c r="L14" s="103">
        <v>314.65992</v>
      </c>
      <c r="M14" s="103">
        <v>412.92872999999997</v>
      </c>
      <c r="N14" s="103">
        <v>6882.0936700000002</v>
      </c>
      <c r="O14" s="103">
        <v>0</v>
      </c>
      <c r="P14" s="103">
        <v>-13207.4355227826</v>
      </c>
      <c r="Q14" s="106">
        <v>635694.08534314355</v>
      </c>
      <c r="R14">
        <v>0</v>
      </c>
    </row>
    <row r="15" spans="2:18" ht="30" customHeight="1" x14ac:dyDescent="0.35">
      <c r="B15" s="100" t="s">
        <v>63</v>
      </c>
      <c r="C15" s="103">
        <v>0</v>
      </c>
      <c r="D15" s="103">
        <v>-12478.254999999999</v>
      </c>
      <c r="E15" s="103">
        <v>0</v>
      </c>
      <c r="F15" s="103">
        <v>-506.51799999999997</v>
      </c>
      <c r="G15" s="103">
        <v>-1654.104898420364</v>
      </c>
      <c r="H15" s="103">
        <v>0</v>
      </c>
      <c r="I15" s="103">
        <v>0</v>
      </c>
      <c r="J15" s="103">
        <v>0</v>
      </c>
      <c r="K15" s="103">
        <v>0</v>
      </c>
      <c r="L15" s="103">
        <v>0</v>
      </c>
      <c r="M15" s="103">
        <v>4916.2659999999996</v>
      </c>
      <c r="N15" s="103">
        <v>0</v>
      </c>
      <c r="O15" s="103">
        <v>210467.05600000001</v>
      </c>
      <c r="P15" s="103">
        <v>0</v>
      </c>
      <c r="Q15" s="106">
        <v>200744.4441015796</v>
      </c>
      <c r="R15">
        <v>0</v>
      </c>
    </row>
    <row r="16" spans="2:18" ht="30" customHeight="1" x14ac:dyDescent="0.35">
      <c r="B16" s="100" t="s">
        <v>64</v>
      </c>
      <c r="C16" s="103">
        <v>-116.508</v>
      </c>
      <c r="D16" s="103">
        <v>5151.8130000000001</v>
      </c>
      <c r="E16" s="103">
        <v>4215.8</v>
      </c>
      <c r="F16" s="103">
        <v>8379.259</v>
      </c>
      <c r="G16" s="103">
        <v>12654.892</v>
      </c>
      <c r="H16" s="103">
        <v>7960.973</v>
      </c>
      <c r="I16" s="103">
        <v>308837.76699999999</v>
      </c>
      <c r="J16" s="103">
        <v>231969.27799999999</v>
      </c>
      <c r="K16" s="103">
        <v>3911.38</v>
      </c>
      <c r="L16" s="103">
        <v>1962.614</v>
      </c>
      <c r="M16" s="103">
        <v>14436.651</v>
      </c>
      <c r="N16" s="103">
        <v>72194.635999999999</v>
      </c>
      <c r="O16" s="103">
        <v>24464.308000000001</v>
      </c>
      <c r="P16" s="103">
        <v>7228.6790000000001</v>
      </c>
      <c r="Q16" s="106">
        <v>703251.54200000002</v>
      </c>
      <c r="R16">
        <v>0</v>
      </c>
    </row>
    <row r="17" spans="2:18" ht="30" customHeight="1" x14ac:dyDescent="0.35">
      <c r="B17" s="100" t="s">
        <v>65</v>
      </c>
      <c r="C17" s="103">
        <v>0</v>
      </c>
      <c r="D17" s="103">
        <v>7203.5570782407149</v>
      </c>
      <c r="E17" s="103">
        <v>14894.92077657689</v>
      </c>
      <c r="F17" s="103">
        <v>25773.059908529609</v>
      </c>
      <c r="G17" s="103">
        <v>11165.365182312949</v>
      </c>
      <c r="H17" s="103">
        <v>13821.136656481</v>
      </c>
      <c r="I17" s="103">
        <v>189090.65789677791</v>
      </c>
      <c r="J17" s="103">
        <v>154300.78125857169</v>
      </c>
      <c r="K17" s="103">
        <v>0</v>
      </c>
      <c r="L17" s="103">
        <v>60780.948314278663</v>
      </c>
      <c r="M17" s="103">
        <v>13939.288870004881</v>
      </c>
      <c r="N17" s="103">
        <v>44643.53734684673</v>
      </c>
      <c r="O17" s="103">
        <v>432663.83638702228</v>
      </c>
      <c r="P17" s="103">
        <v>-488.44304929961629</v>
      </c>
      <c r="Q17" s="106">
        <v>967788.6466263436</v>
      </c>
      <c r="R17">
        <v>0</v>
      </c>
    </row>
    <row r="18" spans="2:18" ht="30" customHeight="1" x14ac:dyDescent="0.35">
      <c r="B18" s="100" t="s">
        <v>66</v>
      </c>
      <c r="C18" s="103">
        <v>-25010.174999999999</v>
      </c>
      <c r="D18" s="103">
        <v>14744.775</v>
      </c>
      <c r="E18" s="103">
        <v>37750.375999999997</v>
      </c>
      <c r="F18" s="103">
        <v>188231.842</v>
      </c>
      <c r="G18" s="103">
        <v>26586.309000000001</v>
      </c>
      <c r="H18" s="103">
        <v>97498.244000000006</v>
      </c>
      <c r="I18" s="103">
        <v>549046.33100000001</v>
      </c>
      <c r="J18" s="103">
        <v>408083.78200000001</v>
      </c>
      <c r="K18" s="103">
        <v>56642.11</v>
      </c>
      <c r="L18" s="103">
        <v>17788.333999999999</v>
      </c>
      <c r="M18" s="103">
        <v>100892.103</v>
      </c>
      <c r="N18" s="103">
        <v>56523.589</v>
      </c>
      <c r="O18" s="103">
        <v>440965.59299999999</v>
      </c>
      <c r="P18" s="103">
        <v>16464.940999999999</v>
      </c>
      <c r="Q18" s="106">
        <v>1986208.1540000001</v>
      </c>
      <c r="R18">
        <v>0</v>
      </c>
    </row>
    <row r="19" spans="2:18" ht="30" customHeight="1" x14ac:dyDescent="0.35">
      <c r="B19" s="100" t="s">
        <v>67</v>
      </c>
      <c r="C19" s="103">
        <v>2323.6590000000001</v>
      </c>
      <c r="D19" s="103">
        <v>13696.558000000001</v>
      </c>
      <c r="E19" s="103">
        <v>12604.231</v>
      </c>
      <c r="F19" s="103">
        <v>51575.133000000002</v>
      </c>
      <c r="G19" s="103">
        <v>23766.929</v>
      </c>
      <c r="H19" s="103">
        <v>33504.480000000003</v>
      </c>
      <c r="I19" s="103">
        <v>372710.85399999999</v>
      </c>
      <c r="J19" s="103">
        <v>301161.14500000002</v>
      </c>
      <c r="K19" s="103">
        <v>0</v>
      </c>
      <c r="L19" s="103">
        <v>9430.5830000000005</v>
      </c>
      <c r="M19" s="103">
        <v>23984.677</v>
      </c>
      <c r="N19" s="103">
        <v>103028.428</v>
      </c>
      <c r="O19" s="103">
        <v>0</v>
      </c>
      <c r="P19" s="103">
        <v>5626.2879999999996</v>
      </c>
      <c r="Q19" s="106">
        <v>953412.96499999997</v>
      </c>
      <c r="R19">
        <v>0</v>
      </c>
    </row>
    <row r="20" spans="2:18" ht="30" customHeight="1" x14ac:dyDescent="0.35">
      <c r="B20" s="100" t="s">
        <v>68</v>
      </c>
      <c r="C20" s="103">
        <v>2562.5210000000002</v>
      </c>
      <c r="D20" s="103">
        <v>14684.359</v>
      </c>
      <c r="E20" s="103">
        <v>24292.483</v>
      </c>
      <c r="F20" s="103">
        <v>48682.874000000003</v>
      </c>
      <c r="G20" s="103">
        <v>13264.977999999999</v>
      </c>
      <c r="H20" s="103">
        <v>33153.449999999997</v>
      </c>
      <c r="I20" s="103">
        <v>524728.79099999997</v>
      </c>
      <c r="J20" s="103">
        <v>147596.83900000001</v>
      </c>
      <c r="K20" s="103">
        <v>0</v>
      </c>
      <c r="L20" s="103">
        <v>38932.118000000002</v>
      </c>
      <c r="M20" s="103">
        <v>41028.692999999999</v>
      </c>
      <c r="N20" s="103">
        <v>188331.261</v>
      </c>
      <c r="O20" s="103">
        <v>37030.434999999998</v>
      </c>
      <c r="P20" s="103">
        <v>3667.0410000000002</v>
      </c>
      <c r="Q20" s="106">
        <v>1117955.8430000001</v>
      </c>
      <c r="R20">
        <v>0</v>
      </c>
    </row>
    <row r="21" spans="2:18" ht="30" customHeight="1" x14ac:dyDescent="0.35">
      <c r="B21" s="100" t="s">
        <v>69</v>
      </c>
      <c r="C21" s="103">
        <v>0</v>
      </c>
      <c r="D21" s="103">
        <v>22860.472000000002</v>
      </c>
      <c r="E21" s="103">
        <v>8550.9140000000007</v>
      </c>
      <c r="F21" s="103">
        <v>31718.993999999999</v>
      </c>
      <c r="G21" s="103">
        <v>6304.3059999999996</v>
      </c>
      <c r="H21" s="103">
        <v>37324.258999999998</v>
      </c>
      <c r="I21" s="103">
        <v>181622.06899999999</v>
      </c>
      <c r="J21" s="103">
        <v>61812.970999999998</v>
      </c>
      <c r="K21" s="103">
        <v>23259.424999999999</v>
      </c>
      <c r="L21" s="103">
        <v>3060.2190000000001</v>
      </c>
      <c r="M21" s="103">
        <v>14237.620999999999</v>
      </c>
      <c r="N21" s="103">
        <v>54657.152999999998</v>
      </c>
      <c r="O21" s="103">
        <v>0</v>
      </c>
      <c r="P21" s="103">
        <v>9587.2810000000009</v>
      </c>
      <c r="Q21" s="106">
        <v>454995.68400000001</v>
      </c>
      <c r="R21">
        <v>0</v>
      </c>
    </row>
    <row r="22" spans="2:18" ht="30" customHeight="1" x14ac:dyDescent="0.35">
      <c r="B22" s="100" t="s">
        <v>70</v>
      </c>
      <c r="C22" s="103">
        <v>0</v>
      </c>
      <c r="D22" s="103">
        <v>0</v>
      </c>
      <c r="E22" s="103">
        <v>0</v>
      </c>
      <c r="F22" s="103">
        <v>0</v>
      </c>
      <c r="G22" s="103">
        <v>0</v>
      </c>
      <c r="H22" s="103">
        <v>0</v>
      </c>
      <c r="I22" s="103">
        <v>0</v>
      </c>
      <c r="J22" s="103">
        <v>0</v>
      </c>
      <c r="K22" s="103">
        <v>0</v>
      </c>
      <c r="L22" s="103">
        <v>0</v>
      </c>
      <c r="M22" s="103">
        <v>0</v>
      </c>
      <c r="N22" s="103">
        <v>0</v>
      </c>
      <c r="O22" s="103">
        <v>0</v>
      </c>
      <c r="P22" s="103">
        <v>0</v>
      </c>
      <c r="Q22" s="106">
        <v>0</v>
      </c>
      <c r="R22">
        <v>0</v>
      </c>
    </row>
    <row r="23" spans="2:18" ht="30" customHeight="1" x14ac:dyDescent="0.35">
      <c r="B23" s="100" t="s">
        <v>71</v>
      </c>
      <c r="C23" s="103">
        <v>0</v>
      </c>
      <c r="D23" s="103">
        <v>0</v>
      </c>
      <c r="E23" s="103">
        <v>0</v>
      </c>
      <c r="F23" s="103">
        <v>0</v>
      </c>
      <c r="G23" s="103">
        <v>0</v>
      </c>
      <c r="H23" s="103">
        <v>0</v>
      </c>
      <c r="I23" s="103">
        <v>0</v>
      </c>
      <c r="J23" s="103">
        <v>0</v>
      </c>
      <c r="K23" s="103">
        <v>0</v>
      </c>
      <c r="L23" s="103">
        <v>0</v>
      </c>
      <c r="M23" s="103">
        <v>0</v>
      </c>
      <c r="N23" s="103">
        <v>0</v>
      </c>
      <c r="O23" s="103">
        <v>3954515.656030823</v>
      </c>
      <c r="P23" s="103">
        <v>0</v>
      </c>
      <c r="Q23" s="106">
        <v>3954515.656030823</v>
      </c>
      <c r="R23">
        <v>0</v>
      </c>
    </row>
    <row r="24" spans="2:18" ht="30" customHeight="1" x14ac:dyDescent="0.35">
      <c r="B24" s="100" t="s">
        <v>72</v>
      </c>
      <c r="C24" s="103">
        <v>0</v>
      </c>
      <c r="D24" s="103">
        <v>2281.9580000000001</v>
      </c>
      <c r="E24" s="103">
        <v>4088.4749999999999</v>
      </c>
      <c r="F24" s="103">
        <v>-32802.446000000004</v>
      </c>
      <c r="G24" s="103">
        <v>7414.018</v>
      </c>
      <c r="H24" s="103">
        <v>13994.073</v>
      </c>
      <c r="I24" s="103">
        <v>149715.67300000001</v>
      </c>
      <c r="J24" s="103">
        <v>78447.827999999994</v>
      </c>
      <c r="K24" s="103">
        <v>0</v>
      </c>
      <c r="L24" s="103">
        <v>1337.4829999999999</v>
      </c>
      <c r="M24" s="103">
        <v>-5557.5730000000003</v>
      </c>
      <c r="N24" s="103">
        <v>51259.209000000003</v>
      </c>
      <c r="O24" s="103">
        <v>15738.555</v>
      </c>
      <c r="P24" s="103">
        <v>1295.3589999999999</v>
      </c>
      <c r="Q24" s="106">
        <v>287212.61200000002</v>
      </c>
      <c r="R24">
        <v>0</v>
      </c>
    </row>
    <row r="25" spans="2:18" ht="30" customHeight="1" x14ac:dyDescent="0.35">
      <c r="B25" s="100" t="s">
        <v>73</v>
      </c>
      <c r="C25" s="103">
        <v>0</v>
      </c>
      <c r="D25" s="103">
        <v>0</v>
      </c>
      <c r="E25" s="103">
        <v>0</v>
      </c>
      <c r="F25" s="103">
        <v>0</v>
      </c>
      <c r="G25" s="103">
        <v>0</v>
      </c>
      <c r="H25" s="103">
        <v>0</v>
      </c>
      <c r="I25" s="103">
        <v>0</v>
      </c>
      <c r="J25" s="103">
        <v>0</v>
      </c>
      <c r="K25" s="103">
        <v>0</v>
      </c>
      <c r="L25" s="103">
        <v>0</v>
      </c>
      <c r="M25" s="103">
        <v>0</v>
      </c>
      <c r="N25" s="103">
        <v>0</v>
      </c>
      <c r="O25" s="103">
        <v>0</v>
      </c>
      <c r="P25" s="103">
        <v>0</v>
      </c>
      <c r="Q25" s="106">
        <v>0</v>
      </c>
      <c r="R25">
        <v>0</v>
      </c>
    </row>
    <row r="26" spans="2:18" ht="30" customHeight="1" x14ac:dyDescent="0.35">
      <c r="B26" s="100" t="s">
        <v>74</v>
      </c>
      <c r="C26" s="103">
        <v>0</v>
      </c>
      <c r="D26" s="103">
        <v>18662.2552342485</v>
      </c>
      <c r="E26" s="103">
        <v>6467.0706480218469</v>
      </c>
      <c r="F26" s="103">
        <v>48421.896559526023</v>
      </c>
      <c r="G26" s="103">
        <v>57439.824798297726</v>
      </c>
      <c r="H26" s="103">
        <v>3497.3626200964359</v>
      </c>
      <c r="I26" s="103">
        <v>144082.10719366791</v>
      </c>
      <c r="J26" s="103">
        <v>902414.34559538623</v>
      </c>
      <c r="K26" s="103">
        <v>0</v>
      </c>
      <c r="L26" s="103">
        <v>6103.8518744525982</v>
      </c>
      <c r="M26" s="103">
        <v>7046.1374510875794</v>
      </c>
      <c r="N26" s="103">
        <v>112079.5471861525</v>
      </c>
      <c r="O26" s="103">
        <v>613987.22549831413</v>
      </c>
      <c r="P26" s="103">
        <v>68910.30408103473</v>
      </c>
      <c r="Q26" s="106">
        <v>1989111.928740286</v>
      </c>
      <c r="R26">
        <v>0</v>
      </c>
    </row>
    <row r="27" spans="2:18" ht="30" customHeight="1" x14ac:dyDescent="0.35">
      <c r="B27" s="100" t="s">
        <v>75</v>
      </c>
      <c r="C27" s="103">
        <v>190.05009091347449</v>
      </c>
      <c r="D27" s="103">
        <v>62563.019163521138</v>
      </c>
      <c r="E27" s="103">
        <v>27084.873272105018</v>
      </c>
      <c r="F27" s="103">
        <v>71362.466301931447</v>
      </c>
      <c r="G27" s="103">
        <v>30191.455644925009</v>
      </c>
      <c r="H27" s="103">
        <v>84103.215671931495</v>
      </c>
      <c r="I27" s="103">
        <v>189093.04780963901</v>
      </c>
      <c r="J27" s="103">
        <v>143480.3924581327</v>
      </c>
      <c r="K27" s="103">
        <v>7288.5950000000003</v>
      </c>
      <c r="L27" s="103">
        <v>7548.3089338230156</v>
      </c>
      <c r="M27" s="103">
        <v>16163.77639414851</v>
      </c>
      <c r="N27" s="103">
        <v>206024.4350315918</v>
      </c>
      <c r="O27" s="103">
        <v>0</v>
      </c>
      <c r="P27" s="103">
        <v>64884.219034645823</v>
      </c>
      <c r="Q27" s="106">
        <v>909977.85480730841</v>
      </c>
      <c r="R27">
        <v>0</v>
      </c>
    </row>
    <row r="28" spans="2:18" ht="30" customHeight="1" x14ac:dyDescent="0.35">
      <c r="B28" s="100" t="s">
        <v>76</v>
      </c>
      <c r="C28" s="103">
        <v>2626.1016761571259</v>
      </c>
      <c r="D28" s="103">
        <v>3732.9398265288478</v>
      </c>
      <c r="E28" s="103">
        <v>2401.0933655213712</v>
      </c>
      <c r="F28" s="103">
        <v>8668.1882934187652</v>
      </c>
      <c r="G28" s="103">
        <v>362.92902123515961</v>
      </c>
      <c r="H28" s="103">
        <v>4629.9184926959351</v>
      </c>
      <c r="I28" s="103">
        <v>58476.111995030951</v>
      </c>
      <c r="J28" s="103">
        <v>25135.826873655649</v>
      </c>
      <c r="K28" s="103">
        <v>0</v>
      </c>
      <c r="L28" s="103">
        <v>2575.120104954673</v>
      </c>
      <c r="M28" s="103">
        <v>18993.126961546532</v>
      </c>
      <c r="N28" s="103">
        <v>19123.390396848579</v>
      </c>
      <c r="O28" s="103">
        <v>152152.12299999999</v>
      </c>
      <c r="P28" s="103">
        <v>495.84895134304332</v>
      </c>
      <c r="Q28" s="106">
        <v>299372.71895893657</v>
      </c>
      <c r="R28">
        <v>0</v>
      </c>
    </row>
    <row r="29" spans="2:18" ht="30" customHeight="1" x14ac:dyDescent="0.35">
      <c r="B29" s="100" t="s">
        <v>77</v>
      </c>
      <c r="C29" s="103">
        <v>0</v>
      </c>
      <c r="D29" s="103">
        <v>475.75959999999873</v>
      </c>
      <c r="E29" s="103">
        <v>18923.841189396218</v>
      </c>
      <c r="F29" s="103">
        <v>52216.983866854491</v>
      </c>
      <c r="G29" s="103">
        <v>40463.276600000107</v>
      </c>
      <c r="H29" s="103">
        <v>556.66188999999918</v>
      </c>
      <c r="I29" s="103">
        <v>184143.32777264851</v>
      </c>
      <c r="J29" s="103">
        <v>17109.830742646471</v>
      </c>
      <c r="K29" s="103">
        <v>0</v>
      </c>
      <c r="L29" s="103">
        <v>13872.312629998891</v>
      </c>
      <c r="M29" s="103">
        <v>3210.1499899999581</v>
      </c>
      <c r="N29" s="103">
        <v>27553.9656384564</v>
      </c>
      <c r="O29" s="103">
        <v>0</v>
      </c>
      <c r="P29" s="103">
        <v>7.6797299999999993</v>
      </c>
      <c r="Q29" s="106">
        <v>358533.78965000098</v>
      </c>
      <c r="R29">
        <v>0</v>
      </c>
    </row>
    <row r="30" spans="2:18" ht="30" customHeight="1" x14ac:dyDescent="0.35">
      <c r="B30" s="100" t="s">
        <v>78</v>
      </c>
      <c r="C30" s="103">
        <v>13550.411181134799</v>
      </c>
      <c r="D30" s="103">
        <v>7627.9999362636318</v>
      </c>
      <c r="E30" s="103">
        <v>4920.0636557807857</v>
      </c>
      <c r="F30" s="103">
        <v>13670.56255505469</v>
      </c>
      <c r="G30" s="103">
        <v>7513.0353184921414</v>
      </c>
      <c r="H30" s="103">
        <v>-5520.2969932836568</v>
      </c>
      <c r="I30" s="103">
        <v>111815.59226968361</v>
      </c>
      <c r="J30" s="103">
        <v>-91392.775795092472</v>
      </c>
      <c r="K30" s="103">
        <v>93186.268035685105</v>
      </c>
      <c r="L30" s="103">
        <v>6046.0336424143597</v>
      </c>
      <c r="M30" s="103">
        <v>30778.950797884361</v>
      </c>
      <c r="N30" s="103">
        <v>31698.939635465169</v>
      </c>
      <c r="O30" s="103">
        <v>0</v>
      </c>
      <c r="P30" s="103">
        <v>-436.29313591754988</v>
      </c>
      <c r="Q30" s="106">
        <v>223458.491103565</v>
      </c>
      <c r="R30">
        <v>0</v>
      </c>
    </row>
    <row r="31" spans="2:18" ht="30" customHeight="1" x14ac:dyDescent="0.35">
      <c r="B31" s="100" t="s">
        <v>79</v>
      </c>
      <c r="C31" s="103">
        <v>138.43826541019601</v>
      </c>
      <c r="D31" s="103">
        <v>18646.80986187786</v>
      </c>
      <c r="E31" s="103">
        <v>43155.113898580377</v>
      </c>
      <c r="F31" s="103">
        <v>94068.301585716661</v>
      </c>
      <c r="G31" s="103">
        <v>22388.520071489689</v>
      </c>
      <c r="H31" s="103">
        <v>20175.40362331699</v>
      </c>
      <c r="I31" s="103">
        <v>365017.4639141449</v>
      </c>
      <c r="J31" s="103">
        <v>312127.48910308542</v>
      </c>
      <c r="K31" s="103">
        <v>0</v>
      </c>
      <c r="L31" s="103">
        <v>14017.307243536699</v>
      </c>
      <c r="M31" s="103">
        <v>38691.925594775093</v>
      </c>
      <c r="N31" s="103">
        <v>98069.02898388842</v>
      </c>
      <c r="O31" s="103">
        <v>2737547.4032355491</v>
      </c>
      <c r="P31" s="103">
        <v>2351.1405200678801</v>
      </c>
      <c r="Q31" s="106">
        <v>3766394.345901439</v>
      </c>
      <c r="R31">
        <v>0</v>
      </c>
    </row>
    <row r="32" spans="2:18" ht="30" customHeight="1" x14ac:dyDescent="0.35">
      <c r="B32" s="100" t="s">
        <v>80</v>
      </c>
      <c r="C32" s="103">
        <v>0</v>
      </c>
      <c r="D32" s="103">
        <v>4963.3559999999998</v>
      </c>
      <c r="E32" s="103">
        <v>4258.2129999999997</v>
      </c>
      <c r="F32" s="103">
        <v>21116.201000000001</v>
      </c>
      <c r="G32" s="103">
        <v>38043.381000000001</v>
      </c>
      <c r="H32" s="103">
        <v>853.56500000000005</v>
      </c>
      <c r="I32" s="103">
        <v>142684.87</v>
      </c>
      <c r="J32" s="103">
        <v>153163.25200000001</v>
      </c>
      <c r="K32" s="103">
        <v>0</v>
      </c>
      <c r="L32" s="103">
        <v>8737.2860000000001</v>
      </c>
      <c r="M32" s="103">
        <v>8276.6020000000008</v>
      </c>
      <c r="N32" s="103">
        <v>31627.852999999999</v>
      </c>
      <c r="O32" s="103">
        <v>239071.671</v>
      </c>
      <c r="P32" s="103">
        <v>2103.64</v>
      </c>
      <c r="Q32" s="106">
        <v>654899.89</v>
      </c>
      <c r="R32">
        <v>0</v>
      </c>
    </row>
    <row r="33" spans="2:18" ht="30" customHeight="1" x14ac:dyDescent="0.35">
      <c r="B33" s="100" t="s">
        <v>81</v>
      </c>
      <c r="C33" s="103">
        <v>417.38484356916689</v>
      </c>
      <c r="D33" s="103">
        <v>97557.677874844987</v>
      </c>
      <c r="E33" s="103">
        <v>2867.6650446466952</v>
      </c>
      <c r="F33" s="103">
        <v>-74315.954344412909</v>
      </c>
      <c r="G33" s="103">
        <v>10354.631597927981</v>
      </c>
      <c r="H33" s="103">
        <v>4333.3385156585537</v>
      </c>
      <c r="I33" s="103">
        <v>255304.41889240939</v>
      </c>
      <c r="J33" s="103">
        <v>132124.00942058899</v>
      </c>
      <c r="K33" s="103">
        <v>215.78</v>
      </c>
      <c r="L33" s="103">
        <v>3129.7386855176542</v>
      </c>
      <c r="M33" s="103">
        <v>10057.817965230901</v>
      </c>
      <c r="N33" s="103">
        <v>43325.228095256643</v>
      </c>
      <c r="O33" s="103">
        <v>0</v>
      </c>
      <c r="P33" s="103">
        <v>8547.3494087619056</v>
      </c>
      <c r="Q33" s="106">
        <v>493919.08600000001</v>
      </c>
      <c r="R33">
        <v>0</v>
      </c>
    </row>
    <row r="34" spans="2:18" ht="30" customHeight="1" x14ac:dyDescent="0.35">
      <c r="B34" s="100" t="s">
        <v>82</v>
      </c>
      <c r="C34" s="103">
        <v>0</v>
      </c>
      <c r="D34" s="103">
        <v>5213.746601812165</v>
      </c>
      <c r="E34" s="103">
        <v>28596.827591729099</v>
      </c>
      <c r="F34" s="103">
        <v>-4365.1235646284522</v>
      </c>
      <c r="G34" s="103">
        <v>26277.034563546549</v>
      </c>
      <c r="H34" s="103">
        <v>6084.5482769950922</v>
      </c>
      <c r="I34" s="103">
        <v>169496.25812908189</v>
      </c>
      <c r="J34" s="103">
        <v>166784.56710553309</v>
      </c>
      <c r="K34" s="103">
        <v>-2155.2585126424028</v>
      </c>
      <c r="L34" s="103">
        <v>-14336.90030998164</v>
      </c>
      <c r="M34" s="103">
        <v>16276.69545470766</v>
      </c>
      <c r="N34" s="103">
        <v>40370.396284107454</v>
      </c>
      <c r="O34" s="103">
        <v>0</v>
      </c>
      <c r="P34" s="103">
        <v>1208.566257061002</v>
      </c>
      <c r="Q34" s="106">
        <v>439451.35787732148</v>
      </c>
      <c r="R34">
        <v>0</v>
      </c>
    </row>
    <row r="35" spans="2:18" ht="30" customHeight="1" x14ac:dyDescent="0.35">
      <c r="B35" s="100" t="s">
        <v>83</v>
      </c>
      <c r="C35" s="103">
        <v>-314417.56431272847</v>
      </c>
      <c r="D35" s="103">
        <v>590.38497302181668</v>
      </c>
      <c r="E35" s="103">
        <v>28.68179772937216</v>
      </c>
      <c r="F35" s="103">
        <v>-5573.1108371939981</v>
      </c>
      <c r="G35" s="103">
        <v>11368.606843864991</v>
      </c>
      <c r="H35" s="103">
        <v>1896.149629436318</v>
      </c>
      <c r="I35" s="103">
        <v>-11652.26755871656</v>
      </c>
      <c r="J35" s="103">
        <v>11927.417864105561</v>
      </c>
      <c r="K35" s="103">
        <v>-10270.70922757956</v>
      </c>
      <c r="L35" s="103">
        <v>3286.9399852054789</v>
      </c>
      <c r="M35" s="103">
        <v>30737.843514475619</v>
      </c>
      <c r="N35" s="103">
        <v>21681.705269712838</v>
      </c>
      <c r="O35" s="103">
        <v>177692.49309532199</v>
      </c>
      <c r="P35" s="103">
        <v>-3630.155604401893</v>
      </c>
      <c r="Q35" s="106">
        <v>-86333.584567746526</v>
      </c>
      <c r="R35">
        <v>0</v>
      </c>
    </row>
    <row r="36" spans="2:18" ht="30" customHeight="1" x14ac:dyDescent="0.35">
      <c r="B36" s="100" t="s">
        <v>84</v>
      </c>
      <c r="C36" s="103">
        <v>0</v>
      </c>
      <c r="D36" s="103">
        <v>-1927.1539190590329</v>
      </c>
      <c r="E36" s="103">
        <v>747.97980168759864</v>
      </c>
      <c r="F36" s="103">
        <v>-9688.7644083712221</v>
      </c>
      <c r="G36" s="103">
        <v>2130.7931108022331</v>
      </c>
      <c r="H36" s="103">
        <v>-1789.8207982272661</v>
      </c>
      <c r="I36" s="103">
        <v>71789.537391526537</v>
      </c>
      <c r="J36" s="103">
        <v>97623.682234579115</v>
      </c>
      <c r="K36" s="103">
        <v>0</v>
      </c>
      <c r="L36" s="103">
        <v>511.84057185825839</v>
      </c>
      <c r="M36" s="103">
        <v>6565.595075786654</v>
      </c>
      <c r="N36" s="103">
        <v>5458.2389286726639</v>
      </c>
      <c r="O36" s="103">
        <v>2801.6863226944129</v>
      </c>
      <c r="P36" s="103">
        <v>211.5528731624633</v>
      </c>
      <c r="Q36" s="106">
        <v>174435.1671851124</v>
      </c>
      <c r="R36">
        <v>0</v>
      </c>
    </row>
    <row r="37" spans="2:18" ht="30" customHeight="1" x14ac:dyDescent="0.35">
      <c r="B37" s="100" t="s">
        <v>85</v>
      </c>
      <c r="C37" s="103">
        <v>0</v>
      </c>
      <c r="D37" s="103">
        <v>887.0729644990862</v>
      </c>
      <c r="E37" s="103">
        <v>17552.554332534841</v>
      </c>
      <c r="F37" s="103">
        <v>-77067.299652445916</v>
      </c>
      <c r="G37" s="103">
        <v>13249.11203212673</v>
      </c>
      <c r="H37" s="103">
        <v>25003.810500038529</v>
      </c>
      <c r="I37" s="103">
        <v>79442.573088505902</v>
      </c>
      <c r="J37" s="103">
        <v>75510.067787779582</v>
      </c>
      <c r="K37" s="103">
        <v>0</v>
      </c>
      <c r="L37" s="103">
        <v>3035.9687110440782</v>
      </c>
      <c r="M37" s="103">
        <v>49282.07681163431</v>
      </c>
      <c r="N37" s="103">
        <v>120836.0028457178</v>
      </c>
      <c r="O37" s="103">
        <v>881.80952910315841</v>
      </c>
      <c r="P37" s="103">
        <v>869.40937714489644</v>
      </c>
      <c r="Q37" s="106">
        <v>309483.15832768288</v>
      </c>
      <c r="R37">
        <v>0</v>
      </c>
    </row>
    <row r="38" spans="2:18" ht="30" customHeight="1" x14ac:dyDescent="0.35">
      <c r="B38" s="100" t="s">
        <v>86</v>
      </c>
      <c r="C38" s="103">
        <v>628.476</v>
      </c>
      <c r="D38" s="103">
        <v>13903.136</v>
      </c>
      <c r="E38" s="103">
        <v>21649.482</v>
      </c>
      <c r="F38" s="103">
        <v>46408.775999999998</v>
      </c>
      <c r="G38" s="103">
        <v>44831.389000000003</v>
      </c>
      <c r="H38" s="103">
        <v>15803.437</v>
      </c>
      <c r="I38" s="103">
        <v>317805.72200000001</v>
      </c>
      <c r="J38" s="103">
        <v>136084.90400000001</v>
      </c>
      <c r="K38" s="103">
        <v>2940.9569999999999</v>
      </c>
      <c r="L38" s="103">
        <v>39188.591999999997</v>
      </c>
      <c r="M38" s="103">
        <v>27315.928</v>
      </c>
      <c r="N38" s="103">
        <v>99316.172000000006</v>
      </c>
      <c r="O38" s="103">
        <v>618833.12600000005</v>
      </c>
      <c r="P38" s="103">
        <v>41195.809000000001</v>
      </c>
      <c r="Q38" s="106">
        <v>1425905.906</v>
      </c>
      <c r="R38">
        <v>0</v>
      </c>
    </row>
    <row r="39" spans="2:18" ht="30" customHeight="1" x14ac:dyDescent="0.35">
      <c r="B39" s="100" t="s">
        <v>87</v>
      </c>
      <c r="C39" s="103">
        <v>0</v>
      </c>
      <c r="D39" s="103">
        <v>4834.5304635538496</v>
      </c>
      <c r="E39" s="103">
        <v>1059.854933372502</v>
      </c>
      <c r="F39" s="103">
        <v>23890.726396458231</v>
      </c>
      <c r="G39" s="103">
        <v>5644.2895725098624</v>
      </c>
      <c r="H39" s="103">
        <v>1148.0205862580281</v>
      </c>
      <c r="I39" s="103">
        <v>184198.60428321341</v>
      </c>
      <c r="J39" s="103">
        <v>69352.278377499068</v>
      </c>
      <c r="K39" s="103">
        <v>0</v>
      </c>
      <c r="L39" s="103">
        <v>2640.936926776692</v>
      </c>
      <c r="M39" s="103">
        <v>3492.2430651088812</v>
      </c>
      <c r="N39" s="103">
        <v>32357.037593579491</v>
      </c>
      <c r="O39" s="103">
        <v>180907.71418424661</v>
      </c>
      <c r="P39" s="103">
        <v>2894.0270200193859</v>
      </c>
      <c r="Q39" s="106">
        <v>512420.26340259612</v>
      </c>
      <c r="R39">
        <v>0</v>
      </c>
    </row>
    <row r="40" spans="2:18" ht="30" customHeight="1" x14ac:dyDescent="0.35">
      <c r="B40" s="100" t="s">
        <v>88</v>
      </c>
      <c r="C40" s="103">
        <v>0</v>
      </c>
      <c r="D40" s="103">
        <v>499.76834071149591</v>
      </c>
      <c r="E40" s="103">
        <v>142.74122942585529</v>
      </c>
      <c r="F40" s="103">
        <v>-41.770799485507887</v>
      </c>
      <c r="G40" s="103">
        <v>1727.3227208323981</v>
      </c>
      <c r="H40" s="103">
        <v>81.863348349427341</v>
      </c>
      <c r="I40" s="103">
        <v>286381.17599999998</v>
      </c>
      <c r="J40" s="103">
        <v>132112.91</v>
      </c>
      <c r="K40" s="103">
        <v>0</v>
      </c>
      <c r="L40" s="103">
        <v>1810.2317260273981</v>
      </c>
      <c r="M40" s="103">
        <v>329.96953077326162</v>
      </c>
      <c r="N40" s="103">
        <v>1969.6704389991071</v>
      </c>
      <c r="O40" s="103">
        <v>0</v>
      </c>
      <c r="P40" s="103">
        <v>3520.2366970814728</v>
      </c>
      <c r="Q40" s="106">
        <v>428534.11923271487</v>
      </c>
      <c r="R40">
        <v>0</v>
      </c>
    </row>
    <row r="41" spans="2:18" ht="30" customHeight="1" x14ac:dyDescent="0.35">
      <c r="B41" s="100" t="s">
        <v>89</v>
      </c>
      <c r="C41" s="103">
        <v>0</v>
      </c>
      <c r="D41" s="103">
        <v>0</v>
      </c>
      <c r="E41" s="103">
        <v>0</v>
      </c>
      <c r="F41" s="103">
        <v>0</v>
      </c>
      <c r="G41" s="103">
        <v>0</v>
      </c>
      <c r="H41" s="103">
        <v>0</v>
      </c>
      <c r="I41" s="103">
        <v>0</v>
      </c>
      <c r="J41" s="103">
        <v>0</v>
      </c>
      <c r="K41" s="103">
        <v>0</v>
      </c>
      <c r="L41" s="103">
        <v>0</v>
      </c>
      <c r="M41" s="103">
        <v>0</v>
      </c>
      <c r="N41" s="103">
        <v>0</v>
      </c>
      <c r="O41" s="103">
        <v>0</v>
      </c>
      <c r="P41" s="103">
        <v>0</v>
      </c>
      <c r="Q41" s="106">
        <v>0</v>
      </c>
      <c r="R41">
        <v>0</v>
      </c>
    </row>
    <row r="42" spans="2:18" ht="30" customHeight="1" x14ac:dyDescent="0.35">
      <c r="B42" s="104" t="s">
        <v>90</v>
      </c>
      <c r="C42" s="105">
        <f t="shared" ref="C42:Q42" si="0">SUM(C6:C41)</f>
        <v>-316817.70080134337</v>
      </c>
      <c r="D42" s="105">
        <f t="shared" si="0"/>
        <v>355084.1642477875</v>
      </c>
      <c r="E42" s="105">
        <f t="shared" si="0"/>
        <v>366141.38271406136</v>
      </c>
      <c r="F42" s="105">
        <f t="shared" si="0"/>
        <v>851532.55247407861</v>
      </c>
      <c r="G42" s="105">
        <f t="shared" si="0"/>
        <v>513387.73112127354</v>
      </c>
      <c r="H42" s="105">
        <f t="shared" si="0"/>
        <v>473854.93246468174</v>
      </c>
      <c r="I42" s="105">
        <f t="shared" si="0"/>
        <v>7234703.601756203</v>
      </c>
      <c r="J42" s="105">
        <f t="shared" si="0"/>
        <v>5234724.5157245016</v>
      </c>
      <c r="K42" s="105">
        <f t="shared" si="0"/>
        <v>1379121.4578891513</v>
      </c>
      <c r="L42" s="105">
        <f t="shared" si="0"/>
        <v>358156.58845954132</v>
      </c>
      <c r="M42" s="105">
        <f t="shared" si="0"/>
        <v>675110.49461230915</v>
      </c>
      <c r="N42" s="105">
        <f t="shared" si="0"/>
        <v>1985742.8218538477</v>
      </c>
      <c r="O42" s="105">
        <f t="shared" si="0"/>
        <v>16238169.669007733</v>
      </c>
      <c r="P42" s="105">
        <f t="shared" si="0"/>
        <v>521729.21441917861</v>
      </c>
      <c r="Q42" s="105">
        <f t="shared" si="0"/>
        <v>35870641.425943002</v>
      </c>
    </row>
    <row r="43" spans="2:18" ht="30" customHeight="1" x14ac:dyDescent="0.35">
      <c r="B43" s="278" t="s">
        <v>91</v>
      </c>
      <c r="C43" s="252"/>
      <c r="D43" s="252"/>
      <c r="E43" s="252"/>
      <c r="F43" s="252"/>
      <c r="G43" s="252"/>
      <c r="H43" s="252"/>
      <c r="I43" s="252"/>
      <c r="J43" s="252"/>
      <c r="K43" s="252"/>
      <c r="L43" s="252"/>
      <c r="M43" s="252"/>
      <c r="N43" s="252"/>
      <c r="O43" s="252"/>
      <c r="P43" s="252"/>
      <c r="Q43" s="253"/>
    </row>
    <row r="44" spans="2:18" ht="30" customHeight="1" x14ac:dyDescent="0.35">
      <c r="B44" s="100" t="s">
        <v>92</v>
      </c>
      <c r="C44" s="103">
        <v>4493.9647714558059</v>
      </c>
      <c r="D44" s="103">
        <v>62415.64287194705</v>
      </c>
      <c r="E44" s="103">
        <v>139367.9546969276</v>
      </c>
      <c r="F44" s="103">
        <v>375077.56513678777</v>
      </c>
      <c r="G44" s="103">
        <v>28353.347879212899</v>
      </c>
      <c r="H44" s="103">
        <v>46919.042096622783</v>
      </c>
      <c r="I44" s="103">
        <v>7752.4212405905782</v>
      </c>
      <c r="J44" s="103">
        <v>34200.607041233241</v>
      </c>
      <c r="K44" s="103">
        <v>0</v>
      </c>
      <c r="L44" s="103">
        <v>42030.218262660826</v>
      </c>
      <c r="M44" s="103">
        <v>3161.0001401750001</v>
      </c>
      <c r="N44" s="103">
        <v>4490.6340206888544</v>
      </c>
      <c r="O44" s="103">
        <v>215298.17560918111</v>
      </c>
      <c r="P44" s="103">
        <v>187262.43314862129</v>
      </c>
      <c r="Q44" s="106">
        <v>1150823.006916105</v>
      </c>
      <c r="R44">
        <v>0</v>
      </c>
    </row>
    <row r="45" spans="2:18" ht="30" customHeight="1" x14ac:dyDescent="0.35">
      <c r="B45" s="100" t="s">
        <v>93</v>
      </c>
      <c r="C45" s="103">
        <v>1160.5485308172081</v>
      </c>
      <c r="D45" s="103">
        <v>40878.050927414653</v>
      </c>
      <c r="E45" s="103">
        <v>0</v>
      </c>
      <c r="F45" s="103">
        <v>470136.63793163229</v>
      </c>
      <c r="G45" s="103">
        <v>9218.1344760482316</v>
      </c>
      <c r="H45" s="103">
        <v>84222.862653427059</v>
      </c>
      <c r="I45" s="103">
        <v>0</v>
      </c>
      <c r="J45" s="103">
        <v>68370.409604458415</v>
      </c>
      <c r="K45" s="103">
        <v>0</v>
      </c>
      <c r="L45" s="103">
        <v>22081.419447214201</v>
      </c>
      <c r="M45" s="103">
        <v>0</v>
      </c>
      <c r="N45" s="103">
        <v>0</v>
      </c>
      <c r="O45" s="103">
        <v>327624.40054537449</v>
      </c>
      <c r="P45" s="103">
        <v>239754.4568576999</v>
      </c>
      <c r="Q45" s="106">
        <v>1263446.920974087</v>
      </c>
      <c r="R45">
        <v>0</v>
      </c>
    </row>
    <row r="46" spans="2:18" ht="30" customHeight="1" x14ac:dyDescent="0.35">
      <c r="B46" s="100" t="s">
        <v>94</v>
      </c>
      <c r="C46" s="103">
        <v>3031.0341004248789</v>
      </c>
      <c r="D46" s="103">
        <v>41453.077543303138</v>
      </c>
      <c r="E46" s="103">
        <v>68215.829213297024</v>
      </c>
      <c r="F46" s="103">
        <v>394549.75221329712</v>
      </c>
      <c r="G46" s="103">
        <v>12183.000365568259</v>
      </c>
      <c r="H46" s="103">
        <v>30363.084461360078</v>
      </c>
      <c r="I46" s="103">
        <v>26078.332832282598</v>
      </c>
      <c r="J46" s="103">
        <v>28993.492832282602</v>
      </c>
      <c r="K46" s="103">
        <v>0</v>
      </c>
      <c r="L46" s="103">
        <v>1960.3008919579399</v>
      </c>
      <c r="M46" s="103">
        <v>23712.463468137761</v>
      </c>
      <c r="N46" s="103">
        <v>-14276.69110804206</v>
      </c>
      <c r="O46" s="103">
        <v>212220.46077337969</v>
      </c>
      <c r="P46" s="103">
        <v>41475.528036618947</v>
      </c>
      <c r="Q46" s="106">
        <v>869959.66562386812</v>
      </c>
      <c r="R46">
        <v>0</v>
      </c>
    </row>
    <row r="47" spans="2:18" ht="30" customHeight="1" x14ac:dyDescent="0.35">
      <c r="B47" s="97" t="s">
        <v>95</v>
      </c>
      <c r="C47" s="103">
        <v>9156.5663883404068</v>
      </c>
      <c r="D47" s="103">
        <v>-33380.290520738366</v>
      </c>
      <c r="E47" s="103">
        <v>22550.145669656889</v>
      </c>
      <c r="F47" s="103">
        <v>1060709.6782982009</v>
      </c>
      <c r="G47" s="103">
        <v>23821.52588386201</v>
      </c>
      <c r="H47" s="103">
        <v>162120.204252461</v>
      </c>
      <c r="I47" s="103">
        <v>-2038.035582575709</v>
      </c>
      <c r="J47" s="103">
        <v>36303.258964858629</v>
      </c>
      <c r="K47" s="103">
        <v>0</v>
      </c>
      <c r="L47" s="103">
        <v>193600.64332009081</v>
      </c>
      <c r="M47" s="103">
        <v>80059.199273170627</v>
      </c>
      <c r="N47" s="103">
        <v>-379.71806609039749</v>
      </c>
      <c r="O47" s="103">
        <v>522138.64791187207</v>
      </c>
      <c r="P47" s="103">
        <v>359293.96148483822</v>
      </c>
      <c r="Q47" s="106">
        <v>2433955.7872779472</v>
      </c>
      <c r="R47">
        <v>0</v>
      </c>
    </row>
    <row r="48" spans="2:18" ht="30" customHeight="1" x14ac:dyDescent="0.35">
      <c r="B48" s="100" t="s">
        <v>96</v>
      </c>
      <c r="C48" s="103">
        <v>-2762.059639177287</v>
      </c>
      <c r="D48" s="103">
        <v>152334.8730971395</v>
      </c>
      <c r="E48" s="103">
        <v>-101.52148189011029</v>
      </c>
      <c r="F48" s="103">
        <v>501293.86091691261</v>
      </c>
      <c r="G48" s="103">
        <v>259591.2441490207</v>
      </c>
      <c r="H48" s="103">
        <v>57004.495106477108</v>
      </c>
      <c r="I48" s="103">
        <v>12730.331808604349</v>
      </c>
      <c r="J48" s="103">
        <v>21583.304147323699</v>
      </c>
      <c r="K48" s="103">
        <v>0</v>
      </c>
      <c r="L48" s="103">
        <v>62025.397402110488</v>
      </c>
      <c r="M48" s="103">
        <v>33832.759684679397</v>
      </c>
      <c r="N48" s="103">
        <v>69173.732327110498</v>
      </c>
      <c r="O48" s="103">
        <v>113670.8043733805</v>
      </c>
      <c r="P48" s="103">
        <v>61828.65472771514</v>
      </c>
      <c r="Q48" s="106">
        <v>1342205.876619407</v>
      </c>
      <c r="R48">
        <v>0</v>
      </c>
    </row>
    <row r="49" spans="2:17" ht="30" customHeight="1" x14ac:dyDescent="0.35">
      <c r="B49" s="104" t="s">
        <v>90</v>
      </c>
      <c r="C49" s="105">
        <f t="shared" ref="C49:Q49" si="1">SUM(C44:C48)</f>
        <v>15080.054151861013</v>
      </c>
      <c r="D49" s="105">
        <f t="shared" si="1"/>
        <v>263701.35391906596</v>
      </c>
      <c r="E49" s="105">
        <f t="shared" si="1"/>
        <v>230032.4080979914</v>
      </c>
      <c r="F49" s="105">
        <f t="shared" si="1"/>
        <v>2801767.4944968307</v>
      </c>
      <c r="G49" s="105">
        <f t="shared" si="1"/>
        <v>333167.25275371212</v>
      </c>
      <c r="H49" s="105">
        <f t="shared" si="1"/>
        <v>380629.68857034802</v>
      </c>
      <c r="I49" s="105">
        <f t="shared" si="1"/>
        <v>44523.050298901813</v>
      </c>
      <c r="J49" s="105">
        <f t="shared" si="1"/>
        <v>189451.0725901566</v>
      </c>
      <c r="K49" s="105">
        <f t="shared" si="1"/>
        <v>0</v>
      </c>
      <c r="L49" s="105">
        <f t="shared" si="1"/>
        <v>321697.9793240343</v>
      </c>
      <c r="M49" s="105">
        <f t="shared" si="1"/>
        <v>140765.42256616277</v>
      </c>
      <c r="N49" s="105">
        <f t="shared" si="1"/>
        <v>59007.957173666895</v>
      </c>
      <c r="O49" s="105">
        <f t="shared" si="1"/>
        <v>1390952.4892131879</v>
      </c>
      <c r="P49" s="105">
        <f t="shared" si="1"/>
        <v>889615.03425549355</v>
      </c>
      <c r="Q49" s="105">
        <f t="shared" si="1"/>
        <v>7060391.2574114138</v>
      </c>
    </row>
    <row r="50" spans="2:17" ht="20.25" customHeight="1" x14ac:dyDescent="0.35">
      <c r="B50" s="281" t="s">
        <v>98</v>
      </c>
      <c r="C50" s="238"/>
      <c r="D50" s="238"/>
      <c r="E50" s="238"/>
      <c r="F50" s="238"/>
      <c r="G50" s="238"/>
      <c r="H50" s="238"/>
      <c r="I50" s="238"/>
      <c r="J50" s="238"/>
      <c r="K50" s="238"/>
      <c r="L50" s="238"/>
      <c r="M50" s="238"/>
      <c r="N50" s="238"/>
      <c r="O50" s="238"/>
      <c r="P50" s="238"/>
      <c r="Q50" s="238"/>
    </row>
  </sheetData>
  <sheetProtection algorithmName="SHA-512" hashValue="wAbJyoiZI6MP0WmyuEtdiC/oD9NaDDS+gWlLmeu4O7ddtV2Z6Om4nxwhr66ZEh3xQ/xpVjCJRQhAT/6FARAcoQ==" saltValue="upqbOhwsXDcnxZan3ugM6Q==" spinCount="100000" sheet="1" objects="1" scenarios="1"/>
  <mergeCells count="4">
    <mergeCell ref="B50:Q50"/>
    <mergeCell ref="B43:Q43"/>
    <mergeCell ref="B3:Q3"/>
    <mergeCell ref="B5:Q5"/>
  </mergeCells>
  <pageMargins left="0.7" right="0.7" top="0.75" bottom="0.75" header="0.3" footer="0.3"/>
  <pageSetup paperSize="9" scale="33"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9">
    <tabColor rgb="FFA2D668"/>
    <pageSetUpPr fitToPage="1"/>
  </sheetPr>
  <dimension ref="B3:R50"/>
  <sheetViews>
    <sheetView zoomScale="57" workbookViewId="0">
      <pane xSplit="2" ySplit="5" topLeftCell="C40" activePane="bottomRight" state="frozen"/>
      <selection activeCell="B3" sqref="B3:Q50"/>
      <selection pane="topRight" activeCell="B3" sqref="B3:Q50"/>
      <selection pane="bottomLeft" activeCell="B3" sqref="B3:Q50"/>
      <selection pane="bottomRight" activeCell="B3" sqref="B3:Q50"/>
    </sheetView>
  </sheetViews>
  <sheetFormatPr defaultColWidth="9.453125" defaultRowHeight="14" x14ac:dyDescent="0.3"/>
  <cols>
    <col min="1" max="1" width="15.453125" style="2" customWidth="1"/>
    <col min="2" max="2" width="51.453125" style="2" customWidth="1"/>
    <col min="3" max="17" width="21.54296875" style="2" customWidth="1"/>
    <col min="18" max="19" width="6.453125" style="2" bestFit="1" customWidth="1"/>
    <col min="20" max="20" width="13.54296875" style="2" customWidth="1"/>
    <col min="21" max="71" width="9.453125" style="2" customWidth="1"/>
    <col min="72" max="16384" width="9.453125" style="2"/>
  </cols>
  <sheetData>
    <row r="3" spans="2:18" ht="22.5" customHeight="1" x14ac:dyDescent="0.35">
      <c r="B3" s="279" t="str">
        <f>_xlfn.CONCAT("COM: SUMMARY OF NET COMMISSIONS UNDER GENERAL INSURANCE BUSINESS FOR THE PERIOD ENDED"," ",Details!F18)</f>
        <v>COM: SUMMARY OF NET COMMISSIONS UNDER GENERAL INSURANCE BUSINESS FOR THE PERIOD ENDED 31.03.2025</v>
      </c>
      <c r="C3" s="252"/>
      <c r="D3" s="252"/>
      <c r="E3" s="252"/>
      <c r="F3" s="252"/>
      <c r="G3" s="252"/>
      <c r="H3" s="252"/>
      <c r="I3" s="252"/>
      <c r="J3" s="252"/>
      <c r="K3" s="252"/>
      <c r="L3" s="252"/>
      <c r="M3" s="252"/>
      <c r="N3" s="252"/>
      <c r="O3" s="252"/>
      <c r="P3" s="252"/>
      <c r="Q3" s="253"/>
    </row>
    <row r="4" spans="2:18" ht="31" customHeight="1" x14ac:dyDescent="0.35">
      <c r="B4" s="98" t="s">
        <v>36</v>
      </c>
      <c r="C4" s="99" t="s">
        <v>156</v>
      </c>
      <c r="D4" s="99" t="s">
        <v>157</v>
      </c>
      <c r="E4" s="99" t="s">
        <v>158</v>
      </c>
      <c r="F4" s="99" t="s">
        <v>159</v>
      </c>
      <c r="G4" s="99" t="s">
        <v>160</v>
      </c>
      <c r="H4" s="99" t="s">
        <v>161</v>
      </c>
      <c r="I4" s="99" t="s">
        <v>162</v>
      </c>
      <c r="J4" s="99" t="s">
        <v>163</v>
      </c>
      <c r="K4" s="99" t="s">
        <v>164</v>
      </c>
      <c r="L4" s="99" t="s">
        <v>165</v>
      </c>
      <c r="M4" s="99" t="s">
        <v>166</v>
      </c>
      <c r="N4" s="99" t="s">
        <v>167</v>
      </c>
      <c r="O4" s="99" t="s">
        <v>168</v>
      </c>
      <c r="P4" s="99" t="s">
        <v>169</v>
      </c>
      <c r="Q4" s="99" t="s">
        <v>170</v>
      </c>
    </row>
    <row r="5" spans="2:18" ht="30" customHeight="1" x14ac:dyDescent="0.35">
      <c r="B5" s="280" t="s">
        <v>53</v>
      </c>
      <c r="C5" s="252"/>
      <c r="D5" s="252"/>
      <c r="E5" s="252"/>
      <c r="F5" s="252"/>
      <c r="G5" s="252"/>
      <c r="H5" s="252"/>
      <c r="I5" s="252"/>
      <c r="J5" s="252"/>
      <c r="K5" s="252"/>
      <c r="L5" s="252"/>
      <c r="M5" s="252"/>
      <c r="N5" s="252"/>
      <c r="O5" s="252"/>
      <c r="P5" s="252"/>
      <c r="Q5" s="253"/>
    </row>
    <row r="6" spans="2:18" ht="30" customHeight="1" x14ac:dyDescent="0.35">
      <c r="B6" s="100" t="s">
        <v>54</v>
      </c>
      <c r="C6" s="103">
        <v>0</v>
      </c>
      <c r="D6" s="103">
        <v>-154.74170123330191</v>
      </c>
      <c r="E6" s="103">
        <v>5.1585904999999981</v>
      </c>
      <c r="F6" s="103">
        <v>-667.1795300994138</v>
      </c>
      <c r="G6" s="103">
        <v>1343.208479444193</v>
      </c>
      <c r="H6" s="103">
        <v>8.4440000000000008</v>
      </c>
      <c r="I6" s="103">
        <v>0</v>
      </c>
      <c r="J6" s="103">
        <v>0</v>
      </c>
      <c r="K6" s="103">
        <v>0</v>
      </c>
      <c r="L6" s="103">
        <v>535.59029645495764</v>
      </c>
      <c r="M6" s="103">
        <v>520.13797351634946</v>
      </c>
      <c r="N6" s="103">
        <v>4277.4317473728443</v>
      </c>
      <c r="O6" s="103">
        <v>113736.24883564359</v>
      </c>
      <c r="P6" s="103">
        <v>-25.164598284407461</v>
      </c>
      <c r="Q6" s="106">
        <v>119579.1340933148</v>
      </c>
      <c r="R6">
        <v>0</v>
      </c>
    </row>
    <row r="7" spans="2:18" ht="30" customHeight="1" x14ac:dyDescent="0.35">
      <c r="B7" s="100" t="s">
        <v>55</v>
      </c>
      <c r="C7" s="103">
        <v>0</v>
      </c>
      <c r="D7" s="103">
        <v>3207.1095799999798</v>
      </c>
      <c r="E7" s="103">
        <v>21.329460000000001</v>
      </c>
      <c r="F7" s="103">
        <v>165.23406</v>
      </c>
      <c r="G7" s="103">
        <v>1083.9285</v>
      </c>
      <c r="H7" s="103">
        <v>239.5317</v>
      </c>
      <c r="I7" s="103">
        <v>10662.8784</v>
      </c>
      <c r="J7" s="103">
        <v>15784.0101</v>
      </c>
      <c r="K7" s="103">
        <v>75513.733400000012</v>
      </c>
      <c r="L7" s="103">
        <v>454.40449999999998</v>
      </c>
      <c r="M7" s="103">
        <v>282.01679999999999</v>
      </c>
      <c r="N7" s="103">
        <v>10824.118200000001</v>
      </c>
      <c r="O7" s="103">
        <v>0</v>
      </c>
      <c r="P7" s="103">
        <v>753.82030000000009</v>
      </c>
      <c r="Q7" s="106">
        <v>118992.11500000001</v>
      </c>
      <c r="R7">
        <v>0</v>
      </c>
    </row>
    <row r="8" spans="2:18" ht="30" customHeight="1" x14ac:dyDescent="0.35">
      <c r="B8" s="100" t="s">
        <v>56</v>
      </c>
      <c r="C8" s="103">
        <v>-3285.0195758326672</v>
      </c>
      <c r="D8" s="103">
        <v>2853.7591472007412</v>
      </c>
      <c r="E8" s="103">
        <v>3870.777527430992</v>
      </c>
      <c r="F8" s="103">
        <v>-92694.823014739639</v>
      </c>
      <c r="G8" s="103">
        <v>3565.7820602820939</v>
      </c>
      <c r="H8" s="103">
        <v>2569.9550783186241</v>
      </c>
      <c r="I8" s="103">
        <v>63855.368880961323</v>
      </c>
      <c r="J8" s="103">
        <v>48811.631070335563</v>
      </c>
      <c r="K8" s="103">
        <v>0</v>
      </c>
      <c r="L8" s="103">
        <v>7718.713530475402</v>
      </c>
      <c r="M8" s="103">
        <v>6556.0592167749292</v>
      </c>
      <c r="N8" s="103">
        <v>23501.457890727161</v>
      </c>
      <c r="O8" s="103">
        <v>52174.188482179263</v>
      </c>
      <c r="P8" s="103">
        <v>2814.8098998792252</v>
      </c>
      <c r="Q8" s="106">
        <v>122312.660193993</v>
      </c>
      <c r="R8">
        <v>0</v>
      </c>
    </row>
    <row r="9" spans="2:18" ht="30" customHeight="1" x14ac:dyDescent="0.35">
      <c r="B9" s="100" t="s">
        <v>57</v>
      </c>
      <c r="C9" s="103">
        <v>-1635.6796899999999</v>
      </c>
      <c r="D9" s="103">
        <v>-15388.107229999991</v>
      </c>
      <c r="E9" s="103">
        <v>7871.1533900000004</v>
      </c>
      <c r="F9" s="103">
        <v>-4258.5868199999777</v>
      </c>
      <c r="G9" s="103">
        <v>-3488.8842300000042</v>
      </c>
      <c r="H9" s="103">
        <v>-6598.2973000000011</v>
      </c>
      <c r="I9" s="103">
        <v>37774.680419999997</v>
      </c>
      <c r="J9" s="103">
        <v>21039.436989999998</v>
      </c>
      <c r="K9" s="103">
        <v>0</v>
      </c>
      <c r="L9" s="103">
        <v>9106.4226000000017</v>
      </c>
      <c r="M9" s="103">
        <v>-41812.016810000001</v>
      </c>
      <c r="N9" s="103">
        <v>18994.129720000001</v>
      </c>
      <c r="O9" s="103">
        <v>199351.51407999999</v>
      </c>
      <c r="P9" s="103">
        <v>1076.29061</v>
      </c>
      <c r="Q9" s="106">
        <v>222032.05573000011</v>
      </c>
      <c r="R9">
        <v>0</v>
      </c>
    </row>
    <row r="10" spans="2:18" ht="30" customHeight="1" x14ac:dyDescent="0.35">
      <c r="B10" s="100" t="s">
        <v>58</v>
      </c>
      <c r="C10" s="103">
        <v>0</v>
      </c>
      <c r="D10" s="103">
        <v>-703.85599999999999</v>
      </c>
      <c r="E10" s="103">
        <v>541.51499999999999</v>
      </c>
      <c r="F10" s="103">
        <v>2379.3240000000001</v>
      </c>
      <c r="G10" s="103">
        <v>358.98599999999999</v>
      </c>
      <c r="H10" s="103">
        <v>31.408000000000001</v>
      </c>
      <c r="I10" s="103">
        <v>28958.932000000001</v>
      </c>
      <c r="J10" s="103">
        <v>7658.4870000000001</v>
      </c>
      <c r="K10" s="103">
        <v>0</v>
      </c>
      <c r="L10" s="103">
        <v>850.08299999999997</v>
      </c>
      <c r="M10" s="103">
        <v>-354.43900000000002</v>
      </c>
      <c r="N10" s="103">
        <v>3741.8389999999999</v>
      </c>
      <c r="O10" s="103">
        <v>0</v>
      </c>
      <c r="P10" s="103">
        <v>-1833.0409999999999</v>
      </c>
      <c r="Q10" s="106">
        <v>41629.237999999998</v>
      </c>
      <c r="R10">
        <v>0</v>
      </c>
    </row>
    <row r="11" spans="2:18" ht="30" customHeight="1" x14ac:dyDescent="0.35">
      <c r="B11" s="100" t="s">
        <v>59</v>
      </c>
      <c r="C11" s="103">
        <v>0</v>
      </c>
      <c r="D11" s="103">
        <v>10214.015509999999</v>
      </c>
      <c r="E11" s="103">
        <v>4489.5669000000007</v>
      </c>
      <c r="F11" s="103">
        <v>11918.74286</v>
      </c>
      <c r="G11" s="103">
        <v>-2557.9826700000008</v>
      </c>
      <c r="H11" s="103">
        <v>2283.0578</v>
      </c>
      <c r="I11" s="103">
        <v>77624.452359999996</v>
      </c>
      <c r="J11" s="103">
        <v>55611.844729999997</v>
      </c>
      <c r="K11" s="103">
        <v>0</v>
      </c>
      <c r="L11" s="103">
        <v>-17943.94743</v>
      </c>
      <c r="M11" s="103">
        <v>11251.79038</v>
      </c>
      <c r="N11" s="103">
        <v>19676.395509999998</v>
      </c>
      <c r="O11" s="103">
        <v>210226.71382999999</v>
      </c>
      <c r="P11" s="103">
        <v>-6393.69733</v>
      </c>
      <c r="Q11" s="106">
        <v>376400.95244999998</v>
      </c>
      <c r="R11">
        <v>0</v>
      </c>
    </row>
    <row r="12" spans="2:18" ht="30" customHeight="1" x14ac:dyDescent="0.35">
      <c r="B12" s="100" t="s">
        <v>60</v>
      </c>
      <c r="C12" s="103">
        <v>0</v>
      </c>
      <c r="D12" s="103">
        <v>-1012.53571</v>
      </c>
      <c r="E12" s="103">
        <v>69.536829999999995</v>
      </c>
      <c r="F12" s="103">
        <v>-224.16698</v>
      </c>
      <c r="G12" s="103">
        <v>257.78100000000001</v>
      </c>
      <c r="H12" s="103">
        <v>29.058070000000001</v>
      </c>
      <c r="I12" s="103">
        <v>709.62099999999998</v>
      </c>
      <c r="J12" s="103">
        <v>441.58</v>
      </c>
      <c r="K12" s="103">
        <v>0</v>
      </c>
      <c r="L12" s="103">
        <v>139.90799999999999</v>
      </c>
      <c r="M12" s="103">
        <v>233.67099999999999</v>
      </c>
      <c r="N12" s="103">
        <v>724.46900000000005</v>
      </c>
      <c r="O12" s="103">
        <v>0</v>
      </c>
      <c r="P12" s="103">
        <v>-5379.1757400000006</v>
      </c>
      <c r="Q12" s="106">
        <v>-4010.25353</v>
      </c>
      <c r="R12">
        <v>0</v>
      </c>
    </row>
    <row r="13" spans="2:18" ht="30" customHeight="1" x14ac:dyDescent="0.35">
      <c r="B13" s="100" t="s">
        <v>61</v>
      </c>
      <c r="C13" s="103">
        <v>0</v>
      </c>
      <c r="D13" s="103">
        <v>11.206</v>
      </c>
      <c r="E13" s="103">
        <v>0</v>
      </c>
      <c r="F13" s="103">
        <v>58.576000000000001</v>
      </c>
      <c r="G13" s="103">
        <v>0</v>
      </c>
      <c r="H13" s="103">
        <v>0</v>
      </c>
      <c r="I13" s="103">
        <v>0</v>
      </c>
      <c r="J13" s="103">
        <v>527.95780000000173</v>
      </c>
      <c r="K13" s="103">
        <v>66.132000000000005</v>
      </c>
      <c r="L13" s="103">
        <v>0</v>
      </c>
      <c r="M13" s="103">
        <v>0</v>
      </c>
      <c r="N13" s="103">
        <v>0</v>
      </c>
      <c r="O13" s="103">
        <v>0</v>
      </c>
      <c r="P13" s="103">
        <v>2004.3620000000001</v>
      </c>
      <c r="Q13" s="106">
        <v>2668.2338000000018</v>
      </c>
      <c r="R13">
        <v>0</v>
      </c>
    </row>
    <row r="14" spans="2:18" ht="30" customHeight="1" x14ac:dyDescent="0.35">
      <c r="B14" s="100" t="s">
        <v>62</v>
      </c>
      <c r="C14" s="103">
        <v>0</v>
      </c>
      <c r="D14" s="103">
        <v>0</v>
      </c>
      <c r="E14" s="103">
        <v>0</v>
      </c>
      <c r="F14" s="103">
        <v>3053.3890000000001</v>
      </c>
      <c r="G14" s="103">
        <v>0</v>
      </c>
      <c r="H14" s="103">
        <v>0</v>
      </c>
      <c r="I14" s="103">
        <v>7240.7223129760414</v>
      </c>
      <c r="J14" s="103">
        <v>2487.4929694252819</v>
      </c>
      <c r="K14" s="103">
        <v>94951.533937459142</v>
      </c>
      <c r="L14" s="103">
        <v>0</v>
      </c>
      <c r="M14" s="103">
        <v>0</v>
      </c>
      <c r="N14" s="103">
        <v>0</v>
      </c>
      <c r="O14" s="103">
        <v>0</v>
      </c>
      <c r="P14" s="103">
        <v>0</v>
      </c>
      <c r="Q14" s="106">
        <v>107733.1382198605</v>
      </c>
      <c r="R14">
        <v>0</v>
      </c>
    </row>
    <row r="15" spans="2:18" ht="30" customHeight="1" x14ac:dyDescent="0.35">
      <c r="B15" s="100" t="s">
        <v>63</v>
      </c>
      <c r="C15" s="103">
        <v>0</v>
      </c>
      <c r="D15" s="103">
        <v>-1159.5930000000001</v>
      </c>
      <c r="E15" s="103">
        <v>0</v>
      </c>
      <c r="F15" s="103">
        <v>-2173.8580000000002</v>
      </c>
      <c r="G15" s="103">
        <v>-2879.760060000001</v>
      </c>
      <c r="H15" s="103">
        <v>0</v>
      </c>
      <c r="I15" s="103">
        <v>0</v>
      </c>
      <c r="J15" s="103">
        <v>0</v>
      </c>
      <c r="K15" s="103">
        <v>0</v>
      </c>
      <c r="L15" s="103">
        <v>0</v>
      </c>
      <c r="M15" s="103">
        <v>-14435.386</v>
      </c>
      <c r="N15" s="103">
        <v>0</v>
      </c>
      <c r="O15" s="103">
        <v>-20302.687000000002</v>
      </c>
      <c r="P15" s="103">
        <v>0</v>
      </c>
      <c r="Q15" s="106">
        <v>-40951.284060000013</v>
      </c>
      <c r="R15">
        <v>0</v>
      </c>
    </row>
    <row r="16" spans="2:18" ht="30" customHeight="1" x14ac:dyDescent="0.35">
      <c r="B16" s="100" t="s">
        <v>64</v>
      </c>
      <c r="C16" s="103">
        <v>-4818.9309999999996</v>
      </c>
      <c r="D16" s="103">
        <v>453.15899999999999</v>
      </c>
      <c r="E16" s="103">
        <v>638.34500000000003</v>
      </c>
      <c r="F16" s="103">
        <v>-3431.9119999999998</v>
      </c>
      <c r="G16" s="103">
        <v>2514.0169999999998</v>
      </c>
      <c r="H16" s="103">
        <v>-79.611000000000004</v>
      </c>
      <c r="I16" s="103">
        <v>29573.200000000001</v>
      </c>
      <c r="J16" s="103">
        <v>22809.396000000001</v>
      </c>
      <c r="K16" s="103">
        <v>-34.103000000000002</v>
      </c>
      <c r="L16" s="103">
        <v>357.24400000000003</v>
      </c>
      <c r="M16" s="103">
        <v>410.59</v>
      </c>
      <c r="N16" s="103">
        <v>14231.762000000001</v>
      </c>
      <c r="O16" s="103">
        <v>745.48699999999997</v>
      </c>
      <c r="P16" s="103">
        <v>-1541.0309999999999</v>
      </c>
      <c r="Q16" s="106">
        <v>61827.612000000001</v>
      </c>
      <c r="R16">
        <v>0</v>
      </c>
    </row>
    <row r="17" spans="2:18" ht="30" customHeight="1" x14ac:dyDescent="0.35">
      <c r="B17" s="100" t="s">
        <v>65</v>
      </c>
      <c r="C17" s="103">
        <v>0</v>
      </c>
      <c r="D17" s="103">
        <v>1286.3848860000001</v>
      </c>
      <c r="E17" s="103">
        <v>2552.3785079999989</v>
      </c>
      <c r="F17" s="103">
        <v>742.39462000000481</v>
      </c>
      <c r="G17" s="103">
        <v>326.95661500000108</v>
      </c>
      <c r="H17" s="103">
        <v>-1699.9007239999989</v>
      </c>
      <c r="I17" s="103">
        <v>25748.894</v>
      </c>
      <c r="J17" s="103">
        <v>20613.545819999999</v>
      </c>
      <c r="K17" s="103">
        <v>0</v>
      </c>
      <c r="L17" s="103">
        <v>5277.7209999999995</v>
      </c>
      <c r="M17" s="103">
        <v>3290.255009</v>
      </c>
      <c r="N17" s="103">
        <v>5513.4120000000003</v>
      </c>
      <c r="O17" s="103">
        <v>11708.719810000001</v>
      </c>
      <c r="P17" s="103">
        <v>-3237.301934000001</v>
      </c>
      <c r="Q17" s="106">
        <v>72123.45961000002</v>
      </c>
      <c r="R17">
        <v>0</v>
      </c>
    </row>
    <row r="18" spans="2:18" ht="30" customHeight="1" x14ac:dyDescent="0.35">
      <c r="B18" s="100" t="s">
        <v>66</v>
      </c>
      <c r="C18" s="103">
        <v>-11422.696</v>
      </c>
      <c r="D18" s="103">
        <v>-56653.413999999997</v>
      </c>
      <c r="E18" s="103">
        <v>3518.67</v>
      </c>
      <c r="F18" s="103">
        <v>-174146.66099999999</v>
      </c>
      <c r="G18" s="103">
        <v>-1197.251</v>
      </c>
      <c r="H18" s="103">
        <v>-2687.1089999999999</v>
      </c>
      <c r="I18" s="103">
        <v>43079.385000000002</v>
      </c>
      <c r="J18" s="103">
        <v>34394.692999999999</v>
      </c>
      <c r="K18" s="103">
        <v>0</v>
      </c>
      <c r="L18" s="103">
        <v>3868.8270000000002</v>
      </c>
      <c r="M18" s="103">
        <v>4080.4380000000001</v>
      </c>
      <c r="N18" s="103">
        <v>33349.328000000001</v>
      </c>
      <c r="O18" s="103">
        <v>-129861.363</v>
      </c>
      <c r="P18" s="103">
        <v>-23793.883000000002</v>
      </c>
      <c r="Q18" s="106">
        <v>-277471.03600000002</v>
      </c>
      <c r="R18">
        <v>0</v>
      </c>
    </row>
    <row r="19" spans="2:18" ht="30" customHeight="1" x14ac:dyDescent="0.35">
      <c r="B19" s="100" t="s">
        <v>67</v>
      </c>
      <c r="C19" s="103">
        <v>-4690.9530000000004</v>
      </c>
      <c r="D19" s="103">
        <v>-1927.7639999999999</v>
      </c>
      <c r="E19" s="103">
        <v>426.91199999999998</v>
      </c>
      <c r="F19" s="103">
        <v>1956.0909999999999</v>
      </c>
      <c r="G19" s="103">
        <v>3810.7919999999999</v>
      </c>
      <c r="H19" s="103">
        <v>-34236.008000000002</v>
      </c>
      <c r="I19" s="103">
        <v>30606.510999999999</v>
      </c>
      <c r="J19" s="103">
        <v>25590.257000000001</v>
      </c>
      <c r="K19" s="103">
        <v>0</v>
      </c>
      <c r="L19" s="103">
        <v>-7741.317</v>
      </c>
      <c r="M19" s="103">
        <v>-10135.280000000001</v>
      </c>
      <c r="N19" s="103">
        <v>20261.8</v>
      </c>
      <c r="O19" s="103">
        <v>0</v>
      </c>
      <c r="P19" s="103">
        <v>-3360.4720000000002</v>
      </c>
      <c r="Q19" s="106">
        <v>20560.569</v>
      </c>
      <c r="R19">
        <v>0</v>
      </c>
    </row>
    <row r="20" spans="2:18" ht="30" customHeight="1" x14ac:dyDescent="0.35">
      <c r="B20" s="100" t="s">
        <v>68</v>
      </c>
      <c r="C20" s="103">
        <v>-10203.817999999999</v>
      </c>
      <c r="D20" s="103">
        <v>1719.3920000000001</v>
      </c>
      <c r="E20" s="103">
        <v>7470.826</v>
      </c>
      <c r="F20" s="103">
        <v>-10934.629000000001</v>
      </c>
      <c r="G20" s="103">
        <v>-658.02200000000005</v>
      </c>
      <c r="H20" s="103">
        <v>3615.0210000000002</v>
      </c>
      <c r="I20" s="103">
        <v>47245.343999999997</v>
      </c>
      <c r="J20" s="103">
        <v>13565.141</v>
      </c>
      <c r="K20" s="103">
        <v>0</v>
      </c>
      <c r="L20" s="103">
        <v>3559.93</v>
      </c>
      <c r="M20" s="103">
        <v>3511.3780000000002</v>
      </c>
      <c r="N20" s="103">
        <v>43446.98</v>
      </c>
      <c r="O20" s="103">
        <v>775.88300000000004</v>
      </c>
      <c r="P20" s="103">
        <v>-1929.164</v>
      </c>
      <c r="Q20" s="106">
        <v>101184.262</v>
      </c>
      <c r="R20">
        <v>0</v>
      </c>
    </row>
    <row r="21" spans="2:18" ht="30" customHeight="1" x14ac:dyDescent="0.35">
      <c r="B21" s="100" t="s">
        <v>69</v>
      </c>
      <c r="C21" s="103">
        <v>0</v>
      </c>
      <c r="D21" s="103">
        <v>8992.7440000000006</v>
      </c>
      <c r="E21" s="103">
        <v>1721.425</v>
      </c>
      <c r="F21" s="103">
        <v>-4172.7939999999999</v>
      </c>
      <c r="G21" s="103">
        <v>2274.4079999999999</v>
      </c>
      <c r="H21" s="103">
        <v>5887.2740000000003</v>
      </c>
      <c r="I21" s="103">
        <v>23368.123</v>
      </c>
      <c r="J21" s="103">
        <v>11555.409</v>
      </c>
      <c r="K21" s="103">
        <v>1340.3489999999999</v>
      </c>
      <c r="L21" s="103">
        <v>432.62799999999999</v>
      </c>
      <c r="M21" s="103">
        <v>4027.1759999999999</v>
      </c>
      <c r="N21" s="103">
        <v>20894.527999999998</v>
      </c>
      <c r="O21" s="103">
        <v>0</v>
      </c>
      <c r="P21" s="103">
        <v>3148.9929999999999</v>
      </c>
      <c r="Q21" s="106">
        <v>79470.263000000006</v>
      </c>
      <c r="R21">
        <v>0</v>
      </c>
    </row>
    <row r="22" spans="2:18" ht="30" customHeight="1" x14ac:dyDescent="0.35">
      <c r="B22" s="100" t="s">
        <v>70</v>
      </c>
      <c r="C22" s="103">
        <v>0</v>
      </c>
      <c r="D22" s="103">
        <v>0</v>
      </c>
      <c r="E22" s="103">
        <v>0</v>
      </c>
      <c r="F22" s="103">
        <v>0</v>
      </c>
      <c r="G22" s="103">
        <v>0</v>
      </c>
      <c r="H22" s="103">
        <v>0</v>
      </c>
      <c r="I22" s="103">
        <v>0</v>
      </c>
      <c r="J22" s="103">
        <v>0</v>
      </c>
      <c r="K22" s="103">
        <v>0</v>
      </c>
      <c r="L22" s="103">
        <v>0</v>
      </c>
      <c r="M22" s="103">
        <v>0</v>
      </c>
      <c r="N22" s="103">
        <v>0</v>
      </c>
      <c r="O22" s="103">
        <v>0</v>
      </c>
      <c r="P22" s="103">
        <v>0</v>
      </c>
      <c r="Q22" s="106">
        <v>0</v>
      </c>
      <c r="R22">
        <v>0</v>
      </c>
    </row>
    <row r="23" spans="2:18" ht="30" customHeight="1" x14ac:dyDescent="0.35">
      <c r="B23" s="100" t="s">
        <v>71</v>
      </c>
      <c r="C23" s="103">
        <v>0</v>
      </c>
      <c r="D23" s="103">
        <v>0</v>
      </c>
      <c r="E23" s="103">
        <v>0</v>
      </c>
      <c r="F23" s="103">
        <v>0</v>
      </c>
      <c r="G23" s="103">
        <v>0</v>
      </c>
      <c r="H23" s="103">
        <v>0</v>
      </c>
      <c r="I23" s="103">
        <v>0</v>
      </c>
      <c r="J23" s="103">
        <v>0</v>
      </c>
      <c r="K23" s="103">
        <v>0</v>
      </c>
      <c r="L23" s="103">
        <v>0</v>
      </c>
      <c r="M23" s="103">
        <v>0</v>
      </c>
      <c r="N23" s="103">
        <v>0</v>
      </c>
      <c r="O23" s="103">
        <v>351249.78330000001</v>
      </c>
      <c r="P23" s="103">
        <v>0</v>
      </c>
      <c r="Q23" s="106">
        <v>351249.78330000001</v>
      </c>
      <c r="R23">
        <v>0</v>
      </c>
    </row>
    <row r="24" spans="2:18" ht="30" customHeight="1" x14ac:dyDescent="0.35">
      <c r="B24" s="100" t="s">
        <v>72</v>
      </c>
      <c r="C24" s="103">
        <v>0</v>
      </c>
      <c r="D24" s="103">
        <v>-824.72</v>
      </c>
      <c r="E24" s="103">
        <v>1163.7439999999999</v>
      </c>
      <c r="F24" s="103">
        <v>-6324.2349999999997</v>
      </c>
      <c r="G24" s="103">
        <v>760.12</v>
      </c>
      <c r="H24" s="103">
        <v>2735.97</v>
      </c>
      <c r="I24" s="103">
        <v>15807.505999999999</v>
      </c>
      <c r="J24" s="103">
        <v>9889.7950000000001</v>
      </c>
      <c r="K24" s="103">
        <v>0</v>
      </c>
      <c r="L24" s="103">
        <v>105.509</v>
      </c>
      <c r="M24" s="103">
        <v>-2914.3789999999999</v>
      </c>
      <c r="N24" s="103">
        <v>11762.054</v>
      </c>
      <c r="O24" s="103">
        <v>-758.46100000000001</v>
      </c>
      <c r="P24" s="103">
        <v>-214.828</v>
      </c>
      <c r="Q24" s="106">
        <v>31188.075000000001</v>
      </c>
      <c r="R24">
        <v>0</v>
      </c>
    </row>
    <row r="25" spans="2:18" ht="30" customHeight="1" x14ac:dyDescent="0.35">
      <c r="B25" s="100" t="s">
        <v>73</v>
      </c>
      <c r="C25" s="103">
        <v>0</v>
      </c>
      <c r="D25" s="103">
        <v>0</v>
      </c>
      <c r="E25" s="103">
        <v>0</v>
      </c>
      <c r="F25" s="103">
        <v>0</v>
      </c>
      <c r="G25" s="103">
        <v>0</v>
      </c>
      <c r="H25" s="103">
        <v>0</v>
      </c>
      <c r="I25" s="103">
        <v>0</v>
      </c>
      <c r="J25" s="103">
        <v>0</v>
      </c>
      <c r="K25" s="103">
        <v>0</v>
      </c>
      <c r="L25" s="103">
        <v>0</v>
      </c>
      <c r="M25" s="103">
        <v>0</v>
      </c>
      <c r="N25" s="103">
        <v>0</v>
      </c>
      <c r="O25" s="103">
        <v>0</v>
      </c>
      <c r="P25" s="103">
        <v>0</v>
      </c>
      <c r="Q25" s="106">
        <v>0</v>
      </c>
      <c r="R25">
        <v>0</v>
      </c>
    </row>
    <row r="26" spans="2:18" ht="30" customHeight="1" x14ac:dyDescent="0.35">
      <c r="B26" s="100" t="s">
        <v>74</v>
      </c>
      <c r="C26" s="103">
        <v>0</v>
      </c>
      <c r="D26" s="103">
        <v>321.97523607982703</v>
      </c>
      <c r="E26" s="103">
        <v>1144.9283968742729</v>
      </c>
      <c r="F26" s="103">
        <v>-20635.491328002889</v>
      </c>
      <c r="G26" s="103">
        <v>10622.590148271909</v>
      </c>
      <c r="H26" s="103">
        <v>12.310112412586809</v>
      </c>
      <c r="I26" s="103">
        <v>12624.18804462978</v>
      </c>
      <c r="J26" s="103">
        <v>104163.608572553</v>
      </c>
      <c r="K26" s="103">
        <v>0</v>
      </c>
      <c r="L26" s="103">
        <v>180.68379108823089</v>
      </c>
      <c r="M26" s="103">
        <v>-3307.6694018669391</v>
      </c>
      <c r="N26" s="103">
        <v>3976.9564219006752</v>
      </c>
      <c r="O26" s="103">
        <v>-15080.408898510401</v>
      </c>
      <c r="P26" s="103">
        <v>4376.4630064977127</v>
      </c>
      <c r="Q26" s="106">
        <v>98400.134101927775</v>
      </c>
      <c r="R26">
        <v>0</v>
      </c>
    </row>
    <row r="27" spans="2:18" ht="30" customHeight="1" x14ac:dyDescent="0.35">
      <c r="B27" s="100" t="s">
        <v>75</v>
      </c>
      <c r="C27" s="103">
        <v>-16051.29476255466</v>
      </c>
      <c r="D27" s="103">
        <v>3254.9113773613421</v>
      </c>
      <c r="E27" s="103">
        <v>3789.4389619106132</v>
      </c>
      <c r="F27" s="103">
        <v>-25652.487521745828</v>
      </c>
      <c r="G27" s="103">
        <v>2676.274721360528</v>
      </c>
      <c r="H27" s="103">
        <v>-295.30652481273188</v>
      </c>
      <c r="I27" s="103">
        <v>17582.646089308411</v>
      </c>
      <c r="J27" s="103">
        <v>13624.938694523171</v>
      </c>
      <c r="K27" s="103">
        <v>0</v>
      </c>
      <c r="L27" s="103">
        <v>861.198948054384</v>
      </c>
      <c r="M27" s="103">
        <v>-1167.665917318413</v>
      </c>
      <c r="N27" s="103">
        <v>38823.759175943647</v>
      </c>
      <c r="O27" s="103">
        <v>0</v>
      </c>
      <c r="P27" s="103">
        <v>-10183.92706712319</v>
      </c>
      <c r="Q27" s="106">
        <v>27262.486174907281</v>
      </c>
      <c r="R27">
        <v>0</v>
      </c>
    </row>
    <row r="28" spans="2:18" ht="30" customHeight="1" x14ac:dyDescent="0.35">
      <c r="B28" s="100" t="s">
        <v>76</v>
      </c>
      <c r="C28" s="103">
        <v>-1974.776637184684</v>
      </c>
      <c r="D28" s="103">
        <v>258.72245210436881</v>
      </c>
      <c r="E28" s="103">
        <v>424.56575535593959</v>
      </c>
      <c r="F28" s="103">
        <v>-5045.4115230547204</v>
      </c>
      <c r="G28" s="103">
        <v>-1258.3137838411189</v>
      </c>
      <c r="H28" s="103">
        <v>-1875.6757146973209</v>
      </c>
      <c r="I28" s="103">
        <v>6417.3982063433041</v>
      </c>
      <c r="J28" s="103">
        <v>2839.6060551671239</v>
      </c>
      <c r="K28" s="103">
        <v>0</v>
      </c>
      <c r="L28" s="103">
        <v>355.8934548323881</v>
      </c>
      <c r="M28" s="103">
        <v>4581.314290412859</v>
      </c>
      <c r="N28" s="103">
        <v>3849.7158888359909</v>
      </c>
      <c r="O28" s="103">
        <v>20225.002</v>
      </c>
      <c r="P28" s="103">
        <v>186.0291632309391</v>
      </c>
      <c r="Q28" s="106">
        <v>28984.069607505069</v>
      </c>
      <c r="R28">
        <v>0</v>
      </c>
    </row>
    <row r="29" spans="2:18" ht="30" customHeight="1" x14ac:dyDescent="0.35">
      <c r="B29" s="100" t="s">
        <v>77</v>
      </c>
      <c r="C29" s="103">
        <v>0</v>
      </c>
      <c r="D29" s="103">
        <v>-603.74608999999998</v>
      </c>
      <c r="E29" s="103">
        <v>-594.87922999998364</v>
      </c>
      <c r="F29" s="103">
        <v>-26783.48515000039</v>
      </c>
      <c r="G29" s="103">
        <v>20723.790579999979</v>
      </c>
      <c r="H29" s="103">
        <v>-675.26121999999998</v>
      </c>
      <c r="I29" s="103">
        <v>-403.27047999995568</v>
      </c>
      <c r="J29" s="103">
        <v>-269.42581000001587</v>
      </c>
      <c r="K29" s="103">
        <v>0</v>
      </c>
      <c r="L29" s="103">
        <v>-6865.2611000001734</v>
      </c>
      <c r="M29" s="103">
        <v>-21878.498899999999</v>
      </c>
      <c r="N29" s="103">
        <v>14250.82083999998</v>
      </c>
      <c r="O29" s="103">
        <v>0</v>
      </c>
      <c r="P29" s="103">
        <v>0</v>
      </c>
      <c r="Q29" s="106">
        <v>-23099.21656000055</v>
      </c>
      <c r="R29">
        <v>0</v>
      </c>
    </row>
    <row r="30" spans="2:18" ht="30" customHeight="1" x14ac:dyDescent="0.35">
      <c r="B30" s="100" t="s">
        <v>78</v>
      </c>
      <c r="C30" s="103">
        <v>1955.3789999999999</v>
      </c>
      <c r="D30" s="103">
        <v>1344.9459999999999</v>
      </c>
      <c r="E30" s="103">
        <v>2159.2629999999999</v>
      </c>
      <c r="F30" s="103">
        <v>-4232.5770000000002</v>
      </c>
      <c r="G30" s="103">
        <v>204.68899999999999</v>
      </c>
      <c r="H30" s="103">
        <v>1431.6469999999999</v>
      </c>
      <c r="I30" s="103">
        <v>10284.486999999999</v>
      </c>
      <c r="J30" s="103">
        <v>18002.882000000001</v>
      </c>
      <c r="K30" s="103">
        <v>0</v>
      </c>
      <c r="L30" s="103">
        <v>1104.7719999999999</v>
      </c>
      <c r="M30" s="103">
        <v>1459.97</v>
      </c>
      <c r="N30" s="103">
        <v>12671.072</v>
      </c>
      <c r="O30" s="103">
        <v>0</v>
      </c>
      <c r="P30" s="103">
        <v>-2374.4360000000001</v>
      </c>
      <c r="Q30" s="106">
        <v>44012.093999999997</v>
      </c>
      <c r="R30">
        <v>0</v>
      </c>
    </row>
    <row r="31" spans="2:18" ht="30" customHeight="1" x14ac:dyDescent="0.35">
      <c r="B31" s="100" t="s">
        <v>79</v>
      </c>
      <c r="C31" s="103">
        <v>-519.70327968173285</v>
      </c>
      <c r="D31" s="103">
        <v>1439.1511019684001</v>
      </c>
      <c r="E31" s="103">
        <v>7802.0277379713607</v>
      </c>
      <c r="F31" s="103">
        <v>-9848.2972748723478</v>
      </c>
      <c r="G31" s="103">
        <v>1335.9705167570489</v>
      </c>
      <c r="H31" s="103">
        <v>2120.2903320183232</v>
      </c>
      <c r="I31" s="103">
        <v>35777.376973853818</v>
      </c>
      <c r="J31" s="103">
        <v>31604.852639080149</v>
      </c>
      <c r="K31" s="103">
        <v>0</v>
      </c>
      <c r="L31" s="103">
        <v>3083.8506648563362</v>
      </c>
      <c r="M31" s="103">
        <v>609.6227776362449</v>
      </c>
      <c r="N31" s="103">
        <v>18564.820207102719</v>
      </c>
      <c r="O31" s="103">
        <v>278599.22899999999</v>
      </c>
      <c r="P31" s="103">
        <v>-819.205238272212</v>
      </c>
      <c r="Q31" s="106">
        <v>369749.98615841812</v>
      </c>
      <c r="R31">
        <v>0</v>
      </c>
    </row>
    <row r="32" spans="2:18" ht="30" customHeight="1" x14ac:dyDescent="0.35">
      <c r="B32" s="100" t="s">
        <v>80</v>
      </c>
      <c r="C32" s="103">
        <v>0</v>
      </c>
      <c r="D32" s="103">
        <v>864.03800000000001</v>
      </c>
      <c r="E32" s="103">
        <v>750.76400000000001</v>
      </c>
      <c r="F32" s="103">
        <v>2865.377</v>
      </c>
      <c r="G32" s="103">
        <v>12818.916999999999</v>
      </c>
      <c r="H32" s="103">
        <v>100.4</v>
      </c>
      <c r="I32" s="103">
        <v>14200.968999999999</v>
      </c>
      <c r="J32" s="103">
        <v>15254.376</v>
      </c>
      <c r="K32" s="103">
        <v>0</v>
      </c>
      <c r="L32" s="103">
        <v>1788.3</v>
      </c>
      <c r="M32" s="103">
        <v>881.14400000000001</v>
      </c>
      <c r="N32" s="103">
        <v>6411.5680000000002</v>
      </c>
      <c r="O32" s="103">
        <v>17211.232</v>
      </c>
      <c r="P32" s="103">
        <v>173.536</v>
      </c>
      <c r="Q32" s="106">
        <v>73320.620999999999</v>
      </c>
      <c r="R32">
        <v>0</v>
      </c>
    </row>
    <row r="33" spans="2:18" ht="30" customHeight="1" x14ac:dyDescent="0.35">
      <c r="B33" s="100" t="s">
        <v>81</v>
      </c>
      <c r="C33" s="103">
        <v>625.34100000000001</v>
      </c>
      <c r="D33" s="103">
        <v>-299.45400000000001</v>
      </c>
      <c r="E33" s="103">
        <v>352.19099999999997</v>
      </c>
      <c r="F33" s="103">
        <v>-6710.2950000000001</v>
      </c>
      <c r="G33" s="103">
        <v>2965.3220000000001</v>
      </c>
      <c r="H33" s="103">
        <v>-428.32499999999999</v>
      </c>
      <c r="I33" s="103">
        <v>29870.585999999999</v>
      </c>
      <c r="J33" s="103">
        <v>16855.469000000001</v>
      </c>
      <c r="K33" s="103">
        <v>0</v>
      </c>
      <c r="L33" s="103">
        <v>512.70500000000004</v>
      </c>
      <c r="M33" s="103">
        <v>1133.383</v>
      </c>
      <c r="N33" s="103">
        <v>2850.42</v>
      </c>
      <c r="O33" s="103">
        <v>0</v>
      </c>
      <c r="P33" s="103">
        <v>-1894.7139999999999</v>
      </c>
      <c r="Q33" s="106">
        <v>45832.629000000001</v>
      </c>
      <c r="R33">
        <v>0</v>
      </c>
    </row>
    <row r="34" spans="2:18" ht="30" customHeight="1" x14ac:dyDescent="0.35">
      <c r="B34" s="100" t="s">
        <v>82</v>
      </c>
      <c r="C34" s="103">
        <v>0</v>
      </c>
      <c r="D34" s="103">
        <v>-134.4840557941003</v>
      </c>
      <c r="E34" s="103">
        <v>5336.254337176023</v>
      </c>
      <c r="F34" s="103">
        <v>-8783.2425020465853</v>
      </c>
      <c r="G34" s="103">
        <v>-1470.00335170424</v>
      </c>
      <c r="H34" s="103">
        <v>-635.9519163675709</v>
      </c>
      <c r="I34" s="103">
        <v>15866.37004034774</v>
      </c>
      <c r="J34" s="103">
        <v>15317.345128630101</v>
      </c>
      <c r="K34" s="103">
        <v>-5908.7111945263596</v>
      </c>
      <c r="L34" s="103">
        <v>-36.438731474538741</v>
      </c>
      <c r="M34" s="103">
        <v>-2682.711607372964</v>
      </c>
      <c r="N34" s="103">
        <v>2671.3435139336129</v>
      </c>
      <c r="O34" s="103">
        <v>0</v>
      </c>
      <c r="P34" s="103">
        <v>-3831.3894556374048</v>
      </c>
      <c r="Q34" s="106">
        <v>15708.380205163719</v>
      </c>
      <c r="R34">
        <v>0</v>
      </c>
    </row>
    <row r="35" spans="2:18" ht="30" customHeight="1" x14ac:dyDescent="0.35">
      <c r="B35" s="100" t="s">
        <v>83</v>
      </c>
      <c r="C35" s="103">
        <v>-2552.2249999999999</v>
      </c>
      <c r="D35" s="103">
        <v>-882.88789999999995</v>
      </c>
      <c r="E35" s="103">
        <v>-0.52877000000000041</v>
      </c>
      <c r="F35" s="103">
        <v>-2152.9398299999998</v>
      </c>
      <c r="G35" s="103">
        <v>51.434159999999999</v>
      </c>
      <c r="H35" s="103">
        <v>314.50842000000011</v>
      </c>
      <c r="I35" s="103">
        <v>4360.3551100000004</v>
      </c>
      <c r="J35" s="103">
        <v>1359.90418</v>
      </c>
      <c r="K35" s="103">
        <v>0</v>
      </c>
      <c r="L35" s="103">
        <v>-28.125</v>
      </c>
      <c r="M35" s="103">
        <v>-41.982840000000003</v>
      </c>
      <c r="N35" s="103">
        <v>562.91568999999993</v>
      </c>
      <c r="O35" s="103">
        <v>4185.3647032099398</v>
      </c>
      <c r="P35" s="103">
        <v>-417.09559000000002</v>
      </c>
      <c r="Q35" s="106">
        <v>4758.6973332099406</v>
      </c>
      <c r="R35">
        <v>0</v>
      </c>
    </row>
    <row r="36" spans="2:18" ht="30" customHeight="1" x14ac:dyDescent="0.35">
      <c r="B36" s="100" t="s">
        <v>84</v>
      </c>
      <c r="C36" s="103">
        <v>0</v>
      </c>
      <c r="D36" s="103">
        <v>426.33637665380633</v>
      </c>
      <c r="E36" s="103">
        <v>91.886418345069075</v>
      </c>
      <c r="F36" s="103">
        <v>1247.601123314734</v>
      </c>
      <c r="G36" s="103">
        <v>996.14691553138641</v>
      </c>
      <c r="H36" s="103">
        <v>283.5797455873751</v>
      </c>
      <c r="I36" s="103">
        <v>5446.1153783796344</v>
      </c>
      <c r="J36" s="103">
        <v>10109.88216609036</v>
      </c>
      <c r="K36" s="103">
        <v>0</v>
      </c>
      <c r="L36" s="103">
        <v>45.653383377832007</v>
      </c>
      <c r="M36" s="103">
        <v>738.9226103087874</v>
      </c>
      <c r="N36" s="103">
        <v>752.59681614588226</v>
      </c>
      <c r="O36" s="103">
        <v>67.001376338471914</v>
      </c>
      <c r="P36" s="103">
        <v>173.6884361827988</v>
      </c>
      <c r="Q36" s="106">
        <v>20379.410746256141</v>
      </c>
      <c r="R36">
        <v>0</v>
      </c>
    </row>
    <row r="37" spans="2:18" ht="30" customHeight="1" x14ac:dyDescent="0.35">
      <c r="B37" s="100" t="s">
        <v>85</v>
      </c>
      <c r="C37" s="103">
        <v>0</v>
      </c>
      <c r="D37" s="103">
        <v>1367.7901925177871</v>
      </c>
      <c r="E37" s="103">
        <v>523.12044058690822</v>
      </c>
      <c r="F37" s="103">
        <v>5435.2023484147776</v>
      </c>
      <c r="G37" s="103">
        <v>415.21163335570787</v>
      </c>
      <c r="H37" s="103">
        <v>725.60700634283853</v>
      </c>
      <c r="I37" s="103">
        <v>1397.9845900977441</v>
      </c>
      <c r="J37" s="103">
        <v>1299.789989742163</v>
      </c>
      <c r="K37" s="103">
        <v>0</v>
      </c>
      <c r="L37" s="103">
        <v>76.570378119518921</v>
      </c>
      <c r="M37" s="103">
        <v>907.13485276247843</v>
      </c>
      <c r="N37" s="103">
        <v>2047.022846247103</v>
      </c>
      <c r="O37" s="103">
        <v>13.371343593624029</v>
      </c>
      <c r="P37" s="103">
        <v>78.135323713771939</v>
      </c>
      <c r="Q37" s="106">
        <v>14286.940945494431</v>
      </c>
      <c r="R37">
        <v>0</v>
      </c>
    </row>
    <row r="38" spans="2:18" ht="30" customHeight="1" x14ac:dyDescent="0.35">
      <c r="B38" s="100" t="s">
        <v>86</v>
      </c>
      <c r="C38" s="103">
        <v>-1430.75</v>
      </c>
      <c r="D38" s="103">
        <v>2161.069</v>
      </c>
      <c r="E38" s="103">
        <v>43761.648999999998</v>
      </c>
      <c r="F38" s="103">
        <v>-44644.184000000001</v>
      </c>
      <c r="G38" s="103">
        <v>4977.3320000000003</v>
      </c>
      <c r="H38" s="103">
        <v>1945.0340000000001</v>
      </c>
      <c r="I38" s="103">
        <v>30763.519</v>
      </c>
      <c r="J38" s="103">
        <v>14928.833000000001</v>
      </c>
      <c r="K38" s="103">
        <v>-643.69500000000005</v>
      </c>
      <c r="L38" s="103">
        <v>6130.4639999999999</v>
      </c>
      <c r="M38" s="103">
        <v>4239.58</v>
      </c>
      <c r="N38" s="103">
        <v>16626.424999999999</v>
      </c>
      <c r="O38" s="103">
        <v>23788.29</v>
      </c>
      <c r="P38" s="103">
        <v>3521.518</v>
      </c>
      <c r="Q38" s="106">
        <v>106125.084</v>
      </c>
      <c r="R38">
        <v>0</v>
      </c>
    </row>
    <row r="39" spans="2:18" ht="30" customHeight="1" x14ac:dyDescent="0.35">
      <c r="B39" s="160" t="s">
        <v>87</v>
      </c>
      <c r="C39" s="103">
        <v>0</v>
      </c>
      <c r="D39" s="103">
        <v>781.58699999999999</v>
      </c>
      <c r="E39" s="103">
        <v>125.84</v>
      </c>
      <c r="F39" s="103">
        <v>316.72899999999998</v>
      </c>
      <c r="G39" s="103">
        <v>760.399</v>
      </c>
      <c r="H39" s="103">
        <v>158.57300000000001</v>
      </c>
      <c r="I39" s="103">
        <v>15896.14</v>
      </c>
      <c r="J39" s="103">
        <v>4400.7929999999997</v>
      </c>
      <c r="K39" s="103">
        <v>0</v>
      </c>
      <c r="L39" s="103">
        <v>309.29899999999998</v>
      </c>
      <c r="M39" s="103">
        <v>257.61500000000001</v>
      </c>
      <c r="N39" s="103">
        <v>1419.354</v>
      </c>
      <c r="O39" s="103">
        <v>1375.029</v>
      </c>
      <c r="P39" s="103">
        <v>0</v>
      </c>
      <c r="Q39" s="106">
        <v>25801.358</v>
      </c>
      <c r="R39">
        <v>0</v>
      </c>
    </row>
    <row r="40" spans="2:18" ht="30" customHeight="1" x14ac:dyDescent="0.35">
      <c r="B40" s="160" t="s">
        <v>88</v>
      </c>
      <c r="C40" s="103">
        <v>0</v>
      </c>
      <c r="D40" s="103">
        <v>-220.715</v>
      </c>
      <c r="E40" s="103">
        <v>-44.216000000000001</v>
      </c>
      <c r="F40" s="103">
        <v>-1392.6020000000001</v>
      </c>
      <c r="G40" s="103">
        <v>186.28299999999999</v>
      </c>
      <c r="H40" s="103">
        <v>34.01</v>
      </c>
      <c r="I40" s="103">
        <v>33551.654999999999</v>
      </c>
      <c r="J40" s="103">
        <v>19839.355</v>
      </c>
      <c r="K40" s="103">
        <v>0</v>
      </c>
      <c r="L40" s="103">
        <v>36.259</v>
      </c>
      <c r="M40" s="103">
        <v>-61.828000000000003</v>
      </c>
      <c r="N40" s="103">
        <v>842.70600000000002</v>
      </c>
      <c r="O40" s="103">
        <v>0</v>
      </c>
      <c r="P40" s="103">
        <v>108.533</v>
      </c>
      <c r="Q40" s="106">
        <v>52879.44</v>
      </c>
      <c r="R40">
        <v>0</v>
      </c>
    </row>
    <row r="41" spans="2:18" ht="30" customHeight="1" x14ac:dyDescent="0.35">
      <c r="B41" s="160" t="s">
        <v>89</v>
      </c>
      <c r="C41" s="103">
        <v>0</v>
      </c>
      <c r="D41" s="103">
        <v>0</v>
      </c>
      <c r="E41" s="103">
        <v>0</v>
      </c>
      <c r="F41" s="103">
        <v>0</v>
      </c>
      <c r="G41" s="103">
        <v>0</v>
      </c>
      <c r="H41" s="103">
        <v>0</v>
      </c>
      <c r="I41" s="103">
        <v>0</v>
      </c>
      <c r="J41" s="103">
        <v>0</v>
      </c>
      <c r="K41" s="103">
        <v>0</v>
      </c>
      <c r="L41" s="103">
        <v>0</v>
      </c>
      <c r="M41" s="103">
        <v>0</v>
      </c>
      <c r="N41" s="103">
        <v>0</v>
      </c>
      <c r="O41" s="103">
        <v>0</v>
      </c>
      <c r="P41" s="103">
        <v>0</v>
      </c>
      <c r="Q41" s="106">
        <v>0</v>
      </c>
      <c r="R41">
        <v>0</v>
      </c>
    </row>
    <row r="42" spans="2:18" ht="30" customHeight="1" x14ac:dyDescent="0.35">
      <c r="B42" s="104" t="s">
        <v>90</v>
      </c>
      <c r="C42" s="105">
        <f t="shared" ref="C42:Q42" si="0">SUM(C6:C41)</f>
        <v>-56005.126945253731</v>
      </c>
      <c r="D42" s="105">
        <f t="shared" si="0"/>
        <v>-39007.721827141133</v>
      </c>
      <c r="E42" s="105">
        <f t="shared" si="0"/>
        <v>99983.643254151204</v>
      </c>
      <c r="F42" s="105">
        <f t="shared" si="0"/>
        <v>-424771.19746283226</v>
      </c>
      <c r="G42" s="105">
        <f t="shared" si="0"/>
        <v>61520.123234457482</v>
      </c>
      <c r="H42" s="105">
        <f t="shared" si="0"/>
        <v>-24685.767135197875</v>
      </c>
      <c r="I42" s="105">
        <f t="shared" si="0"/>
        <v>675892.13832689787</v>
      </c>
      <c r="J42" s="105">
        <f t="shared" si="0"/>
        <v>560112.8870955467</v>
      </c>
      <c r="K42" s="105">
        <f t="shared" si="0"/>
        <v>165285.23914293278</v>
      </c>
      <c r="L42" s="105">
        <f t="shared" si="0"/>
        <v>14277.541285784335</v>
      </c>
      <c r="M42" s="105">
        <f t="shared" si="0"/>
        <v>-49819.658566146674</v>
      </c>
      <c r="N42" s="105">
        <f t="shared" si="0"/>
        <v>357521.20146820968</v>
      </c>
      <c r="O42" s="105">
        <f t="shared" si="0"/>
        <v>1119430.1378624544</v>
      </c>
      <c r="P42" s="105">
        <f t="shared" si="0"/>
        <v>-48812.347213812762</v>
      </c>
      <c r="Q42" s="105">
        <f t="shared" si="0"/>
        <v>2410921.0925200507</v>
      </c>
    </row>
    <row r="43" spans="2:18" ht="30" customHeight="1" x14ac:dyDescent="0.35">
      <c r="B43" s="278" t="s">
        <v>91</v>
      </c>
      <c r="C43" s="252"/>
      <c r="D43" s="252"/>
      <c r="E43" s="252"/>
      <c r="F43" s="252"/>
      <c r="G43" s="252"/>
      <c r="H43" s="252"/>
      <c r="I43" s="252"/>
      <c r="J43" s="252"/>
      <c r="K43" s="252"/>
      <c r="L43" s="252"/>
      <c r="M43" s="252"/>
      <c r="N43" s="252"/>
      <c r="O43" s="252"/>
      <c r="P43" s="252"/>
      <c r="Q43" s="253"/>
    </row>
    <row r="44" spans="2:18" ht="30" customHeight="1" x14ac:dyDescent="0.35">
      <c r="B44" s="100" t="s">
        <v>92</v>
      </c>
      <c r="C44" s="103">
        <v>1338.5046400000001</v>
      </c>
      <c r="D44" s="103">
        <v>40799.491005000003</v>
      </c>
      <c r="E44" s="103">
        <v>33746.047638399999</v>
      </c>
      <c r="F44" s="103">
        <v>121787.24626260001</v>
      </c>
      <c r="G44" s="103">
        <v>9314.1288363999993</v>
      </c>
      <c r="H44" s="103">
        <v>21071.086367799999</v>
      </c>
      <c r="I44" s="103">
        <v>2050.0004963000001</v>
      </c>
      <c r="J44" s="103">
        <v>7475.1922096999997</v>
      </c>
      <c r="K44" s="103">
        <v>0</v>
      </c>
      <c r="L44" s="103">
        <v>23258.690523900001</v>
      </c>
      <c r="M44" s="103">
        <v>92.571938300000014</v>
      </c>
      <c r="N44" s="103">
        <v>2369.0988796000001</v>
      </c>
      <c r="O44" s="103">
        <v>85513.971450800003</v>
      </c>
      <c r="P44" s="103">
        <v>77932.220951199997</v>
      </c>
      <c r="Q44" s="106">
        <v>426748.25120000012</v>
      </c>
      <c r="R44">
        <v>0</v>
      </c>
    </row>
    <row r="45" spans="2:18" ht="30" customHeight="1" x14ac:dyDescent="0.35">
      <c r="B45" s="100" t="s">
        <v>93</v>
      </c>
      <c r="C45" s="103">
        <v>181.7297728445989</v>
      </c>
      <c r="D45" s="103">
        <v>8808.3888220968092</v>
      </c>
      <c r="E45" s="103">
        <v>0</v>
      </c>
      <c r="F45" s="103">
        <v>159322.17359060689</v>
      </c>
      <c r="G45" s="103">
        <v>3485.6543676418009</v>
      </c>
      <c r="H45" s="103">
        <v>13197.83891714948</v>
      </c>
      <c r="I45" s="103">
        <v>0</v>
      </c>
      <c r="J45" s="103">
        <v>5765.0462853592153</v>
      </c>
      <c r="K45" s="103">
        <v>0</v>
      </c>
      <c r="L45" s="103">
        <v>17074.76354333065</v>
      </c>
      <c r="M45" s="103">
        <v>0</v>
      </c>
      <c r="N45" s="103">
        <v>0</v>
      </c>
      <c r="O45" s="103">
        <v>81029.636125583696</v>
      </c>
      <c r="P45" s="103">
        <v>39951.413236965818</v>
      </c>
      <c r="Q45" s="106">
        <v>328816.64466157899</v>
      </c>
      <c r="R45">
        <v>0</v>
      </c>
    </row>
    <row r="46" spans="2:18" ht="30" customHeight="1" x14ac:dyDescent="0.35">
      <c r="B46" s="100" t="s">
        <v>94</v>
      </c>
      <c r="C46" s="103">
        <v>797.71199999999999</v>
      </c>
      <c r="D46" s="103">
        <v>14601.906000000001</v>
      </c>
      <c r="E46" s="103">
        <v>20738.156999999999</v>
      </c>
      <c r="F46" s="103">
        <v>162919.04699999999</v>
      </c>
      <c r="G46" s="103">
        <v>3465.3620000000001</v>
      </c>
      <c r="H46" s="103">
        <v>9713.6620000000003</v>
      </c>
      <c r="I46" s="103">
        <v>6705.8050000000003</v>
      </c>
      <c r="J46" s="103">
        <v>6977.0569999999998</v>
      </c>
      <c r="K46" s="103">
        <v>0</v>
      </c>
      <c r="L46" s="103">
        <v>529.54</v>
      </c>
      <c r="M46" s="103">
        <v>11743.701999999999</v>
      </c>
      <c r="N46" s="103">
        <v>-3813.165</v>
      </c>
      <c r="O46" s="103">
        <v>42486.514999999999</v>
      </c>
      <c r="P46" s="103">
        <v>15334.366</v>
      </c>
      <c r="Q46" s="106">
        <v>292199.66600000003</v>
      </c>
      <c r="R46">
        <v>0</v>
      </c>
    </row>
    <row r="47" spans="2:18" ht="30" customHeight="1" x14ac:dyDescent="0.35">
      <c r="B47" s="97" t="s">
        <v>95</v>
      </c>
      <c r="C47" s="103">
        <v>3117.7443199999998</v>
      </c>
      <c r="D47" s="103">
        <v>65571.465059999944</v>
      </c>
      <c r="E47" s="103">
        <v>4281.7135799999996</v>
      </c>
      <c r="F47" s="103">
        <v>264054.15453000012</v>
      </c>
      <c r="G47" s="103">
        <v>7713.5514799999983</v>
      </c>
      <c r="H47" s="103">
        <v>51885.468669999987</v>
      </c>
      <c r="I47" s="103">
        <v>688.96365000000003</v>
      </c>
      <c r="J47" s="103">
        <v>-100371.75423000001</v>
      </c>
      <c r="K47" s="103">
        <v>0</v>
      </c>
      <c r="L47" s="103">
        <v>38262.889690000004</v>
      </c>
      <c r="M47" s="103">
        <v>1368.1210699999999</v>
      </c>
      <c r="N47" s="103">
        <v>-743.59948999999983</v>
      </c>
      <c r="O47" s="103">
        <v>79145.926660000041</v>
      </c>
      <c r="P47" s="103">
        <v>153837.98229000001</v>
      </c>
      <c r="Q47" s="106">
        <v>568812.62728000013</v>
      </c>
      <c r="R47">
        <v>0</v>
      </c>
    </row>
    <row r="48" spans="2:18" ht="30" customHeight="1" x14ac:dyDescent="0.35">
      <c r="B48" s="100" t="s">
        <v>96</v>
      </c>
      <c r="C48" s="103">
        <v>28.193430535143708</v>
      </c>
      <c r="D48" s="103">
        <v>62781.902061614986</v>
      </c>
      <c r="E48" s="103">
        <v>25.552024837615729</v>
      </c>
      <c r="F48" s="103">
        <v>132346.1337977552</v>
      </c>
      <c r="G48" s="103">
        <v>26623.185899567801</v>
      </c>
      <c r="H48" s="103">
        <v>9039.9770692819111</v>
      </c>
      <c r="I48" s="103">
        <v>3955.5142438581688</v>
      </c>
      <c r="J48" s="103">
        <v>2743.6307461425722</v>
      </c>
      <c r="K48" s="103">
        <v>0</v>
      </c>
      <c r="L48" s="103">
        <v>38152.00108899684</v>
      </c>
      <c r="M48" s="103">
        <v>463.48948505397101</v>
      </c>
      <c r="N48" s="103">
        <v>42960.468062787731</v>
      </c>
      <c r="O48" s="103">
        <v>-10442.631808198041</v>
      </c>
      <c r="P48" s="103">
        <v>33631.858968923058</v>
      </c>
      <c r="Q48" s="106">
        <v>342309.27507115703</v>
      </c>
      <c r="R48">
        <v>0</v>
      </c>
    </row>
    <row r="49" spans="2:17" ht="30" customHeight="1" x14ac:dyDescent="0.35">
      <c r="B49" s="104" t="s">
        <v>90</v>
      </c>
      <c r="C49" s="105">
        <f t="shared" ref="C49:Q49" si="1">SUM(C44:C48)</f>
        <v>5463.8841633797419</v>
      </c>
      <c r="D49" s="105">
        <f t="shared" si="1"/>
        <v>192563.15294871174</v>
      </c>
      <c r="E49" s="105">
        <f t="shared" si="1"/>
        <v>58791.470243237607</v>
      </c>
      <c r="F49" s="105">
        <f t="shared" si="1"/>
        <v>840428.75518096215</v>
      </c>
      <c r="G49" s="105">
        <f t="shared" si="1"/>
        <v>50601.8825836096</v>
      </c>
      <c r="H49" s="105">
        <f t="shared" si="1"/>
        <v>104908.03302423138</v>
      </c>
      <c r="I49" s="105">
        <f t="shared" si="1"/>
        <v>13400.283390158169</v>
      </c>
      <c r="J49" s="105">
        <f t="shared" si="1"/>
        <v>-77410.827988798221</v>
      </c>
      <c r="K49" s="105">
        <f t="shared" si="1"/>
        <v>0</v>
      </c>
      <c r="L49" s="105">
        <f t="shared" si="1"/>
        <v>117277.88484622749</v>
      </c>
      <c r="M49" s="105">
        <f t="shared" si="1"/>
        <v>13667.884493353969</v>
      </c>
      <c r="N49" s="105">
        <f t="shared" si="1"/>
        <v>40772.802452387732</v>
      </c>
      <c r="O49" s="105">
        <f t="shared" si="1"/>
        <v>277733.4174281857</v>
      </c>
      <c r="P49" s="105">
        <f t="shared" si="1"/>
        <v>320687.84144708887</v>
      </c>
      <c r="Q49" s="105">
        <f t="shared" si="1"/>
        <v>1958886.4642127361</v>
      </c>
    </row>
    <row r="50" spans="2:17" ht="20.25" customHeight="1" x14ac:dyDescent="0.35">
      <c r="B50" s="281" t="s">
        <v>98</v>
      </c>
      <c r="C50" s="238"/>
      <c r="D50" s="238"/>
      <c r="E50" s="238"/>
      <c r="F50" s="238"/>
      <c r="G50" s="238"/>
      <c r="H50" s="238"/>
      <c r="I50" s="238"/>
      <c r="J50" s="238"/>
      <c r="K50" s="238"/>
      <c r="L50" s="238"/>
      <c r="M50" s="238"/>
      <c r="N50" s="238"/>
      <c r="O50" s="238"/>
      <c r="P50" s="238"/>
      <c r="Q50" s="238"/>
    </row>
  </sheetData>
  <sheetProtection algorithmName="SHA-512" hashValue="wYYtXjGLCH50JCz206TQxooWYpcS/pmlHHPYFGKx56hDsuvbNF7OXtUJSggvJ0JqDKJZTwsagCb9SfadacUueg==" saltValue="E8v+opiYG6bkmXQEAidNYw==" spinCount="100000" sheet="1" objects="1" scenarios="1"/>
  <mergeCells count="4">
    <mergeCell ref="B50:Q50"/>
    <mergeCell ref="B43:Q43"/>
    <mergeCell ref="B3:Q3"/>
    <mergeCell ref="B5:Q5"/>
  </mergeCells>
  <pageMargins left="0.7" right="0.7" top="0.75" bottom="0.75" header="0.3" footer="0.3"/>
  <pageSetup paperSize="9" scale="33"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0">
    <tabColor rgb="FFA2D668"/>
    <pageSetUpPr fitToPage="1"/>
  </sheetPr>
  <dimension ref="B3:R50"/>
  <sheetViews>
    <sheetView topLeftCell="A38" zoomScale="57" workbookViewId="0">
      <selection activeCell="B3" sqref="B3:Q50"/>
    </sheetView>
  </sheetViews>
  <sheetFormatPr defaultColWidth="9.453125" defaultRowHeight="14" x14ac:dyDescent="0.3"/>
  <cols>
    <col min="1" max="1" width="15.453125" style="2" customWidth="1"/>
    <col min="2" max="2" width="51.453125" style="2" customWidth="1"/>
    <col min="3" max="17" width="21.54296875" style="2" customWidth="1"/>
    <col min="18" max="19" width="6.453125" style="2" bestFit="1" customWidth="1"/>
    <col min="20" max="20" width="13.54296875" style="2" customWidth="1"/>
    <col min="21" max="71" width="9.453125" style="2" customWidth="1"/>
    <col min="72" max="16384" width="9.453125" style="2"/>
  </cols>
  <sheetData>
    <row r="3" spans="2:18" ht="22.5" customHeight="1" x14ac:dyDescent="0.35">
      <c r="B3" s="279" t="str">
        <f>_xlfn.CONCAT("MGT: SUMMARY OF MANAGEMENT EXPENSES UNDER GENERAL INSURANCE BUSINESS FOR THE PERIOD ENDED"," ",Details!F18)</f>
        <v>MGT: SUMMARY OF MANAGEMENT EXPENSES UNDER GENERAL INSURANCE BUSINESS FOR THE PERIOD ENDED 31.03.2025</v>
      </c>
      <c r="C3" s="252"/>
      <c r="D3" s="252"/>
      <c r="E3" s="252"/>
      <c r="F3" s="252"/>
      <c r="G3" s="252"/>
      <c r="H3" s="252"/>
      <c r="I3" s="252"/>
      <c r="J3" s="252"/>
      <c r="K3" s="252"/>
      <c r="L3" s="252"/>
      <c r="M3" s="252"/>
      <c r="N3" s="252"/>
      <c r="O3" s="252"/>
      <c r="P3" s="252"/>
      <c r="Q3" s="253"/>
    </row>
    <row r="4" spans="2:18" ht="31" customHeight="1" x14ac:dyDescent="0.35">
      <c r="B4" s="98" t="s">
        <v>36</v>
      </c>
      <c r="C4" s="99" t="s">
        <v>156</v>
      </c>
      <c r="D4" s="99" t="s">
        <v>157</v>
      </c>
      <c r="E4" s="99" t="s">
        <v>158</v>
      </c>
      <c r="F4" s="99" t="s">
        <v>159</v>
      </c>
      <c r="G4" s="99" t="s">
        <v>160</v>
      </c>
      <c r="H4" s="99" t="s">
        <v>161</v>
      </c>
      <c r="I4" s="99" t="s">
        <v>162</v>
      </c>
      <c r="J4" s="99" t="s">
        <v>163</v>
      </c>
      <c r="K4" s="99" t="s">
        <v>164</v>
      </c>
      <c r="L4" s="99" t="s">
        <v>165</v>
      </c>
      <c r="M4" s="99" t="s">
        <v>166</v>
      </c>
      <c r="N4" s="99" t="s">
        <v>167</v>
      </c>
      <c r="O4" s="99" t="s">
        <v>168</v>
      </c>
      <c r="P4" s="99" t="s">
        <v>169</v>
      </c>
      <c r="Q4" s="99" t="s">
        <v>170</v>
      </c>
    </row>
    <row r="5" spans="2:18" ht="30" customHeight="1" x14ac:dyDescent="0.35">
      <c r="B5" s="280" t="s">
        <v>53</v>
      </c>
      <c r="C5" s="252"/>
      <c r="D5" s="252"/>
      <c r="E5" s="252"/>
      <c r="F5" s="252"/>
      <c r="G5" s="252"/>
      <c r="H5" s="252"/>
      <c r="I5" s="252"/>
      <c r="J5" s="252"/>
      <c r="K5" s="252"/>
      <c r="L5" s="252"/>
      <c r="M5" s="252"/>
      <c r="N5" s="252"/>
      <c r="O5" s="252"/>
      <c r="P5" s="252"/>
      <c r="Q5" s="253"/>
    </row>
    <row r="6" spans="2:18" ht="30" customHeight="1" x14ac:dyDescent="0.35">
      <c r="B6" s="100" t="s">
        <v>54</v>
      </c>
      <c r="C6" s="103">
        <v>0</v>
      </c>
      <c r="D6" s="103">
        <v>59.955120044743047</v>
      </c>
      <c r="E6" s="103">
        <v>56.850733116801827</v>
      </c>
      <c r="F6" s="103">
        <v>570.59807230091701</v>
      </c>
      <c r="G6" s="103">
        <v>953.62193641906049</v>
      </c>
      <c r="H6" s="103">
        <v>19.983266669574189</v>
      </c>
      <c r="I6" s="103">
        <v>0</v>
      </c>
      <c r="J6" s="103">
        <v>0</v>
      </c>
      <c r="K6" s="103">
        <v>0</v>
      </c>
      <c r="L6" s="103">
        <v>356.92757870545631</v>
      </c>
      <c r="M6" s="103">
        <v>401.08910241239158</v>
      </c>
      <c r="N6" s="103">
        <v>2743.6445148369789</v>
      </c>
      <c r="O6" s="103">
        <v>347158.82426866243</v>
      </c>
      <c r="P6" s="103">
        <v>517.3248668316437</v>
      </c>
      <c r="Q6" s="106">
        <v>352838.81946000003</v>
      </c>
      <c r="R6">
        <v>0</v>
      </c>
    </row>
    <row r="7" spans="2:18" ht="30" customHeight="1" x14ac:dyDescent="0.35">
      <c r="B7" s="100" t="s">
        <v>55</v>
      </c>
      <c r="C7" s="103">
        <v>0</v>
      </c>
      <c r="D7" s="103">
        <v>4023.1884531070518</v>
      </c>
      <c r="E7" s="103">
        <v>28.998679568562309</v>
      </c>
      <c r="F7" s="103">
        <v>217.35031100219399</v>
      </c>
      <c r="G7" s="103">
        <v>1505.496178043443</v>
      </c>
      <c r="H7" s="103">
        <v>448.98318235755471</v>
      </c>
      <c r="I7" s="103">
        <v>27855.590478298789</v>
      </c>
      <c r="J7" s="103">
        <v>40080.860510201441</v>
      </c>
      <c r="K7" s="103">
        <v>177370.36571849111</v>
      </c>
      <c r="L7" s="103">
        <v>1099.409736735754</v>
      </c>
      <c r="M7" s="103">
        <v>333.45230399221919</v>
      </c>
      <c r="N7" s="103">
        <v>12704.094129452849</v>
      </c>
      <c r="O7" s="103">
        <v>0</v>
      </c>
      <c r="P7" s="103">
        <v>1786.0345829529081</v>
      </c>
      <c r="Q7" s="106">
        <v>267453.8242642039</v>
      </c>
      <c r="R7">
        <v>0</v>
      </c>
    </row>
    <row r="8" spans="2:18" ht="30" customHeight="1" x14ac:dyDescent="0.35">
      <c r="B8" s="100" t="s">
        <v>56</v>
      </c>
      <c r="C8" s="103">
        <v>6173.7325725928404</v>
      </c>
      <c r="D8" s="103">
        <v>15319.67320909029</v>
      </c>
      <c r="E8" s="103">
        <v>5329.0073153619151</v>
      </c>
      <c r="F8" s="103">
        <v>130836.3906468653</v>
      </c>
      <c r="G8" s="103">
        <v>24484.893147031169</v>
      </c>
      <c r="H8" s="103">
        <v>11802.81067892819</v>
      </c>
      <c r="I8" s="103">
        <v>128442.0761200116</v>
      </c>
      <c r="J8" s="103">
        <v>113293.6293293419</v>
      </c>
      <c r="K8" s="103">
        <v>0</v>
      </c>
      <c r="L8" s="103">
        <v>12148.980420569511</v>
      </c>
      <c r="M8" s="103">
        <v>15276.24511664089</v>
      </c>
      <c r="N8" s="103">
        <v>34861.432630140822</v>
      </c>
      <c r="O8" s="103">
        <v>286015.22423570568</v>
      </c>
      <c r="P8" s="103">
        <v>15729.045138701529</v>
      </c>
      <c r="Q8" s="106">
        <v>799713.14056098158</v>
      </c>
      <c r="R8">
        <v>0</v>
      </c>
    </row>
    <row r="9" spans="2:18" ht="30" customHeight="1" x14ac:dyDescent="0.35">
      <c r="B9" s="100" t="s">
        <v>57</v>
      </c>
      <c r="C9" s="103">
        <v>1.26252232790963</v>
      </c>
      <c r="D9" s="103">
        <v>6172.756806698846</v>
      </c>
      <c r="E9" s="103">
        <v>13330.78260167904</v>
      </c>
      <c r="F9" s="103">
        <v>36770.696873510256</v>
      </c>
      <c r="G9" s="103">
        <v>19698.644014447749</v>
      </c>
      <c r="H9" s="103">
        <v>11396.49531742512</v>
      </c>
      <c r="I9" s="103">
        <v>153360.8183129995</v>
      </c>
      <c r="J9" s="103">
        <v>81206.443271232012</v>
      </c>
      <c r="K9" s="103">
        <v>0</v>
      </c>
      <c r="L9" s="103">
        <v>31344.419873151561</v>
      </c>
      <c r="M9" s="103">
        <v>12027.745057583499</v>
      </c>
      <c r="N9" s="103">
        <v>55834.066396641618</v>
      </c>
      <c r="O9" s="103">
        <v>181957.27212240011</v>
      </c>
      <c r="P9" s="103">
        <v>21625.094269902311</v>
      </c>
      <c r="Q9" s="106">
        <v>624726.4974399996</v>
      </c>
      <c r="R9">
        <v>0</v>
      </c>
    </row>
    <row r="10" spans="2:18" ht="30" customHeight="1" x14ac:dyDescent="0.35">
      <c r="B10" s="100" t="s">
        <v>58</v>
      </c>
      <c r="C10" s="103">
        <v>0</v>
      </c>
      <c r="D10" s="103">
        <v>8668.366691654328</v>
      </c>
      <c r="E10" s="103">
        <v>1029.8557486811751</v>
      </c>
      <c r="F10" s="103">
        <v>3833.271803127227</v>
      </c>
      <c r="G10" s="103">
        <v>1801.644655390772</v>
      </c>
      <c r="H10" s="103">
        <v>3032.2107863888691</v>
      </c>
      <c r="I10" s="103">
        <v>77294.914003188082</v>
      </c>
      <c r="J10" s="103">
        <v>22989.945166975311</v>
      </c>
      <c r="K10" s="103">
        <v>0</v>
      </c>
      <c r="L10" s="103">
        <v>2291.7530342054238</v>
      </c>
      <c r="M10" s="103">
        <v>1499.30681844121</v>
      </c>
      <c r="N10" s="103">
        <v>7874.056280707644</v>
      </c>
      <c r="O10" s="103">
        <v>0</v>
      </c>
      <c r="P10" s="103">
        <v>2158.649621239957</v>
      </c>
      <c r="Q10" s="106">
        <v>132473.97461</v>
      </c>
      <c r="R10">
        <v>0</v>
      </c>
    </row>
    <row r="11" spans="2:18" ht="30" customHeight="1" x14ac:dyDescent="0.35">
      <c r="B11" s="100" t="s">
        <v>59</v>
      </c>
      <c r="C11" s="103">
        <v>0</v>
      </c>
      <c r="D11" s="103">
        <v>15332.45870711914</v>
      </c>
      <c r="E11" s="103">
        <v>7701.6624115579207</v>
      </c>
      <c r="F11" s="103">
        <v>46189.986371331877</v>
      </c>
      <c r="G11" s="103">
        <v>5979.9102899149393</v>
      </c>
      <c r="H11" s="103">
        <v>6058.9628695654383</v>
      </c>
      <c r="I11" s="103">
        <v>145157.20781206421</v>
      </c>
      <c r="J11" s="103">
        <v>135423.9383149397</v>
      </c>
      <c r="K11" s="103">
        <v>0</v>
      </c>
      <c r="L11" s="103">
        <v>17218.397515050889</v>
      </c>
      <c r="M11" s="103">
        <v>46430.377122864687</v>
      </c>
      <c r="N11" s="103">
        <v>24299.82009862514</v>
      </c>
      <c r="O11" s="103">
        <v>294150.37854362262</v>
      </c>
      <c r="P11" s="103">
        <v>13408.50973334345</v>
      </c>
      <c r="Q11" s="106">
        <v>757351.60979000025</v>
      </c>
      <c r="R11">
        <v>0</v>
      </c>
    </row>
    <row r="12" spans="2:18" ht="30" customHeight="1" x14ac:dyDescent="0.35">
      <c r="B12" s="100" t="s">
        <v>60</v>
      </c>
      <c r="C12" s="103">
        <v>0</v>
      </c>
      <c r="D12" s="103">
        <v>2513.0250011373241</v>
      </c>
      <c r="E12" s="103">
        <v>948.52160247325878</v>
      </c>
      <c r="F12" s="103">
        <v>5493.7582866094481</v>
      </c>
      <c r="G12" s="103">
        <v>1611.3459618894519</v>
      </c>
      <c r="H12" s="103">
        <v>536.59159694097093</v>
      </c>
      <c r="I12" s="103">
        <v>11088.007548714149</v>
      </c>
      <c r="J12" s="103">
        <v>4844.9158143391396</v>
      </c>
      <c r="K12" s="103">
        <v>0</v>
      </c>
      <c r="L12" s="103">
        <v>2048.8855440242328</v>
      </c>
      <c r="M12" s="103">
        <v>1453.063697973314</v>
      </c>
      <c r="N12" s="103">
        <v>2947.261302725974</v>
      </c>
      <c r="O12" s="103">
        <v>0</v>
      </c>
      <c r="P12" s="103">
        <v>1855.5214696869659</v>
      </c>
      <c r="Q12" s="106">
        <v>35340.897826514243</v>
      </c>
      <c r="R12">
        <v>0</v>
      </c>
    </row>
    <row r="13" spans="2:18" ht="30" customHeight="1" x14ac:dyDescent="0.35">
      <c r="B13" s="100" t="s">
        <v>61</v>
      </c>
      <c r="C13" s="103">
        <v>0</v>
      </c>
      <c r="D13" s="103">
        <v>57.640039999999978</v>
      </c>
      <c r="E13" s="103">
        <v>0</v>
      </c>
      <c r="F13" s="103">
        <v>244.58736999999999</v>
      </c>
      <c r="G13" s="103">
        <v>0</v>
      </c>
      <c r="H13" s="103">
        <v>0</v>
      </c>
      <c r="I13" s="103">
        <v>11860.062599999999</v>
      </c>
      <c r="J13" s="103">
        <v>38574.964539999994</v>
      </c>
      <c r="K13" s="103">
        <v>0</v>
      </c>
      <c r="L13" s="103">
        <v>1.27084</v>
      </c>
      <c r="M13" s="103">
        <v>511.63898</v>
      </c>
      <c r="N13" s="103">
        <v>31.463290000000001</v>
      </c>
      <c r="O13" s="103">
        <v>0</v>
      </c>
      <c r="P13" s="103">
        <v>20516.41168999999</v>
      </c>
      <c r="Q13" s="106">
        <v>71798.039350000006</v>
      </c>
      <c r="R13">
        <v>0</v>
      </c>
    </row>
    <row r="14" spans="2:18" ht="30" customHeight="1" x14ac:dyDescent="0.35">
      <c r="B14" s="100" t="s">
        <v>62</v>
      </c>
      <c r="C14" s="103">
        <v>0</v>
      </c>
      <c r="D14" s="103">
        <v>0</v>
      </c>
      <c r="E14" s="103">
        <v>0</v>
      </c>
      <c r="F14" s="103">
        <v>0</v>
      </c>
      <c r="G14" s="103">
        <v>0</v>
      </c>
      <c r="H14" s="103">
        <v>0</v>
      </c>
      <c r="I14" s="103">
        <v>0</v>
      </c>
      <c r="J14" s="103">
        <v>0</v>
      </c>
      <c r="K14" s="103">
        <v>261197.81352500001</v>
      </c>
      <c r="L14" s="103">
        <v>0</v>
      </c>
      <c r="M14" s="103">
        <v>0</v>
      </c>
      <c r="N14" s="103">
        <v>0</v>
      </c>
      <c r="O14" s="103">
        <v>0</v>
      </c>
      <c r="P14" s="103">
        <v>0</v>
      </c>
      <c r="Q14" s="106">
        <v>261197.81352500001</v>
      </c>
      <c r="R14">
        <v>0</v>
      </c>
    </row>
    <row r="15" spans="2:18" ht="30" customHeight="1" x14ac:dyDescent="0.35">
      <c r="B15" s="100" t="s">
        <v>63</v>
      </c>
      <c r="C15" s="103">
        <v>0</v>
      </c>
      <c r="D15" s="103">
        <v>2578.820578564787</v>
      </c>
      <c r="E15" s="103">
        <v>0</v>
      </c>
      <c r="F15" s="103">
        <v>4231.3729060978294</v>
      </c>
      <c r="G15" s="103">
        <v>5077.5830362403303</v>
      </c>
      <c r="H15" s="103">
        <v>0</v>
      </c>
      <c r="I15" s="103">
        <v>0</v>
      </c>
      <c r="J15" s="103">
        <v>0</v>
      </c>
      <c r="K15" s="103">
        <v>0</v>
      </c>
      <c r="L15" s="103">
        <v>0</v>
      </c>
      <c r="M15" s="103">
        <v>12249.497345441911</v>
      </c>
      <c r="N15" s="103">
        <v>0</v>
      </c>
      <c r="O15" s="103">
        <v>52436.23004587325</v>
      </c>
      <c r="P15" s="103">
        <v>0</v>
      </c>
      <c r="Q15" s="106">
        <v>76573.50391221809</v>
      </c>
      <c r="R15">
        <v>0</v>
      </c>
    </row>
    <row r="16" spans="2:18" ht="30" customHeight="1" x14ac:dyDescent="0.35">
      <c r="B16" s="100" t="s">
        <v>64</v>
      </c>
      <c r="C16" s="103">
        <v>40.497</v>
      </c>
      <c r="D16" s="103">
        <v>1589.066</v>
      </c>
      <c r="E16" s="103">
        <v>2071.2869999999998</v>
      </c>
      <c r="F16" s="103">
        <v>4877.9560000000001</v>
      </c>
      <c r="G16" s="103">
        <v>2693.1179999999999</v>
      </c>
      <c r="H16" s="103">
        <v>2753.4650000000001</v>
      </c>
      <c r="I16" s="103">
        <v>57692.334999999999</v>
      </c>
      <c r="J16" s="103">
        <v>17855.147401450009</v>
      </c>
      <c r="K16" s="103">
        <v>883.07899999999995</v>
      </c>
      <c r="L16" s="103">
        <v>1412.04</v>
      </c>
      <c r="M16" s="103">
        <v>3395.26</v>
      </c>
      <c r="N16" s="103">
        <v>4958.9989999999998</v>
      </c>
      <c r="O16" s="103">
        <v>18565.027999999998</v>
      </c>
      <c r="P16" s="103">
        <v>5388.0519999999997</v>
      </c>
      <c r="Q16" s="106">
        <v>124175.32940145</v>
      </c>
      <c r="R16">
        <v>0</v>
      </c>
    </row>
    <row r="17" spans="2:18" ht="30" customHeight="1" x14ac:dyDescent="0.35">
      <c r="B17" s="100" t="s">
        <v>65</v>
      </c>
      <c r="C17" s="103">
        <v>0</v>
      </c>
      <c r="D17" s="103">
        <v>6426.5876876218508</v>
      </c>
      <c r="E17" s="103">
        <v>3912.4229414169849</v>
      </c>
      <c r="F17" s="103">
        <v>12629.958197166339</v>
      </c>
      <c r="G17" s="103">
        <v>9054.5569829986362</v>
      </c>
      <c r="H17" s="103">
        <v>5836.7584133574292</v>
      </c>
      <c r="I17" s="103">
        <v>71711.611615905626</v>
      </c>
      <c r="J17" s="103">
        <v>68818.616557556627</v>
      </c>
      <c r="K17" s="103">
        <v>0</v>
      </c>
      <c r="L17" s="103">
        <v>16406.500849385651</v>
      </c>
      <c r="M17" s="103">
        <v>8139.9635186688656</v>
      </c>
      <c r="N17" s="103">
        <v>14053.84360551534</v>
      </c>
      <c r="O17" s="103">
        <v>57089.571752399999</v>
      </c>
      <c r="P17" s="103">
        <v>10417.662211239311</v>
      </c>
      <c r="Q17" s="106">
        <v>284498.05433323269</v>
      </c>
      <c r="R17">
        <v>0</v>
      </c>
    </row>
    <row r="18" spans="2:18" ht="30" customHeight="1" x14ac:dyDescent="0.35">
      <c r="B18" s="100" t="s">
        <v>66</v>
      </c>
      <c r="C18" s="103">
        <v>22154.838</v>
      </c>
      <c r="D18" s="103">
        <v>25487.378000000001</v>
      </c>
      <c r="E18" s="103">
        <v>4864.1959999999999</v>
      </c>
      <c r="F18" s="103">
        <v>102796.414</v>
      </c>
      <c r="G18" s="103">
        <v>6715.6289999999999</v>
      </c>
      <c r="H18" s="103">
        <v>12821.39</v>
      </c>
      <c r="I18" s="103">
        <v>37997.550999999999</v>
      </c>
      <c r="J18" s="103">
        <v>42246.544999999998</v>
      </c>
      <c r="K18" s="103">
        <v>0</v>
      </c>
      <c r="L18" s="103">
        <v>3219.634</v>
      </c>
      <c r="M18" s="103">
        <v>19894.132000000001</v>
      </c>
      <c r="N18" s="103">
        <v>28163.683000000001</v>
      </c>
      <c r="O18" s="103">
        <v>124906.092</v>
      </c>
      <c r="P18" s="103">
        <v>7573.7969999999996</v>
      </c>
      <c r="Q18" s="106">
        <v>438841.27899999998</v>
      </c>
      <c r="R18">
        <v>0</v>
      </c>
    </row>
    <row r="19" spans="2:18" ht="30" customHeight="1" x14ac:dyDescent="0.35">
      <c r="B19" s="100" t="s">
        <v>67</v>
      </c>
      <c r="C19" s="103">
        <v>15950.009211133391</v>
      </c>
      <c r="D19" s="103">
        <v>7947.9141646649268</v>
      </c>
      <c r="E19" s="103">
        <v>5308.6073100963267</v>
      </c>
      <c r="F19" s="103">
        <v>37919.486716009291</v>
      </c>
      <c r="G19" s="103">
        <v>9600.2175966516097</v>
      </c>
      <c r="H19" s="103">
        <v>41289.341480458374</v>
      </c>
      <c r="I19" s="103">
        <v>55684.445430207343</v>
      </c>
      <c r="J19" s="103">
        <v>73018.058661757052</v>
      </c>
      <c r="K19" s="103">
        <v>0</v>
      </c>
      <c r="L19" s="103">
        <v>8941.6081417202004</v>
      </c>
      <c r="M19" s="103">
        <v>16232.050218952591</v>
      </c>
      <c r="N19" s="103">
        <v>32422.816752565119</v>
      </c>
      <c r="O19" s="103">
        <v>0</v>
      </c>
      <c r="P19" s="103">
        <v>4337.5903157838302</v>
      </c>
      <c r="Q19" s="106">
        <v>308652.14600000012</v>
      </c>
      <c r="R19">
        <v>0</v>
      </c>
    </row>
    <row r="20" spans="2:18" ht="30" customHeight="1" x14ac:dyDescent="0.35">
      <c r="B20" s="100" t="s">
        <v>68</v>
      </c>
      <c r="C20" s="103">
        <v>7498.21</v>
      </c>
      <c r="D20" s="103">
        <v>12987.609</v>
      </c>
      <c r="E20" s="103">
        <v>9128.4920000000002</v>
      </c>
      <c r="F20" s="103">
        <v>36115.398999999998</v>
      </c>
      <c r="G20" s="103">
        <v>11290.516</v>
      </c>
      <c r="H20" s="103">
        <v>17659.562000000002</v>
      </c>
      <c r="I20" s="103">
        <v>172048.86199999999</v>
      </c>
      <c r="J20" s="103">
        <v>57513.273000000001</v>
      </c>
      <c r="K20" s="103">
        <v>0</v>
      </c>
      <c r="L20" s="103">
        <v>12144.616</v>
      </c>
      <c r="M20" s="103">
        <v>22828.670999999998</v>
      </c>
      <c r="N20" s="103">
        <v>41801.728000000003</v>
      </c>
      <c r="O20" s="103">
        <v>9497.18</v>
      </c>
      <c r="P20" s="103">
        <v>432.33800000000002</v>
      </c>
      <c r="Q20" s="106">
        <v>410946.45600000001</v>
      </c>
      <c r="R20">
        <v>0</v>
      </c>
    </row>
    <row r="21" spans="2:18" ht="30" customHeight="1" x14ac:dyDescent="0.35">
      <c r="B21" s="100" t="s">
        <v>69</v>
      </c>
      <c r="C21" s="103">
        <v>0</v>
      </c>
      <c r="D21" s="103">
        <v>11201.987999999999</v>
      </c>
      <c r="E21" s="103">
        <v>3023.2620000000002</v>
      </c>
      <c r="F21" s="103">
        <v>14317.53</v>
      </c>
      <c r="G21" s="103">
        <v>3450.39</v>
      </c>
      <c r="H21" s="103">
        <v>8623.1550000000007</v>
      </c>
      <c r="I21" s="103">
        <v>46274.73</v>
      </c>
      <c r="J21" s="103">
        <v>26170.81</v>
      </c>
      <c r="K21" s="103">
        <v>0</v>
      </c>
      <c r="L21" s="103">
        <v>884.18499999999995</v>
      </c>
      <c r="M21" s="103">
        <v>5683.12</v>
      </c>
      <c r="N21" s="103">
        <v>23160.831999999999</v>
      </c>
      <c r="O21" s="103">
        <v>0</v>
      </c>
      <c r="P21" s="103">
        <v>3809.982</v>
      </c>
      <c r="Q21" s="106">
        <v>146599.984</v>
      </c>
      <c r="R21">
        <v>0</v>
      </c>
    </row>
    <row r="22" spans="2:18" ht="30" customHeight="1" x14ac:dyDescent="0.35">
      <c r="B22" s="100" t="s">
        <v>70</v>
      </c>
      <c r="C22" s="103">
        <v>0</v>
      </c>
      <c r="D22" s="103">
        <v>0</v>
      </c>
      <c r="E22" s="103">
        <v>0</v>
      </c>
      <c r="F22" s="103">
        <v>0</v>
      </c>
      <c r="G22" s="103">
        <v>0</v>
      </c>
      <c r="H22" s="103">
        <v>0</v>
      </c>
      <c r="I22" s="103">
        <v>0</v>
      </c>
      <c r="J22" s="103">
        <v>0</v>
      </c>
      <c r="K22" s="103">
        <v>0</v>
      </c>
      <c r="L22" s="103">
        <v>0</v>
      </c>
      <c r="M22" s="103">
        <v>0</v>
      </c>
      <c r="N22" s="103">
        <v>0</v>
      </c>
      <c r="O22" s="103">
        <v>0</v>
      </c>
      <c r="P22" s="103">
        <v>0</v>
      </c>
      <c r="Q22" s="106">
        <v>0</v>
      </c>
      <c r="R22">
        <v>0</v>
      </c>
    </row>
    <row r="23" spans="2:18" ht="30" customHeight="1" x14ac:dyDescent="0.35">
      <c r="B23" s="100" t="s">
        <v>71</v>
      </c>
      <c r="C23" s="103">
        <v>0</v>
      </c>
      <c r="D23" s="103">
        <v>0</v>
      </c>
      <c r="E23" s="103">
        <v>0</v>
      </c>
      <c r="F23" s="103">
        <v>0</v>
      </c>
      <c r="G23" s="103">
        <v>0</v>
      </c>
      <c r="H23" s="103">
        <v>0</v>
      </c>
      <c r="I23" s="103">
        <v>0</v>
      </c>
      <c r="J23" s="103">
        <v>0</v>
      </c>
      <c r="K23" s="103">
        <v>0</v>
      </c>
      <c r="L23" s="103">
        <v>0</v>
      </c>
      <c r="M23" s="103">
        <v>0</v>
      </c>
      <c r="N23" s="103">
        <v>0</v>
      </c>
      <c r="O23" s="103">
        <v>571096.56446999998</v>
      </c>
      <c r="P23" s="103">
        <v>0</v>
      </c>
      <c r="Q23" s="106">
        <v>571096.56446999998</v>
      </c>
      <c r="R23">
        <v>0</v>
      </c>
    </row>
    <row r="24" spans="2:18" ht="30" customHeight="1" x14ac:dyDescent="0.35">
      <c r="B24" s="100" t="s">
        <v>72</v>
      </c>
      <c r="C24" s="103">
        <v>0</v>
      </c>
      <c r="D24" s="103">
        <v>13102.665000000001</v>
      </c>
      <c r="E24" s="103">
        <v>2290.5590000000002</v>
      </c>
      <c r="F24" s="103">
        <v>52744.5</v>
      </c>
      <c r="G24" s="103">
        <v>3748.6559999999999</v>
      </c>
      <c r="H24" s="103">
        <v>5914.08</v>
      </c>
      <c r="I24" s="103">
        <v>35653.796000000002</v>
      </c>
      <c r="J24" s="103">
        <v>33071.550999999999</v>
      </c>
      <c r="K24" s="103">
        <v>0</v>
      </c>
      <c r="L24" s="103">
        <v>502.07600000000002</v>
      </c>
      <c r="M24" s="103">
        <v>16470.023000000001</v>
      </c>
      <c r="N24" s="103">
        <v>13918.587</v>
      </c>
      <c r="O24" s="103">
        <v>10863.094999999999</v>
      </c>
      <c r="P24" s="103">
        <v>712.33600000000001</v>
      </c>
      <c r="Q24" s="106">
        <v>188991.924</v>
      </c>
      <c r="R24">
        <v>0</v>
      </c>
    </row>
    <row r="25" spans="2:18" ht="30" customHeight="1" x14ac:dyDescent="0.35">
      <c r="B25" s="100" t="s">
        <v>73</v>
      </c>
      <c r="C25" s="103">
        <v>0</v>
      </c>
      <c r="D25" s="103">
        <v>0</v>
      </c>
      <c r="E25" s="103">
        <v>0</v>
      </c>
      <c r="F25" s="103">
        <v>0</v>
      </c>
      <c r="G25" s="103">
        <v>0</v>
      </c>
      <c r="H25" s="103">
        <v>0</v>
      </c>
      <c r="I25" s="103">
        <v>0</v>
      </c>
      <c r="J25" s="103">
        <v>0</v>
      </c>
      <c r="K25" s="103">
        <v>0</v>
      </c>
      <c r="L25" s="103">
        <v>0</v>
      </c>
      <c r="M25" s="103">
        <v>0</v>
      </c>
      <c r="N25" s="103">
        <v>0</v>
      </c>
      <c r="O25" s="103">
        <v>0</v>
      </c>
      <c r="P25" s="103">
        <v>0</v>
      </c>
      <c r="Q25" s="106">
        <v>0</v>
      </c>
      <c r="R25">
        <v>0</v>
      </c>
    </row>
    <row r="26" spans="2:18" ht="30" customHeight="1" x14ac:dyDescent="0.35">
      <c r="B26" s="100" t="s">
        <v>74</v>
      </c>
      <c r="C26" s="103">
        <v>0</v>
      </c>
      <c r="D26" s="103">
        <v>3421.1748928094989</v>
      </c>
      <c r="E26" s="103">
        <v>1796.5731826640231</v>
      </c>
      <c r="F26" s="103">
        <v>7191.0521553812368</v>
      </c>
      <c r="G26" s="103">
        <v>19098.492259005681</v>
      </c>
      <c r="H26" s="103">
        <v>957.15318626728629</v>
      </c>
      <c r="I26" s="103">
        <v>39440.230811604757</v>
      </c>
      <c r="J26" s="103">
        <v>161372.82484574409</v>
      </c>
      <c r="K26" s="103">
        <v>0</v>
      </c>
      <c r="L26" s="103">
        <v>2407.3325792637102</v>
      </c>
      <c r="M26" s="103">
        <v>2317.8855370201709</v>
      </c>
      <c r="N26" s="103">
        <v>16776.318903064759</v>
      </c>
      <c r="O26" s="103">
        <v>155705.27666141669</v>
      </c>
      <c r="P26" s="103">
        <v>9711.2031312996842</v>
      </c>
      <c r="Q26" s="106">
        <v>420195.51814554172</v>
      </c>
      <c r="R26">
        <v>0</v>
      </c>
    </row>
    <row r="27" spans="2:18" ht="30" customHeight="1" x14ac:dyDescent="0.35">
      <c r="B27" s="100" t="s">
        <v>75</v>
      </c>
      <c r="C27" s="103">
        <v>6558.9996441274416</v>
      </c>
      <c r="D27" s="103">
        <v>13283.047433863579</v>
      </c>
      <c r="E27" s="103">
        <v>2242.96360877489</v>
      </c>
      <c r="F27" s="103">
        <v>68040.915877483349</v>
      </c>
      <c r="G27" s="103">
        <v>5596.2239971849503</v>
      </c>
      <c r="H27" s="103">
        <v>16845.98256802142</v>
      </c>
      <c r="I27" s="103">
        <v>26357.630377565751</v>
      </c>
      <c r="J27" s="103">
        <v>20254.560749872311</v>
      </c>
      <c r="K27" s="103">
        <v>0</v>
      </c>
      <c r="L27" s="103">
        <v>2023.1805911357851</v>
      </c>
      <c r="M27" s="103">
        <v>7354.6562625548468</v>
      </c>
      <c r="N27" s="103">
        <v>57708.974273467284</v>
      </c>
      <c r="O27" s="103">
        <v>0</v>
      </c>
      <c r="P27" s="103">
        <v>12569.97194579757</v>
      </c>
      <c r="Q27" s="106">
        <v>238837.1073298491</v>
      </c>
      <c r="R27">
        <v>0</v>
      </c>
    </row>
    <row r="28" spans="2:18" ht="30" customHeight="1" x14ac:dyDescent="0.35">
      <c r="B28" s="100" t="s">
        <v>76</v>
      </c>
      <c r="C28" s="103">
        <v>1603.865</v>
      </c>
      <c r="D28" s="103">
        <v>2279.8530000000001</v>
      </c>
      <c r="E28" s="103">
        <v>1466.443</v>
      </c>
      <c r="F28" s="103">
        <v>5294.0079999999998</v>
      </c>
      <c r="G28" s="103">
        <v>221.65700000000001</v>
      </c>
      <c r="H28" s="103">
        <v>2827.6770000000001</v>
      </c>
      <c r="I28" s="103">
        <v>35713.703999999998</v>
      </c>
      <c r="J28" s="103">
        <v>15351.454</v>
      </c>
      <c r="K28" s="103">
        <v>0</v>
      </c>
      <c r="L28" s="103">
        <v>1572.729</v>
      </c>
      <c r="M28" s="103">
        <v>11599.86</v>
      </c>
      <c r="N28" s="103">
        <v>11679.419</v>
      </c>
      <c r="O28" s="103">
        <v>92925.383000000002</v>
      </c>
      <c r="P28" s="103">
        <v>302.82299999999998</v>
      </c>
      <c r="Q28" s="106">
        <v>182838.875</v>
      </c>
      <c r="R28">
        <v>0</v>
      </c>
    </row>
    <row r="29" spans="2:18" ht="30" customHeight="1" x14ac:dyDescent="0.35">
      <c r="B29" s="100" t="s">
        <v>77</v>
      </c>
      <c r="C29" s="103">
        <v>0</v>
      </c>
      <c r="D29" s="103">
        <v>1779.3273923567299</v>
      </c>
      <c r="E29" s="103">
        <v>2266.1802562543699</v>
      </c>
      <c r="F29" s="103">
        <v>65911.72665254795</v>
      </c>
      <c r="G29" s="103">
        <v>9181.0282114583715</v>
      </c>
      <c r="H29" s="103">
        <v>3590.4647312343118</v>
      </c>
      <c r="I29" s="103">
        <v>118648.16660118361</v>
      </c>
      <c r="J29" s="103">
        <v>9090.261382182729</v>
      </c>
      <c r="K29" s="103">
        <v>0</v>
      </c>
      <c r="L29" s="103">
        <v>9226.8782467293513</v>
      </c>
      <c r="M29" s="103">
        <v>13690.534958428931</v>
      </c>
      <c r="N29" s="103">
        <v>4682.1243865804836</v>
      </c>
      <c r="O29" s="103">
        <v>0</v>
      </c>
      <c r="P29" s="103">
        <v>0</v>
      </c>
      <c r="Q29" s="106">
        <v>238066.6928189568</v>
      </c>
      <c r="R29">
        <v>0</v>
      </c>
    </row>
    <row r="30" spans="2:18" ht="30" customHeight="1" x14ac:dyDescent="0.35">
      <c r="B30" s="100" t="s">
        <v>78</v>
      </c>
      <c r="C30" s="103">
        <v>0</v>
      </c>
      <c r="D30" s="103">
        <v>2663.9350715951232</v>
      </c>
      <c r="E30" s="103">
        <v>2572.9198909051001</v>
      </c>
      <c r="F30" s="103">
        <v>5357.5365395514391</v>
      </c>
      <c r="G30" s="103">
        <v>490.05193285783508</v>
      </c>
      <c r="H30" s="103">
        <v>8123.1728012022704</v>
      </c>
      <c r="I30" s="103">
        <v>37554.758440801073</v>
      </c>
      <c r="J30" s="103">
        <v>32083.347993807089</v>
      </c>
      <c r="K30" s="103">
        <v>0</v>
      </c>
      <c r="L30" s="103">
        <v>487.8668283422972</v>
      </c>
      <c r="M30" s="103">
        <v>3410.5873191874298</v>
      </c>
      <c r="N30" s="103">
        <v>9560.361025573502</v>
      </c>
      <c r="O30" s="103">
        <v>0</v>
      </c>
      <c r="P30" s="103">
        <v>2132.4466561768581</v>
      </c>
      <c r="Q30" s="106">
        <v>104436.98450000001</v>
      </c>
      <c r="R30">
        <v>0</v>
      </c>
    </row>
    <row r="31" spans="2:18" ht="30" customHeight="1" x14ac:dyDescent="0.35">
      <c r="B31" s="100" t="s">
        <v>79</v>
      </c>
      <c r="C31" s="103">
        <v>0</v>
      </c>
      <c r="D31" s="103">
        <v>15450.315000000001</v>
      </c>
      <c r="E31" s="103">
        <v>19753.370999999999</v>
      </c>
      <c r="F31" s="103">
        <v>74603.365999999995</v>
      </c>
      <c r="G31" s="103">
        <v>19269.716</v>
      </c>
      <c r="H31" s="103">
        <v>12286.601000000001</v>
      </c>
      <c r="I31" s="103">
        <v>146044.209</v>
      </c>
      <c r="J31" s="103">
        <v>82380.862999999998</v>
      </c>
      <c r="K31" s="103">
        <v>0</v>
      </c>
      <c r="L31" s="103">
        <v>39224.559000000001</v>
      </c>
      <c r="M31" s="103">
        <v>43965.394</v>
      </c>
      <c r="N31" s="103">
        <v>22282.525000000001</v>
      </c>
      <c r="O31" s="103">
        <v>6581.1989999999996</v>
      </c>
      <c r="P31" s="103">
        <v>422594.95299999998</v>
      </c>
      <c r="Q31" s="106">
        <v>904437.071</v>
      </c>
      <c r="R31">
        <v>0</v>
      </c>
    </row>
    <row r="32" spans="2:18" ht="30" customHeight="1" x14ac:dyDescent="0.35">
      <c r="B32" s="100" t="s">
        <v>80</v>
      </c>
      <c r="C32" s="103">
        <v>0</v>
      </c>
      <c r="D32" s="103">
        <v>3016.752</v>
      </c>
      <c r="E32" s="103">
        <v>1397.9870000000001</v>
      </c>
      <c r="F32" s="103">
        <v>18987.105</v>
      </c>
      <c r="G32" s="103">
        <v>5286.9380000000001</v>
      </c>
      <c r="H32" s="103">
        <v>1.085</v>
      </c>
      <c r="I32" s="103">
        <v>61296.688000000002</v>
      </c>
      <c r="J32" s="103">
        <v>64783.453999999998</v>
      </c>
      <c r="K32" s="103">
        <v>0</v>
      </c>
      <c r="L32" s="103">
        <v>6352.0479999999998</v>
      </c>
      <c r="M32" s="103">
        <v>3255.8159999999998</v>
      </c>
      <c r="N32" s="103">
        <v>17605.223000000002</v>
      </c>
      <c r="O32" s="103">
        <v>50503.49757</v>
      </c>
      <c r="P32" s="103">
        <v>2934.3780000000002</v>
      </c>
      <c r="Q32" s="106">
        <v>235420.97156999999</v>
      </c>
      <c r="R32">
        <v>0</v>
      </c>
    </row>
    <row r="33" spans="2:18" ht="30" customHeight="1" x14ac:dyDescent="0.35">
      <c r="B33" s="100" t="s">
        <v>81</v>
      </c>
      <c r="C33" s="103">
        <v>1115.483286419231</v>
      </c>
      <c r="D33" s="103">
        <v>2263.0148068548751</v>
      </c>
      <c r="E33" s="103">
        <v>488.38707932949558</v>
      </c>
      <c r="F33" s="103">
        <v>19728.549510474251</v>
      </c>
      <c r="G33" s="103">
        <v>3199.4387175975612</v>
      </c>
      <c r="H33" s="103">
        <v>3290.2594265362818</v>
      </c>
      <c r="I33" s="103">
        <v>46652.396499218426</v>
      </c>
      <c r="J33" s="103">
        <v>27449.290047838069</v>
      </c>
      <c r="K33" s="103">
        <v>0</v>
      </c>
      <c r="L33" s="103">
        <v>1851.594987206591</v>
      </c>
      <c r="M33" s="103">
        <v>1276.5632706487099</v>
      </c>
      <c r="N33" s="103">
        <v>4652.5725894059806</v>
      </c>
      <c r="O33" s="103">
        <v>0</v>
      </c>
      <c r="P33" s="103">
        <v>1886.6347784705119</v>
      </c>
      <c r="Q33" s="106">
        <v>113854.185</v>
      </c>
      <c r="R33">
        <v>0</v>
      </c>
    </row>
    <row r="34" spans="2:18" ht="30" customHeight="1" x14ac:dyDescent="0.35">
      <c r="B34" s="100" t="s">
        <v>82</v>
      </c>
      <c r="C34" s="103">
        <v>0</v>
      </c>
      <c r="D34" s="103">
        <v>14691.351989884281</v>
      </c>
      <c r="E34" s="103">
        <v>4055.0643688764558</v>
      </c>
      <c r="F34" s="103">
        <v>53513.596037422118</v>
      </c>
      <c r="G34" s="103">
        <v>13638.973561876521</v>
      </c>
      <c r="H34" s="103">
        <v>4676.4986265191328</v>
      </c>
      <c r="I34" s="103">
        <v>61056.150072796787</v>
      </c>
      <c r="J34" s="103">
        <v>59268.882982599127</v>
      </c>
      <c r="K34" s="103">
        <v>0</v>
      </c>
      <c r="L34" s="103">
        <v>1216.6825353728921</v>
      </c>
      <c r="M34" s="103">
        <v>3861.9757873658418</v>
      </c>
      <c r="N34" s="103">
        <v>18712.906906978289</v>
      </c>
      <c r="O34" s="103">
        <v>0</v>
      </c>
      <c r="P34" s="103">
        <v>627.52017380853476</v>
      </c>
      <c r="Q34" s="106">
        <v>235319.60304350001</v>
      </c>
      <c r="R34">
        <v>0</v>
      </c>
    </row>
    <row r="35" spans="2:18" ht="30" customHeight="1" x14ac:dyDescent="0.35">
      <c r="B35" s="100" t="s">
        <v>83</v>
      </c>
      <c r="C35" s="103">
        <v>40070.232150561838</v>
      </c>
      <c r="D35" s="103">
        <v>1799.5762707851311</v>
      </c>
      <c r="E35" s="103">
        <v>50.721527268538402</v>
      </c>
      <c r="F35" s="103">
        <v>3839.3176246129951</v>
      </c>
      <c r="G35" s="103">
        <v>175.42785861065951</v>
      </c>
      <c r="H35" s="103">
        <v>1469.3420652163099</v>
      </c>
      <c r="I35" s="103">
        <v>18934.63145119472</v>
      </c>
      <c r="J35" s="103">
        <v>6013.3583667566654</v>
      </c>
      <c r="K35" s="103">
        <v>0</v>
      </c>
      <c r="L35" s="103">
        <v>129.7411331205621</v>
      </c>
      <c r="M35" s="103">
        <v>418.02757193177899</v>
      </c>
      <c r="N35" s="103">
        <v>4485.2560622426281</v>
      </c>
      <c r="O35" s="103">
        <v>17693.797784151619</v>
      </c>
      <c r="P35" s="103">
        <v>576.09860391642178</v>
      </c>
      <c r="Q35" s="106">
        <v>95655.528470369885</v>
      </c>
      <c r="R35">
        <v>0</v>
      </c>
    </row>
    <row r="36" spans="2:18" ht="30" customHeight="1" x14ac:dyDescent="0.35">
      <c r="B36" s="100" t="s">
        <v>84</v>
      </c>
      <c r="C36" s="103">
        <v>0</v>
      </c>
      <c r="D36" s="103">
        <v>2411.7988994561442</v>
      </c>
      <c r="E36" s="103">
        <v>2994.1375759545608</v>
      </c>
      <c r="F36" s="103">
        <v>2994.1375759545608</v>
      </c>
      <c r="G36" s="103">
        <v>12838.645672155781</v>
      </c>
      <c r="H36" s="103">
        <v>3497.9082157972011</v>
      </c>
      <c r="I36" s="103">
        <v>35425.937035357812</v>
      </c>
      <c r="J36" s="103">
        <v>50018.905553036617</v>
      </c>
      <c r="K36" s="103">
        <v>0</v>
      </c>
      <c r="L36" s="103">
        <v>258.4794711943054</v>
      </c>
      <c r="M36" s="103">
        <v>3136.1312670726438</v>
      </c>
      <c r="N36" s="103">
        <v>0</v>
      </c>
      <c r="O36" s="103">
        <v>0</v>
      </c>
      <c r="P36" s="103">
        <v>1639.416530720524</v>
      </c>
      <c r="Q36" s="106">
        <v>115215.49779670021</v>
      </c>
      <c r="R36">
        <v>0</v>
      </c>
    </row>
    <row r="37" spans="2:18" ht="30" customHeight="1" x14ac:dyDescent="0.35">
      <c r="B37" s="100" t="s">
        <v>85</v>
      </c>
      <c r="C37" s="103">
        <v>0</v>
      </c>
      <c r="D37" s="103">
        <v>7061.7202221336347</v>
      </c>
      <c r="E37" s="103">
        <v>8375.5397029723354</v>
      </c>
      <c r="F37" s="103">
        <v>24025.401036793919</v>
      </c>
      <c r="G37" s="103">
        <v>6115.0951319849664</v>
      </c>
      <c r="H37" s="103">
        <v>11215.098927675441</v>
      </c>
      <c r="I37" s="103">
        <v>30957.005348601109</v>
      </c>
      <c r="J37" s="103">
        <v>27906.71951317232</v>
      </c>
      <c r="K37" s="103">
        <v>0</v>
      </c>
      <c r="L37" s="103">
        <v>1266.4509353741139</v>
      </c>
      <c r="M37" s="103">
        <v>18395.47370397815</v>
      </c>
      <c r="N37" s="103">
        <v>44261.136862650383</v>
      </c>
      <c r="O37" s="103">
        <v>298.43992058871771</v>
      </c>
      <c r="P37" s="103">
        <v>785.20625227991297</v>
      </c>
      <c r="Q37" s="106">
        <v>180663.28755820499</v>
      </c>
      <c r="R37">
        <v>0</v>
      </c>
    </row>
    <row r="38" spans="2:18" ht="30" customHeight="1" x14ac:dyDescent="0.35">
      <c r="B38" s="100" t="s">
        <v>86</v>
      </c>
      <c r="C38" s="103">
        <v>6128.8760000000002</v>
      </c>
      <c r="D38" s="103">
        <v>14852.703</v>
      </c>
      <c r="E38" s="103">
        <v>25031.526000000002</v>
      </c>
      <c r="F38" s="103">
        <v>33866.485000000001</v>
      </c>
      <c r="G38" s="103">
        <v>26526.835999999999</v>
      </c>
      <c r="H38" s="103">
        <v>14498.884</v>
      </c>
      <c r="I38" s="103">
        <v>104451.455</v>
      </c>
      <c r="J38" s="103">
        <v>47690.368999999999</v>
      </c>
      <c r="K38" s="103">
        <v>0</v>
      </c>
      <c r="L38" s="103">
        <v>30465.798999999999</v>
      </c>
      <c r="M38" s="103">
        <v>31625.077000000001</v>
      </c>
      <c r="N38" s="103">
        <v>30132.827000000001</v>
      </c>
      <c r="O38" s="103">
        <v>120128.26700000001</v>
      </c>
      <c r="P38" s="103">
        <v>26519.200000000001</v>
      </c>
      <c r="Q38" s="106">
        <v>511918.304</v>
      </c>
      <c r="R38">
        <v>0</v>
      </c>
    </row>
    <row r="39" spans="2:18" ht="30" customHeight="1" x14ac:dyDescent="0.35">
      <c r="B39" s="100" t="s">
        <v>87</v>
      </c>
      <c r="C39" s="103">
        <v>0</v>
      </c>
      <c r="D39" s="103">
        <v>2648.3018046536522</v>
      </c>
      <c r="E39" s="103">
        <v>724.09025127144082</v>
      </c>
      <c r="F39" s="103">
        <v>3442.145664751733</v>
      </c>
      <c r="G39" s="103">
        <v>3473.153482127183</v>
      </c>
      <c r="H39" s="103">
        <v>755.10391114700269</v>
      </c>
      <c r="I39" s="103">
        <v>93759.913711376154</v>
      </c>
      <c r="J39" s="103">
        <v>31870.199559570789</v>
      </c>
      <c r="K39" s="103">
        <v>0</v>
      </c>
      <c r="L39" s="103">
        <v>2085.2208407301532</v>
      </c>
      <c r="M39" s="103">
        <v>2294.555950425774</v>
      </c>
      <c r="N39" s="103">
        <v>17547.10497670223</v>
      </c>
      <c r="O39" s="103">
        <v>8914.8464106135107</v>
      </c>
      <c r="P39" s="103">
        <v>5194.262403934461</v>
      </c>
      <c r="Q39" s="106">
        <v>172708.89896730409</v>
      </c>
      <c r="R39">
        <v>0</v>
      </c>
    </row>
    <row r="40" spans="2:18" ht="30" customHeight="1" x14ac:dyDescent="0.35">
      <c r="B40" s="100" t="s">
        <v>88</v>
      </c>
      <c r="C40" s="103">
        <v>0</v>
      </c>
      <c r="D40" s="103">
        <v>1123.166937942995</v>
      </c>
      <c r="E40" s="103">
        <v>117.66596251119709</v>
      </c>
      <c r="F40" s="103">
        <v>1486.652692543081</v>
      </c>
      <c r="G40" s="103">
        <v>427.59989076015552</v>
      </c>
      <c r="H40" s="103">
        <v>45.807187312907203</v>
      </c>
      <c r="I40" s="103">
        <v>89200.64262596253</v>
      </c>
      <c r="J40" s="103">
        <v>55874.336681273897</v>
      </c>
      <c r="K40" s="103">
        <v>0</v>
      </c>
      <c r="L40" s="103">
        <v>47.55698083396809</v>
      </c>
      <c r="M40" s="103">
        <v>239.1783063037181</v>
      </c>
      <c r="N40" s="103">
        <v>1092.249077266534</v>
      </c>
      <c r="O40" s="103">
        <v>0</v>
      </c>
      <c r="P40" s="103">
        <v>1982.4237192354551</v>
      </c>
      <c r="Q40" s="106">
        <v>151637.2800619464</v>
      </c>
      <c r="R40">
        <v>0</v>
      </c>
    </row>
    <row r="41" spans="2:18" ht="30" customHeight="1" x14ac:dyDescent="0.35">
      <c r="B41" s="100" t="s">
        <v>89</v>
      </c>
      <c r="C41" s="103">
        <v>0</v>
      </c>
      <c r="D41" s="103">
        <v>0</v>
      </c>
      <c r="E41" s="103">
        <v>0</v>
      </c>
      <c r="F41" s="103">
        <v>0</v>
      </c>
      <c r="G41" s="103">
        <v>0</v>
      </c>
      <c r="H41" s="103">
        <v>0</v>
      </c>
      <c r="I41" s="103">
        <v>0</v>
      </c>
      <c r="J41" s="103">
        <v>0</v>
      </c>
      <c r="K41" s="103">
        <v>0</v>
      </c>
      <c r="L41" s="103">
        <v>0</v>
      </c>
      <c r="M41" s="103">
        <v>0</v>
      </c>
      <c r="N41" s="103">
        <v>0</v>
      </c>
      <c r="O41" s="103">
        <v>0</v>
      </c>
      <c r="P41" s="103">
        <v>0</v>
      </c>
      <c r="Q41" s="106">
        <v>0</v>
      </c>
      <c r="R41">
        <v>0</v>
      </c>
    </row>
    <row r="42" spans="2:18" ht="30" customHeight="1" x14ac:dyDescent="0.35">
      <c r="B42" s="104" t="s">
        <v>90</v>
      </c>
      <c r="C42" s="105">
        <f t="shared" ref="C42:Q42" si="0">SUM(C6:C41)</f>
        <v>107296.00538716266</v>
      </c>
      <c r="D42" s="105">
        <f t="shared" si="0"/>
        <v>222215.13118203895</v>
      </c>
      <c r="E42" s="105">
        <f t="shared" si="0"/>
        <v>132358.07575073442</v>
      </c>
      <c r="F42" s="105">
        <f t="shared" si="0"/>
        <v>878071.25192153722</v>
      </c>
      <c r="G42" s="105">
        <f t="shared" si="0"/>
        <v>233205.50051464688</v>
      </c>
      <c r="H42" s="105">
        <f t="shared" si="0"/>
        <v>212274.8282390211</v>
      </c>
      <c r="I42" s="105">
        <f t="shared" si="0"/>
        <v>1977615.5268970521</v>
      </c>
      <c r="J42" s="105">
        <f t="shared" si="0"/>
        <v>1446517.5262436469</v>
      </c>
      <c r="K42" s="105">
        <f t="shared" si="0"/>
        <v>439451.25824349117</v>
      </c>
      <c r="L42" s="105">
        <f t="shared" si="0"/>
        <v>208636.82466285236</v>
      </c>
      <c r="M42" s="105">
        <f t="shared" si="0"/>
        <v>329667.35221788968</v>
      </c>
      <c r="N42" s="105">
        <f t="shared" si="0"/>
        <v>560955.32706514362</v>
      </c>
      <c r="O42" s="105">
        <f t="shared" si="0"/>
        <v>2406486.1677854345</v>
      </c>
      <c r="P42" s="105">
        <f t="shared" si="0"/>
        <v>599724.8870953219</v>
      </c>
      <c r="Q42" s="105">
        <f t="shared" si="0"/>
        <v>9754475.6632059701</v>
      </c>
    </row>
    <row r="43" spans="2:18" ht="30" customHeight="1" x14ac:dyDescent="0.35">
      <c r="B43" s="278" t="s">
        <v>91</v>
      </c>
      <c r="C43" s="252"/>
      <c r="D43" s="252"/>
      <c r="E43" s="252"/>
      <c r="F43" s="252"/>
      <c r="G43" s="252"/>
      <c r="H43" s="252"/>
      <c r="I43" s="252"/>
      <c r="J43" s="252"/>
      <c r="K43" s="252"/>
      <c r="L43" s="252"/>
      <c r="M43" s="252"/>
      <c r="N43" s="252"/>
      <c r="O43" s="252"/>
      <c r="P43" s="252"/>
      <c r="Q43" s="253"/>
    </row>
    <row r="44" spans="2:18" ht="30" customHeight="1" x14ac:dyDescent="0.35">
      <c r="B44" s="100" t="s">
        <v>92</v>
      </c>
      <c r="C44" s="103">
        <v>1497.5932860981609</v>
      </c>
      <c r="D44" s="103">
        <v>15246.415646621161</v>
      </c>
      <c r="E44" s="103">
        <v>2749.297194949987</v>
      </c>
      <c r="F44" s="103">
        <v>39669.300389116703</v>
      </c>
      <c r="G44" s="103">
        <v>3214.7430546385272</v>
      </c>
      <c r="H44" s="103">
        <v>5143.1337966187384</v>
      </c>
      <c r="I44" s="103">
        <v>447.13984387599498</v>
      </c>
      <c r="J44" s="103">
        <v>2055.2228012032729</v>
      </c>
      <c r="K44" s="103">
        <v>0</v>
      </c>
      <c r="L44" s="103">
        <v>4032.1652938798188</v>
      </c>
      <c r="M44" s="103">
        <v>1456.9146661705979</v>
      </c>
      <c r="N44" s="103">
        <v>1177.8434319734149</v>
      </c>
      <c r="O44" s="103">
        <v>35329.965440759494</v>
      </c>
      <c r="P44" s="103">
        <v>29781.621179619491</v>
      </c>
      <c r="Q44" s="106">
        <v>141801.35602552531</v>
      </c>
      <c r="R44">
        <v>0</v>
      </c>
    </row>
    <row r="45" spans="2:18" ht="30" customHeight="1" x14ac:dyDescent="0.35">
      <c r="B45" s="100" t="s">
        <v>93</v>
      </c>
      <c r="C45" s="103">
        <v>42.662521987879323</v>
      </c>
      <c r="D45" s="103">
        <v>8199.7506340208292</v>
      </c>
      <c r="E45" s="103">
        <v>0</v>
      </c>
      <c r="F45" s="103">
        <v>42064.633584096067</v>
      </c>
      <c r="G45" s="103">
        <v>1158.6509459042279</v>
      </c>
      <c r="H45" s="103">
        <v>5965.4990077940156</v>
      </c>
      <c r="I45" s="103">
        <v>0</v>
      </c>
      <c r="J45" s="103">
        <v>7301.8407621234883</v>
      </c>
      <c r="K45" s="103">
        <v>0</v>
      </c>
      <c r="L45" s="103">
        <v>1257.3946432921471</v>
      </c>
      <c r="M45" s="103">
        <v>0</v>
      </c>
      <c r="N45" s="103">
        <v>0</v>
      </c>
      <c r="O45" s="103">
        <v>22915.612288748689</v>
      </c>
      <c r="P45" s="103">
        <v>12053.089448273009</v>
      </c>
      <c r="Q45" s="106">
        <v>100959.1338362403</v>
      </c>
      <c r="R45">
        <v>0</v>
      </c>
    </row>
    <row r="46" spans="2:18" ht="30" customHeight="1" x14ac:dyDescent="0.35">
      <c r="B46" s="100" t="s">
        <v>94</v>
      </c>
      <c r="C46" s="103">
        <v>143.00270540400359</v>
      </c>
      <c r="D46" s="103">
        <v>3348.004397814982</v>
      </c>
      <c r="E46" s="103">
        <v>18957.59792129125</v>
      </c>
      <c r="F46" s="103">
        <v>18957.59792129125</v>
      </c>
      <c r="G46" s="103">
        <v>995.71796850594819</v>
      </c>
      <c r="H46" s="103">
        <v>2257.8900740703748</v>
      </c>
      <c r="I46" s="103">
        <v>2053.3274173783011</v>
      </c>
      <c r="J46" s="103">
        <v>2053.3274173783011</v>
      </c>
      <c r="K46" s="103">
        <v>0</v>
      </c>
      <c r="L46" s="103">
        <v>-511.59828983951428</v>
      </c>
      <c r="M46" s="103">
        <v>1773.0480135567559</v>
      </c>
      <c r="N46" s="103">
        <v>-511.59828983951428</v>
      </c>
      <c r="O46" s="103">
        <v>15874.3014804829</v>
      </c>
      <c r="P46" s="103">
        <v>3097.6759994197678</v>
      </c>
      <c r="Q46" s="106">
        <v>68488.294736914817</v>
      </c>
      <c r="R46">
        <v>0</v>
      </c>
    </row>
    <row r="47" spans="2:18" ht="30" customHeight="1" x14ac:dyDescent="0.35">
      <c r="B47" s="97" t="s">
        <v>95</v>
      </c>
      <c r="C47" s="103">
        <v>2928.783878399267</v>
      </c>
      <c r="D47" s="103">
        <v>51481.743438550373</v>
      </c>
      <c r="E47" s="103">
        <v>2122.2214665016259</v>
      </c>
      <c r="F47" s="103">
        <v>147297.47790287351</v>
      </c>
      <c r="G47" s="103">
        <v>5898.4598750709229</v>
      </c>
      <c r="H47" s="103">
        <v>29531.324762935939</v>
      </c>
      <c r="I47" s="103">
        <v>-6380.3183461368117</v>
      </c>
      <c r="J47" s="103">
        <v>15293.300953379039</v>
      </c>
      <c r="K47" s="103">
        <v>0</v>
      </c>
      <c r="L47" s="103">
        <v>18590.710923081519</v>
      </c>
      <c r="M47" s="103">
        <v>2165.322841275512</v>
      </c>
      <c r="N47" s="103">
        <v>-36.446396951997052</v>
      </c>
      <c r="O47" s="103">
        <v>71174.168168812466</v>
      </c>
      <c r="P47" s="103">
        <v>63423.890532208577</v>
      </c>
      <c r="Q47" s="106">
        <v>403490.64</v>
      </c>
      <c r="R47">
        <v>0</v>
      </c>
    </row>
    <row r="48" spans="2:18" ht="30" customHeight="1" x14ac:dyDescent="0.35">
      <c r="B48" s="100" t="s">
        <v>96</v>
      </c>
      <c r="C48" s="103">
        <v>1342.7374992263581</v>
      </c>
      <c r="D48" s="103">
        <v>25683.93766095355</v>
      </c>
      <c r="E48" s="103">
        <v>262.17592780033948</v>
      </c>
      <c r="F48" s="103">
        <v>63545.499487927758</v>
      </c>
      <c r="G48" s="103">
        <v>25611.039246187371</v>
      </c>
      <c r="H48" s="103">
        <v>6663.38564106372</v>
      </c>
      <c r="I48" s="103">
        <v>470.4477486005552</v>
      </c>
      <c r="J48" s="103">
        <v>2638.812634999319</v>
      </c>
      <c r="K48" s="103">
        <v>0</v>
      </c>
      <c r="L48" s="103">
        <v>6960.9831324555062</v>
      </c>
      <c r="M48" s="103">
        <v>1398.804109953342</v>
      </c>
      <c r="N48" s="103">
        <v>5981.1803807942406</v>
      </c>
      <c r="O48" s="103">
        <v>13774.6378317259</v>
      </c>
      <c r="P48" s="103">
        <v>531.59723831200938</v>
      </c>
      <c r="Q48" s="106">
        <v>154865.23853999999</v>
      </c>
      <c r="R48">
        <v>0</v>
      </c>
    </row>
    <row r="49" spans="2:17" ht="30" customHeight="1" x14ac:dyDescent="0.35">
      <c r="B49" s="104" t="s">
        <v>90</v>
      </c>
      <c r="C49" s="105">
        <f t="shared" ref="C49:Q49" si="1">SUM(C44:C48)</f>
        <v>5954.7798911156679</v>
      </c>
      <c r="D49" s="105">
        <f t="shared" si="1"/>
        <v>103959.8517779609</v>
      </c>
      <c r="E49" s="105">
        <f t="shared" si="1"/>
        <v>24091.292510543204</v>
      </c>
      <c r="F49" s="105">
        <f t="shared" si="1"/>
        <v>311534.50928530528</v>
      </c>
      <c r="G49" s="105">
        <f t="shared" si="1"/>
        <v>36878.611090306993</v>
      </c>
      <c r="H49" s="105">
        <f t="shared" si="1"/>
        <v>49561.23328248279</v>
      </c>
      <c r="I49" s="105">
        <f t="shared" si="1"/>
        <v>-3409.40333628196</v>
      </c>
      <c r="J49" s="105">
        <f t="shared" si="1"/>
        <v>29342.504569083419</v>
      </c>
      <c r="K49" s="105">
        <f t="shared" si="1"/>
        <v>0</v>
      </c>
      <c r="L49" s="105">
        <f t="shared" si="1"/>
        <v>30329.655702869473</v>
      </c>
      <c r="M49" s="105">
        <f t="shared" si="1"/>
        <v>6794.0896309562086</v>
      </c>
      <c r="N49" s="105">
        <f t="shared" si="1"/>
        <v>6610.9791259761441</v>
      </c>
      <c r="O49" s="105">
        <f t="shared" si="1"/>
        <v>159068.68521052945</v>
      </c>
      <c r="P49" s="105">
        <f t="shared" si="1"/>
        <v>108887.87439783286</v>
      </c>
      <c r="Q49" s="105">
        <f t="shared" si="1"/>
        <v>869604.66313868039</v>
      </c>
    </row>
    <row r="50" spans="2:17" ht="20.25" customHeight="1" x14ac:dyDescent="0.35">
      <c r="B50" s="281" t="s">
        <v>98</v>
      </c>
      <c r="C50" s="238"/>
      <c r="D50" s="238"/>
      <c r="E50" s="238"/>
      <c r="F50" s="238"/>
      <c r="G50" s="238"/>
      <c r="H50" s="238"/>
      <c r="I50" s="238"/>
      <c r="J50" s="238"/>
      <c r="K50" s="238"/>
      <c r="L50" s="238"/>
      <c r="M50" s="238"/>
      <c r="N50" s="238"/>
      <c r="O50" s="238"/>
      <c r="P50" s="238"/>
      <c r="Q50" s="238"/>
    </row>
  </sheetData>
  <sheetProtection algorithmName="SHA-512" hashValue="/zPrIocG08nj0c76nEs+0DLZM+6ZdazYcUhiUBGaMlnYqcrFfNxC/EQ2l9UFlEvTVyczgSYPv96NoRi7nrG4iw==" saltValue="5Y8HLEM7q3OmQpJAMHuZcg==" spinCount="100000" sheet="1" objects="1" scenarios="1"/>
  <mergeCells count="4">
    <mergeCell ref="B50:Q50"/>
    <mergeCell ref="B43:Q43"/>
    <mergeCell ref="B3:Q3"/>
    <mergeCell ref="B5:Q5"/>
  </mergeCells>
  <pageMargins left="0.7" right="0.7" top="0.75" bottom="0.75" header="0.3" footer="0.3"/>
  <pageSetup paperSize="9" scale="33"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24">
    <tabColor rgb="FFA2D668"/>
    <pageSetUpPr fitToPage="1"/>
  </sheetPr>
  <dimension ref="B3:R50"/>
  <sheetViews>
    <sheetView zoomScale="51" zoomScaleNormal="85" workbookViewId="0">
      <pane xSplit="2" ySplit="5" topLeftCell="C6" activePane="bottomRight" state="frozen"/>
      <selection pane="topRight" activeCell="C1" sqref="C1"/>
      <selection pane="bottomLeft" activeCell="A6" sqref="A6"/>
      <selection pane="bottomRight" activeCell="C6" sqref="C6"/>
    </sheetView>
  </sheetViews>
  <sheetFormatPr defaultColWidth="9.453125" defaultRowHeight="14" x14ac:dyDescent="0.3"/>
  <cols>
    <col min="1" max="1" width="15.453125" style="2" customWidth="1"/>
    <col min="2" max="2" width="51.453125" style="2" customWidth="1"/>
    <col min="3" max="17" width="21.54296875" style="2" customWidth="1"/>
    <col min="18" max="19" width="6.453125" style="2" bestFit="1" customWidth="1"/>
    <col min="20" max="20" width="13.54296875" style="2" customWidth="1"/>
    <col min="21" max="71" width="9.453125" style="2" customWidth="1"/>
    <col min="72" max="16384" width="9.453125" style="2"/>
  </cols>
  <sheetData>
    <row r="3" spans="2:18" ht="22.5" customHeight="1" x14ac:dyDescent="0.35">
      <c r="B3" s="279" t="str">
        <f>_xlfn.CONCAT('Table of Contents'!B27,": ",'Table of Contents'!C27)</f>
        <v>APPENDIX 20: SUMMARY OF UNDERWRITING PROFITS UNDER GENERAL INSURANCE BUSINESS FOR THE PERIOD ENDED 31.03.2025</v>
      </c>
      <c r="C3" s="252"/>
      <c r="D3" s="252"/>
      <c r="E3" s="252"/>
      <c r="F3" s="252"/>
      <c r="G3" s="252"/>
      <c r="H3" s="252"/>
      <c r="I3" s="252"/>
      <c r="J3" s="252"/>
      <c r="K3" s="252"/>
      <c r="L3" s="252"/>
      <c r="M3" s="252"/>
      <c r="N3" s="252"/>
      <c r="O3" s="252"/>
      <c r="P3" s="252"/>
      <c r="Q3" s="253"/>
    </row>
    <row r="4" spans="2:18" ht="31" customHeight="1" x14ac:dyDescent="0.35">
      <c r="B4" s="98" t="s">
        <v>36</v>
      </c>
      <c r="C4" s="99" t="s">
        <v>156</v>
      </c>
      <c r="D4" s="99" t="s">
        <v>157</v>
      </c>
      <c r="E4" s="99" t="s">
        <v>158</v>
      </c>
      <c r="F4" s="99" t="s">
        <v>159</v>
      </c>
      <c r="G4" s="99" t="s">
        <v>160</v>
      </c>
      <c r="H4" s="99" t="s">
        <v>161</v>
      </c>
      <c r="I4" s="99" t="s">
        <v>162</v>
      </c>
      <c r="J4" s="99" t="s">
        <v>163</v>
      </c>
      <c r="K4" s="99" t="s">
        <v>164</v>
      </c>
      <c r="L4" s="99" t="s">
        <v>165</v>
      </c>
      <c r="M4" s="99" t="s">
        <v>166</v>
      </c>
      <c r="N4" s="99" t="s">
        <v>167</v>
      </c>
      <c r="O4" s="99" t="s">
        <v>168</v>
      </c>
      <c r="P4" s="99" t="s">
        <v>169</v>
      </c>
      <c r="Q4" s="99" t="s">
        <v>170</v>
      </c>
    </row>
    <row r="5" spans="2:18" ht="30" customHeight="1" x14ac:dyDescent="0.35">
      <c r="B5" s="280" t="s">
        <v>53</v>
      </c>
      <c r="C5" s="252"/>
      <c r="D5" s="252"/>
      <c r="E5" s="252"/>
      <c r="F5" s="252"/>
      <c r="G5" s="252"/>
      <c r="H5" s="252"/>
      <c r="I5" s="252"/>
      <c r="J5" s="252"/>
      <c r="K5" s="252"/>
      <c r="L5" s="252"/>
      <c r="M5" s="252"/>
      <c r="N5" s="252"/>
      <c r="O5" s="252"/>
      <c r="P5" s="252"/>
      <c r="Q5" s="253"/>
    </row>
    <row r="6" spans="2:18" ht="30" customHeight="1" x14ac:dyDescent="0.35">
      <c r="B6" s="100" t="s">
        <v>54</v>
      </c>
      <c r="C6" s="103">
        <v>0</v>
      </c>
      <c r="D6" s="103">
        <v>-518.63614742729328</v>
      </c>
      <c r="E6" s="103">
        <v>-99.295083806168108</v>
      </c>
      <c r="F6" s="103">
        <v>-3557.790866527755</v>
      </c>
      <c r="G6" s="103">
        <v>4338.6555411408654</v>
      </c>
      <c r="H6" s="103">
        <v>342.42440595822421</v>
      </c>
      <c r="I6" s="103">
        <v>0</v>
      </c>
      <c r="J6" s="103">
        <v>0</v>
      </c>
      <c r="K6" s="103">
        <v>0</v>
      </c>
      <c r="L6" s="103">
        <v>-1231.5220863927559</v>
      </c>
      <c r="M6" s="103">
        <v>803.60743118369214</v>
      </c>
      <c r="N6" s="103">
        <v>8426.4388095203594</v>
      </c>
      <c r="O6" s="103">
        <v>-35277.935894360897</v>
      </c>
      <c r="P6" s="103">
        <v>-415.32710045350552</v>
      </c>
      <c r="Q6" s="106">
        <v>-27189.380991165239</v>
      </c>
      <c r="R6"/>
    </row>
    <row r="7" spans="2:18" ht="30" customHeight="1" x14ac:dyDescent="0.35">
      <c r="B7" s="100" t="s">
        <v>55</v>
      </c>
      <c r="C7" s="103">
        <v>0</v>
      </c>
      <c r="D7" s="103">
        <v>5003.8369398874784</v>
      </c>
      <c r="E7" s="103">
        <v>50.069287388747178</v>
      </c>
      <c r="F7" s="103">
        <v>287.65438518216462</v>
      </c>
      <c r="G7" s="103">
        <v>3186.9494860098371</v>
      </c>
      <c r="H7" s="103">
        <v>-1411.2634118346789</v>
      </c>
      <c r="I7" s="103">
        <v>-217581.86931244991</v>
      </c>
      <c r="J7" s="103">
        <v>136318.95785394529</v>
      </c>
      <c r="K7" s="103">
        <v>139282.63457615039</v>
      </c>
      <c r="L7" s="103">
        <v>-30812.282291871819</v>
      </c>
      <c r="M7" s="103">
        <v>684.69594338304523</v>
      </c>
      <c r="N7" s="103">
        <v>5158.3976491360254</v>
      </c>
      <c r="O7" s="103">
        <v>0</v>
      </c>
      <c r="P7" s="103">
        <v>-15088.11269256886</v>
      </c>
      <c r="Q7" s="106">
        <v>25079.6684123577</v>
      </c>
      <c r="R7"/>
    </row>
    <row r="8" spans="2:18" ht="30" customHeight="1" x14ac:dyDescent="0.35">
      <c r="B8" s="100" t="s">
        <v>56</v>
      </c>
      <c r="C8" s="103">
        <v>-2825.8348346350849</v>
      </c>
      <c r="D8" s="103">
        <v>-18197.89633297038</v>
      </c>
      <c r="E8" s="103">
        <v>12513.704289815099</v>
      </c>
      <c r="F8" s="103">
        <v>103809.3689812255</v>
      </c>
      <c r="G8" s="103">
        <v>-64412.524847102242</v>
      </c>
      <c r="H8" s="103">
        <v>-7022.6615504429246</v>
      </c>
      <c r="I8" s="103">
        <v>-39562.790436911731</v>
      </c>
      <c r="J8" s="103">
        <v>-20784.044335505831</v>
      </c>
      <c r="K8" s="103">
        <v>0</v>
      </c>
      <c r="L8" s="103">
        <v>19831.608619805949</v>
      </c>
      <c r="M8" s="103">
        <v>3321.6751200942731</v>
      </c>
      <c r="N8" s="103">
        <v>19296.224974736651</v>
      </c>
      <c r="O8" s="103">
        <v>-39032.943430076797</v>
      </c>
      <c r="P8" s="103">
        <v>39122.23312497267</v>
      </c>
      <c r="Q8" s="106">
        <v>6056.119343005158</v>
      </c>
      <c r="R8"/>
    </row>
    <row r="9" spans="2:18" ht="30" customHeight="1" x14ac:dyDescent="0.35">
      <c r="B9" s="100" t="s">
        <v>57</v>
      </c>
      <c r="C9" s="103">
        <v>1860.4390076721049</v>
      </c>
      <c r="D9" s="103">
        <v>5927.7566281939799</v>
      </c>
      <c r="E9" s="103">
        <v>7001.9882153532453</v>
      </c>
      <c r="F9" s="103">
        <v>-27615.099135514291</v>
      </c>
      <c r="G9" s="103">
        <v>8670.451220197443</v>
      </c>
      <c r="H9" s="103">
        <v>8557.9105024871496</v>
      </c>
      <c r="I9" s="103">
        <v>-75631.403965510559</v>
      </c>
      <c r="J9" s="103">
        <v>-77244.635422494044</v>
      </c>
      <c r="K9" s="103">
        <v>0</v>
      </c>
      <c r="L9" s="103">
        <v>-7455.7254715665504</v>
      </c>
      <c r="M9" s="103">
        <v>21328.86701760472</v>
      </c>
      <c r="N9" s="103">
        <v>45891.672391797743</v>
      </c>
      <c r="O9" s="103">
        <v>4538.0956240273717</v>
      </c>
      <c r="P9" s="103">
        <v>-232.81698761642349</v>
      </c>
      <c r="Q9" s="106">
        <v>-84402.500375368123</v>
      </c>
      <c r="R9"/>
    </row>
    <row r="10" spans="2:18" ht="30" customHeight="1" x14ac:dyDescent="0.35">
      <c r="B10" s="100" t="s">
        <v>58</v>
      </c>
      <c r="C10" s="103">
        <v>0</v>
      </c>
      <c r="D10" s="103">
        <v>2722.630539524685</v>
      </c>
      <c r="E10" s="103">
        <v>-443.72482772412519</v>
      </c>
      <c r="F10" s="103">
        <v>-10346.38137708766</v>
      </c>
      <c r="G10" s="103">
        <v>-532.83575755292088</v>
      </c>
      <c r="H10" s="103">
        <v>4955.033653779572</v>
      </c>
      <c r="I10" s="103">
        <v>-88463.873822344976</v>
      </c>
      <c r="J10" s="103">
        <v>-9467.5821669753113</v>
      </c>
      <c r="K10" s="103">
        <v>0</v>
      </c>
      <c r="L10" s="103">
        <v>-20772.35572411391</v>
      </c>
      <c r="M10" s="103">
        <v>3015.7918082539231</v>
      </c>
      <c r="N10" s="103">
        <v>13889.449381906021</v>
      </c>
      <c r="O10" s="103">
        <v>0</v>
      </c>
      <c r="P10" s="103">
        <v>-11762.239056892229</v>
      </c>
      <c r="Q10" s="106">
        <v>-117206.0873492269</v>
      </c>
      <c r="R10"/>
    </row>
    <row r="11" spans="2:18" ht="30" customHeight="1" x14ac:dyDescent="0.35">
      <c r="B11" s="100" t="s">
        <v>59</v>
      </c>
      <c r="C11" s="103">
        <v>0</v>
      </c>
      <c r="D11" s="103">
        <v>-13471.411767119151</v>
      </c>
      <c r="E11" s="103">
        <v>4354.2765284420793</v>
      </c>
      <c r="F11" s="103">
        <v>14910.65632866821</v>
      </c>
      <c r="G11" s="103">
        <v>-2156.317929914866</v>
      </c>
      <c r="H11" s="103">
        <v>4777.2658204345626</v>
      </c>
      <c r="I11" s="103">
        <v>13979.7543179363</v>
      </c>
      <c r="J11" s="103">
        <v>-133276.4826649396</v>
      </c>
      <c r="K11" s="103">
        <v>0</v>
      </c>
      <c r="L11" s="103">
        <v>22020.341924949131</v>
      </c>
      <c r="M11" s="103">
        <v>86748.291347135193</v>
      </c>
      <c r="N11" s="103">
        <v>22255.28462137482</v>
      </c>
      <c r="O11" s="103">
        <v>-100089.9995736233</v>
      </c>
      <c r="P11" s="103">
        <v>-37819.496533963007</v>
      </c>
      <c r="Q11" s="106">
        <v>-117767.8375806197</v>
      </c>
      <c r="R11"/>
    </row>
    <row r="12" spans="2:18" ht="30" customHeight="1" x14ac:dyDescent="0.35">
      <c r="B12" s="100" t="s">
        <v>60</v>
      </c>
      <c r="C12" s="103">
        <v>0</v>
      </c>
      <c r="D12" s="103">
        <v>-6375.8410786724389</v>
      </c>
      <c r="E12" s="103">
        <v>217.0847582857518</v>
      </c>
      <c r="F12" s="103">
        <v>385.57220861510928</v>
      </c>
      <c r="G12" s="103">
        <v>-943.31048885172368</v>
      </c>
      <c r="H12" s="103">
        <v>406.62487700000207</v>
      </c>
      <c r="I12" s="103">
        <v>3358.6706056453058</v>
      </c>
      <c r="J12" s="103">
        <v>7507.6789352017686</v>
      </c>
      <c r="K12" s="103">
        <v>0</v>
      </c>
      <c r="L12" s="103">
        <v>-327.50748756076212</v>
      </c>
      <c r="M12" s="103">
        <v>178.31754169210299</v>
      </c>
      <c r="N12" s="103">
        <v>1845.009536134143</v>
      </c>
      <c r="O12" s="103">
        <v>0</v>
      </c>
      <c r="P12" s="103">
        <v>-3935.2376367001489</v>
      </c>
      <c r="Q12" s="106">
        <v>2317.0617707891111</v>
      </c>
      <c r="R12"/>
    </row>
    <row r="13" spans="2:18" ht="30" customHeight="1" x14ac:dyDescent="0.35">
      <c r="B13" s="100" t="s">
        <v>61</v>
      </c>
      <c r="C13" s="103">
        <v>0</v>
      </c>
      <c r="D13" s="103">
        <v>-54.049039999999977</v>
      </c>
      <c r="E13" s="103">
        <v>0</v>
      </c>
      <c r="F13" s="103">
        <v>-231.54637</v>
      </c>
      <c r="G13" s="103">
        <v>0</v>
      </c>
      <c r="H13" s="103">
        <v>0</v>
      </c>
      <c r="I13" s="103">
        <v>-20001.877140000001</v>
      </c>
      <c r="J13" s="103">
        <v>-45624.090939999987</v>
      </c>
      <c r="K13" s="103">
        <v>-26499.170689999999</v>
      </c>
      <c r="L13" s="103">
        <v>-1.00884</v>
      </c>
      <c r="M13" s="103">
        <v>-420.70497999999998</v>
      </c>
      <c r="N13" s="103">
        <v>-26.03529</v>
      </c>
      <c r="O13" s="103">
        <v>0</v>
      </c>
      <c r="P13" s="103">
        <v>-33850.706689999999</v>
      </c>
      <c r="Q13" s="106">
        <v>-126709.18998</v>
      </c>
      <c r="R13"/>
    </row>
    <row r="14" spans="2:18" ht="30" customHeight="1" x14ac:dyDescent="0.35">
      <c r="B14" s="100" t="s">
        <v>62</v>
      </c>
      <c r="C14" s="103">
        <v>0</v>
      </c>
      <c r="D14" s="103">
        <v>0</v>
      </c>
      <c r="E14" s="103">
        <v>50.359220000000001</v>
      </c>
      <c r="F14" s="103">
        <v>6852.8723599999994</v>
      </c>
      <c r="G14" s="103">
        <v>575.02412000000004</v>
      </c>
      <c r="H14" s="103">
        <v>52.784109999999998</v>
      </c>
      <c r="I14" s="103">
        <v>331.21663060410879</v>
      </c>
      <c r="J14" s="103">
        <v>-23995.834744451469</v>
      </c>
      <c r="K14" s="103">
        <v>-800321.9446048236</v>
      </c>
      <c r="L14" s="103">
        <v>314.65992</v>
      </c>
      <c r="M14" s="103">
        <v>412.92872999999997</v>
      </c>
      <c r="N14" s="103">
        <v>6882.0936700000002</v>
      </c>
      <c r="O14" s="103">
        <v>0</v>
      </c>
      <c r="P14" s="103">
        <v>-13207.4355227826</v>
      </c>
      <c r="Q14" s="106">
        <v>-822053.27611145354</v>
      </c>
      <c r="R14"/>
    </row>
    <row r="15" spans="2:18" ht="30" customHeight="1" x14ac:dyDescent="0.35">
      <c r="B15" s="100" t="s">
        <v>63</v>
      </c>
      <c r="C15" s="103">
        <v>0</v>
      </c>
      <c r="D15" s="103">
        <v>-13897.48257856479</v>
      </c>
      <c r="E15" s="103">
        <v>0</v>
      </c>
      <c r="F15" s="103">
        <v>-2564.0329060978288</v>
      </c>
      <c r="G15" s="103">
        <v>-3851.9278746606929</v>
      </c>
      <c r="H15" s="103">
        <v>0</v>
      </c>
      <c r="I15" s="103">
        <v>0</v>
      </c>
      <c r="J15" s="103">
        <v>0</v>
      </c>
      <c r="K15" s="103">
        <v>0</v>
      </c>
      <c r="L15" s="103">
        <v>0</v>
      </c>
      <c r="M15" s="103">
        <v>7005.5546545580946</v>
      </c>
      <c r="N15" s="103">
        <v>0</v>
      </c>
      <c r="O15" s="103">
        <v>15633.755954126749</v>
      </c>
      <c r="P15" s="103">
        <v>0</v>
      </c>
      <c r="Q15" s="106">
        <v>2325.8672493615391</v>
      </c>
      <c r="R15"/>
    </row>
    <row r="16" spans="2:18" ht="30" customHeight="1" x14ac:dyDescent="0.35">
      <c r="B16" s="100" t="s">
        <v>64</v>
      </c>
      <c r="C16" s="103">
        <v>4661.9260000000004</v>
      </c>
      <c r="D16" s="103">
        <v>9423.48</v>
      </c>
      <c r="E16" s="103">
        <v>61.904000000000003</v>
      </c>
      <c r="F16" s="103">
        <v>4678.2340000000004</v>
      </c>
      <c r="G16" s="103">
        <v>-54.191000000000003</v>
      </c>
      <c r="H16" s="103">
        <v>1627.3109999999999</v>
      </c>
      <c r="I16" s="103">
        <v>-15783.61714999998</v>
      </c>
      <c r="J16" s="103">
        <v>-30198.26040145001</v>
      </c>
      <c r="K16" s="103">
        <v>835.89400000000001</v>
      </c>
      <c r="L16" s="103">
        <v>-33.055</v>
      </c>
      <c r="M16" s="103">
        <v>6612.6130000000003</v>
      </c>
      <c r="N16" s="103">
        <v>17113.111000000001</v>
      </c>
      <c r="O16" s="103">
        <v>-12193.502</v>
      </c>
      <c r="P16" s="103">
        <v>-8454.3361199999981</v>
      </c>
      <c r="Q16" s="106">
        <v>-21702.488671449981</v>
      </c>
      <c r="R16"/>
    </row>
    <row r="17" spans="2:18" ht="30" customHeight="1" x14ac:dyDescent="0.35">
      <c r="B17" s="100" t="s">
        <v>65</v>
      </c>
      <c r="C17" s="103">
        <v>0</v>
      </c>
      <c r="D17" s="103">
        <v>9160.7973046188654</v>
      </c>
      <c r="E17" s="103">
        <v>6469.5763271599044</v>
      </c>
      <c r="F17" s="103">
        <v>61172.226591363178</v>
      </c>
      <c r="G17" s="103">
        <v>-12582.90630568569</v>
      </c>
      <c r="H17" s="103">
        <v>-78.021582876436412</v>
      </c>
      <c r="I17" s="103">
        <v>1850.8657008723169</v>
      </c>
      <c r="J17" s="103">
        <v>-13643.638968984849</v>
      </c>
      <c r="K17" s="103">
        <v>0</v>
      </c>
      <c r="L17" s="103">
        <v>27963.139924892988</v>
      </c>
      <c r="M17" s="103">
        <v>-6305.6692276639842</v>
      </c>
      <c r="N17" s="103">
        <v>19544.165741331381</v>
      </c>
      <c r="O17" s="103">
        <v>-12977.62708037759</v>
      </c>
      <c r="P17" s="103">
        <v>-7794.5062965389234</v>
      </c>
      <c r="Q17" s="106">
        <v>72778.402128111164</v>
      </c>
      <c r="R17"/>
    </row>
    <row r="18" spans="2:18" ht="30" customHeight="1" x14ac:dyDescent="0.35">
      <c r="B18" s="100" t="s">
        <v>66</v>
      </c>
      <c r="C18" s="103">
        <v>-43523.506000000001</v>
      </c>
      <c r="D18" s="103">
        <v>21045.396000000001</v>
      </c>
      <c r="E18" s="103">
        <v>8452.1919999999991</v>
      </c>
      <c r="F18" s="103">
        <v>201122.084</v>
      </c>
      <c r="G18" s="103">
        <v>2235.9580000000001</v>
      </c>
      <c r="H18" s="103">
        <v>65256.288999999997</v>
      </c>
      <c r="I18" s="103">
        <v>70815.179000000004</v>
      </c>
      <c r="J18" s="103">
        <v>-77302.506999999998</v>
      </c>
      <c r="K18" s="103">
        <v>56642.11</v>
      </c>
      <c r="L18" s="103">
        <v>8089.826</v>
      </c>
      <c r="M18" s="103">
        <v>27203.361000000001</v>
      </c>
      <c r="N18" s="103">
        <v>-142828.337</v>
      </c>
      <c r="O18" s="103">
        <v>1148.9870000000001</v>
      </c>
      <c r="P18" s="103">
        <v>33770.491000000002</v>
      </c>
      <c r="Q18" s="106">
        <v>232127.52299999999</v>
      </c>
      <c r="R18"/>
    </row>
    <row r="19" spans="2:18" ht="30" customHeight="1" x14ac:dyDescent="0.35">
      <c r="B19" s="100" t="s">
        <v>67</v>
      </c>
      <c r="C19" s="103">
        <v>-8990.7252111333873</v>
      </c>
      <c r="D19" s="103">
        <v>-6597.2841646649267</v>
      </c>
      <c r="E19" s="103">
        <v>-9124.6373100963265</v>
      </c>
      <c r="F19" s="103">
        <v>-29776.684716009291</v>
      </c>
      <c r="G19" s="103">
        <v>-13262.10959665161</v>
      </c>
      <c r="H19" s="103">
        <v>423.20351954163613</v>
      </c>
      <c r="I19" s="103">
        <v>-81446.388430207342</v>
      </c>
      <c r="J19" s="103">
        <v>-185381.15566175699</v>
      </c>
      <c r="K19" s="103">
        <v>0</v>
      </c>
      <c r="L19" s="103">
        <v>2872.6828582797998</v>
      </c>
      <c r="M19" s="103">
        <v>-1293.517218952594</v>
      </c>
      <c r="N19" s="103">
        <v>-183673.0167525651</v>
      </c>
      <c r="O19" s="103">
        <v>0</v>
      </c>
      <c r="P19" s="103">
        <v>-4186.0613157838307</v>
      </c>
      <c r="Q19" s="106">
        <v>-520435.69400000002</v>
      </c>
      <c r="R19"/>
    </row>
    <row r="20" spans="2:18" ht="30" customHeight="1" x14ac:dyDescent="0.35">
      <c r="B20" s="100" t="s">
        <v>68</v>
      </c>
      <c r="C20" s="103">
        <v>-1531.11</v>
      </c>
      <c r="D20" s="103">
        <v>-3883.7170000000001</v>
      </c>
      <c r="E20" s="103">
        <v>6859.4709999999995</v>
      </c>
      <c r="F20" s="103">
        <v>-1497.2180000000001</v>
      </c>
      <c r="G20" s="103">
        <v>-7345.7790000000005</v>
      </c>
      <c r="H20" s="103">
        <v>-3019.4960000000001</v>
      </c>
      <c r="I20" s="103">
        <v>-73519.460999999996</v>
      </c>
      <c r="J20" s="103">
        <v>4126.6890000000003</v>
      </c>
      <c r="K20" s="103">
        <v>0</v>
      </c>
      <c r="L20" s="103">
        <v>-46667.368000000002</v>
      </c>
      <c r="M20" s="103">
        <v>1446.981</v>
      </c>
      <c r="N20" s="103">
        <v>61648.925000000003</v>
      </c>
      <c r="O20" s="103">
        <v>-9437.8719999999994</v>
      </c>
      <c r="P20" s="103">
        <v>5217.1090000000004</v>
      </c>
      <c r="Q20" s="106">
        <v>-67602.846000000005</v>
      </c>
      <c r="R20"/>
    </row>
    <row r="21" spans="2:18" ht="30" customHeight="1" x14ac:dyDescent="0.35">
      <c r="B21" s="100" t="s">
        <v>69</v>
      </c>
      <c r="C21" s="103">
        <v>0</v>
      </c>
      <c r="D21" s="103">
        <v>5251.95</v>
      </c>
      <c r="E21" s="103">
        <v>-1935.2739999999999</v>
      </c>
      <c r="F21" s="103">
        <v>4529.6289999999999</v>
      </c>
      <c r="G21" s="103">
        <v>-10470.525</v>
      </c>
      <c r="H21" s="103">
        <v>17311.68</v>
      </c>
      <c r="I21" s="103">
        <v>-108593.495</v>
      </c>
      <c r="J21" s="103">
        <v>-15422.36</v>
      </c>
      <c r="K21" s="103">
        <v>21919.076000000001</v>
      </c>
      <c r="L21" s="103">
        <v>-13050.76</v>
      </c>
      <c r="M21" s="103">
        <v>-5512.826</v>
      </c>
      <c r="N21" s="103">
        <v>43344.385999999999</v>
      </c>
      <c r="O21" s="103">
        <v>0</v>
      </c>
      <c r="P21" s="103">
        <v>1952.9190000000001</v>
      </c>
      <c r="Q21" s="106">
        <v>-60675.6</v>
      </c>
      <c r="R21"/>
    </row>
    <row r="22" spans="2:18" ht="30" customHeight="1" x14ac:dyDescent="0.35">
      <c r="B22" s="100" t="s">
        <v>70</v>
      </c>
      <c r="C22" s="103">
        <v>0</v>
      </c>
      <c r="D22" s="103">
        <v>0</v>
      </c>
      <c r="E22" s="103">
        <v>0</v>
      </c>
      <c r="F22" s="103">
        <v>0</v>
      </c>
      <c r="G22" s="103">
        <v>0</v>
      </c>
      <c r="H22" s="103">
        <v>0</v>
      </c>
      <c r="I22" s="103">
        <v>0</v>
      </c>
      <c r="J22" s="103">
        <v>0</v>
      </c>
      <c r="K22" s="103">
        <v>0</v>
      </c>
      <c r="L22" s="103">
        <v>0</v>
      </c>
      <c r="M22" s="103">
        <v>0</v>
      </c>
      <c r="N22" s="103">
        <v>0</v>
      </c>
      <c r="O22" s="103">
        <v>0</v>
      </c>
      <c r="P22" s="103">
        <v>0</v>
      </c>
      <c r="Q22" s="106">
        <v>0</v>
      </c>
      <c r="R22"/>
    </row>
    <row r="23" spans="2:18" ht="30" customHeight="1" x14ac:dyDescent="0.35">
      <c r="B23" s="100" t="s">
        <v>71</v>
      </c>
      <c r="C23" s="103">
        <v>0</v>
      </c>
      <c r="D23" s="103">
        <v>0</v>
      </c>
      <c r="E23" s="103">
        <v>0</v>
      </c>
      <c r="F23" s="103">
        <v>0</v>
      </c>
      <c r="G23" s="103">
        <v>0</v>
      </c>
      <c r="H23" s="103">
        <v>0</v>
      </c>
      <c r="I23" s="103">
        <v>0</v>
      </c>
      <c r="J23" s="103">
        <v>0</v>
      </c>
      <c r="K23" s="103">
        <v>0</v>
      </c>
      <c r="L23" s="103">
        <v>0</v>
      </c>
      <c r="M23" s="103">
        <v>0</v>
      </c>
      <c r="N23" s="103">
        <v>0</v>
      </c>
      <c r="O23" s="103">
        <v>-9967.3754091763494</v>
      </c>
      <c r="P23" s="103">
        <v>0</v>
      </c>
      <c r="Q23" s="106">
        <v>-9967.3754091763494</v>
      </c>
      <c r="R23"/>
    </row>
    <row r="24" spans="2:18" ht="30" customHeight="1" x14ac:dyDescent="0.35">
      <c r="B24" s="100" t="s">
        <v>72</v>
      </c>
      <c r="C24" s="103">
        <v>0</v>
      </c>
      <c r="D24" s="103">
        <v>-12154.681</v>
      </c>
      <c r="E24" s="103">
        <v>2345.8420000000001</v>
      </c>
      <c r="F24" s="103">
        <v>-115892.872</v>
      </c>
      <c r="G24" s="103">
        <v>-9678.8269999999993</v>
      </c>
      <c r="H24" s="103">
        <v>-8855.08</v>
      </c>
      <c r="I24" s="103">
        <v>7070.2610000000004</v>
      </c>
      <c r="J24" s="103">
        <v>118468.16800000001</v>
      </c>
      <c r="K24" s="103">
        <v>0</v>
      </c>
      <c r="L24" s="103">
        <v>463.46300000000002</v>
      </c>
      <c r="M24" s="103">
        <v>-17736.726999999999</v>
      </c>
      <c r="N24" s="103">
        <v>-61038.720000000001</v>
      </c>
      <c r="O24" s="103">
        <v>-3528.953</v>
      </c>
      <c r="P24" s="103">
        <v>-1803.9649999999999</v>
      </c>
      <c r="Q24" s="106">
        <v>-102342.091</v>
      </c>
      <c r="R24"/>
    </row>
    <row r="25" spans="2:18" ht="30" customHeight="1" x14ac:dyDescent="0.35">
      <c r="B25" s="100" t="s">
        <v>73</v>
      </c>
      <c r="C25" s="103">
        <v>0</v>
      </c>
      <c r="D25" s="103">
        <v>0</v>
      </c>
      <c r="E25" s="103">
        <v>0</v>
      </c>
      <c r="F25" s="103">
        <v>0</v>
      </c>
      <c r="G25" s="103">
        <v>0</v>
      </c>
      <c r="H25" s="103">
        <v>0</v>
      </c>
      <c r="I25" s="103">
        <v>0</v>
      </c>
      <c r="J25" s="103">
        <v>0</v>
      </c>
      <c r="K25" s="103">
        <v>0</v>
      </c>
      <c r="L25" s="103">
        <v>0</v>
      </c>
      <c r="M25" s="103">
        <v>0</v>
      </c>
      <c r="N25" s="103">
        <v>0</v>
      </c>
      <c r="O25" s="103">
        <v>0</v>
      </c>
      <c r="P25" s="103">
        <v>0</v>
      </c>
      <c r="Q25" s="106">
        <v>0</v>
      </c>
      <c r="R25"/>
    </row>
    <row r="26" spans="2:18" ht="30" customHeight="1" x14ac:dyDescent="0.35">
      <c r="B26" s="100" t="s">
        <v>74</v>
      </c>
      <c r="C26" s="103">
        <v>0</v>
      </c>
      <c r="D26" s="103">
        <v>22260.98816566071</v>
      </c>
      <c r="E26" s="103">
        <v>2417.5004786873601</v>
      </c>
      <c r="F26" s="103">
        <v>78940.152939584572</v>
      </c>
      <c r="G26" s="103">
        <v>-38770.331129733837</v>
      </c>
      <c r="H26" s="103">
        <v>2871.9443870408031</v>
      </c>
      <c r="I26" s="103">
        <v>-56130.867159397058</v>
      </c>
      <c r="J26" s="103">
        <v>248755.35475759351</v>
      </c>
      <c r="K26" s="103">
        <v>0</v>
      </c>
      <c r="L26" s="103">
        <v>3954.551202684188</v>
      </c>
      <c r="M26" s="103">
        <v>16199.14465607384</v>
      </c>
      <c r="N26" s="103">
        <v>70024.659829101161</v>
      </c>
      <c r="O26" s="103">
        <v>-133990.4043577823</v>
      </c>
      <c r="P26" s="103">
        <v>43706.008910500394</v>
      </c>
      <c r="Q26" s="106">
        <v>260238.70268001329</v>
      </c>
      <c r="R26"/>
    </row>
    <row r="27" spans="2:18" ht="30" customHeight="1" x14ac:dyDescent="0.35">
      <c r="B27" s="100" t="s">
        <v>75</v>
      </c>
      <c r="C27" s="103">
        <v>8249.1544202542991</v>
      </c>
      <c r="D27" s="103">
        <v>68630.90253336422</v>
      </c>
      <c r="E27" s="103">
        <v>18166.675873021992</v>
      </c>
      <c r="F27" s="103">
        <v>49266.786993372312</v>
      </c>
      <c r="G27" s="103">
        <v>15624.046416597979</v>
      </c>
      <c r="H27" s="103">
        <v>63138.642634116834</v>
      </c>
      <c r="I27" s="103">
        <v>67195.388763362062</v>
      </c>
      <c r="J27" s="103">
        <v>43338.162853488029</v>
      </c>
      <c r="K27" s="103">
        <v>7288.5950000000003</v>
      </c>
      <c r="L27" s="103">
        <v>2949.6978108819371</v>
      </c>
      <c r="M27" s="103">
        <v>3018.9059165346039</v>
      </c>
      <c r="N27" s="103">
        <v>-18615.68951376493</v>
      </c>
      <c r="O27" s="103">
        <v>0</v>
      </c>
      <c r="P27" s="103">
        <v>55714.865088587983</v>
      </c>
      <c r="Q27" s="106">
        <v>383966.13478981733</v>
      </c>
      <c r="R27"/>
    </row>
    <row r="28" spans="2:18" ht="30" customHeight="1" x14ac:dyDescent="0.35">
      <c r="B28" s="100" t="s">
        <v>76</v>
      </c>
      <c r="C28" s="103">
        <v>2075.81844457735</v>
      </c>
      <c r="D28" s="103">
        <v>-2274.7099204243309</v>
      </c>
      <c r="E28" s="103">
        <v>579.45112707810824</v>
      </c>
      <c r="F28" s="103">
        <v>11385.270105077279</v>
      </c>
      <c r="G28" s="103">
        <v>-801.03574760972754</v>
      </c>
      <c r="H28" s="103">
        <v>1962.027936095493</v>
      </c>
      <c r="I28" s="103">
        <v>-15955.000514844471</v>
      </c>
      <c r="J28" s="103">
        <v>-27104.061654845191</v>
      </c>
      <c r="K28" s="103">
        <v>0</v>
      </c>
      <c r="L28" s="103">
        <v>290.47896162150238</v>
      </c>
      <c r="M28" s="103">
        <v>3753.8755775153709</v>
      </c>
      <c r="N28" s="103">
        <v>-2017.72198529149</v>
      </c>
      <c r="O28" s="103">
        <v>-111756.73518</v>
      </c>
      <c r="P28" s="103">
        <v>-656.85378591424205</v>
      </c>
      <c r="Q28" s="106">
        <v>-140519.19663696439</v>
      </c>
      <c r="R28"/>
    </row>
    <row r="29" spans="2:18" ht="30" customHeight="1" x14ac:dyDescent="0.35">
      <c r="B29" s="100" t="s">
        <v>77</v>
      </c>
      <c r="C29" s="103">
        <v>0</v>
      </c>
      <c r="D29" s="103">
        <v>-5837.1447593189532</v>
      </c>
      <c r="E29" s="103">
        <v>2370.8545149891888</v>
      </c>
      <c r="F29" s="103">
        <v>7633.8187286340672</v>
      </c>
      <c r="G29" s="103">
        <v>288.06042816586978</v>
      </c>
      <c r="H29" s="103">
        <v>-3232.6386123423808</v>
      </c>
      <c r="I29" s="103">
        <v>-31194.79674221902</v>
      </c>
      <c r="J29" s="103">
        <v>-1206.774873888565</v>
      </c>
      <c r="K29" s="103">
        <v>0</v>
      </c>
      <c r="L29" s="103">
        <v>8354.6921419527152</v>
      </c>
      <c r="M29" s="103">
        <v>3574.5413663370759</v>
      </c>
      <c r="N29" s="103">
        <v>664.36871754638662</v>
      </c>
      <c r="O29" s="103">
        <v>0</v>
      </c>
      <c r="P29" s="103">
        <v>7.6797299999999993</v>
      </c>
      <c r="Q29" s="106">
        <v>-18577.339360143611</v>
      </c>
      <c r="R29"/>
    </row>
    <row r="30" spans="2:18" ht="30" customHeight="1" x14ac:dyDescent="0.35">
      <c r="B30" s="100" t="s">
        <v>78</v>
      </c>
      <c r="C30" s="103">
        <v>11595.0321811348</v>
      </c>
      <c r="D30" s="103">
        <v>-9399.4619181395301</v>
      </c>
      <c r="E30" s="103">
        <v>-5799.0992179617206</v>
      </c>
      <c r="F30" s="103">
        <v>12142.44660334863</v>
      </c>
      <c r="G30" s="103">
        <v>6896.9607915386068</v>
      </c>
      <c r="H30" s="103">
        <v>-21079.967089414338</v>
      </c>
      <c r="I30" s="103">
        <v>-18048.15277353469</v>
      </c>
      <c r="J30" s="103">
        <v>-129263.60345398021</v>
      </c>
      <c r="K30" s="103">
        <v>93186.268035685105</v>
      </c>
      <c r="L30" s="103">
        <v>2212.610084042969</v>
      </c>
      <c r="M30" s="103">
        <v>24664.773331385131</v>
      </c>
      <c r="N30" s="103">
        <v>-27341.788058054721</v>
      </c>
      <c r="O30" s="103">
        <v>0</v>
      </c>
      <c r="P30" s="103">
        <v>-3582.953525047219</v>
      </c>
      <c r="Q30" s="106">
        <v>-63816.935008997141</v>
      </c>
      <c r="R30"/>
    </row>
    <row r="31" spans="2:18" ht="30" customHeight="1" x14ac:dyDescent="0.35">
      <c r="B31" s="100" t="s">
        <v>79</v>
      </c>
      <c r="C31" s="103">
        <v>961.75763929191419</v>
      </c>
      <c r="D31" s="103">
        <v>-7057.7755749930666</v>
      </c>
      <c r="E31" s="103">
        <v>10267.50962645551</v>
      </c>
      <c r="F31" s="103">
        <v>7227.0393968682738</v>
      </c>
      <c r="G31" s="103">
        <v>-2204.2589809983151</v>
      </c>
      <c r="H31" s="103">
        <v>-4943.6294412078487</v>
      </c>
      <c r="I31" s="103">
        <v>-52606.925871902582</v>
      </c>
      <c r="J31" s="103">
        <v>-24425.832415929541</v>
      </c>
      <c r="K31" s="103">
        <v>0</v>
      </c>
      <c r="L31" s="103">
        <v>-30222.199865879971</v>
      </c>
      <c r="M31" s="103">
        <v>-27180.669936210172</v>
      </c>
      <c r="N31" s="103">
        <v>49866.871501894922</v>
      </c>
      <c r="O31" s="103">
        <v>287749.24903820321</v>
      </c>
      <c r="P31" s="103">
        <v>-422778.67161345063</v>
      </c>
      <c r="Q31" s="106">
        <v>-215347.53649785821</v>
      </c>
      <c r="R31"/>
    </row>
    <row r="32" spans="2:18" ht="30" customHeight="1" x14ac:dyDescent="0.35">
      <c r="B32" s="100" t="s">
        <v>80</v>
      </c>
      <c r="C32" s="103">
        <v>0</v>
      </c>
      <c r="D32" s="103">
        <v>-114.045</v>
      </c>
      <c r="E32" s="103">
        <v>1808.21</v>
      </c>
      <c r="F32" s="103">
        <v>607.35400000000004</v>
      </c>
      <c r="G32" s="103">
        <v>13304.349</v>
      </c>
      <c r="H32" s="103">
        <v>752.08</v>
      </c>
      <c r="I32" s="103">
        <v>-22598.636999999999</v>
      </c>
      <c r="J32" s="103">
        <v>7620.9269999999997</v>
      </c>
      <c r="K32" s="103">
        <v>0</v>
      </c>
      <c r="L32" s="103">
        <v>306.43099999999998</v>
      </c>
      <c r="M32" s="103">
        <v>3339.92</v>
      </c>
      <c r="N32" s="103">
        <v>-1799.5039999999999</v>
      </c>
      <c r="O32" s="103">
        <v>-7785.8085700000001</v>
      </c>
      <c r="P32" s="103">
        <v>-1004.274</v>
      </c>
      <c r="Q32" s="106">
        <v>-5562.9975700000005</v>
      </c>
      <c r="R32"/>
    </row>
    <row r="33" spans="2:18" ht="30" customHeight="1" x14ac:dyDescent="0.35">
      <c r="B33" s="100" t="s">
        <v>81</v>
      </c>
      <c r="C33" s="103">
        <v>-1323.4394428500641</v>
      </c>
      <c r="D33" s="103">
        <v>96296.701067990114</v>
      </c>
      <c r="E33" s="103">
        <v>1738.1109653172</v>
      </c>
      <c r="F33" s="103">
        <v>-26119.298854887162</v>
      </c>
      <c r="G33" s="103">
        <v>-1754.612119669581</v>
      </c>
      <c r="H33" s="103">
        <v>1752.7990891222721</v>
      </c>
      <c r="I33" s="103">
        <v>-36354.714890948148</v>
      </c>
      <c r="J33" s="103">
        <v>-186603.51262724909</v>
      </c>
      <c r="K33" s="103">
        <v>215.78</v>
      </c>
      <c r="L33" s="103">
        <v>-2472.394301688938</v>
      </c>
      <c r="M33" s="103">
        <v>1688.5446945821941</v>
      </c>
      <c r="N33" s="103">
        <v>12030.92350585066</v>
      </c>
      <c r="O33" s="103">
        <v>0</v>
      </c>
      <c r="P33" s="103">
        <v>8755.1036302913926</v>
      </c>
      <c r="Q33" s="106">
        <v>-132150.0092841392</v>
      </c>
      <c r="R33"/>
    </row>
    <row r="34" spans="2:18" ht="30" customHeight="1" x14ac:dyDescent="0.35">
      <c r="B34" s="100" t="s">
        <v>82</v>
      </c>
      <c r="C34" s="103">
        <v>0</v>
      </c>
      <c r="D34" s="103">
        <v>-13796.834858160881</v>
      </c>
      <c r="E34" s="103">
        <v>-517.63086455857103</v>
      </c>
      <c r="F34" s="103">
        <v>-74623.949583634065</v>
      </c>
      <c r="G34" s="103">
        <v>15129.83451649278</v>
      </c>
      <c r="H34" s="103">
        <v>-2016.089131193713</v>
      </c>
      <c r="I34" s="103">
        <v>-89922.15053973507</v>
      </c>
      <c r="J34" s="103">
        <v>-28628.651210497908</v>
      </c>
      <c r="K34" s="103">
        <v>6191.4770192458591</v>
      </c>
      <c r="L34" s="103">
        <v>-16190.653484110901</v>
      </c>
      <c r="M34" s="103">
        <v>15740.722800635391</v>
      </c>
      <c r="N34" s="103">
        <v>17111.315551058749</v>
      </c>
      <c r="O34" s="103">
        <v>-9778.6000750000003</v>
      </c>
      <c r="P34" s="103">
        <v>4488.0458254136993</v>
      </c>
      <c r="Q34" s="106">
        <v>-176813.1640340446</v>
      </c>
      <c r="R34"/>
    </row>
    <row r="35" spans="2:18" ht="30" customHeight="1" x14ac:dyDescent="0.35">
      <c r="B35" s="100" t="s">
        <v>83</v>
      </c>
      <c r="C35" s="103">
        <v>-351935.57146329031</v>
      </c>
      <c r="D35" s="103">
        <v>-326.30339776331442</v>
      </c>
      <c r="E35" s="103">
        <v>-21.51095953916624</v>
      </c>
      <c r="F35" s="103">
        <v>-7259.4886318069939</v>
      </c>
      <c r="G35" s="103">
        <v>11141.744825254331</v>
      </c>
      <c r="H35" s="103">
        <v>112.2991442200083</v>
      </c>
      <c r="I35" s="103">
        <v>-59739.742739911293</v>
      </c>
      <c r="J35" s="103">
        <v>647.89418734889102</v>
      </c>
      <c r="K35" s="103">
        <v>-10270.70922757956</v>
      </c>
      <c r="L35" s="103">
        <v>3162.550872084918</v>
      </c>
      <c r="M35" s="103">
        <v>29804.035582543849</v>
      </c>
      <c r="N35" s="103">
        <v>12483.84833747021</v>
      </c>
      <c r="O35" s="103">
        <v>39368.986327960483</v>
      </c>
      <c r="P35" s="103">
        <v>-3789.158618318314</v>
      </c>
      <c r="Q35" s="106">
        <v>-336621.12576132623</v>
      </c>
      <c r="R35"/>
    </row>
    <row r="36" spans="2:18" ht="30" customHeight="1" x14ac:dyDescent="0.35">
      <c r="B36" s="100" t="s">
        <v>84</v>
      </c>
      <c r="C36" s="103">
        <v>0</v>
      </c>
      <c r="D36" s="103">
        <v>-7020.5858435874543</v>
      </c>
      <c r="E36" s="103">
        <v>-5136.7873813691594</v>
      </c>
      <c r="F36" s="103">
        <v>-16739.014821791901</v>
      </c>
      <c r="G36" s="103">
        <v>-23707.544553972501</v>
      </c>
      <c r="H36" s="103">
        <v>-8840.9216490904655</v>
      </c>
      <c r="I36" s="103">
        <v>-315.45062561462822</v>
      </c>
      <c r="J36" s="103">
        <v>-1698.0420409774331</v>
      </c>
      <c r="K36" s="103">
        <v>0</v>
      </c>
      <c r="L36" s="103">
        <v>-33.909485723434358</v>
      </c>
      <c r="M36" s="103">
        <v>-244.3524776994754</v>
      </c>
      <c r="N36" s="103">
        <v>4696.7660437682162</v>
      </c>
      <c r="O36" s="103">
        <v>2734.6849463559411</v>
      </c>
      <c r="P36" s="103">
        <v>-3134.7269201966101</v>
      </c>
      <c r="Q36" s="106">
        <v>-59439.884809898911</v>
      </c>
      <c r="R36"/>
    </row>
    <row r="37" spans="2:18" ht="30" customHeight="1" x14ac:dyDescent="0.35">
      <c r="B37" s="100" t="s">
        <v>85</v>
      </c>
      <c r="C37" s="103">
        <v>0</v>
      </c>
      <c r="D37" s="103">
        <v>-18943.62545015234</v>
      </c>
      <c r="E37" s="103">
        <v>4811.5081889755947</v>
      </c>
      <c r="F37" s="103">
        <v>-146450.14403765459</v>
      </c>
      <c r="G37" s="103">
        <v>3669.0232667860591</v>
      </c>
      <c r="H37" s="103">
        <v>7733.429566020247</v>
      </c>
      <c r="I37" s="103">
        <v>36819.212149807048</v>
      </c>
      <c r="J37" s="103">
        <v>36756.437284865096</v>
      </c>
      <c r="K37" s="103">
        <v>0</v>
      </c>
      <c r="L37" s="103">
        <v>1130.5273975504449</v>
      </c>
      <c r="M37" s="103">
        <v>23316.44925489368</v>
      </c>
      <c r="N37" s="103">
        <v>59492.204136820277</v>
      </c>
      <c r="O37" s="103">
        <v>471.78426492081661</v>
      </c>
      <c r="P37" s="103">
        <v>-567.84719884878837</v>
      </c>
      <c r="Q37" s="106">
        <v>8238.9588239835612</v>
      </c>
      <c r="R37"/>
    </row>
    <row r="38" spans="2:18" ht="30" customHeight="1" x14ac:dyDescent="0.35">
      <c r="B38" s="100" t="s">
        <v>86</v>
      </c>
      <c r="C38" s="103">
        <v>-4367.7790000000005</v>
      </c>
      <c r="D38" s="103">
        <v>-10308.683999999999</v>
      </c>
      <c r="E38" s="103">
        <v>-51362.686000000002</v>
      </c>
      <c r="F38" s="103">
        <v>55034.898999999998</v>
      </c>
      <c r="G38" s="103">
        <v>-2303.355</v>
      </c>
      <c r="H38" s="103">
        <v>-7040.9979999999996</v>
      </c>
      <c r="I38" s="103">
        <v>-7267.4430000000002</v>
      </c>
      <c r="J38" s="103">
        <v>-4022.0540000000001</v>
      </c>
      <c r="K38" s="103">
        <v>-695.33299999999997</v>
      </c>
      <c r="L38" s="103">
        <v>27178.559000000001</v>
      </c>
      <c r="M38" s="103">
        <v>-6479.1170000000002</v>
      </c>
      <c r="N38" s="103">
        <v>42726.411</v>
      </c>
      <c r="O38" s="103">
        <v>15408.77</v>
      </c>
      <c r="P38" s="103">
        <v>5115.49</v>
      </c>
      <c r="Q38" s="106">
        <v>51616.68</v>
      </c>
      <c r="R38"/>
    </row>
    <row r="39" spans="2:18" ht="30" customHeight="1" x14ac:dyDescent="0.35">
      <c r="B39" s="160" t="s">
        <v>87</v>
      </c>
      <c r="C39" s="103">
        <v>0</v>
      </c>
      <c r="D39" s="103">
        <v>2607.806040900075</v>
      </c>
      <c r="E39" s="103">
        <v>342.80196465682229</v>
      </c>
      <c r="F39" s="103">
        <v>18067.47321958853</v>
      </c>
      <c r="G39" s="103">
        <v>1791.8313876240641</v>
      </c>
      <c r="H39" s="103">
        <v>822.7757713506162</v>
      </c>
      <c r="I39" s="103">
        <v>-52479.820360238053</v>
      </c>
      <c r="J39" s="103">
        <v>-34932.55040507442</v>
      </c>
      <c r="K39" s="103">
        <v>0</v>
      </c>
      <c r="L39" s="103">
        <v>67.764401242676428</v>
      </c>
      <c r="M39" s="103">
        <v>2330.1356856285638</v>
      </c>
      <c r="N39" s="103">
        <v>26272.10366513368</v>
      </c>
      <c r="O39" s="103">
        <v>84404.833418757116</v>
      </c>
      <c r="P39" s="103">
        <v>-4492.4531831175746</v>
      </c>
      <c r="Q39" s="106">
        <v>44802.701606452087</v>
      </c>
      <c r="R39"/>
    </row>
    <row r="40" spans="2:18" ht="30" customHeight="1" x14ac:dyDescent="0.35">
      <c r="B40" s="160" t="s">
        <v>88</v>
      </c>
      <c r="C40" s="103">
        <v>0</v>
      </c>
      <c r="D40" s="103">
        <v>-575.97859723149963</v>
      </c>
      <c r="E40" s="103">
        <v>69.291266914658266</v>
      </c>
      <c r="F40" s="103">
        <v>1848.685507971411</v>
      </c>
      <c r="G40" s="103">
        <v>1113.4398300722421</v>
      </c>
      <c r="H40" s="103">
        <v>2.047161036520134</v>
      </c>
      <c r="I40" s="103">
        <v>54102.072874037483</v>
      </c>
      <c r="J40" s="103">
        <v>-32066.640691273959</v>
      </c>
      <c r="K40" s="103">
        <v>0</v>
      </c>
      <c r="L40" s="103">
        <v>1352.668745193429</v>
      </c>
      <c r="M40" s="103">
        <v>290.24122446954351</v>
      </c>
      <c r="N40" s="103">
        <v>-1238.086638267426</v>
      </c>
      <c r="O40" s="103">
        <v>0</v>
      </c>
      <c r="P40" s="103">
        <v>491.72997784601762</v>
      </c>
      <c r="Q40" s="106">
        <v>25389.470660768409</v>
      </c>
      <c r="R40"/>
    </row>
    <row r="41" spans="2:18" ht="30" customHeight="1" x14ac:dyDescent="0.35">
      <c r="B41" s="160" t="s">
        <v>89</v>
      </c>
      <c r="C41" s="103">
        <v>0</v>
      </c>
      <c r="D41" s="103">
        <v>0</v>
      </c>
      <c r="E41" s="103">
        <v>0</v>
      </c>
      <c r="F41" s="103">
        <v>0</v>
      </c>
      <c r="G41" s="103">
        <v>0</v>
      </c>
      <c r="H41" s="103">
        <v>0</v>
      </c>
      <c r="I41" s="103">
        <v>0</v>
      </c>
      <c r="J41" s="103">
        <v>0</v>
      </c>
      <c r="K41" s="103">
        <v>0</v>
      </c>
      <c r="L41" s="103">
        <v>0</v>
      </c>
      <c r="M41" s="103">
        <v>0</v>
      </c>
      <c r="N41" s="103">
        <v>0</v>
      </c>
      <c r="O41" s="103">
        <v>0</v>
      </c>
      <c r="P41" s="103">
        <v>0</v>
      </c>
      <c r="Q41" s="106">
        <v>0</v>
      </c>
      <c r="R41"/>
    </row>
    <row r="42" spans="2:18" ht="30" customHeight="1" x14ac:dyDescent="0.35">
      <c r="B42" s="104" t="s">
        <v>90</v>
      </c>
      <c r="C42" s="105">
        <f t="shared" ref="C42:Q42" si="0">SUM(C6:C41)</f>
        <v>-385093.83825897833</v>
      </c>
      <c r="D42" s="105">
        <f t="shared" si="0"/>
        <v>97526.096790949785</v>
      </c>
      <c r="E42" s="105">
        <f t="shared" si="0"/>
        <v>16507.735987486016</v>
      </c>
      <c r="F42" s="105">
        <f t="shared" si="0"/>
        <v>177228.70304848775</v>
      </c>
      <c r="G42" s="105">
        <f t="shared" si="0"/>
        <v>-106866.06350252366</v>
      </c>
      <c r="H42" s="105">
        <f t="shared" si="0"/>
        <v>115317.80610980115</v>
      </c>
      <c r="I42" s="105">
        <f t="shared" si="0"/>
        <v>-907675.85743350489</v>
      </c>
      <c r="J42" s="105">
        <f t="shared" si="0"/>
        <v>-498752.04580783186</v>
      </c>
      <c r="K42" s="105">
        <f t="shared" si="0"/>
        <v>-512225.32289132185</v>
      </c>
      <c r="L42" s="105">
        <f t="shared" si="0"/>
        <v>-36754.488173726379</v>
      </c>
      <c r="M42" s="105">
        <f t="shared" si="0"/>
        <v>221310.39084397804</v>
      </c>
      <c r="N42" s="105">
        <f t="shared" si="0"/>
        <v>122085.73182663774</v>
      </c>
      <c r="O42" s="105">
        <f t="shared" si="0"/>
        <v>-34358.609996045619</v>
      </c>
      <c r="P42" s="105">
        <f t="shared" si="0"/>
        <v>-380215.50451058068</v>
      </c>
      <c r="Q42" s="105">
        <f t="shared" si="0"/>
        <v>-2111965.2659671726</v>
      </c>
    </row>
    <row r="43" spans="2:18" ht="30" customHeight="1" x14ac:dyDescent="0.35">
      <c r="B43" s="278" t="s">
        <v>91</v>
      </c>
      <c r="C43" s="252"/>
      <c r="D43" s="252"/>
      <c r="E43" s="252"/>
      <c r="F43" s="252"/>
      <c r="G43" s="252"/>
      <c r="H43" s="252"/>
      <c r="I43" s="252"/>
      <c r="J43" s="252"/>
      <c r="K43" s="252"/>
      <c r="L43" s="252"/>
      <c r="M43" s="252"/>
      <c r="N43" s="252"/>
      <c r="O43" s="252"/>
      <c r="P43" s="252"/>
      <c r="Q43" s="253"/>
    </row>
    <row r="44" spans="2:18" ht="30" customHeight="1" x14ac:dyDescent="0.35">
      <c r="B44" s="100" t="s">
        <v>92</v>
      </c>
      <c r="C44" s="103">
        <v>-3104.8119926747459</v>
      </c>
      <c r="D44" s="103">
        <v>74029.57715231886</v>
      </c>
      <c r="E44" s="103">
        <v>34049.758136983801</v>
      </c>
      <c r="F44" s="103">
        <v>17740.596263227329</v>
      </c>
      <c r="G44" s="103">
        <v>-8916.0621830721539</v>
      </c>
      <c r="H44" s="103">
        <v>-34065.988705168456</v>
      </c>
      <c r="I44" s="103">
        <v>-1224.3835968166511</v>
      </c>
      <c r="J44" s="103">
        <v>-3015.648185112555</v>
      </c>
      <c r="K44" s="103">
        <v>0</v>
      </c>
      <c r="L44" s="103">
        <v>21356.85375044098</v>
      </c>
      <c r="M44" s="103">
        <v>1959.8028149444001</v>
      </c>
      <c r="N44" s="103">
        <v>1640.2702675954361</v>
      </c>
      <c r="O44" s="103">
        <v>-105977.071743313</v>
      </c>
      <c r="P44" s="103">
        <v>106715.13679852179</v>
      </c>
      <c r="Q44" s="106">
        <v>101188.02877787501</v>
      </c>
      <c r="R44"/>
    </row>
    <row r="45" spans="2:18" ht="30" customHeight="1" x14ac:dyDescent="0.35">
      <c r="B45" s="100" t="s">
        <v>93</v>
      </c>
      <c r="C45" s="103">
        <v>755.11326997838978</v>
      </c>
      <c r="D45" s="103">
        <v>-22740.49865368391</v>
      </c>
      <c r="E45" s="103">
        <v>19366.695650000001</v>
      </c>
      <c r="F45" s="103">
        <v>-77418.858241989248</v>
      </c>
      <c r="G45" s="103">
        <v>6149.7910901196028</v>
      </c>
      <c r="H45" s="103">
        <v>20465.432714821749</v>
      </c>
      <c r="I45" s="103">
        <v>0</v>
      </c>
      <c r="J45" s="103">
        <v>48574.067211611262</v>
      </c>
      <c r="K45" s="103">
        <v>0</v>
      </c>
      <c r="L45" s="103">
        <v>3791.6839865788938</v>
      </c>
      <c r="M45" s="103">
        <v>0</v>
      </c>
      <c r="N45" s="103">
        <v>0</v>
      </c>
      <c r="O45" s="103">
        <v>-77185.841505665128</v>
      </c>
      <c r="P45" s="103">
        <v>158367.56019087479</v>
      </c>
      <c r="Q45" s="106">
        <v>80125.145712646423</v>
      </c>
      <c r="R45"/>
    </row>
    <row r="46" spans="2:18" ht="30" customHeight="1" x14ac:dyDescent="0.35">
      <c r="B46" s="100" t="s">
        <v>94</v>
      </c>
      <c r="C46" s="103">
        <v>-788.57464634838789</v>
      </c>
      <c r="D46" s="103">
        <v>-20362.649284415769</v>
      </c>
      <c r="E46" s="103">
        <v>-46969.937063648649</v>
      </c>
      <c r="F46" s="103">
        <v>-45791.047063648613</v>
      </c>
      <c r="G46" s="103">
        <v>6141.8056065230712</v>
      </c>
      <c r="H46" s="103">
        <v>8899.0896950776769</v>
      </c>
      <c r="I46" s="103">
        <v>7975.6989704255593</v>
      </c>
      <c r="J46" s="103">
        <v>10513.76697042557</v>
      </c>
      <c r="K46" s="103">
        <v>0</v>
      </c>
      <c r="L46" s="103">
        <v>4761.6153773512624</v>
      </c>
      <c r="M46" s="103">
        <v>-970.61023236446806</v>
      </c>
      <c r="N46" s="103">
        <v>-7685.5406226487376</v>
      </c>
      <c r="O46" s="103">
        <v>19874.427657728731</v>
      </c>
      <c r="P46" s="103">
        <v>21047.84174268369</v>
      </c>
      <c r="Q46" s="106">
        <v>-43354.112892859062</v>
      </c>
      <c r="R46"/>
    </row>
    <row r="47" spans="2:18" ht="30" customHeight="1" x14ac:dyDescent="0.35">
      <c r="B47" s="97" t="s">
        <v>95</v>
      </c>
      <c r="C47" s="103">
        <v>19152.616869941139</v>
      </c>
      <c r="D47" s="103">
        <v>-253706.83051928869</v>
      </c>
      <c r="E47" s="103">
        <v>-64611.763496844716</v>
      </c>
      <c r="F47" s="103">
        <v>-27434.645934672859</v>
      </c>
      <c r="G47" s="103">
        <v>6606.6472787910898</v>
      </c>
      <c r="H47" s="103">
        <v>64693.803119525073</v>
      </c>
      <c r="I47" s="103">
        <v>624.26154356110283</v>
      </c>
      <c r="J47" s="103">
        <v>-96514.600698520386</v>
      </c>
      <c r="K47" s="103">
        <v>0</v>
      </c>
      <c r="L47" s="103">
        <v>69065.968837009306</v>
      </c>
      <c r="M47" s="103">
        <v>75590.153991895117</v>
      </c>
      <c r="N47" s="103">
        <v>-1287.0020091383999</v>
      </c>
      <c r="O47" s="103">
        <v>-148059.1041469404</v>
      </c>
      <c r="P47" s="103">
        <v>-85221.759917370262</v>
      </c>
      <c r="Q47" s="106">
        <v>-441102.25508205302</v>
      </c>
      <c r="R47"/>
    </row>
    <row r="48" spans="2:18" ht="30" customHeight="1" x14ac:dyDescent="0.35">
      <c r="B48" s="100" t="s">
        <v>96</v>
      </c>
      <c r="C48" s="103">
        <v>-15278.68314375833</v>
      </c>
      <c r="D48" s="103">
        <v>-375487.32848736702</v>
      </c>
      <c r="E48" s="103">
        <v>-7572.3004389094422</v>
      </c>
      <c r="F48" s="103">
        <v>590548.89563758986</v>
      </c>
      <c r="G48" s="103">
        <v>764450.7350799354</v>
      </c>
      <c r="H48" s="103">
        <v>-128726.5463190508</v>
      </c>
      <c r="I48" s="103">
        <v>8369.4854756919012</v>
      </c>
      <c r="J48" s="103">
        <v>-138102.60729661791</v>
      </c>
      <c r="K48" s="103">
        <v>0</v>
      </c>
      <c r="L48" s="103">
        <v>-129510.59115895259</v>
      </c>
      <c r="M48" s="103">
        <v>32872.33460147398</v>
      </c>
      <c r="N48" s="103">
        <v>-37599.193710239328</v>
      </c>
      <c r="O48" s="103">
        <v>-300223.57875316532</v>
      </c>
      <c r="P48" s="103">
        <v>-81278.157620917584</v>
      </c>
      <c r="Q48" s="106">
        <v>182462.46386571301</v>
      </c>
      <c r="R48"/>
    </row>
    <row r="49" spans="2:17" ht="30" customHeight="1" x14ac:dyDescent="0.35">
      <c r="B49" s="104" t="s">
        <v>90</v>
      </c>
      <c r="C49" s="105">
        <f t="shared" ref="C49:Q49" si="1">SUM(C44:C48)</f>
        <v>735.66035713806559</v>
      </c>
      <c r="D49" s="105">
        <f t="shared" si="1"/>
        <v>-598267.72979243658</v>
      </c>
      <c r="E49" s="105">
        <f t="shared" si="1"/>
        <v>-65737.547212419013</v>
      </c>
      <c r="F49" s="105">
        <f t="shared" si="1"/>
        <v>457644.94066050649</v>
      </c>
      <c r="G49" s="105">
        <f t="shared" si="1"/>
        <v>774432.91687229706</v>
      </c>
      <c r="H49" s="105">
        <f t="shared" si="1"/>
        <v>-68734.209494794763</v>
      </c>
      <c r="I49" s="105">
        <f t="shared" si="1"/>
        <v>15745.062392861912</v>
      </c>
      <c r="J49" s="105">
        <f t="shared" si="1"/>
        <v>-178545.02199821401</v>
      </c>
      <c r="K49" s="105">
        <f t="shared" si="1"/>
        <v>0</v>
      </c>
      <c r="L49" s="105">
        <f t="shared" si="1"/>
        <v>-30534.469207572154</v>
      </c>
      <c r="M49" s="105">
        <f t="shared" si="1"/>
        <v>109451.68117594902</v>
      </c>
      <c r="N49" s="105">
        <f t="shared" si="1"/>
        <v>-44931.466074431031</v>
      </c>
      <c r="O49" s="105">
        <f t="shared" si="1"/>
        <v>-611571.16849135514</v>
      </c>
      <c r="P49" s="105">
        <f t="shared" si="1"/>
        <v>119630.62119379239</v>
      </c>
      <c r="Q49" s="105">
        <f t="shared" si="1"/>
        <v>-120680.72961867761</v>
      </c>
    </row>
    <row r="50" spans="2:17" ht="20.25" customHeight="1" x14ac:dyDescent="0.35">
      <c r="B50" s="281" t="s">
        <v>98</v>
      </c>
      <c r="C50" s="238"/>
      <c r="D50" s="238"/>
      <c r="E50" s="238"/>
      <c r="F50" s="238"/>
      <c r="G50" s="238"/>
      <c r="H50" s="238"/>
      <c r="I50" s="238"/>
      <c r="J50" s="238"/>
      <c r="K50" s="238"/>
      <c r="L50" s="238"/>
      <c r="M50" s="238"/>
      <c r="N50" s="238"/>
      <c r="O50" s="238"/>
      <c r="P50" s="238"/>
      <c r="Q50" s="238"/>
    </row>
  </sheetData>
  <sheetProtection algorithmName="SHA-512" hashValue="yn7CcI1jwBFvPFIlqryqjCgGZcoyE0GJQKxR99YUyV1rl4YD09Dmwtz6vkzafGcShWLItMsosxMpqXCNpONGjA==" saltValue="Ff2eibovSx4ygLVqXSm97Q==" spinCount="100000" sheet="1" objects="1" scenarios="1"/>
  <mergeCells count="4">
    <mergeCell ref="B50:Q50"/>
    <mergeCell ref="B43:Q43"/>
    <mergeCell ref="B3:Q3"/>
    <mergeCell ref="B5:Q5"/>
  </mergeCells>
  <pageMargins left="0.7" right="0.7" top="0.75" bottom="0.75" header="0.3" footer="0.3"/>
  <pageSetup paperSize="9" scale="33"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1">
    <tabColor rgb="FF92D050"/>
    <pageSetUpPr fitToPage="1"/>
  </sheetPr>
  <dimension ref="B3:R51"/>
  <sheetViews>
    <sheetView zoomScale="70" zoomScaleNormal="100" workbookViewId="0">
      <pane xSplit="2" ySplit="5" topLeftCell="C6" activePane="bottomRight" state="frozen"/>
      <selection pane="topRight" activeCell="C1" sqref="C1"/>
      <selection pane="bottomLeft" activeCell="A6" sqref="A6"/>
      <selection pane="bottomRight" activeCell="A26" sqref="A26"/>
    </sheetView>
  </sheetViews>
  <sheetFormatPr defaultColWidth="12" defaultRowHeight="14" x14ac:dyDescent="0.3"/>
  <cols>
    <col min="1" max="1" width="17" style="2" customWidth="1"/>
    <col min="2" max="2" width="53.90625" style="2" customWidth="1"/>
    <col min="3" max="3" width="16.08984375" style="2" bestFit="1" customWidth="1"/>
    <col min="4" max="4" width="15.81640625" style="2" bestFit="1" customWidth="1"/>
    <col min="5" max="5" width="16.08984375" style="2" bestFit="1" customWidth="1"/>
    <col min="6" max="6" width="16.6328125" style="2" bestFit="1" customWidth="1"/>
    <col min="7" max="7" width="16.08984375" style="2" bestFit="1" customWidth="1"/>
    <col min="8" max="8" width="19.7265625" style="2" bestFit="1" customWidth="1"/>
    <col min="9" max="9" width="15.81640625" style="2" bestFit="1" customWidth="1"/>
    <col min="10" max="10" width="19.7265625" style="2" bestFit="1" customWidth="1"/>
    <col min="11" max="11" width="21.08984375" style="2" bestFit="1" customWidth="1"/>
    <col min="12" max="12" width="19.90625" style="2" bestFit="1" customWidth="1"/>
    <col min="13" max="13" width="20.453125" style="2" bestFit="1" customWidth="1"/>
    <col min="14" max="14" width="16.6328125" style="2" bestFit="1" customWidth="1"/>
    <col min="15" max="15" width="16.453125" style="2" bestFit="1" customWidth="1"/>
    <col min="16" max="16" width="14.6328125" style="2" bestFit="1" customWidth="1"/>
    <col min="17" max="17" width="21.90625" style="2" bestFit="1" customWidth="1"/>
    <col min="18" max="18" width="16.54296875" style="2" customWidth="1"/>
    <col min="19" max="19" width="16.54296875" style="2" bestFit="1" customWidth="1"/>
    <col min="20" max="70" width="12" style="2" customWidth="1"/>
    <col min="71" max="16384" width="12" style="2"/>
  </cols>
  <sheetData>
    <row r="3" spans="2:18" ht="14.5" customHeight="1" x14ac:dyDescent="0.35">
      <c r="B3" s="274" t="str">
        <f>_xlfn.CONCAT('Table of Contents'!B28,": ",'Table of Contents'!C28)</f>
        <v>APPENDIX 21: SUMMARY OF GENERAL INSURANCE BUSINESS REVENUE ACCOUNTS FOR THE PERIOD ENDED 31.03.2025</v>
      </c>
      <c r="C3" s="252"/>
      <c r="D3" s="252"/>
      <c r="E3" s="252"/>
      <c r="F3" s="252"/>
      <c r="G3" s="252"/>
      <c r="H3" s="252"/>
      <c r="I3" s="252"/>
      <c r="J3" s="252"/>
      <c r="K3" s="252"/>
      <c r="L3" s="252"/>
      <c r="M3" s="252"/>
      <c r="N3" s="252"/>
      <c r="O3" s="252"/>
      <c r="P3" s="252"/>
      <c r="Q3" s="253"/>
    </row>
    <row r="4" spans="2:18" ht="31" customHeight="1" x14ac:dyDescent="0.35">
      <c r="B4" s="98" t="s">
        <v>36</v>
      </c>
      <c r="C4" s="99" t="s">
        <v>173</v>
      </c>
      <c r="D4" s="99" t="s">
        <v>174</v>
      </c>
      <c r="E4" s="99" t="s">
        <v>175</v>
      </c>
      <c r="F4" s="99" t="s">
        <v>176</v>
      </c>
      <c r="G4" s="99" t="s">
        <v>177</v>
      </c>
      <c r="H4" s="99" t="s">
        <v>178</v>
      </c>
      <c r="I4" s="99" t="s">
        <v>179</v>
      </c>
      <c r="J4" s="99" t="s">
        <v>178</v>
      </c>
      <c r="K4" s="99" t="s">
        <v>180</v>
      </c>
      <c r="L4" s="99" t="s">
        <v>181</v>
      </c>
      <c r="M4" s="99" t="s">
        <v>149</v>
      </c>
      <c r="N4" s="99" t="s">
        <v>150</v>
      </c>
      <c r="O4" s="99" t="s">
        <v>182</v>
      </c>
      <c r="P4" s="99" t="s">
        <v>151</v>
      </c>
      <c r="Q4" s="99" t="s">
        <v>183</v>
      </c>
    </row>
    <row r="5" spans="2:18" ht="14.5" customHeight="1" x14ac:dyDescent="0.35">
      <c r="B5" s="278" t="s">
        <v>53</v>
      </c>
      <c r="C5" s="252"/>
      <c r="D5" s="252"/>
      <c r="E5" s="252"/>
      <c r="F5" s="252"/>
      <c r="G5" s="252"/>
      <c r="H5" s="252"/>
      <c r="I5" s="252"/>
      <c r="J5" s="252"/>
      <c r="K5" s="252"/>
      <c r="L5" s="252"/>
      <c r="M5" s="252"/>
      <c r="N5" s="252"/>
      <c r="O5" s="252"/>
      <c r="P5" s="252"/>
      <c r="Q5" s="253"/>
    </row>
    <row r="6" spans="2:18" ht="15.5" customHeight="1" x14ac:dyDescent="0.35">
      <c r="B6" s="100" t="s">
        <v>54</v>
      </c>
      <c r="C6" s="103">
        <v>3291152.1310284189</v>
      </c>
      <c r="D6" s="103">
        <v>0</v>
      </c>
      <c r="E6" s="103">
        <v>785495.51147000003</v>
      </c>
      <c r="F6" s="103">
        <v>2505656.6195584191</v>
      </c>
      <c r="G6" s="103">
        <v>2967969.9647928718</v>
      </c>
      <c r="H6" s="103">
        <v>0</v>
      </c>
      <c r="I6" s="103">
        <v>3491872.0977991428</v>
      </c>
      <c r="J6" s="103">
        <v>0</v>
      </c>
      <c r="K6" s="103">
        <v>1981754.4865521491</v>
      </c>
      <c r="L6" s="103">
        <v>1536525.91399</v>
      </c>
      <c r="M6" s="103">
        <v>119579.1340933148</v>
      </c>
      <c r="N6" s="103">
        <v>352838.81946000003</v>
      </c>
      <c r="O6" s="103">
        <v>-27189.380991165239</v>
      </c>
      <c r="P6" s="103">
        <v>200364.68203</v>
      </c>
      <c r="Q6" s="106">
        <v>173175.30103883479</v>
      </c>
      <c r="R6"/>
    </row>
    <row r="7" spans="2:18" ht="15.5" customHeight="1" x14ac:dyDescent="0.35">
      <c r="B7" s="100" t="s">
        <v>55</v>
      </c>
      <c r="C7" s="103">
        <v>1139377.5020000001</v>
      </c>
      <c r="D7" s="103">
        <v>171.62100000000001</v>
      </c>
      <c r="E7" s="103">
        <v>18779.397000000001</v>
      </c>
      <c r="F7" s="103">
        <v>1120769.726</v>
      </c>
      <c r="G7" s="103">
        <v>589926.84525865212</v>
      </c>
      <c r="H7" s="103">
        <v>0</v>
      </c>
      <c r="I7" s="103">
        <v>628880.38225865213</v>
      </c>
      <c r="J7" s="103">
        <v>0</v>
      </c>
      <c r="K7" s="103">
        <v>1081816.189</v>
      </c>
      <c r="L7" s="103">
        <v>670290.58132343844</v>
      </c>
      <c r="M7" s="103">
        <v>118992.11500000001</v>
      </c>
      <c r="N7" s="103">
        <v>267453.8242642039</v>
      </c>
      <c r="O7" s="103">
        <v>25079.6684123577</v>
      </c>
      <c r="P7" s="103">
        <v>41980</v>
      </c>
      <c r="Q7" s="106">
        <v>67059.668412357671</v>
      </c>
      <c r="R7"/>
    </row>
    <row r="8" spans="2:18" ht="15.5" customHeight="1" x14ac:dyDescent="0.35">
      <c r="B8" s="100" t="s">
        <v>56</v>
      </c>
      <c r="C8" s="103">
        <v>6697124.9409999996</v>
      </c>
      <c r="D8" s="103">
        <v>55405.711000000003</v>
      </c>
      <c r="E8" s="103">
        <v>2549312.4280872289</v>
      </c>
      <c r="F8" s="103">
        <v>4203218.2239127709</v>
      </c>
      <c r="G8" s="103">
        <v>4044792.4492455348</v>
      </c>
      <c r="H8" s="103">
        <v>0</v>
      </c>
      <c r="I8" s="103">
        <v>5222130.8064738773</v>
      </c>
      <c r="J8" s="103">
        <v>0</v>
      </c>
      <c r="K8" s="103">
        <v>3025879.8666844289</v>
      </c>
      <c r="L8" s="103">
        <v>2097797.9465864492</v>
      </c>
      <c r="M8" s="103">
        <v>122312.660193993</v>
      </c>
      <c r="N8" s="103">
        <v>799713.14056098158</v>
      </c>
      <c r="O8" s="103">
        <v>6056.119343005158</v>
      </c>
      <c r="P8" s="103">
        <v>385900.39612634102</v>
      </c>
      <c r="Q8" s="106">
        <v>391956.51546934631</v>
      </c>
      <c r="R8"/>
    </row>
    <row r="9" spans="2:18" ht="15.5" customHeight="1" x14ac:dyDescent="0.35">
      <c r="B9" s="100" t="s">
        <v>57</v>
      </c>
      <c r="C9" s="103">
        <v>4808949.593993892</v>
      </c>
      <c r="D9" s="103">
        <v>18727.631440000001</v>
      </c>
      <c r="E9" s="103">
        <v>1644427.897916395</v>
      </c>
      <c r="F9" s="103">
        <v>3183249.3275174969</v>
      </c>
      <c r="G9" s="103">
        <v>3723853.0342600001</v>
      </c>
      <c r="H9" s="103">
        <v>0</v>
      </c>
      <c r="I9" s="103">
        <v>4463539.7837800002</v>
      </c>
      <c r="J9" s="103">
        <v>0</v>
      </c>
      <c r="K9" s="103">
        <v>2443562.5779974982</v>
      </c>
      <c r="L9" s="103">
        <v>1681206.5252028659</v>
      </c>
      <c r="M9" s="103">
        <v>222032.05573000011</v>
      </c>
      <c r="N9" s="103">
        <v>624726.4974399996</v>
      </c>
      <c r="O9" s="103">
        <v>-84402.500375368123</v>
      </c>
      <c r="P9" s="103">
        <v>517215.86634999968</v>
      </c>
      <c r="Q9" s="106">
        <v>432813.36597463163</v>
      </c>
      <c r="R9"/>
    </row>
    <row r="10" spans="2:18" ht="15.5" customHeight="1" x14ac:dyDescent="0.35">
      <c r="B10" s="100" t="s">
        <v>58</v>
      </c>
      <c r="C10" s="103">
        <v>645070.45270999998</v>
      </c>
      <c r="D10" s="103">
        <v>5551.1255099999998</v>
      </c>
      <c r="E10" s="103">
        <v>127479.133</v>
      </c>
      <c r="F10" s="103">
        <v>523142.44521999999</v>
      </c>
      <c r="G10" s="103">
        <v>830728.49263085006</v>
      </c>
      <c r="H10" s="103">
        <v>49376.789589923217</v>
      </c>
      <c r="I10" s="103">
        <v>922875.21048082388</v>
      </c>
      <c r="J10" s="103">
        <v>51937.673949176198</v>
      </c>
      <c r="K10" s="103">
        <v>428434.84301077313</v>
      </c>
      <c r="L10" s="103">
        <v>371537.71775000001</v>
      </c>
      <c r="M10" s="103">
        <v>41629.237999999998</v>
      </c>
      <c r="N10" s="103">
        <v>132473.97461</v>
      </c>
      <c r="O10" s="103">
        <v>-117206.0873492269</v>
      </c>
      <c r="P10" s="103">
        <v>26549.270996382402</v>
      </c>
      <c r="Q10" s="106">
        <v>-90656.816352844515</v>
      </c>
      <c r="R10"/>
    </row>
    <row r="11" spans="2:18" ht="15.5" customHeight="1" x14ac:dyDescent="0.35">
      <c r="B11" s="100" t="s">
        <v>59</v>
      </c>
      <c r="C11" s="103">
        <v>6539947.5746293794</v>
      </c>
      <c r="D11" s="103">
        <v>59165.819369999997</v>
      </c>
      <c r="E11" s="103">
        <v>693564.66873000003</v>
      </c>
      <c r="F11" s="103">
        <v>5905548.72526938</v>
      </c>
      <c r="G11" s="103">
        <v>5471326.9546400001</v>
      </c>
      <c r="H11" s="103">
        <v>0</v>
      </c>
      <c r="I11" s="103">
        <v>7621256.1083300002</v>
      </c>
      <c r="J11" s="103">
        <v>0</v>
      </c>
      <c r="K11" s="103">
        <v>3755619.57157938</v>
      </c>
      <c r="L11" s="103">
        <v>2739634.846919999</v>
      </c>
      <c r="M11" s="103">
        <v>376400.95244999998</v>
      </c>
      <c r="N11" s="103">
        <v>757351.60979000025</v>
      </c>
      <c r="O11" s="103">
        <v>-117767.8375806197</v>
      </c>
      <c r="P11" s="103">
        <v>345413.82475061889</v>
      </c>
      <c r="Q11" s="106">
        <v>227645.98716999911</v>
      </c>
      <c r="R11"/>
    </row>
    <row r="12" spans="2:18" ht="15.5" customHeight="1" x14ac:dyDescent="0.35">
      <c r="B12" s="100" t="s">
        <v>60</v>
      </c>
      <c r="C12" s="103">
        <v>27645.110397761269</v>
      </c>
      <c r="D12" s="103">
        <v>17348.75167973874</v>
      </c>
      <c r="E12" s="103">
        <v>15149.971449611799</v>
      </c>
      <c r="F12" s="103">
        <v>29843.89062788821</v>
      </c>
      <c r="G12" s="103">
        <v>77117.914920987692</v>
      </c>
      <c r="H12" s="103">
        <v>0</v>
      </c>
      <c r="I12" s="103">
        <v>78960.22232120682</v>
      </c>
      <c r="J12" s="103">
        <v>0</v>
      </c>
      <c r="K12" s="103">
        <v>28001.583227669089</v>
      </c>
      <c r="L12" s="103">
        <v>-5646.1228396342494</v>
      </c>
      <c r="M12" s="103">
        <v>-4010.25353</v>
      </c>
      <c r="N12" s="103">
        <v>35340.897826514243</v>
      </c>
      <c r="O12" s="103">
        <v>2317.0617707891111</v>
      </c>
      <c r="P12" s="103">
        <v>5746.4527099999987</v>
      </c>
      <c r="Q12" s="106">
        <v>8063.5144807891138</v>
      </c>
      <c r="R12"/>
    </row>
    <row r="13" spans="2:18" ht="15.5" customHeight="1" x14ac:dyDescent="0.35">
      <c r="B13" s="100" t="s">
        <v>61</v>
      </c>
      <c r="C13" s="103">
        <v>70277.296170000001</v>
      </c>
      <c r="D13" s="103">
        <v>0</v>
      </c>
      <c r="E13" s="103">
        <v>64365.945</v>
      </c>
      <c r="F13" s="103">
        <v>5911.3511699999999</v>
      </c>
      <c r="G13" s="103">
        <v>0</v>
      </c>
      <c r="H13" s="103">
        <v>0</v>
      </c>
      <c r="I13" s="103">
        <v>41683.167999999998</v>
      </c>
      <c r="J13" s="103">
        <v>0</v>
      </c>
      <c r="K13" s="103">
        <v>-35771.816830000003</v>
      </c>
      <c r="L13" s="103">
        <v>16471.099999999999</v>
      </c>
      <c r="M13" s="103">
        <v>2668.2338000000018</v>
      </c>
      <c r="N13" s="103">
        <v>71798.039350000006</v>
      </c>
      <c r="O13" s="103">
        <v>-126709.18998</v>
      </c>
      <c r="P13" s="103">
        <v>23988.4355</v>
      </c>
      <c r="Q13" s="106">
        <v>-102720.75448</v>
      </c>
      <c r="R13"/>
    </row>
    <row r="14" spans="2:18" ht="15.5" customHeight="1" x14ac:dyDescent="0.35">
      <c r="B14" s="100" t="s">
        <v>62</v>
      </c>
      <c r="C14" s="103">
        <v>587266.35587000009</v>
      </c>
      <c r="D14" s="103">
        <v>0</v>
      </c>
      <c r="E14" s="103">
        <v>15745.42514849524</v>
      </c>
      <c r="F14" s="103">
        <v>571520.93072150496</v>
      </c>
      <c r="G14" s="103">
        <v>665175.69063999993</v>
      </c>
      <c r="H14" s="103">
        <v>0</v>
      </c>
      <c r="I14" s="103">
        <v>601002.53601836122</v>
      </c>
      <c r="J14" s="103">
        <v>0</v>
      </c>
      <c r="K14" s="103">
        <v>635694.08534314355</v>
      </c>
      <c r="L14" s="103">
        <v>1088816.4097097369</v>
      </c>
      <c r="M14" s="103">
        <v>107733.1382198605</v>
      </c>
      <c r="N14" s="103">
        <v>261197.81352500001</v>
      </c>
      <c r="O14" s="103">
        <v>-822053.27611145354</v>
      </c>
      <c r="P14" s="103">
        <v>71430.840519999998</v>
      </c>
      <c r="Q14" s="106">
        <v>-750622.43559145357</v>
      </c>
      <c r="R14"/>
    </row>
    <row r="15" spans="2:18" ht="15.5" customHeight="1" x14ac:dyDescent="0.35">
      <c r="B15" s="100" t="s">
        <v>63</v>
      </c>
      <c r="C15" s="103">
        <v>1358541.473</v>
      </c>
      <c r="D15" s="103">
        <v>0</v>
      </c>
      <c r="E15" s="103">
        <v>301656.47289842041</v>
      </c>
      <c r="F15" s="103">
        <v>1056885.0001015801</v>
      </c>
      <c r="G15" s="103">
        <v>0</v>
      </c>
      <c r="H15" s="103">
        <v>0</v>
      </c>
      <c r="I15" s="103">
        <v>856140.55599999998</v>
      </c>
      <c r="J15" s="103">
        <v>0</v>
      </c>
      <c r="K15" s="103">
        <v>200744.4441015796</v>
      </c>
      <c r="L15" s="103">
        <v>162796.35699999999</v>
      </c>
      <c r="M15" s="103">
        <v>-40951.284060000013</v>
      </c>
      <c r="N15" s="103">
        <v>76573.50391221809</v>
      </c>
      <c r="O15" s="103">
        <v>2325.8672493615391</v>
      </c>
      <c r="P15" s="103">
        <v>29819.8</v>
      </c>
      <c r="Q15" s="106">
        <v>32145.667249361541</v>
      </c>
      <c r="R15"/>
    </row>
    <row r="16" spans="2:18" ht="15.5" customHeight="1" x14ac:dyDescent="0.35">
      <c r="B16" s="100" t="s">
        <v>64</v>
      </c>
      <c r="C16" s="103">
        <v>1482958.1140000001</v>
      </c>
      <c r="D16" s="103">
        <v>455</v>
      </c>
      <c r="E16" s="103">
        <v>376923.83899999998</v>
      </c>
      <c r="F16" s="103">
        <v>1106489.2749999999</v>
      </c>
      <c r="G16" s="103">
        <v>1083598.473</v>
      </c>
      <c r="H16" s="103">
        <v>0</v>
      </c>
      <c r="I16" s="103">
        <v>1486836.206</v>
      </c>
      <c r="J16" s="103">
        <v>0</v>
      </c>
      <c r="K16" s="103">
        <v>703251.54200000002</v>
      </c>
      <c r="L16" s="103">
        <v>538951.08927</v>
      </c>
      <c r="M16" s="103">
        <v>61827.612000000001</v>
      </c>
      <c r="N16" s="103">
        <v>124175.32940145</v>
      </c>
      <c r="O16" s="103">
        <v>-21702.488671449981</v>
      </c>
      <c r="P16" s="103">
        <v>128890.20495</v>
      </c>
      <c r="Q16" s="106">
        <v>107187.71627855</v>
      </c>
      <c r="R16"/>
    </row>
    <row r="17" spans="2:18" ht="15.5" customHeight="1" x14ac:dyDescent="0.35">
      <c r="B17" s="100" t="s">
        <v>65</v>
      </c>
      <c r="C17" s="103">
        <v>2840091.213</v>
      </c>
      <c r="D17" s="103">
        <v>43454.218000000001</v>
      </c>
      <c r="E17" s="103">
        <v>1344556.7319185999</v>
      </c>
      <c r="F17" s="103">
        <v>1538988.6990813999</v>
      </c>
      <c r="G17" s="103">
        <v>1308602.5524526241</v>
      </c>
      <c r="H17" s="103">
        <v>0</v>
      </c>
      <c r="I17" s="103">
        <v>1879802.6049076801</v>
      </c>
      <c r="J17" s="103">
        <v>0</v>
      </c>
      <c r="K17" s="103">
        <v>967788.6466263436</v>
      </c>
      <c r="L17" s="103">
        <v>538388.73055499978</v>
      </c>
      <c r="M17" s="103">
        <v>72123.45961000002</v>
      </c>
      <c r="N17" s="103">
        <v>284498.05433323269</v>
      </c>
      <c r="O17" s="103">
        <v>72778.402128111164</v>
      </c>
      <c r="P17" s="103">
        <v>89512.95659999999</v>
      </c>
      <c r="Q17" s="106">
        <v>162291.35872811111</v>
      </c>
      <c r="R17"/>
    </row>
    <row r="18" spans="2:18" ht="15.5" customHeight="1" x14ac:dyDescent="0.35">
      <c r="B18" s="100" t="s">
        <v>66</v>
      </c>
      <c r="C18" s="103">
        <v>6688048.5729999999</v>
      </c>
      <c r="D18" s="103">
        <v>24532.351999999999</v>
      </c>
      <c r="E18" s="103">
        <v>3503242.8319999999</v>
      </c>
      <c r="F18" s="103">
        <v>3209338.0929999999</v>
      </c>
      <c r="G18" s="103">
        <v>2768185.753</v>
      </c>
      <c r="H18" s="103">
        <v>0</v>
      </c>
      <c r="I18" s="103">
        <v>3991315.6919999998</v>
      </c>
      <c r="J18" s="103">
        <v>0</v>
      </c>
      <c r="K18" s="103">
        <v>1986208.1540000001</v>
      </c>
      <c r="L18" s="103">
        <v>1592710.388</v>
      </c>
      <c r="M18" s="103">
        <v>-277471.03600000002</v>
      </c>
      <c r="N18" s="103">
        <v>438841.27899999998</v>
      </c>
      <c r="O18" s="103">
        <v>232127.52299999999</v>
      </c>
      <c r="P18" s="103">
        <v>316546.33199999999</v>
      </c>
      <c r="Q18" s="106">
        <v>548673.85499999998</v>
      </c>
      <c r="R18"/>
    </row>
    <row r="19" spans="2:18" ht="15.5" customHeight="1" x14ac:dyDescent="0.35">
      <c r="B19" s="100" t="s">
        <v>67</v>
      </c>
      <c r="C19" s="103">
        <v>1955817.5959999999</v>
      </c>
      <c r="D19" s="103">
        <v>4860.6869999999999</v>
      </c>
      <c r="E19" s="103">
        <v>617267.45600000001</v>
      </c>
      <c r="F19" s="103">
        <v>1343410.827</v>
      </c>
      <c r="G19" s="103">
        <v>1644927.7320000001</v>
      </c>
      <c r="H19" s="103">
        <v>0</v>
      </c>
      <c r="I19" s="103">
        <v>2034925.594</v>
      </c>
      <c r="J19" s="103">
        <v>0</v>
      </c>
      <c r="K19" s="103">
        <v>953412.96499999997</v>
      </c>
      <c r="L19" s="103">
        <v>1144635.9439999999</v>
      </c>
      <c r="M19" s="103">
        <v>20560.569</v>
      </c>
      <c r="N19" s="103">
        <v>308652.14600000012</v>
      </c>
      <c r="O19" s="103">
        <v>-520435.69400000002</v>
      </c>
      <c r="P19" s="103">
        <v>84547.984000000011</v>
      </c>
      <c r="Q19" s="106">
        <v>-435887.71</v>
      </c>
      <c r="R19"/>
    </row>
    <row r="20" spans="2:18" ht="15.5" customHeight="1" x14ac:dyDescent="0.35">
      <c r="B20" s="100" t="s">
        <v>68</v>
      </c>
      <c r="C20" s="103">
        <v>2976533.946</v>
      </c>
      <c r="D20" s="103">
        <v>9521.1119999999992</v>
      </c>
      <c r="E20" s="103">
        <v>1448485.0919999999</v>
      </c>
      <c r="F20" s="103">
        <v>1537569.966</v>
      </c>
      <c r="G20" s="103">
        <v>1825026.047</v>
      </c>
      <c r="H20" s="103">
        <v>8089.86</v>
      </c>
      <c r="I20" s="103">
        <v>2244640.17</v>
      </c>
      <c r="J20" s="103">
        <v>8089.86</v>
      </c>
      <c r="K20" s="103">
        <v>1117955.8430000001</v>
      </c>
      <c r="L20" s="103">
        <v>673427.97100000002</v>
      </c>
      <c r="M20" s="103">
        <v>101184.262</v>
      </c>
      <c r="N20" s="103">
        <v>410946.45600000001</v>
      </c>
      <c r="O20" s="103">
        <v>-67602.846000000005</v>
      </c>
      <c r="P20" s="103">
        <v>262189.52402000001</v>
      </c>
      <c r="Q20" s="106">
        <v>194586.67801999999</v>
      </c>
      <c r="R20"/>
    </row>
    <row r="21" spans="2:18" ht="15.5" customHeight="1" x14ac:dyDescent="0.35">
      <c r="B21" s="100" t="s">
        <v>69</v>
      </c>
      <c r="C21" s="103">
        <v>1107073.9110000001</v>
      </c>
      <c r="D21" s="103">
        <v>5648.3890000000001</v>
      </c>
      <c r="E21" s="103">
        <v>297743.66800000001</v>
      </c>
      <c r="F21" s="103">
        <v>814978.63199999998</v>
      </c>
      <c r="G21" s="103">
        <v>725740.03300000005</v>
      </c>
      <c r="H21" s="103">
        <v>0</v>
      </c>
      <c r="I21" s="103">
        <v>1085722.9809999999</v>
      </c>
      <c r="J21" s="103">
        <v>0</v>
      </c>
      <c r="K21" s="103">
        <v>454995.68400000001</v>
      </c>
      <c r="L21" s="103">
        <v>289601.03700000001</v>
      </c>
      <c r="M21" s="103">
        <v>79470.263000000006</v>
      </c>
      <c r="N21" s="103">
        <v>146599.984</v>
      </c>
      <c r="O21" s="103">
        <v>-60675.6</v>
      </c>
      <c r="P21" s="103">
        <v>32424.371999999999</v>
      </c>
      <c r="Q21" s="106">
        <v>-28251.227999999999</v>
      </c>
      <c r="R21"/>
    </row>
    <row r="22" spans="2:18" ht="15.5" customHeight="1" x14ac:dyDescent="0.35">
      <c r="B22" s="100" t="s">
        <v>70</v>
      </c>
      <c r="C22" s="103">
        <v>0</v>
      </c>
      <c r="D22" s="103">
        <v>0</v>
      </c>
      <c r="E22" s="103">
        <v>0</v>
      </c>
      <c r="F22" s="103">
        <v>0</v>
      </c>
      <c r="G22" s="103">
        <v>0</v>
      </c>
      <c r="H22" s="103">
        <v>0</v>
      </c>
      <c r="I22" s="103">
        <v>0</v>
      </c>
      <c r="J22" s="103">
        <v>0</v>
      </c>
      <c r="K22" s="103">
        <v>0</v>
      </c>
      <c r="L22" s="103">
        <v>0</v>
      </c>
      <c r="M22" s="103">
        <v>0</v>
      </c>
      <c r="N22" s="103">
        <v>0</v>
      </c>
      <c r="O22" s="103">
        <v>0</v>
      </c>
      <c r="P22" s="103">
        <v>0</v>
      </c>
      <c r="Q22" s="106">
        <v>0</v>
      </c>
      <c r="R22"/>
    </row>
    <row r="23" spans="2:18" ht="15.5" customHeight="1" x14ac:dyDescent="0.35">
      <c r="B23" s="100" t="s">
        <v>71</v>
      </c>
      <c r="C23" s="103">
        <v>5633556.4484299989</v>
      </c>
      <c r="D23" s="103">
        <v>0</v>
      </c>
      <c r="E23" s="103">
        <v>44914.661459175797</v>
      </c>
      <c r="F23" s="103">
        <v>5588641.7869708231</v>
      </c>
      <c r="G23" s="103">
        <v>5351714.060349999</v>
      </c>
      <c r="H23" s="103">
        <v>0</v>
      </c>
      <c r="I23" s="103">
        <v>6985840.1912900005</v>
      </c>
      <c r="J23" s="103">
        <v>0</v>
      </c>
      <c r="K23" s="103">
        <v>3954515.656030823</v>
      </c>
      <c r="L23" s="103">
        <v>3042136.6836700002</v>
      </c>
      <c r="M23" s="103">
        <v>351249.78330000001</v>
      </c>
      <c r="N23" s="103">
        <v>571096.56446999998</v>
      </c>
      <c r="O23" s="103">
        <v>-9967.3754091763494</v>
      </c>
      <c r="P23" s="103">
        <v>252872.34990993611</v>
      </c>
      <c r="Q23" s="106">
        <v>242904.97450075971</v>
      </c>
      <c r="R23"/>
    </row>
    <row r="24" spans="2:18" ht="15.5" customHeight="1" x14ac:dyDescent="0.35">
      <c r="B24" s="100" t="s">
        <v>72</v>
      </c>
      <c r="C24" s="103">
        <v>949924.43099999998</v>
      </c>
      <c r="D24" s="103">
        <v>25181.539000000001</v>
      </c>
      <c r="E24" s="103">
        <v>405000.51699999999</v>
      </c>
      <c r="F24" s="103">
        <v>570105.45299999998</v>
      </c>
      <c r="G24" s="103">
        <v>489976.89199999999</v>
      </c>
      <c r="H24" s="103">
        <v>62714.544999999998</v>
      </c>
      <c r="I24" s="103">
        <v>659830.46200000006</v>
      </c>
      <c r="J24" s="103">
        <v>175753.81599999999</v>
      </c>
      <c r="K24" s="103">
        <v>287212.61200000002</v>
      </c>
      <c r="L24" s="103">
        <v>169374.704</v>
      </c>
      <c r="M24" s="103">
        <v>31188.075000000001</v>
      </c>
      <c r="N24" s="103">
        <v>188991.924</v>
      </c>
      <c r="O24" s="103">
        <v>-102342.091</v>
      </c>
      <c r="P24" s="103">
        <v>177706.92600000001</v>
      </c>
      <c r="Q24" s="106">
        <v>75364.835000000006</v>
      </c>
      <c r="R24"/>
    </row>
    <row r="25" spans="2:18" ht="15.5" customHeight="1" x14ac:dyDescent="0.35">
      <c r="B25" s="100" t="s">
        <v>73</v>
      </c>
      <c r="C25" s="103">
        <v>0</v>
      </c>
      <c r="D25" s="103">
        <v>0</v>
      </c>
      <c r="E25" s="103">
        <v>0</v>
      </c>
      <c r="F25" s="103">
        <v>0</v>
      </c>
      <c r="G25" s="103">
        <v>0</v>
      </c>
      <c r="H25" s="103">
        <v>0</v>
      </c>
      <c r="I25" s="103">
        <v>0</v>
      </c>
      <c r="J25" s="103">
        <v>0</v>
      </c>
      <c r="K25" s="103">
        <v>0</v>
      </c>
      <c r="L25" s="103">
        <v>0</v>
      </c>
      <c r="M25" s="103">
        <v>0</v>
      </c>
      <c r="N25" s="103">
        <v>0</v>
      </c>
      <c r="O25" s="103">
        <v>0</v>
      </c>
      <c r="P25" s="103">
        <v>0</v>
      </c>
      <c r="Q25" s="106">
        <v>0</v>
      </c>
      <c r="R25"/>
    </row>
    <row r="26" spans="2:18" ht="15.5" customHeight="1" x14ac:dyDescent="0.35">
      <c r="B26" s="100" t="s">
        <v>74</v>
      </c>
      <c r="C26" s="103">
        <v>3620378.8826299999</v>
      </c>
      <c r="D26" s="103">
        <v>416.61500000000001</v>
      </c>
      <c r="E26" s="103">
        <v>967132.06276200048</v>
      </c>
      <c r="F26" s="103">
        <v>2653663.434868</v>
      </c>
      <c r="G26" s="103">
        <v>2638852.804</v>
      </c>
      <c r="H26" s="103">
        <v>120798.6077023337</v>
      </c>
      <c r="I26" s="103">
        <v>3387284.3264298351</v>
      </c>
      <c r="J26" s="103">
        <v>36918.591400212637</v>
      </c>
      <c r="K26" s="103">
        <v>1989111.928740286</v>
      </c>
      <c r="L26" s="103">
        <v>1210277.573812803</v>
      </c>
      <c r="M26" s="103">
        <v>98400.134101927775</v>
      </c>
      <c r="N26" s="103">
        <v>420195.51814554172</v>
      </c>
      <c r="O26" s="103">
        <v>260238.70268001329</v>
      </c>
      <c r="P26" s="103">
        <v>81520.52986000001</v>
      </c>
      <c r="Q26" s="106">
        <v>341759.23254001333</v>
      </c>
      <c r="R26"/>
    </row>
    <row r="27" spans="2:18" ht="15.5" customHeight="1" x14ac:dyDescent="0.35">
      <c r="B27" s="100" t="s">
        <v>75</v>
      </c>
      <c r="C27" s="103">
        <v>3589015.9530000002</v>
      </c>
      <c r="D27" s="103">
        <v>149800.17590999999</v>
      </c>
      <c r="E27" s="103">
        <v>2151218.0170683991</v>
      </c>
      <c r="F27" s="103">
        <v>1587598.111841602</v>
      </c>
      <c r="G27" s="103">
        <v>1220025.9027539811</v>
      </c>
      <c r="H27" s="103">
        <v>0</v>
      </c>
      <c r="I27" s="103">
        <v>1897646.159788274</v>
      </c>
      <c r="J27" s="103">
        <v>0</v>
      </c>
      <c r="K27" s="103">
        <v>909977.85480730841</v>
      </c>
      <c r="L27" s="103">
        <v>259912.1265127348</v>
      </c>
      <c r="M27" s="103">
        <v>27262.486174907281</v>
      </c>
      <c r="N27" s="103">
        <v>238837.1073298491</v>
      </c>
      <c r="O27" s="103">
        <v>383966.13478981733</v>
      </c>
      <c r="P27" s="103">
        <v>212541.70542788049</v>
      </c>
      <c r="Q27" s="106">
        <v>596507.84021769778</v>
      </c>
      <c r="R27"/>
    </row>
    <row r="28" spans="2:18" ht="15.5" customHeight="1" x14ac:dyDescent="0.35">
      <c r="B28" s="100" t="s">
        <v>76</v>
      </c>
      <c r="C28" s="103">
        <v>1121506.6769999999</v>
      </c>
      <c r="D28" s="103">
        <v>24513.7</v>
      </c>
      <c r="E28" s="103">
        <v>277259.21516000002</v>
      </c>
      <c r="F28" s="103">
        <v>868761.16184000007</v>
      </c>
      <c r="G28" s="103">
        <v>328671.73336549453</v>
      </c>
      <c r="H28" s="103">
        <v>0</v>
      </c>
      <c r="I28" s="103">
        <v>898060.17624655808</v>
      </c>
      <c r="J28" s="103">
        <v>0</v>
      </c>
      <c r="K28" s="103">
        <v>299372.71895893657</v>
      </c>
      <c r="L28" s="103">
        <v>228068.97098839589</v>
      </c>
      <c r="M28" s="103">
        <v>28984.069607505069</v>
      </c>
      <c r="N28" s="103">
        <v>182838.875</v>
      </c>
      <c r="O28" s="103">
        <v>-140519.19663696439</v>
      </c>
      <c r="P28" s="103">
        <v>41047.567000000003</v>
      </c>
      <c r="Q28" s="106">
        <v>-99471.629636964353</v>
      </c>
      <c r="R28"/>
    </row>
    <row r="29" spans="2:18" ht="15.5" customHeight="1" x14ac:dyDescent="0.35">
      <c r="B29" s="100" t="s">
        <v>77</v>
      </c>
      <c r="C29" s="103">
        <v>1215360.0426700001</v>
      </c>
      <c r="D29" s="103">
        <v>0</v>
      </c>
      <c r="E29" s="103">
        <v>604170.86161000084</v>
      </c>
      <c r="F29" s="103">
        <v>611189.18105999928</v>
      </c>
      <c r="G29" s="103">
        <v>651091.86143000214</v>
      </c>
      <c r="H29" s="103">
        <v>0</v>
      </c>
      <c r="I29" s="103">
        <v>903747.25284000009</v>
      </c>
      <c r="J29" s="103">
        <v>0</v>
      </c>
      <c r="K29" s="103">
        <v>358533.78965000098</v>
      </c>
      <c r="L29" s="103">
        <v>162143.65275118841</v>
      </c>
      <c r="M29" s="103">
        <v>-23099.21656000055</v>
      </c>
      <c r="N29" s="103">
        <v>238066.6928189568</v>
      </c>
      <c r="O29" s="103">
        <v>-18577.339360143611</v>
      </c>
      <c r="P29" s="103">
        <v>74373.373794767103</v>
      </c>
      <c r="Q29" s="106">
        <v>55796.034434623471</v>
      </c>
      <c r="R29"/>
    </row>
    <row r="30" spans="2:18" ht="15.5" customHeight="1" x14ac:dyDescent="0.35">
      <c r="B30" s="100" t="s">
        <v>78</v>
      </c>
      <c r="C30" s="103">
        <v>606133.90399999998</v>
      </c>
      <c r="D30" s="103">
        <v>1633.885</v>
      </c>
      <c r="E30" s="103">
        <v>321607.25646000012</v>
      </c>
      <c r="F30" s="103">
        <v>286160.53253999999</v>
      </c>
      <c r="G30" s="103">
        <v>301202.03416801209</v>
      </c>
      <c r="H30" s="103">
        <v>0</v>
      </c>
      <c r="I30" s="103">
        <v>363904.07560444722</v>
      </c>
      <c r="J30" s="103">
        <v>0</v>
      </c>
      <c r="K30" s="103">
        <v>223458.491103565</v>
      </c>
      <c r="L30" s="103">
        <v>138826.34761256209</v>
      </c>
      <c r="M30" s="103">
        <v>44012.093999999997</v>
      </c>
      <c r="N30" s="103">
        <v>104436.98450000001</v>
      </c>
      <c r="O30" s="103">
        <v>-63816.935008997141</v>
      </c>
      <c r="P30" s="103">
        <v>33325.42</v>
      </c>
      <c r="Q30" s="106">
        <v>-30491.515008997139</v>
      </c>
      <c r="R30"/>
    </row>
    <row r="31" spans="2:18" ht="15.5" customHeight="1" x14ac:dyDescent="0.35">
      <c r="B31" s="100" t="s">
        <v>79</v>
      </c>
      <c r="C31" s="103">
        <v>6944952.5635099988</v>
      </c>
      <c r="D31" s="103">
        <v>129604.65754</v>
      </c>
      <c r="E31" s="103">
        <v>1046383.62801</v>
      </c>
      <c r="F31" s="103">
        <v>6028173.5930399997</v>
      </c>
      <c r="G31" s="103">
        <v>5331830.7021956053</v>
      </c>
      <c r="H31" s="103">
        <v>109619.31600000001</v>
      </c>
      <c r="I31" s="103">
        <v>7593609.9493341669</v>
      </c>
      <c r="J31" s="103">
        <v>109619.31600000001</v>
      </c>
      <c r="K31" s="103">
        <v>3766394.345901439</v>
      </c>
      <c r="L31" s="103">
        <v>2707554.8252408789</v>
      </c>
      <c r="M31" s="103">
        <v>369749.98615841812</v>
      </c>
      <c r="N31" s="103">
        <v>904437.071</v>
      </c>
      <c r="O31" s="103">
        <v>-215347.53649785821</v>
      </c>
      <c r="P31" s="103">
        <v>441954.52799999987</v>
      </c>
      <c r="Q31" s="106">
        <v>226606.9915021417</v>
      </c>
      <c r="R31"/>
    </row>
    <row r="32" spans="2:18" ht="15.5" customHeight="1" x14ac:dyDescent="0.35">
      <c r="B32" s="100" t="s">
        <v>80</v>
      </c>
      <c r="C32" s="103">
        <v>1189851.003</v>
      </c>
      <c r="D32" s="103">
        <v>21346.866999999998</v>
      </c>
      <c r="E32" s="103">
        <v>190956.64799999999</v>
      </c>
      <c r="F32" s="103">
        <v>1020241.222</v>
      </c>
      <c r="G32" s="103">
        <v>1115221.0549999999</v>
      </c>
      <c r="H32" s="103">
        <v>0</v>
      </c>
      <c r="I32" s="103">
        <v>1480562.3870000001</v>
      </c>
      <c r="J32" s="103">
        <v>0</v>
      </c>
      <c r="K32" s="103">
        <v>654899.89</v>
      </c>
      <c r="L32" s="103">
        <v>351721.29499999998</v>
      </c>
      <c r="M32" s="103">
        <v>73320.620999999999</v>
      </c>
      <c r="N32" s="103">
        <v>235420.97156999999</v>
      </c>
      <c r="O32" s="103">
        <v>-5562.9975700000005</v>
      </c>
      <c r="P32" s="103">
        <v>39013.591999999997</v>
      </c>
      <c r="Q32" s="106">
        <v>33450.594429999997</v>
      </c>
      <c r="R32"/>
    </row>
    <row r="33" spans="2:18" ht="15.5" customHeight="1" x14ac:dyDescent="0.35">
      <c r="B33" s="100" t="s">
        <v>81</v>
      </c>
      <c r="C33" s="103">
        <v>663411.12600000005</v>
      </c>
      <c r="D33" s="103">
        <v>101983.391</v>
      </c>
      <c r="E33" s="103">
        <v>195621.80100000001</v>
      </c>
      <c r="F33" s="103">
        <v>569772.71600000013</v>
      </c>
      <c r="G33" s="103">
        <v>696221.478</v>
      </c>
      <c r="H33" s="103">
        <v>0</v>
      </c>
      <c r="I33" s="103">
        <v>772075.10800000001</v>
      </c>
      <c r="J33" s="103">
        <v>0</v>
      </c>
      <c r="K33" s="103">
        <v>493919.08600000001</v>
      </c>
      <c r="L33" s="103">
        <v>466382.28128413908</v>
      </c>
      <c r="M33" s="103">
        <v>45832.629000000001</v>
      </c>
      <c r="N33" s="103">
        <v>113854.185</v>
      </c>
      <c r="O33" s="103">
        <v>-132150.0092841392</v>
      </c>
      <c r="P33" s="103">
        <v>0</v>
      </c>
      <c r="Q33" s="106">
        <v>-132150.0092841392</v>
      </c>
      <c r="R33"/>
    </row>
    <row r="34" spans="2:18" ht="15.5" customHeight="1" x14ac:dyDescent="0.35">
      <c r="B34" s="100" t="s">
        <v>82</v>
      </c>
      <c r="C34" s="103">
        <v>882724.44348000002</v>
      </c>
      <c r="D34" s="103">
        <v>0</v>
      </c>
      <c r="E34" s="103">
        <v>318562.63250999991</v>
      </c>
      <c r="F34" s="103">
        <v>564161.81097000011</v>
      </c>
      <c r="G34" s="103">
        <v>971871.66249508644</v>
      </c>
      <c r="H34" s="103">
        <v>7529.2026698196223</v>
      </c>
      <c r="I34" s="103">
        <v>1096582.1155877649</v>
      </c>
      <c r="J34" s="103">
        <v>7529.2026698196223</v>
      </c>
      <c r="K34" s="103">
        <v>439451.35787732148</v>
      </c>
      <c r="L34" s="103">
        <v>365236.53866270231</v>
      </c>
      <c r="M34" s="103">
        <v>15708.380205163719</v>
      </c>
      <c r="N34" s="103">
        <v>235319.60304350001</v>
      </c>
      <c r="O34" s="103">
        <v>-176813.1640340446</v>
      </c>
      <c r="P34" s="103">
        <v>112156.67968571431</v>
      </c>
      <c r="Q34" s="106">
        <v>-64656.484348330319</v>
      </c>
      <c r="R34"/>
    </row>
    <row r="35" spans="2:18" ht="15.5" customHeight="1" x14ac:dyDescent="0.35">
      <c r="B35" s="100" t="s">
        <v>83</v>
      </c>
      <c r="C35" s="103">
        <v>204448.6012</v>
      </c>
      <c r="D35" s="103">
        <v>2769.66</v>
      </c>
      <c r="E35" s="103">
        <v>129014.17362</v>
      </c>
      <c r="F35" s="103">
        <v>78204.087579999978</v>
      </c>
      <c r="G35" s="103">
        <v>775314.03768300184</v>
      </c>
      <c r="H35" s="103">
        <v>31507.142309999999</v>
      </c>
      <c r="I35" s="103">
        <v>687466.90070170083</v>
      </c>
      <c r="J35" s="103">
        <v>283891.95143904752</v>
      </c>
      <c r="K35" s="103">
        <v>-86333.584567746526</v>
      </c>
      <c r="L35" s="103">
        <v>149873.31539</v>
      </c>
      <c r="M35" s="103">
        <v>4758.6973332099406</v>
      </c>
      <c r="N35" s="103">
        <v>95655.528470369885</v>
      </c>
      <c r="O35" s="103">
        <v>-336621.12576132623</v>
      </c>
      <c r="P35" s="103">
        <v>24941.5364066164</v>
      </c>
      <c r="Q35" s="106">
        <v>-311679.5893547099</v>
      </c>
      <c r="R35"/>
    </row>
    <row r="36" spans="2:18" ht="15.5" customHeight="1" x14ac:dyDescent="0.35">
      <c r="B36" s="100" t="s">
        <v>84</v>
      </c>
      <c r="C36" s="103">
        <v>284546.071</v>
      </c>
      <c r="D36" s="103">
        <v>0</v>
      </c>
      <c r="E36" s="103">
        <v>73280.26530642109</v>
      </c>
      <c r="F36" s="103">
        <v>211265.80569357891</v>
      </c>
      <c r="G36" s="103">
        <v>423442.51903954841</v>
      </c>
      <c r="H36" s="103">
        <v>0</v>
      </c>
      <c r="I36" s="103">
        <v>460273.15754801489</v>
      </c>
      <c r="J36" s="103">
        <v>0</v>
      </c>
      <c r="K36" s="103">
        <v>174435.1671851124</v>
      </c>
      <c r="L36" s="103">
        <v>98280.143452055039</v>
      </c>
      <c r="M36" s="103">
        <v>20379.410746256141</v>
      </c>
      <c r="N36" s="103">
        <v>115215.49779670021</v>
      </c>
      <c r="O36" s="103">
        <v>-59439.884809898911</v>
      </c>
      <c r="P36" s="103">
        <v>17990.976007318601</v>
      </c>
      <c r="Q36" s="106">
        <v>-41448.908802580307</v>
      </c>
      <c r="R36"/>
    </row>
    <row r="37" spans="2:18" ht="15.5" customHeight="1" x14ac:dyDescent="0.35">
      <c r="B37" s="100" t="s">
        <v>85</v>
      </c>
      <c r="C37" s="103">
        <v>1294978.6565700001</v>
      </c>
      <c r="D37" s="103">
        <v>11616.192999999999</v>
      </c>
      <c r="E37" s="103">
        <v>566325.56000000006</v>
      </c>
      <c r="F37" s="103">
        <v>740269.28956999991</v>
      </c>
      <c r="G37" s="103">
        <v>289327.70301549783</v>
      </c>
      <c r="H37" s="103">
        <v>0</v>
      </c>
      <c r="I37" s="103">
        <v>720113.83425781468</v>
      </c>
      <c r="J37" s="103">
        <v>0</v>
      </c>
      <c r="K37" s="103">
        <v>309483.15832768288</v>
      </c>
      <c r="L37" s="103">
        <v>106293.97100000001</v>
      </c>
      <c r="M37" s="103">
        <v>14286.940945494431</v>
      </c>
      <c r="N37" s="103">
        <v>180663.28755820499</v>
      </c>
      <c r="O37" s="103">
        <v>8238.9588239835612</v>
      </c>
      <c r="P37" s="103">
        <v>97222.190252825385</v>
      </c>
      <c r="Q37" s="106">
        <v>105461.1490768089</v>
      </c>
      <c r="R37"/>
    </row>
    <row r="38" spans="2:18" ht="15.5" customHeight="1" x14ac:dyDescent="0.35">
      <c r="B38" s="100" t="s">
        <v>86</v>
      </c>
      <c r="C38" s="103">
        <v>3353774.2209999999</v>
      </c>
      <c r="D38" s="103">
        <v>49403.508000000002</v>
      </c>
      <c r="E38" s="103">
        <v>751213.46</v>
      </c>
      <c r="F38" s="103">
        <v>2651964.2689999999</v>
      </c>
      <c r="G38" s="103">
        <v>2003990.946</v>
      </c>
      <c r="H38" s="103">
        <v>0</v>
      </c>
      <c r="I38" s="103">
        <v>3230049.3089999999</v>
      </c>
      <c r="J38" s="103">
        <v>0</v>
      </c>
      <c r="K38" s="103">
        <v>1425905.906</v>
      </c>
      <c r="L38" s="103">
        <v>756245.83799999999</v>
      </c>
      <c r="M38" s="103">
        <v>106125.084</v>
      </c>
      <c r="N38" s="103">
        <v>511918.304</v>
      </c>
      <c r="O38" s="103">
        <v>51616.68</v>
      </c>
      <c r="P38" s="103">
        <v>353420.56599999999</v>
      </c>
      <c r="Q38" s="106">
        <v>405037.24599999998</v>
      </c>
      <c r="R38"/>
    </row>
    <row r="39" spans="2:18" ht="15.5" customHeight="1" x14ac:dyDescent="0.35">
      <c r="B39" s="100" t="s">
        <v>87</v>
      </c>
      <c r="C39" s="103">
        <v>427340.20549999998</v>
      </c>
      <c r="D39" s="103">
        <v>0</v>
      </c>
      <c r="E39" s="103">
        <v>30244.65</v>
      </c>
      <c r="F39" s="103">
        <v>397095.55550000002</v>
      </c>
      <c r="G39" s="103">
        <v>804786.31</v>
      </c>
      <c r="H39" s="103">
        <v>14619.123</v>
      </c>
      <c r="I39" s="103">
        <v>672978.82582921057</v>
      </c>
      <c r="J39" s="103">
        <v>31101.899268193501</v>
      </c>
      <c r="K39" s="103">
        <v>512420.26340259612</v>
      </c>
      <c r="L39" s="103">
        <v>269107.30482883978</v>
      </c>
      <c r="M39" s="103">
        <v>25801.358</v>
      </c>
      <c r="N39" s="103">
        <v>172708.89896730409</v>
      </c>
      <c r="O39" s="103">
        <v>44802.701606452087</v>
      </c>
      <c r="P39" s="103">
        <v>10374.137000000001</v>
      </c>
      <c r="Q39" s="106">
        <v>55176.838606452096</v>
      </c>
      <c r="R39"/>
    </row>
    <row r="40" spans="2:18" ht="15.5" customHeight="1" x14ac:dyDescent="0.35">
      <c r="B40" s="100" t="s">
        <v>88</v>
      </c>
      <c r="C40" s="103">
        <v>583026.16500000004</v>
      </c>
      <c r="D40" s="103">
        <v>1582.864</v>
      </c>
      <c r="E40" s="103">
        <v>14228.272000000001</v>
      </c>
      <c r="F40" s="103">
        <v>570380.75699999998</v>
      </c>
      <c r="G40" s="103">
        <v>537949.2674007056</v>
      </c>
      <c r="H40" s="103">
        <v>112360.59299999999</v>
      </c>
      <c r="I40" s="103">
        <v>679795.90516799071</v>
      </c>
      <c r="J40" s="103">
        <v>112360.59299999999</v>
      </c>
      <c r="K40" s="103">
        <v>428534.11923271487</v>
      </c>
      <c r="L40" s="103">
        <v>198627.92851000011</v>
      </c>
      <c r="M40" s="103">
        <v>52879.44</v>
      </c>
      <c r="N40" s="103">
        <v>151637.2800619464</v>
      </c>
      <c r="O40" s="103">
        <v>25389.470660768409</v>
      </c>
      <c r="P40" s="103">
        <v>4500.488769999999</v>
      </c>
      <c r="Q40" s="106">
        <v>29889.959430768409</v>
      </c>
      <c r="R40"/>
    </row>
    <row r="41" spans="2:18" ht="15.5" customHeight="1" x14ac:dyDescent="0.35">
      <c r="B41" s="100" t="s">
        <v>89</v>
      </c>
      <c r="C41" s="103">
        <v>0</v>
      </c>
      <c r="D41" s="103">
        <v>0</v>
      </c>
      <c r="E41" s="103">
        <v>0</v>
      </c>
      <c r="F41" s="103">
        <v>0</v>
      </c>
      <c r="G41" s="103">
        <v>0</v>
      </c>
      <c r="H41" s="103">
        <v>0</v>
      </c>
      <c r="I41" s="103">
        <v>0</v>
      </c>
      <c r="J41" s="103">
        <v>0</v>
      </c>
      <c r="K41" s="103">
        <v>0</v>
      </c>
      <c r="L41" s="103">
        <v>0</v>
      </c>
      <c r="M41" s="103">
        <v>0</v>
      </c>
      <c r="N41" s="103">
        <v>0</v>
      </c>
      <c r="O41" s="103">
        <v>0</v>
      </c>
      <c r="P41" s="103">
        <v>0</v>
      </c>
      <c r="Q41" s="106">
        <v>0</v>
      </c>
      <c r="R41"/>
    </row>
    <row r="42" spans="2:18" ht="15.5" customHeight="1" x14ac:dyDescent="0.35">
      <c r="B42" s="104" t="s">
        <v>90</v>
      </c>
      <c r="C42" s="105">
        <f t="shared" ref="C42:Q42" si="0">SUM(C6:C41)</f>
        <v>74780805.178789467</v>
      </c>
      <c r="D42" s="105">
        <f t="shared" si="0"/>
        <v>764695.47344973881</v>
      </c>
      <c r="E42" s="105">
        <f t="shared" si="0"/>
        <v>21891330.151584744</v>
      </c>
      <c r="F42" s="105">
        <f t="shared" si="0"/>
        <v>53654170.500654444</v>
      </c>
      <c r="G42" s="105">
        <f t="shared" si="0"/>
        <v>51658462.905738451</v>
      </c>
      <c r="H42" s="105">
        <f t="shared" si="0"/>
        <v>516615.17927207658</v>
      </c>
      <c r="I42" s="105">
        <f t="shared" si="0"/>
        <v>69141404.255995527</v>
      </c>
      <c r="J42" s="105">
        <f t="shared" si="0"/>
        <v>817202.90372644947</v>
      </c>
      <c r="K42" s="105">
        <f t="shared" si="0"/>
        <v>35870641.425943002</v>
      </c>
      <c r="L42" s="105">
        <f t="shared" si="0"/>
        <v>25817209.93618416</v>
      </c>
      <c r="M42" s="105">
        <f t="shared" si="0"/>
        <v>2410921.0925200507</v>
      </c>
      <c r="N42" s="105">
        <f t="shared" si="0"/>
        <v>9754475.6632059701</v>
      </c>
      <c r="O42" s="105">
        <f t="shared" si="0"/>
        <v>-2111965.2659671726</v>
      </c>
      <c r="P42" s="105">
        <f t="shared" si="0"/>
        <v>4537483.5086683994</v>
      </c>
      <c r="Q42" s="105">
        <f t="shared" si="0"/>
        <v>2425518.2427012278</v>
      </c>
    </row>
    <row r="43" spans="2:18" ht="14.5" customHeight="1" x14ac:dyDescent="0.35">
      <c r="B43" s="278" t="s">
        <v>91</v>
      </c>
      <c r="C43" s="252"/>
      <c r="D43" s="252"/>
      <c r="E43" s="252"/>
      <c r="F43" s="252"/>
      <c r="G43" s="252"/>
      <c r="H43" s="252"/>
      <c r="I43" s="252"/>
      <c r="J43" s="252"/>
      <c r="K43" s="252"/>
      <c r="L43" s="252"/>
      <c r="M43" s="252"/>
      <c r="N43" s="252"/>
      <c r="O43" s="252"/>
      <c r="P43" s="252"/>
      <c r="Q43" s="253"/>
    </row>
    <row r="44" spans="2:18" ht="15.5" customHeight="1" x14ac:dyDescent="0.35">
      <c r="B44" s="100" t="s">
        <v>92</v>
      </c>
      <c r="C44" s="103">
        <v>0</v>
      </c>
      <c r="D44" s="103">
        <v>2631687.0839999998</v>
      </c>
      <c r="E44" s="103">
        <v>406970.27992469899</v>
      </c>
      <c r="F44" s="103">
        <v>2224716.8040753012</v>
      </c>
      <c r="G44" s="103">
        <v>1380150.829336059</v>
      </c>
      <c r="H44" s="103">
        <v>0</v>
      </c>
      <c r="I44" s="103">
        <v>2454044.6264952552</v>
      </c>
      <c r="J44" s="103">
        <v>0</v>
      </c>
      <c r="K44" s="103">
        <v>1150823.006916105</v>
      </c>
      <c r="L44" s="103">
        <v>481085.37091270438</v>
      </c>
      <c r="M44" s="103">
        <v>426748.25120000012</v>
      </c>
      <c r="N44" s="103">
        <v>141801.35602552531</v>
      </c>
      <c r="O44" s="103">
        <v>101188.02877787501</v>
      </c>
      <c r="P44" s="103">
        <v>61370.513000000014</v>
      </c>
      <c r="Q44" s="106">
        <v>162558.54177787501</v>
      </c>
      <c r="R44"/>
    </row>
    <row r="45" spans="2:18" ht="15.5" customHeight="1" x14ac:dyDescent="0.35">
      <c r="B45" s="100" t="s">
        <v>93</v>
      </c>
      <c r="C45" s="103">
        <v>0</v>
      </c>
      <c r="D45" s="103">
        <v>1386158.205630468</v>
      </c>
      <c r="E45" s="103">
        <v>177220.264</v>
      </c>
      <c r="F45" s="103">
        <v>1208937.9416304671</v>
      </c>
      <c r="G45" s="103">
        <v>1435368.292549873</v>
      </c>
      <c r="H45" s="103">
        <v>1229.585935656743</v>
      </c>
      <c r="I45" s="103">
        <v>1380998.1924340951</v>
      </c>
      <c r="J45" s="103">
        <v>1090.7067078155801</v>
      </c>
      <c r="K45" s="103">
        <v>1263446.920974087</v>
      </c>
      <c r="L45" s="103">
        <v>753545.99676362087</v>
      </c>
      <c r="M45" s="103">
        <v>328816.64466157899</v>
      </c>
      <c r="N45" s="103">
        <v>100959.1338362403</v>
      </c>
      <c r="O45" s="103">
        <v>80125.145712646423</v>
      </c>
      <c r="P45" s="103">
        <v>152482.16102199999</v>
      </c>
      <c r="Q45" s="106">
        <v>232607.30673464641</v>
      </c>
      <c r="R45"/>
    </row>
    <row r="46" spans="2:18" ht="15.5" customHeight="1" x14ac:dyDescent="0.35">
      <c r="B46" s="100" t="s">
        <v>94</v>
      </c>
      <c r="C46" s="103">
        <v>0</v>
      </c>
      <c r="D46" s="103">
        <v>919172.43099999998</v>
      </c>
      <c r="E46" s="103">
        <v>156649.38200000001</v>
      </c>
      <c r="F46" s="103">
        <v>762523.049</v>
      </c>
      <c r="G46" s="103">
        <v>1318672.9540487011</v>
      </c>
      <c r="H46" s="103">
        <v>5576.5574170708906</v>
      </c>
      <c r="I46" s="103">
        <v>1209726.913786015</v>
      </c>
      <c r="J46" s="103">
        <v>7085.9810558893296</v>
      </c>
      <c r="K46" s="103">
        <v>869959.66562386812</v>
      </c>
      <c r="L46" s="103">
        <v>552625.8177798125</v>
      </c>
      <c r="M46" s="103">
        <v>292199.66600000003</v>
      </c>
      <c r="N46" s="103">
        <v>68488.294736914817</v>
      </c>
      <c r="O46" s="103">
        <v>-43354.112892859062</v>
      </c>
      <c r="P46" s="103">
        <v>59297.679502257917</v>
      </c>
      <c r="Q46" s="106">
        <v>15943.56660939886</v>
      </c>
      <c r="R46"/>
    </row>
    <row r="47" spans="2:18" ht="15.5" customHeight="1" x14ac:dyDescent="0.35">
      <c r="B47" s="100" t="s">
        <v>95</v>
      </c>
      <c r="C47" s="103">
        <v>0</v>
      </c>
      <c r="D47" s="103">
        <v>2439927.2477500001</v>
      </c>
      <c r="E47" s="103">
        <v>166731.13836000001</v>
      </c>
      <c r="F47" s="103">
        <v>2273196.109389999</v>
      </c>
      <c r="G47" s="103">
        <v>3179349.2659999998</v>
      </c>
      <c r="H47" s="103">
        <v>148209.992</v>
      </c>
      <c r="I47" s="103">
        <v>3018589.5881120521</v>
      </c>
      <c r="J47" s="103">
        <v>148209.992</v>
      </c>
      <c r="K47" s="103">
        <v>2433955.7872779472</v>
      </c>
      <c r="L47" s="103">
        <v>1902754.7750800001</v>
      </c>
      <c r="M47" s="103">
        <v>568812.62728000013</v>
      </c>
      <c r="N47" s="103">
        <v>403490.64</v>
      </c>
      <c r="O47" s="103">
        <v>-441102.25508205302</v>
      </c>
      <c r="P47" s="103">
        <v>1133012.18</v>
      </c>
      <c r="Q47" s="106">
        <v>691909.92491794727</v>
      </c>
      <c r="R47"/>
    </row>
    <row r="48" spans="2:18" ht="15.5" customHeight="1" x14ac:dyDescent="0.35">
      <c r="B48" s="100" t="s">
        <v>96</v>
      </c>
      <c r="C48" s="103">
        <v>0</v>
      </c>
      <c r="D48" s="103">
        <v>1924201.5082221921</v>
      </c>
      <c r="E48" s="103">
        <v>350044.46295502328</v>
      </c>
      <c r="F48" s="103">
        <v>1574157.045267168</v>
      </c>
      <c r="G48" s="103">
        <v>1145862.6838063309</v>
      </c>
      <c r="H48" s="103">
        <v>0</v>
      </c>
      <c r="I48" s="103">
        <v>1377813.8524540931</v>
      </c>
      <c r="J48" s="103">
        <v>0</v>
      </c>
      <c r="K48" s="103">
        <v>1342205.876619407</v>
      </c>
      <c r="L48" s="103">
        <v>662568.89914253668</v>
      </c>
      <c r="M48" s="103">
        <v>342309.27507115703</v>
      </c>
      <c r="N48" s="103">
        <v>154865.23853999999</v>
      </c>
      <c r="O48" s="103">
        <v>182462.46386571301</v>
      </c>
      <c r="P48" s="103">
        <v>86933.579959999988</v>
      </c>
      <c r="Q48" s="106">
        <v>269396.04382571293</v>
      </c>
      <c r="R48"/>
    </row>
    <row r="49" spans="2:17" s="5" customFormat="1" ht="15.5" customHeight="1" x14ac:dyDescent="0.35">
      <c r="B49" s="104" t="s">
        <v>90</v>
      </c>
      <c r="C49" s="105">
        <f t="shared" ref="C49:Q49" si="1">SUM(C44:C48)</f>
        <v>0</v>
      </c>
      <c r="D49" s="105">
        <f t="shared" si="1"/>
        <v>9301146.4766026605</v>
      </c>
      <c r="E49" s="105">
        <f t="shared" si="1"/>
        <v>1257615.5272397222</v>
      </c>
      <c r="F49" s="105">
        <f t="shared" si="1"/>
        <v>8043530.9493629355</v>
      </c>
      <c r="G49" s="105">
        <f t="shared" si="1"/>
        <v>8459404.0257409625</v>
      </c>
      <c r="H49" s="105">
        <f t="shared" si="1"/>
        <v>155016.13535272764</v>
      </c>
      <c r="I49" s="105">
        <f t="shared" si="1"/>
        <v>9441173.1732815094</v>
      </c>
      <c r="J49" s="105">
        <f t="shared" si="1"/>
        <v>156386.67976370492</v>
      </c>
      <c r="K49" s="105">
        <f t="shared" si="1"/>
        <v>7060391.2574114138</v>
      </c>
      <c r="L49" s="105">
        <f t="shared" si="1"/>
        <v>4352580.8596786745</v>
      </c>
      <c r="M49" s="105">
        <f t="shared" si="1"/>
        <v>1958886.4642127361</v>
      </c>
      <c r="N49" s="105">
        <f t="shared" si="1"/>
        <v>869604.66313868039</v>
      </c>
      <c r="O49" s="105">
        <f t="shared" si="1"/>
        <v>-120680.72961867761</v>
      </c>
      <c r="P49" s="105">
        <f t="shared" si="1"/>
        <v>1493096.1134842578</v>
      </c>
      <c r="Q49" s="105">
        <f t="shared" si="1"/>
        <v>1372415.3838655804</v>
      </c>
    </row>
    <row r="50" spans="2:17" ht="14.5" customHeight="1" x14ac:dyDescent="0.35">
      <c r="B50" s="282" t="s">
        <v>98</v>
      </c>
      <c r="C50" s="255"/>
      <c r="D50" s="255"/>
      <c r="E50" s="255"/>
      <c r="F50" s="255"/>
      <c r="G50" s="255"/>
      <c r="H50" s="255"/>
      <c r="I50" s="255"/>
      <c r="J50" s="255"/>
      <c r="K50" s="255"/>
      <c r="L50" s="255"/>
      <c r="M50" s="255"/>
      <c r="N50" s="255"/>
      <c r="O50" s="255"/>
      <c r="P50" s="255"/>
      <c r="Q50" s="255"/>
    </row>
    <row r="51" spans="2:17" x14ac:dyDescent="0.3">
      <c r="B51" s="61"/>
      <c r="C51" s="63"/>
      <c r="D51" s="63"/>
      <c r="E51" s="63"/>
      <c r="F51" s="63"/>
      <c r="G51" s="63"/>
      <c r="H51" s="63"/>
      <c r="I51" s="63"/>
      <c r="J51" s="63"/>
      <c r="K51" s="63"/>
      <c r="L51" s="63"/>
      <c r="M51" s="63"/>
      <c r="N51" s="63"/>
      <c r="O51" s="63"/>
      <c r="P51" s="63"/>
      <c r="Q51" s="63"/>
    </row>
  </sheetData>
  <sheetProtection algorithmName="SHA-512" hashValue="IyWAWJFadxpN5WqF/+EXoA7Hs+fUFyYymVlBy8G8wsPkFN1BoGBHVWJV89UeMCD/qgLcVmYDIgl+1TIAWinRdQ==" saltValue="upgEVS3WuYgFarF23klVhQ==" spinCount="100000" sheet="1" objects="1" scenarios="1"/>
  <mergeCells count="4">
    <mergeCell ref="B50:Q50"/>
    <mergeCell ref="B43:Q43"/>
    <mergeCell ref="B3:Q3"/>
    <mergeCell ref="B5:Q5"/>
  </mergeCells>
  <pageMargins left="0.7" right="0.7" top="0.75" bottom="0.75" header="0.3" footer="0.3"/>
  <pageSetup paperSize="9" scale="35"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41">
    <tabColor rgb="FF92D050"/>
    <pageSetUpPr fitToPage="1"/>
  </sheetPr>
  <dimension ref="B2:L36"/>
  <sheetViews>
    <sheetView zoomScale="90" zoomScaleNormal="90" workbookViewId="0">
      <selection activeCell="D73" sqref="D73"/>
    </sheetView>
  </sheetViews>
  <sheetFormatPr defaultColWidth="11.54296875" defaultRowHeight="14.5" x14ac:dyDescent="0.35"/>
  <cols>
    <col min="1" max="1" width="17.453125" customWidth="1"/>
    <col min="2" max="2" width="44.81640625" customWidth="1"/>
    <col min="3" max="4" width="20.36328125" customWidth="1"/>
    <col min="5" max="5" width="21.54296875" customWidth="1"/>
    <col min="6" max="6" width="20.36328125" customWidth="1"/>
    <col min="7" max="7" width="18.26953125" customWidth="1"/>
    <col min="8" max="8" width="42.6328125" style="62" customWidth="1"/>
    <col min="9" max="9" width="22.7265625" customWidth="1"/>
    <col min="10" max="11" width="22.1796875" customWidth="1"/>
    <col min="12" max="12" width="22.08984375" customWidth="1"/>
  </cols>
  <sheetData>
    <row r="2" spans="2:12" ht="7.5" customHeight="1" x14ac:dyDescent="0.35">
      <c r="H2"/>
    </row>
    <row r="3" spans="2:12" ht="23" customHeight="1" x14ac:dyDescent="0.35">
      <c r="B3" s="289" t="str">
        <f>_xlfn.CONCAT('Table of Contents'!B29,": ",'Table of Contents'!C29)</f>
        <v>APPENDIX 22: SUMMARY OF MICRO INSURANCE BUSINESS REVENUE ACCOUNT RESULTS FOR THE PERIOD ENDED 31.03.2025</v>
      </c>
      <c r="C3" s="290"/>
      <c r="D3" s="290"/>
      <c r="E3" s="290"/>
      <c r="F3" s="290"/>
      <c r="G3" s="290"/>
      <c r="H3" s="290"/>
      <c r="I3" s="290"/>
      <c r="J3" s="290"/>
      <c r="K3" s="290"/>
      <c r="L3" s="291"/>
    </row>
    <row r="4" spans="2:12" ht="23" customHeight="1" x14ac:dyDescent="0.35">
      <c r="B4" s="227"/>
      <c r="C4" s="225"/>
      <c r="D4" s="225"/>
      <c r="E4" s="225"/>
      <c r="F4" s="226"/>
      <c r="H4" s="231"/>
      <c r="I4" s="222"/>
      <c r="J4" s="222"/>
      <c r="K4" s="222"/>
      <c r="L4" s="223"/>
    </row>
    <row r="5" spans="2:12" ht="23" customHeight="1" x14ac:dyDescent="0.35">
      <c r="B5" s="283" t="s">
        <v>294</v>
      </c>
      <c r="C5" s="284"/>
      <c r="D5" s="284"/>
      <c r="E5" s="284"/>
      <c r="F5" s="285"/>
      <c r="H5" s="295" t="s">
        <v>277</v>
      </c>
      <c r="I5" s="296"/>
      <c r="J5" s="296"/>
      <c r="K5" s="296"/>
      <c r="L5" s="297"/>
    </row>
    <row r="6" spans="2:12" s="198" customFormat="1" ht="28.5" x14ac:dyDescent="0.35">
      <c r="B6" s="157" t="s">
        <v>36</v>
      </c>
      <c r="C6" s="211" t="s">
        <v>184</v>
      </c>
      <c r="D6" s="211" t="s">
        <v>185</v>
      </c>
      <c r="E6" s="211" t="str">
        <f>'GDP (Micro)'!E4</f>
        <v>Bundled</v>
      </c>
      <c r="F6" s="211" t="s">
        <v>170</v>
      </c>
      <c r="G6"/>
      <c r="H6" s="43" t="s">
        <v>36</v>
      </c>
      <c r="I6" s="45" t="s">
        <v>184</v>
      </c>
      <c r="J6" s="45" t="s">
        <v>185</v>
      </c>
      <c r="K6" s="45" t="s">
        <v>186</v>
      </c>
      <c r="L6" s="45" t="s">
        <v>170</v>
      </c>
    </row>
    <row r="7" spans="2:12" ht="23" customHeight="1" x14ac:dyDescent="0.35">
      <c r="B7" s="149" t="str">
        <f>'GDP (Micro)'!B6</f>
        <v>APA MICRO INSURANCE</v>
      </c>
      <c r="C7" s="67">
        <f>'GDP (Micro)'!C6+'INWARD (Micro)'!C6</f>
        <v>0</v>
      </c>
      <c r="D7" s="67">
        <f>'GDP (Micro)'!D6+'INWARD (Micro)'!D6</f>
        <v>0</v>
      </c>
      <c r="E7" s="67">
        <f>'GDP (Micro)'!E6+'INWARD (Micro)'!E6</f>
        <v>0</v>
      </c>
      <c r="F7" s="68">
        <f t="shared" ref="F7:F12" si="0">SUM(C7:E7)</f>
        <v>0</v>
      </c>
      <c r="H7" s="55" t="s">
        <v>122</v>
      </c>
      <c r="I7" s="139">
        <v>0</v>
      </c>
      <c r="J7" s="139">
        <v>0</v>
      </c>
      <c r="K7" s="139">
        <v>0</v>
      </c>
      <c r="L7" s="140">
        <f>SUM(I7:K7)</f>
        <v>0</v>
      </c>
    </row>
    <row r="8" spans="2:12" ht="23" customHeight="1" x14ac:dyDescent="0.35">
      <c r="B8" s="149" t="str">
        <f>'GDP (Micro)'!B7</f>
        <v>BIRDVIEW MICRO INSURANCE</v>
      </c>
      <c r="C8" s="67">
        <f>'GDP (Micro)'!C7+'INWARD (Micro)'!C7</f>
        <v>0</v>
      </c>
      <c r="D8" s="67">
        <f>'GDP (Micro)'!D7+'INWARD (Micro)'!D7</f>
        <v>0</v>
      </c>
      <c r="E8" s="67">
        <f>'GDP (Micro)'!E7+'INWARD (Micro)'!E7</f>
        <v>0</v>
      </c>
      <c r="F8" s="68">
        <f t="shared" si="0"/>
        <v>0</v>
      </c>
      <c r="H8" s="55" t="s">
        <v>123</v>
      </c>
      <c r="I8" s="139">
        <v>0</v>
      </c>
      <c r="J8" s="139">
        <v>0</v>
      </c>
      <c r="K8" s="139">
        <v>0</v>
      </c>
      <c r="L8" s="140">
        <f t="shared" ref="L8:L12" si="1">SUM(I8:K8)</f>
        <v>0</v>
      </c>
    </row>
    <row r="9" spans="2:12" ht="23" customHeight="1" x14ac:dyDescent="0.35">
      <c r="B9" s="149" t="str">
        <f>'GDP (Micro)'!B8</f>
        <v>BRITAM MICRO INSURANCE</v>
      </c>
      <c r="C9" s="67">
        <f>'GDP (Micro)'!C8+'INWARD (Micro)'!C8</f>
        <v>0</v>
      </c>
      <c r="D9" s="67">
        <f>'GDP (Micro)'!D8+'INWARD (Micro)'!D8</f>
        <v>407847.13831000001</v>
      </c>
      <c r="E9" s="67">
        <f>'GDP (Micro)'!E8+'INWARD (Micro)'!E8</f>
        <v>0</v>
      </c>
      <c r="F9" s="68">
        <f t="shared" si="0"/>
        <v>407847.13831000001</v>
      </c>
      <c r="H9" s="55" t="s">
        <v>124</v>
      </c>
      <c r="I9" s="46">
        <v>0</v>
      </c>
      <c r="J9" s="46">
        <v>23815.677179999999</v>
      </c>
      <c r="K9" s="46">
        <v>0</v>
      </c>
      <c r="L9" s="140">
        <f t="shared" si="1"/>
        <v>23815.677179999999</v>
      </c>
    </row>
    <row r="10" spans="2:12" ht="23" customHeight="1" x14ac:dyDescent="0.35">
      <c r="B10" s="149" t="str">
        <f>'GDP (Micro)'!B9</f>
        <v>CIC MICRO INSURANCE</v>
      </c>
      <c r="C10" s="67">
        <f>'GDP (Micro)'!C9+'INWARD (Micro)'!C9</f>
        <v>0</v>
      </c>
      <c r="D10" s="67">
        <f>'GDP (Micro)'!D9+'INWARD (Micro)'!D9</f>
        <v>0</v>
      </c>
      <c r="E10" s="67">
        <f>'GDP (Micro)'!E9+'INWARD (Micro)'!E9</f>
        <v>0</v>
      </c>
      <c r="F10" s="68">
        <f t="shared" si="0"/>
        <v>0</v>
      </c>
      <c r="H10" s="55" t="s">
        <v>125</v>
      </c>
      <c r="I10" s="46">
        <v>0</v>
      </c>
      <c r="J10" s="46">
        <v>0</v>
      </c>
      <c r="K10" s="46">
        <v>0</v>
      </c>
      <c r="L10" s="140">
        <f t="shared" si="1"/>
        <v>0</v>
      </c>
    </row>
    <row r="11" spans="2:12" ht="23" customHeight="1" x14ac:dyDescent="0.35">
      <c r="B11" s="149" t="str">
        <f>'GDP (Micro)'!B10</f>
        <v>STAR DISCOVER MICRO INSURANCE</v>
      </c>
      <c r="C11" s="67">
        <f>'GDP (Micro)'!C10+'INWARD (Micro)'!C10</f>
        <v>0</v>
      </c>
      <c r="D11" s="67">
        <f>'GDP (Micro)'!D10+'INWARD (Micro)'!D10</f>
        <v>6644.915</v>
      </c>
      <c r="E11" s="67">
        <f>'GDP (Micro)'!E10+'INWARD (Micro)'!E10</f>
        <v>0</v>
      </c>
      <c r="F11" s="68">
        <f t="shared" si="0"/>
        <v>6644.915</v>
      </c>
      <c r="H11" s="55" t="s">
        <v>126</v>
      </c>
      <c r="I11" s="46">
        <v>0</v>
      </c>
      <c r="J11" s="46">
        <v>6266.8280000000004</v>
      </c>
      <c r="K11" s="46">
        <v>0</v>
      </c>
      <c r="L11" s="140">
        <f t="shared" si="1"/>
        <v>6266.8280000000004</v>
      </c>
    </row>
    <row r="12" spans="2:12" ht="23" customHeight="1" x14ac:dyDescent="0.35">
      <c r="B12" s="149" t="str">
        <f>'GDP (Micro)'!B11</f>
        <v>TURACO MICRO INSURANCE</v>
      </c>
      <c r="C12" s="67">
        <f>'GDP (Micro)'!C11+'INWARD (Micro)'!C11</f>
        <v>5846.0584000000008</v>
      </c>
      <c r="D12" s="67">
        <f>'GDP (Micro)'!D11+'INWARD (Micro)'!D11</f>
        <v>93061.118210000015</v>
      </c>
      <c r="E12" s="67">
        <f>'GDP (Micro)'!E11+'INWARD (Micro)'!E11</f>
        <v>7845.622869999992</v>
      </c>
      <c r="F12" s="68">
        <f t="shared" si="0"/>
        <v>106752.79948</v>
      </c>
      <c r="H12" s="55" t="s">
        <v>127</v>
      </c>
      <c r="I12" s="46">
        <v>100</v>
      </c>
      <c r="J12" s="46">
        <v>28656</v>
      </c>
      <c r="K12" s="46">
        <v>1711.373</v>
      </c>
      <c r="L12" s="140">
        <f t="shared" si="1"/>
        <v>30467.373</v>
      </c>
    </row>
    <row r="13" spans="2:12" s="62" customFormat="1" ht="23" customHeight="1" x14ac:dyDescent="0.35">
      <c r="B13" s="151" t="s">
        <v>90</v>
      </c>
      <c r="C13" s="69">
        <f>SUM(C7:C12)</f>
        <v>5846.0584000000008</v>
      </c>
      <c r="D13" s="69">
        <f>SUM(D7:D12)</f>
        <v>507553.17151999997</v>
      </c>
      <c r="E13" s="69">
        <f>SUM(E7:E12)</f>
        <v>7845.622869999992</v>
      </c>
      <c r="F13" s="69">
        <f>SUM(F7:F12)</f>
        <v>521244.85278999998</v>
      </c>
      <c r="G13"/>
      <c r="H13" s="56" t="s">
        <v>90</v>
      </c>
      <c r="I13" s="57">
        <f>SUM(I7:I12)</f>
        <v>100</v>
      </c>
      <c r="J13" s="57">
        <f>SUM(J7:J12)</f>
        <v>58738.50518</v>
      </c>
      <c r="K13" s="57">
        <f>SUM(K7:K12)</f>
        <v>1711.373</v>
      </c>
      <c r="L13" s="57">
        <f>SUM(L7:L12)</f>
        <v>60549.87818</v>
      </c>
    </row>
    <row r="14" spans="2:12" s="62" customFormat="1" ht="23" customHeight="1" x14ac:dyDescent="0.35">
      <c r="B14" s="227"/>
      <c r="C14" s="225"/>
      <c r="D14" s="225"/>
      <c r="E14" s="225"/>
      <c r="F14" s="226"/>
      <c r="G14"/>
      <c r="H14" s="227"/>
      <c r="I14" s="225"/>
      <c r="J14" s="225"/>
      <c r="K14" s="225"/>
      <c r="L14" s="226"/>
    </row>
    <row r="15" spans="2:12" s="62" customFormat="1" ht="23" customHeight="1" x14ac:dyDescent="0.35">
      <c r="B15" s="283" t="s">
        <v>292</v>
      </c>
      <c r="C15" s="284"/>
      <c r="D15" s="284"/>
      <c r="E15" s="284"/>
      <c r="F15" s="285"/>
      <c r="G15"/>
      <c r="H15" s="286" t="s">
        <v>276</v>
      </c>
      <c r="I15" s="287"/>
      <c r="J15" s="287"/>
      <c r="K15" s="287"/>
      <c r="L15" s="288"/>
    </row>
    <row r="16" spans="2:12" s="62" customFormat="1" ht="23" customHeight="1" x14ac:dyDescent="0.35">
      <c r="B16" s="157" t="s">
        <v>36</v>
      </c>
      <c r="C16" s="156" t="s">
        <v>184</v>
      </c>
      <c r="D16" s="156" t="s">
        <v>185</v>
      </c>
      <c r="E16" s="156" t="s">
        <v>186</v>
      </c>
      <c r="F16" s="156" t="s">
        <v>170</v>
      </c>
      <c r="G16"/>
      <c r="H16" s="98" t="s">
        <v>36</v>
      </c>
      <c r="I16" s="99" t="s">
        <v>184</v>
      </c>
      <c r="J16" s="99" t="s">
        <v>185</v>
      </c>
      <c r="K16" s="99" t="s">
        <v>186</v>
      </c>
      <c r="L16" s="209" t="s">
        <v>170</v>
      </c>
    </row>
    <row r="17" spans="2:12" s="62" customFormat="1" ht="23" customHeight="1" x14ac:dyDescent="0.35">
      <c r="B17" s="157"/>
      <c r="C17" s="228" t="s">
        <v>273</v>
      </c>
      <c r="D17" s="228" t="s">
        <v>273</v>
      </c>
      <c r="E17" s="228" t="s">
        <v>273</v>
      </c>
      <c r="F17" s="229" t="s">
        <v>273</v>
      </c>
      <c r="G17"/>
      <c r="H17" s="100" t="s">
        <v>122</v>
      </c>
      <c r="I17" s="103">
        <v>0</v>
      </c>
      <c r="J17" s="103">
        <v>0</v>
      </c>
      <c r="K17" s="103">
        <v>0</v>
      </c>
      <c r="L17" s="106">
        <f>SUM(I17:K17)</f>
        <v>0</v>
      </c>
    </row>
    <row r="18" spans="2:12" s="62" customFormat="1" ht="23" customHeight="1" x14ac:dyDescent="0.35">
      <c r="B18" s="142" t="s">
        <v>122</v>
      </c>
      <c r="C18" s="143">
        <f t="shared" ref="C18:C23" si="2">IFERROR(C7/$C$13*100,"0")</f>
        <v>0</v>
      </c>
      <c r="D18" s="143">
        <f t="shared" ref="D18:D23" si="3">IFERROR(D7/$D$13*100,"0")</f>
        <v>0</v>
      </c>
      <c r="E18" s="143">
        <f t="shared" ref="E18:E23" si="4">IFERROR(E7/$E$13*100,"0")</f>
        <v>0</v>
      </c>
      <c r="F18" s="143">
        <f t="shared" ref="F18:F23" si="5">IFERROR(F7/$F$13*100,"0")</f>
        <v>0</v>
      </c>
      <c r="G18"/>
      <c r="H18" s="100" t="s">
        <v>123</v>
      </c>
      <c r="I18" s="103">
        <v>0</v>
      </c>
      <c r="J18" s="103">
        <v>0</v>
      </c>
      <c r="K18" s="103">
        <v>0</v>
      </c>
      <c r="L18" s="106">
        <f t="shared" ref="L18:L22" si="6">SUM(I18:K18)</f>
        <v>0</v>
      </c>
    </row>
    <row r="19" spans="2:12" s="62" customFormat="1" ht="23" customHeight="1" x14ac:dyDescent="0.35">
      <c r="B19" s="142" t="s">
        <v>123</v>
      </c>
      <c r="C19" s="143">
        <f t="shared" si="2"/>
        <v>0</v>
      </c>
      <c r="D19" s="143">
        <f t="shared" si="3"/>
        <v>0</v>
      </c>
      <c r="E19" s="143">
        <f t="shared" si="4"/>
        <v>0</v>
      </c>
      <c r="F19" s="143">
        <f t="shared" si="5"/>
        <v>0</v>
      </c>
      <c r="G19"/>
      <c r="H19" s="100" t="s">
        <v>124</v>
      </c>
      <c r="I19" s="103">
        <v>0</v>
      </c>
      <c r="J19" s="103">
        <v>-16827.409000273099</v>
      </c>
      <c r="K19" s="103">
        <v>0</v>
      </c>
      <c r="L19" s="106">
        <f t="shared" si="6"/>
        <v>-16827.409000273099</v>
      </c>
    </row>
    <row r="20" spans="2:12" s="62" customFormat="1" ht="23" customHeight="1" x14ac:dyDescent="0.35">
      <c r="B20" s="142" t="s">
        <v>124</v>
      </c>
      <c r="C20" s="143">
        <f t="shared" si="2"/>
        <v>0</v>
      </c>
      <c r="D20" s="143">
        <f t="shared" si="3"/>
        <v>80.355549171054477</v>
      </c>
      <c r="E20" s="143">
        <f t="shared" si="4"/>
        <v>0</v>
      </c>
      <c r="F20" s="143">
        <f t="shared" si="5"/>
        <v>78.244827958869863</v>
      </c>
      <c r="G20"/>
      <c r="H20" s="100" t="s">
        <v>125</v>
      </c>
      <c r="I20" s="103">
        <v>0</v>
      </c>
      <c r="J20" s="103">
        <v>0</v>
      </c>
      <c r="K20" s="103">
        <v>0</v>
      </c>
      <c r="L20" s="106">
        <f t="shared" si="6"/>
        <v>0</v>
      </c>
    </row>
    <row r="21" spans="2:12" s="62" customFormat="1" ht="23" customHeight="1" x14ac:dyDescent="0.35">
      <c r="B21" s="142" t="s">
        <v>125</v>
      </c>
      <c r="C21" s="143">
        <f t="shared" si="2"/>
        <v>0</v>
      </c>
      <c r="D21" s="143">
        <f t="shared" si="3"/>
        <v>0</v>
      </c>
      <c r="E21" s="143">
        <f t="shared" si="4"/>
        <v>0</v>
      </c>
      <c r="F21" s="143">
        <f t="shared" si="5"/>
        <v>0</v>
      </c>
      <c r="G21"/>
      <c r="H21" s="100" t="s">
        <v>126</v>
      </c>
      <c r="I21" s="103">
        <v>0</v>
      </c>
      <c r="J21" s="103">
        <v>1120.194409230955</v>
      </c>
      <c r="K21" s="103">
        <v>0</v>
      </c>
      <c r="L21" s="106">
        <f t="shared" si="6"/>
        <v>1120.194409230955</v>
      </c>
    </row>
    <row r="22" spans="2:12" s="62" customFormat="1" ht="23" customHeight="1" x14ac:dyDescent="0.35">
      <c r="B22" s="142" t="s">
        <v>126</v>
      </c>
      <c r="C22" s="143">
        <f t="shared" si="2"/>
        <v>0</v>
      </c>
      <c r="D22" s="143">
        <f t="shared" si="3"/>
        <v>1.309205689740855</v>
      </c>
      <c r="E22" s="143">
        <f t="shared" si="4"/>
        <v>0</v>
      </c>
      <c r="F22" s="143">
        <f t="shared" si="5"/>
        <v>1.2748164254155454</v>
      </c>
      <c r="G22"/>
      <c r="H22" s="100" t="s">
        <v>127</v>
      </c>
      <c r="I22" s="103">
        <v>4201.7306598966561</v>
      </c>
      <c r="J22" s="103">
        <v>15159.2547318544</v>
      </c>
      <c r="K22" s="103">
        <v>3951.4714022489452</v>
      </c>
      <c r="L22" s="106">
        <f t="shared" si="6"/>
        <v>23312.456794000002</v>
      </c>
    </row>
    <row r="23" spans="2:12" s="62" customFormat="1" ht="23" customHeight="1" x14ac:dyDescent="0.35">
      <c r="B23" s="142" t="s">
        <v>127</v>
      </c>
      <c r="C23" s="143">
        <f t="shared" si="2"/>
        <v>100</v>
      </c>
      <c r="D23" s="143">
        <f t="shared" si="3"/>
        <v>18.335245139204687</v>
      </c>
      <c r="E23" s="143">
        <f t="shared" si="4"/>
        <v>100</v>
      </c>
      <c r="F23" s="143">
        <f t="shared" si="5"/>
        <v>20.480355615714586</v>
      </c>
      <c r="G23"/>
      <c r="H23" s="104" t="s">
        <v>90</v>
      </c>
      <c r="I23" s="105">
        <f>SUM(I17:I22)</f>
        <v>4201.7306598966561</v>
      </c>
      <c r="J23" s="105">
        <f>SUM(J17:J22)</f>
        <v>-547.95985918774386</v>
      </c>
      <c r="K23" s="105">
        <f>SUM(K17:K22)</f>
        <v>3951.4714022489452</v>
      </c>
      <c r="L23" s="105">
        <f>SUM(L17:L22)</f>
        <v>7605.2422029578574</v>
      </c>
    </row>
    <row r="24" spans="2:12" s="62" customFormat="1" ht="23" customHeight="1" x14ac:dyDescent="0.35">
      <c r="B24" s="145" t="s">
        <v>90</v>
      </c>
      <c r="C24" s="146">
        <f>SUM(C18:C23)</f>
        <v>100</v>
      </c>
      <c r="D24" s="146">
        <f>SUM(D18:D23)</f>
        <v>100.00000000000001</v>
      </c>
      <c r="E24" s="146">
        <f>SUM(E18:E23)</f>
        <v>100</v>
      </c>
      <c r="F24" s="146">
        <f>SUM(F18:F23)</f>
        <v>100</v>
      </c>
      <c r="G24"/>
      <c r="H24" s="227"/>
      <c r="I24" s="225"/>
      <c r="J24" s="225"/>
      <c r="K24" s="225"/>
      <c r="L24" s="226"/>
    </row>
    <row r="25" spans="2:12" ht="23" customHeight="1" x14ac:dyDescent="0.35">
      <c r="B25" s="292"/>
      <c r="C25" s="293"/>
      <c r="D25" s="293"/>
      <c r="E25" s="293"/>
      <c r="F25" s="294"/>
      <c r="H25" s="286" t="s">
        <v>275</v>
      </c>
      <c r="I25" s="287"/>
      <c r="J25" s="287"/>
      <c r="K25" s="287"/>
      <c r="L25" s="288"/>
    </row>
    <row r="26" spans="2:12" ht="23" customHeight="1" x14ac:dyDescent="0.35">
      <c r="B26" s="286" t="s">
        <v>278</v>
      </c>
      <c r="C26" s="287"/>
      <c r="D26" s="287"/>
      <c r="E26" s="287"/>
      <c r="F26" s="288"/>
      <c r="H26" s="98" t="s">
        <v>36</v>
      </c>
      <c r="I26" s="209" t="s">
        <v>184</v>
      </c>
      <c r="J26" s="209" t="s">
        <v>185</v>
      </c>
      <c r="K26" s="209" t="s">
        <v>186</v>
      </c>
      <c r="L26" s="209" t="s">
        <v>274</v>
      </c>
    </row>
    <row r="27" spans="2:12" ht="23" customHeight="1" x14ac:dyDescent="0.35">
      <c r="B27" s="107" t="s">
        <v>36</v>
      </c>
      <c r="C27" s="107" t="s">
        <v>184</v>
      </c>
      <c r="D27" s="107" t="s">
        <v>185</v>
      </c>
      <c r="E27" s="107" t="s">
        <v>186</v>
      </c>
      <c r="F27" s="107" t="s">
        <v>170</v>
      </c>
      <c r="H27" s="232"/>
      <c r="I27" s="233" t="s">
        <v>273</v>
      </c>
      <c r="J27" s="233" t="s">
        <v>273</v>
      </c>
      <c r="K27" s="233" t="s">
        <v>273</v>
      </c>
      <c r="L27" s="233" t="s">
        <v>273</v>
      </c>
    </row>
    <row r="28" spans="2:12" ht="23" customHeight="1" x14ac:dyDescent="0.35">
      <c r="B28" s="100" t="s">
        <v>122</v>
      </c>
      <c r="C28" s="101">
        <v>0</v>
      </c>
      <c r="D28" s="101">
        <v>0</v>
      </c>
      <c r="E28" s="101">
        <v>0</v>
      </c>
      <c r="F28" s="102">
        <f>SUM(C28:E28)</f>
        <v>0</v>
      </c>
      <c r="H28" s="109" t="s">
        <v>122</v>
      </c>
      <c r="I28" s="213" t="str">
        <f>IFERROR(C28/'NEPI (Micro)'!C6*100,"0.00")</f>
        <v>0.00</v>
      </c>
      <c r="J28" s="213" t="str">
        <f>IFERROR(D28/'NEPI (Micro)'!D6*100,"0.00")</f>
        <v>0.00</v>
      </c>
      <c r="K28" s="213" t="str">
        <f>IFERROR(E28/'NEPI (Micro)'!E6*100,"0.00")</f>
        <v>0.00</v>
      </c>
      <c r="L28" s="214" t="str">
        <f>IFERROR(F28/'NEPI (Micro)'!F6*100,"0.00")</f>
        <v>0.00</v>
      </c>
    </row>
    <row r="29" spans="2:12" ht="23" customHeight="1" x14ac:dyDescent="0.35">
      <c r="B29" s="100" t="s">
        <v>123</v>
      </c>
      <c r="C29" s="101">
        <v>0</v>
      </c>
      <c r="D29" s="101">
        <v>0</v>
      </c>
      <c r="E29" s="101">
        <v>0</v>
      </c>
      <c r="F29" s="102">
        <f t="shared" ref="F29:F33" si="7">SUM(C29:E29)</f>
        <v>0</v>
      </c>
      <c r="H29" s="109" t="s">
        <v>123</v>
      </c>
      <c r="I29" s="213" t="str">
        <f>IFERROR(C29/'NEPI (Micro)'!C7*100,"0.00")</f>
        <v>0.00</v>
      </c>
      <c r="J29" s="213" t="str">
        <f>IFERROR(D29/'NEPI (Micro)'!D7*100,"0.00")</f>
        <v>0.00</v>
      </c>
      <c r="K29" s="213" t="str">
        <f>IFERROR(E29/'NEPI (Micro)'!E7*100,"0.00")</f>
        <v>0.00</v>
      </c>
      <c r="L29" s="214" t="str">
        <f>IFERROR(F29/'NEPI (Micro)'!F7*100,"0.00")</f>
        <v>0.00</v>
      </c>
    </row>
    <row r="30" spans="2:12" ht="23" customHeight="1" x14ac:dyDescent="0.35">
      <c r="B30" s="100" t="s">
        <v>124</v>
      </c>
      <c r="C30" s="103">
        <v>0</v>
      </c>
      <c r="D30" s="103">
        <v>78096.29853</v>
      </c>
      <c r="E30" s="103">
        <v>0</v>
      </c>
      <c r="F30" s="102">
        <f t="shared" si="7"/>
        <v>78096.29853</v>
      </c>
      <c r="H30" s="109" t="s">
        <v>124</v>
      </c>
      <c r="I30" s="213" t="str">
        <f>IFERROR(C30/'NEPI (Micro)'!C8*100,"0.00")</f>
        <v>0.00</v>
      </c>
      <c r="J30" s="213">
        <f>IFERROR(D30/'NEPI (Micro)'!D8*100,"0.00")</f>
        <v>54.602331065429041</v>
      </c>
      <c r="K30" s="213" t="str">
        <f>IFERROR(E30/'NEPI (Micro)'!E8*100,"0.00")</f>
        <v>0.00</v>
      </c>
      <c r="L30" s="214">
        <f>IFERROR(F30/'NEPI (Micro)'!F8*100,"0.00")</f>
        <v>54.602331065429041</v>
      </c>
    </row>
    <row r="31" spans="2:12" ht="23" customHeight="1" x14ac:dyDescent="0.35">
      <c r="B31" s="100" t="s">
        <v>125</v>
      </c>
      <c r="C31" s="103">
        <v>0</v>
      </c>
      <c r="D31" s="103">
        <v>0</v>
      </c>
      <c r="E31" s="103">
        <v>0</v>
      </c>
      <c r="F31" s="102">
        <f t="shared" si="7"/>
        <v>0</v>
      </c>
      <c r="H31" s="109" t="s">
        <v>125</v>
      </c>
      <c r="I31" s="213" t="str">
        <f>IFERROR(C31/'NEPI (Micro)'!C9*100,"0.00")</f>
        <v>0.00</v>
      </c>
      <c r="J31" s="213" t="str">
        <f>IFERROR(D31/'NEPI (Micro)'!D9*100,"0.00")</f>
        <v>0.00</v>
      </c>
      <c r="K31" s="213" t="str">
        <f>IFERROR(E31/'NEPI (Micro)'!E9*100,"0.00")</f>
        <v>0.00</v>
      </c>
      <c r="L31" s="214" t="str">
        <f>IFERROR(F31/'NEPI (Micro)'!F9*100,"0.00")</f>
        <v>0.00</v>
      </c>
    </row>
    <row r="32" spans="2:12" ht="23" customHeight="1" x14ac:dyDescent="0.35">
      <c r="B32" s="100" t="s">
        <v>126</v>
      </c>
      <c r="C32" s="103">
        <v>0</v>
      </c>
      <c r="D32" s="103">
        <v>6230.6239999999998</v>
      </c>
      <c r="E32" s="103">
        <v>0</v>
      </c>
      <c r="F32" s="102">
        <f t="shared" si="7"/>
        <v>6230.6239999999998</v>
      </c>
      <c r="H32" s="109" t="s">
        <v>126</v>
      </c>
      <c r="I32" s="213" t="str">
        <f>IFERROR(C32/'NEPI (Micro)'!C10*100,"0.00")</f>
        <v>0.00</v>
      </c>
      <c r="J32" s="213">
        <f>IFERROR(D32/'NEPI (Micro)'!D10*100,"0.00")</f>
        <v>26.257929110944566</v>
      </c>
      <c r="K32" s="213" t="str">
        <f>IFERROR(E32/'NEPI (Micro)'!E10*100,"0.00")</f>
        <v>0.00</v>
      </c>
      <c r="L32" s="214">
        <f>IFERROR(F32/'NEPI (Micro)'!F10*100,"0.00")</f>
        <v>26.257929110944566</v>
      </c>
    </row>
    <row r="33" spans="2:12" ht="23" customHeight="1" x14ac:dyDescent="0.35">
      <c r="B33" s="100" t="s">
        <v>127</v>
      </c>
      <c r="C33" s="103">
        <v>313.59300000000002</v>
      </c>
      <c r="D33" s="103">
        <v>30119.668000000001</v>
      </c>
      <c r="E33" s="103">
        <v>2176.8380000000002</v>
      </c>
      <c r="F33" s="102">
        <f t="shared" si="7"/>
        <v>32610.099000000002</v>
      </c>
      <c r="H33" s="109" t="s">
        <v>127</v>
      </c>
      <c r="I33" s="213">
        <f>IFERROR(C33/'NEPI (Micro)'!C11*100,"0.00")</f>
        <v>5.435449997499914</v>
      </c>
      <c r="J33" s="213">
        <f>IFERROR(D33/'NEPI (Micro)'!D11*100,"0.00")</f>
        <v>46.165987743434492</v>
      </c>
      <c r="K33" s="213">
        <f>IFERROR(E33/'NEPI (Micro)'!E11*100,"0.00")</f>
        <v>27.867702378322601</v>
      </c>
      <c r="L33" s="214">
        <f>IFERROR(F33/'NEPI (Micro)'!F11*100,"0.00")</f>
        <v>41.371377934323533</v>
      </c>
    </row>
    <row r="34" spans="2:12" ht="23" customHeight="1" x14ac:dyDescent="0.35">
      <c r="B34" s="104" t="s">
        <v>90</v>
      </c>
      <c r="C34" s="105">
        <f>SUM(C28:C33)</f>
        <v>313.59300000000002</v>
      </c>
      <c r="D34" s="105">
        <f>SUM(D28:D33)</f>
        <v>114446.59053</v>
      </c>
      <c r="E34" s="105">
        <f>SUM(E28:E33)</f>
        <v>2176.8380000000002</v>
      </c>
      <c r="F34" s="105">
        <f>SUM(F28:F33)</f>
        <v>116937.02153</v>
      </c>
      <c r="G34" s="224"/>
      <c r="H34" s="104" t="s">
        <v>90</v>
      </c>
      <c r="I34" s="215" t="str">
        <f>IFERROR('APPENDIX 25Micro'!C76/'NEPI (Micro)'!C76*100,"0.00")</f>
        <v>0.00</v>
      </c>
      <c r="J34" s="215" t="str">
        <f>IFERROR('APPENDIX 25Micro'!D76/'NEPI (Micro)'!D76*100,"0.00")</f>
        <v>0.00</v>
      </c>
      <c r="K34" s="215" t="str">
        <f>IFERROR('APPENDIX 25Micro'!E76/'NEPI (Micro)'!E76*100,"0.00")</f>
        <v>0.00</v>
      </c>
      <c r="L34" s="215" t="str">
        <f>IFERROR('APPENDIX 25Micro'!F76/'NEPI (Micro)'!F76*100,"0.00")</f>
        <v>0.00</v>
      </c>
    </row>
    <row r="35" spans="2:12" ht="23" customHeight="1" x14ac:dyDescent="0.35">
      <c r="B35" s="277" t="s">
        <v>293</v>
      </c>
      <c r="C35" s="277"/>
      <c r="D35" s="277"/>
      <c r="E35" s="277"/>
      <c r="F35" s="277"/>
      <c r="G35" s="277"/>
      <c r="H35" s="277"/>
      <c r="I35" s="277"/>
      <c r="J35" s="277"/>
      <c r="K35" s="277"/>
      <c r="L35" s="277"/>
    </row>
    <row r="36" spans="2:12" ht="15.5" x14ac:dyDescent="0.35">
      <c r="H36" s="230"/>
      <c r="I36" s="230"/>
      <c r="J36" s="230"/>
      <c r="K36" s="230"/>
      <c r="L36" s="230"/>
    </row>
  </sheetData>
  <sheetProtection algorithmName="SHA-512" hashValue="jsR0mbP57Li72vnqqKYgFyl1/SXzOTCJr0wpcwSu0ffpUHlicrpOIEv+vwSDIZ6IGg/7dFEF0Vb950/JziyRtQ==" saltValue="R+2DaBQHyIOMks50F2jdjA==" spinCount="100000" sheet="1" objects="1" scenarios="1"/>
  <mergeCells count="9">
    <mergeCell ref="B35:L35"/>
    <mergeCell ref="B5:F5"/>
    <mergeCell ref="H25:L25"/>
    <mergeCell ref="B26:F26"/>
    <mergeCell ref="B3:L3"/>
    <mergeCell ref="B25:F25"/>
    <mergeCell ref="H15:L15"/>
    <mergeCell ref="H5:L5"/>
    <mergeCell ref="B15:F15"/>
  </mergeCells>
  <pageMargins left="0.7" right="0.7" top="0.75" bottom="0.75" header="0.3" footer="0.3"/>
  <pageSetup scale="34"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42">
    <tabColor rgb="FF92D050"/>
  </sheetPr>
  <dimension ref="B3:F13"/>
  <sheetViews>
    <sheetView zoomScale="90" zoomScaleNormal="90" workbookViewId="0">
      <selection activeCell="B3" sqref="B3:F13"/>
    </sheetView>
  </sheetViews>
  <sheetFormatPr defaultColWidth="9.453125" defaultRowHeight="14" x14ac:dyDescent="0.3"/>
  <cols>
    <col min="1" max="1" width="12.453125" style="2" customWidth="1"/>
    <col min="2" max="2" width="51.453125" style="2" customWidth="1"/>
    <col min="3" max="6" width="21.54296875" style="2" customWidth="1"/>
    <col min="7" max="8" width="6.453125" style="2" bestFit="1" customWidth="1"/>
    <col min="9" max="9" width="14.54296875" style="2" bestFit="1" customWidth="1"/>
    <col min="10" max="60" width="9.453125" style="2" customWidth="1"/>
    <col min="61" max="16384" width="9.453125" style="2"/>
  </cols>
  <sheetData>
    <row r="3" spans="2:6" ht="14.5" customHeight="1" x14ac:dyDescent="0.35">
      <c r="B3" s="274" t="str">
        <f>_xlfn.CONCAT("GDP: SUMMARY OF GROSS DIRECT PREMIUM UNDER MICRO INSURANCE BUSINESS FOR THE PERIOD ENDED"," ",Details!F18)</f>
        <v>GDP: SUMMARY OF GROSS DIRECT PREMIUM UNDER MICRO INSURANCE BUSINESS FOR THE PERIOD ENDED 31.03.2025</v>
      </c>
      <c r="C3" s="252"/>
      <c r="D3" s="252"/>
      <c r="E3" s="252"/>
      <c r="F3" s="253"/>
    </row>
    <row r="4" spans="2:6" ht="28" customHeight="1" x14ac:dyDescent="0.3">
      <c r="B4" s="43" t="s">
        <v>36</v>
      </c>
      <c r="C4" s="45" t="s">
        <v>184</v>
      </c>
      <c r="D4" s="45" t="s">
        <v>185</v>
      </c>
      <c r="E4" s="45" t="s">
        <v>186</v>
      </c>
      <c r="F4" s="66" t="s">
        <v>170</v>
      </c>
    </row>
    <row r="5" spans="2:6" ht="14.5" customHeight="1" x14ac:dyDescent="0.35">
      <c r="B5" s="275" t="s">
        <v>53</v>
      </c>
      <c r="C5" s="252"/>
      <c r="D5" s="252"/>
      <c r="E5" s="252"/>
      <c r="F5" s="253"/>
    </row>
    <row r="6" spans="2:6" x14ac:dyDescent="0.3">
      <c r="B6" s="55" t="s">
        <v>122</v>
      </c>
      <c r="C6" s="46">
        <v>0</v>
      </c>
      <c r="D6" s="46">
        <v>0</v>
      </c>
      <c r="E6" s="46">
        <v>0</v>
      </c>
      <c r="F6" s="58">
        <f>SUM(C6:E6)</f>
        <v>0</v>
      </c>
    </row>
    <row r="7" spans="2:6" x14ac:dyDescent="0.3">
      <c r="B7" s="55" t="s">
        <v>123</v>
      </c>
      <c r="C7" s="46">
        <v>0</v>
      </c>
      <c r="D7" s="46">
        <v>0</v>
      </c>
      <c r="E7" s="46">
        <v>0</v>
      </c>
      <c r="F7" s="58">
        <f t="shared" ref="F7:F11" si="0">SUM(C7:E7)</f>
        <v>0</v>
      </c>
    </row>
    <row r="8" spans="2:6" x14ac:dyDescent="0.3">
      <c r="B8" s="55" t="s">
        <v>124</v>
      </c>
      <c r="C8" s="46">
        <v>0</v>
      </c>
      <c r="D8" s="46">
        <v>407847.13831000001</v>
      </c>
      <c r="E8" s="46">
        <v>0</v>
      </c>
      <c r="F8" s="58">
        <f t="shared" si="0"/>
        <v>407847.13831000001</v>
      </c>
    </row>
    <row r="9" spans="2:6" x14ac:dyDescent="0.3">
      <c r="B9" s="55" t="s">
        <v>125</v>
      </c>
      <c r="C9" s="46">
        <v>0</v>
      </c>
      <c r="D9" s="46">
        <v>0</v>
      </c>
      <c r="E9" s="46">
        <v>0</v>
      </c>
      <c r="F9" s="58">
        <f t="shared" si="0"/>
        <v>0</v>
      </c>
    </row>
    <row r="10" spans="2:6" x14ac:dyDescent="0.3">
      <c r="B10" s="55" t="s">
        <v>126</v>
      </c>
      <c r="C10" s="46">
        <v>0</v>
      </c>
      <c r="D10" s="46">
        <v>6644.915</v>
      </c>
      <c r="E10" s="46">
        <v>0</v>
      </c>
      <c r="F10" s="58">
        <f t="shared" si="0"/>
        <v>6644.915</v>
      </c>
    </row>
    <row r="11" spans="2:6" x14ac:dyDescent="0.3">
      <c r="B11" s="55" t="s">
        <v>127</v>
      </c>
      <c r="C11" s="46">
        <v>5846.0584000000008</v>
      </c>
      <c r="D11" s="46">
        <v>93061.118210000015</v>
      </c>
      <c r="E11" s="46">
        <v>7845.622869999992</v>
      </c>
      <c r="F11" s="58">
        <f t="shared" si="0"/>
        <v>106752.79948</v>
      </c>
    </row>
    <row r="12" spans="2:6" x14ac:dyDescent="0.3">
      <c r="B12" s="56" t="s">
        <v>90</v>
      </c>
      <c r="C12" s="57">
        <f>SUM(C6:C11)</f>
        <v>5846.0584000000008</v>
      </c>
      <c r="D12" s="57">
        <f>SUM(D6:D11)</f>
        <v>507553.17151999997</v>
      </c>
      <c r="E12" s="57">
        <f>SUM(E6:E11)</f>
        <v>7845.622869999992</v>
      </c>
      <c r="F12" s="57">
        <f>SUM(F6:F11)</f>
        <v>521244.85278999998</v>
      </c>
    </row>
    <row r="13" spans="2:6" x14ac:dyDescent="0.3">
      <c r="B13" s="272" t="s">
        <v>98</v>
      </c>
      <c r="C13" s="238"/>
      <c r="D13" s="238"/>
      <c r="E13" s="238"/>
      <c r="F13" s="238"/>
    </row>
  </sheetData>
  <sheetProtection algorithmName="SHA-512" hashValue="SHUvi50bUc0IEzeSZX8AiMBVS5yq94NSJUQUeUZy9UA9xCuxKpY7BOd51LrodeeLnr+HwBcKFuBQlDANWrCkbQ==" saltValue="FJ0sLLrPh+d+Rzpz55aNyw==" spinCount="100000" sheet="1" objects="1" scenarios="1"/>
  <mergeCells count="3">
    <mergeCell ref="B13:F13"/>
    <mergeCell ref="B3:F3"/>
    <mergeCell ref="B5:F5"/>
  </mergeCells>
  <pageMargins left="0.7" right="0.7" top="0.75" bottom="0.75" header="0.3" footer="0.3"/>
  <pageSetup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3">
    <tabColor rgb="FF92D050"/>
  </sheetPr>
  <dimension ref="B3:F13"/>
  <sheetViews>
    <sheetView zoomScale="90" zoomScaleNormal="90" workbookViewId="0">
      <selection activeCell="B3" sqref="B3:F13"/>
    </sheetView>
  </sheetViews>
  <sheetFormatPr defaultColWidth="9.453125" defaultRowHeight="14" x14ac:dyDescent="0.3"/>
  <cols>
    <col min="1" max="1" width="12.453125" style="2" customWidth="1"/>
    <col min="2" max="2" width="51.453125" style="2" customWidth="1"/>
    <col min="3" max="6" width="21.54296875" style="2" customWidth="1"/>
    <col min="7" max="8" width="6.453125" style="2" bestFit="1" customWidth="1"/>
    <col min="9" max="9" width="14.54296875" style="2" bestFit="1" customWidth="1"/>
    <col min="10" max="60" width="9.453125" style="2" customWidth="1"/>
    <col min="61" max="16384" width="9.453125" style="2"/>
  </cols>
  <sheetData>
    <row r="3" spans="2:6" ht="14.5" customHeight="1" x14ac:dyDescent="0.35">
      <c r="B3" s="274" t="str">
        <f>_xlfn.CONCAT("INWARD: SUMMARY OF NET PREMIUM INCOME UNDER MICRO INSURANCE BUSINESS FOR THE PERIOD ENDED"," ",Details!F18)</f>
        <v>INWARD: SUMMARY OF NET PREMIUM INCOME UNDER MICRO INSURANCE BUSINESS FOR THE PERIOD ENDED 31.03.2025</v>
      </c>
      <c r="C3" s="252"/>
      <c r="D3" s="252"/>
      <c r="E3" s="252"/>
      <c r="F3" s="253"/>
    </row>
    <row r="4" spans="2:6" ht="28" customHeight="1" x14ac:dyDescent="0.3">
      <c r="B4" s="43" t="s">
        <v>36</v>
      </c>
      <c r="C4" s="45" t="s">
        <v>184</v>
      </c>
      <c r="D4" s="45" t="s">
        <v>185</v>
      </c>
      <c r="E4" s="45" t="s">
        <v>186</v>
      </c>
      <c r="F4" s="45" t="s">
        <v>170</v>
      </c>
    </row>
    <row r="5" spans="2:6" ht="14.5" customHeight="1" x14ac:dyDescent="0.35">
      <c r="B5" s="275" t="s">
        <v>53</v>
      </c>
      <c r="C5" s="252"/>
      <c r="D5" s="252"/>
      <c r="E5" s="252"/>
      <c r="F5" s="253"/>
    </row>
    <row r="6" spans="2:6" x14ac:dyDescent="0.3">
      <c r="B6" s="55" t="s">
        <v>122</v>
      </c>
      <c r="C6" s="46">
        <v>0</v>
      </c>
      <c r="D6" s="46">
        <v>0</v>
      </c>
      <c r="E6" s="46">
        <v>0</v>
      </c>
      <c r="F6" s="58">
        <v>0</v>
      </c>
    </row>
    <row r="7" spans="2:6" x14ac:dyDescent="0.3">
      <c r="B7" s="55" t="s">
        <v>123</v>
      </c>
      <c r="C7" s="46">
        <v>0</v>
      </c>
      <c r="D7" s="46">
        <v>0</v>
      </c>
      <c r="E7" s="46">
        <v>0</v>
      </c>
      <c r="F7" s="58">
        <v>0</v>
      </c>
    </row>
    <row r="8" spans="2:6" x14ac:dyDescent="0.3">
      <c r="B8" s="55" t="s">
        <v>124</v>
      </c>
      <c r="C8" s="46">
        <v>0</v>
      </c>
      <c r="D8" s="46">
        <v>0</v>
      </c>
      <c r="E8" s="46">
        <v>0</v>
      </c>
      <c r="F8" s="58">
        <v>0</v>
      </c>
    </row>
    <row r="9" spans="2:6" x14ac:dyDescent="0.3">
      <c r="B9" s="55" t="s">
        <v>125</v>
      </c>
      <c r="C9" s="46">
        <v>0</v>
      </c>
      <c r="D9" s="46">
        <v>0</v>
      </c>
      <c r="E9" s="46">
        <v>0</v>
      </c>
      <c r="F9" s="58">
        <v>0</v>
      </c>
    </row>
    <row r="10" spans="2:6" x14ac:dyDescent="0.3">
      <c r="B10" s="55" t="s">
        <v>126</v>
      </c>
      <c r="C10" s="46">
        <v>0</v>
      </c>
      <c r="D10" s="46">
        <v>0</v>
      </c>
      <c r="E10" s="46">
        <v>0</v>
      </c>
      <c r="F10" s="58">
        <v>0</v>
      </c>
    </row>
    <row r="11" spans="2:6" x14ac:dyDescent="0.3">
      <c r="B11" s="55" t="s">
        <v>127</v>
      </c>
      <c r="C11" s="46">
        <v>0</v>
      </c>
      <c r="D11" s="46">
        <v>0</v>
      </c>
      <c r="E11" s="46">
        <v>0</v>
      </c>
      <c r="F11" s="58">
        <v>0</v>
      </c>
    </row>
    <row r="12" spans="2:6" x14ac:dyDescent="0.3">
      <c r="B12" s="56" t="s">
        <v>90</v>
      </c>
      <c r="C12" s="57">
        <f>SUM(C6:C11)</f>
        <v>0</v>
      </c>
      <c r="D12" s="57">
        <f>SUM(D6:D11)</f>
        <v>0</v>
      </c>
      <c r="E12" s="57">
        <f>SUM(E6:E11)</f>
        <v>0</v>
      </c>
      <c r="F12" s="57">
        <f>SUM(F6:F11)</f>
        <v>0</v>
      </c>
    </row>
    <row r="13" spans="2:6" x14ac:dyDescent="0.3">
      <c r="B13" s="272" t="s">
        <v>98</v>
      </c>
      <c r="C13" s="238"/>
      <c r="D13" s="238"/>
      <c r="E13" s="238"/>
      <c r="F13" s="238"/>
    </row>
  </sheetData>
  <sheetProtection algorithmName="SHA-512" hashValue="lzCPOx2Qv1WckkwJhgxI+E0OQR9mUPi819HmgZqKKFyrp/YYUFDoBwDeEsxUa+Tp7Pa7Va+OLmUsmT++wXpzIg==" saltValue="/ZZMVv9h+8DbF4WZC0pxYg==" spinCount="100000" sheet="1" objects="1" scenarios="1"/>
  <mergeCells count="3">
    <mergeCell ref="B13:F13"/>
    <mergeCell ref="B3:F3"/>
    <mergeCell ref="B5:F5"/>
  </mergeCells>
  <pageMargins left="0.7" right="0.7" top="0.75" bottom="0.75" header="0.3" footer="0.3"/>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44">
    <tabColor rgb="FF92D050"/>
    <pageSetUpPr fitToPage="1"/>
  </sheetPr>
  <dimension ref="B3:F13"/>
  <sheetViews>
    <sheetView zoomScale="90" zoomScaleNormal="90" workbookViewId="0">
      <selection activeCell="C7" sqref="C7"/>
    </sheetView>
  </sheetViews>
  <sheetFormatPr defaultColWidth="9.453125" defaultRowHeight="14.5" x14ac:dyDescent="0.35"/>
  <cols>
    <col min="1" max="1" width="16.54296875" customWidth="1"/>
    <col min="2" max="2" width="43.453125" customWidth="1"/>
    <col min="3" max="6" width="23.36328125" customWidth="1"/>
    <col min="7" max="7" width="2" customWidth="1"/>
    <col min="8" max="9" width="9.453125" customWidth="1"/>
  </cols>
  <sheetData>
    <row r="3" spans="2:6" x14ac:dyDescent="0.35">
      <c r="B3" s="267" t="str">
        <f>_xlfn.CONCAT('Table of Contents'!B30,": ",'Table of Contents'!C30)</f>
        <v>APPENDIX 23Micro: SUMMARY OF MICRO INSURANCE BUSINESS MARKET SHARE PER CLASS FOR THE PERIOD ENDED 31.03.2025</v>
      </c>
      <c r="C3" s="252"/>
      <c r="D3" s="252"/>
      <c r="E3" s="252"/>
      <c r="F3" s="253"/>
    </row>
    <row r="4" spans="2:6" s="198" customFormat="1" ht="28" customHeight="1" x14ac:dyDescent="0.35">
      <c r="B4" s="157" t="s">
        <v>36</v>
      </c>
      <c r="C4" s="156" t="s">
        <v>184</v>
      </c>
      <c r="D4" s="156" t="s">
        <v>185</v>
      </c>
      <c r="E4" s="156" t="s">
        <v>186</v>
      </c>
      <c r="F4" s="156" t="s">
        <v>170</v>
      </c>
    </row>
    <row r="5" spans="2:6" x14ac:dyDescent="0.35">
      <c r="B5" s="261" t="s">
        <v>53</v>
      </c>
      <c r="C5" s="252"/>
      <c r="D5" s="252"/>
      <c r="E5" s="252"/>
      <c r="F5" s="253"/>
    </row>
    <row r="6" spans="2:6" x14ac:dyDescent="0.35">
      <c r="B6" s="142" t="str">
        <f>'APPENDIX 22'!B7</f>
        <v>APA MICRO INSURANCE</v>
      </c>
      <c r="C6" s="143">
        <f>IFERROR('APPENDIX 22'!C7/'APPENDIX 22'!C$13*100,"")</f>
        <v>0</v>
      </c>
      <c r="D6" s="143">
        <f>IFERROR('APPENDIX 22'!D7/'APPENDIX 22'!D$13*100,"")</f>
        <v>0</v>
      </c>
      <c r="E6" s="143">
        <f>IFERROR('APPENDIX 22'!E7/'APPENDIX 22'!E$13*100,"")</f>
        <v>0</v>
      </c>
      <c r="F6" s="144">
        <f>IFERROR('APPENDIX 22'!F7/'APPENDIX 22'!F$13*100,"")</f>
        <v>0</v>
      </c>
    </row>
    <row r="7" spans="2:6" x14ac:dyDescent="0.35">
      <c r="B7" s="142" t="str">
        <f>'APPENDIX 22'!B8</f>
        <v>BIRDVIEW MICRO INSURANCE</v>
      </c>
      <c r="C7" s="143">
        <f>IFERROR('APPENDIX 22'!C8/'APPENDIX 22'!C$13*100,"")</f>
        <v>0</v>
      </c>
      <c r="D7" s="143">
        <f>IFERROR('APPENDIX 22'!D8/'APPENDIX 22'!D$13*100,"")</f>
        <v>0</v>
      </c>
      <c r="E7" s="143">
        <f>IFERROR('APPENDIX 22'!E8/'APPENDIX 22'!E$13*100,"")</f>
        <v>0</v>
      </c>
      <c r="F7" s="144">
        <f>IFERROR('APPENDIX 22'!F8/'APPENDIX 22'!F$13*100,"")</f>
        <v>0</v>
      </c>
    </row>
    <row r="8" spans="2:6" x14ac:dyDescent="0.35">
      <c r="B8" s="142" t="str">
        <f>'APPENDIX 22'!B9</f>
        <v>BRITAM MICRO INSURANCE</v>
      </c>
      <c r="C8" s="143">
        <f>IFERROR('APPENDIX 22'!C9/'APPENDIX 22'!C$13*100,"")</f>
        <v>0</v>
      </c>
      <c r="D8" s="143">
        <f>IFERROR('APPENDIX 22'!D9/'APPENDIX 22'!D$13*100,"")</f>
        <v>80.355549171054477</v>
      </c>
      <c r="E8" s="143">
        <f>IFERROR('APPENDIX 22'!E9/'APPENDIX 22'!E$13*100,"")</f>
        <v>0</v>
      </c>
      <c r="F8" s="144">
        <f>IFERROR('APPENDIX 22'!F9/'APPENDIX 22'!F$13*100,"")</f>
        <v>78.244827958869863</v>
      </c>
    </row>
    <row r="9" spans="2:6" x14ac:dyDescent="0.35">
      <c r="B9" s="142" t="str">
        <f>'APPENDIX 22'!B10</f>
        <v>CIC MICRO INSURANCE</v>
      </c>
      <c r="C9" s="143">
        <f>IFERROR('APPENDIX 22'!C10/'APPENDIX 22'!C$13*100,"")</f>
        <v>0</v>
      </c>
      <c r="D9" s="143">
        <f>IFERROR('APPENDIX 22'!D10/'APPENDIX 22'!D$13*100,"")</f>
        <v>0</v>
      </c>
      <c r="E9" s="143">
        <f>IFERROR('APPENDIX 22'!E10/'APPENDIX 22'!E$13*100,"")</f>
        <v>0</v>
      </c>
      <c r="F9" s="144">
        <f>IFERROR('APPENDIX 22'!F10/'APPENDIX 22'!F$13*100,"")</f>
        <v>0</v>
      </c>
    </row>
    <row r="10" spans="2:6" x14ac:dyDescent="0.35">
      <c r="B10" s="142" t="str">
        <f>'APPENDIX 22'!B11</f>
        <v>STAR DISCOVER MICRO INSURANCE</v>
      </c>
      <c r="C10" s="143">
        <f>IFERROR('APPENDIX 22'!C11/'APPENDIX 22'!C$13*100,"")</f>
        <v>0</v>
      </c>
      <c r="D10" s="143">
        <f>IFERROR('APPENDIX 22'!D11/'APPENDIX 22'!D$13*100,"")</f>
        <v>1.309205689740855</v>
      </c>
      <c r="E10" s="143">
        <f>IFERROR('APPENDIX 22'!E11/'APPENDIX 22'!E$13*100,"")</f>
        <v>0</v>
      </c>
      <c r="F10" s="144">
        <f>IFERROR('APPENDIX 22'!F11/'APPENDIX 22'!F$13*100,"")</f>
        <v>1.2748164254155454</v>
      </c>
    </row>
    <row r="11" spans="2:6" x14ac:dyDescent="0.35">
      <c r="B11" s="142" t="str">
        <f>'APPENDIX 22'!B12</f>
        <v>TURACO MICRO INSURANCE</v>
      </c>
      <c r="C11" s="143">
        <f>IFERROR('APPENDIX 22'!C12/'APPENDIX 22'!C$13*100,"")</f>
        <v>100</v>
      </c>
      <c r="D11" s="143">
        <f>IFERROR('APPENDIX 22'!D12/'APPENDIX 22'!D$13*100,"")</f>
        <v>18.335245139204687</v>
      </c>
      <c r="E11" s="143">
        <f>IFERROR('APPENDIX 22'!E12/'APPENDIX 22'!E$13*100,"")</f>
        <v>100</v>
      </c>
      <c r="F11" s="144">
        <f>IFERROR('APPENDIX 22'!F12/'APPENDIX 22'!F$13*100,"")</f>
        <v>20.480355615714586</v>
      </c>
    </row>
    <row r="12" spans="2:6" x14ac:dyDescent="0.35">
      <c r="B12" s="145" t="s">
        <v>90</v>
      </c>
      <c r="C12" s="146">
        <f>SUM(C6:C11)</f>
        <v>100</v>
      </c>
      <c r="D12" s="146">
        <f>SUM(D6:D11)</f>
        <v>100.00000000000001</v>
      </c>
      <c r="E12" s="146">
        <f>SUM(E6:E11)</f>
        <v>100</v>
      </c>
      <c r="F12" s="146">
        <f>SUM(F6:F11)</f>
        <v>100</v>
      </c>
    </row>
    <row r="13" spans="2:6" x14ac:dyDescent="0.35">
      <c r="B13" s="276" t="s">
        <v>172</v>
      </c>
      <c r="C13" s="255"/>
      <c r="D13" s="255"/>
      <c r="E13" s="255"/>
      <c r="F13" s="255"/>
    </row>
  </sheetData>
  <sheetProtection algorithmName="SHA-512" hashValue="ZlZGpkplXqhRqsSD6Dxk3r2L71Lbrqxxv121PZQ5ZJndKi4P6e/COWQVE/TqoHj6GM85yako6lMPgmvfBFSagA==" saltValue="CLNGwNTvFXXyxmwrEPkQ6g==" spinCount="100000" sheet="1" objects="1" scenarios="1"/>
  <mergeCells count="3">
    <mergeCell ref="B13:F13"/>
    <mergeCell ref="B3:F3"/>
    <mergeCell ref="B5:F5"/>
  </mergeCells>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45">
    <tabColor rgb="FF92D050"/>
    <pageSetUpPr fitToPage="1"/>
  </sheetPr>
  <dimension ref="B3:F13"/>
  <sheetViews>
    <sheetView zoomScale="90" zoomScaleNormal="90" workbookViewId="0">
      <selection activeCell="F6" sqref="F6:F11"/>
    </sheetView>
  </sheetViews>
  <sheetFormatPr defaultColWidth="9.453125" defaultRowHeight="14" x14ac:dyDescent="0.3"/>
  <cols>
    <col min="1" max="1" width="17" style="2" customWidth="1"/>
    <col min="2" max="2" width="45.453125" style="2" bestFit="1" customWidth="1"/>
    <col min="3" max="6" width="21.26953125" style="2" customWidth="1"/>
    <col min="7" max="7" width="11.54296875" style="2" customWidth="1"/>
    <col min="8" max="8" width="16.453125" style="2" customWidth="1"/>
    <col min="9" max="59" width="9.453125" style="2" customWidth="1"/>
    <col min="60" max="16384" width="9.453125" style="2"/>
  </cols>
  <sheetData>
    <row r="3" spans="2:6" ht="14.5" customHeight="1" x14ac:dyDescent="0.35">
      <c r="B3" s="274" t="str">
        <f>_xlfn.CONCAT('Table of Contents'!B31,": ",'Table of Contents'!C31)</f>
        <v>APPENDIX 24Micro: SUMMARY OF CLAIMS PAID UNDER MICRO INSURANCE BUSINESS FOR THE PERIOD ENDED 31.03.2025</v>
      </c>
      <c r="C3" s="252"/>
      <c r="D3" s="252"/>
      <c r="E3" s="252"/>
      <c r="F3" s="253"/>
    </row>
    <row r="4" spans="2:6" ht="28" customHeight="1" x14ac:dyDescent="0.3">
      <c r="B4" s="43" t="s">
        <v>36</v>
      </c>
      <c r="C4" s="45" t="s">
        <v>184</v>
      </c>
      <c r="D4" s="45" t="s">
        <v>185</v>
      </c>
      <c r="E4" s="45" t="s">
        <v>186</v>
      </c>
      <c r="F4" s="45" t="s">
        <v>170</v>
      </c>
    </row>
    <row r="5" spans="2:6" ht="14.5" customHeight="1" x14ac:dyDescent="0.35">
      <c r="B5" s="275" t="s">
        <v>53</v>
      </c>
      <c r="C5" s="252"/>
      <c r="D5" s="252"/>
      <c r="E5" s="252"/>
      <c r="F5" s="253"/>
    </row>
    <row r="6" spans="2:6" x14ac:dyDescent="0.3">
      <c r="B6" s="55" t="s">
        <v>122</v>
      </c>
      <c r="C6" s="139">
        <v>0</v>
      </c>
      <c r="D6" s="139">
        <v>0</v>
      </c>
      <c r="E6" s="139">
        <v>0</v>
      </c>
      <c r="F6" s="140">
        <f>SUM(C6:E6)</f>
        <v>0</v>
      </c>
    </row>
    <row r="7" spans="2:6" x14ac:dyDescent="0.3">
      <c r="B7" s="55" t="s">
        <v>123</v>
      </c>
      <c r="C7" s="139">
        <v>0</v>
      </c>
      <c r="D7" s="139">
        <v>0</v>
      </c>
      <c r="E7" s="139">
        <v>0</v>
      </c>
      <c r="F7" s="140">
        <f t="shared" ref="F7:F11" si="0">SUM(C7:E7)</f>
        <v>0</v>
      </c>
    </row>
    <row r="8" spans="2:6" x14ac:dyDescent="0.3">
      <c r="B8" s="55" t="s">
        <v>124</v>
      </c>
      <c r="C8" s="46">
        <v>0</v>
      </c>
      <c r="D8" s="46">
        <v>23815.677179999999</v>
      </c>
      <c r="E8" s="46">
        <v>0</v>
      </c>
      <c r="F8" s="140">
        <f t="shared" si="0"/>
        <v>23815.677179999999</v>
      </c>
    </row>
    <row r="9" spans="2:6" x14ac:dyDescent="0.3">
      <c r="B9" s="55" t="s">
        <v>125</v>
      </c>
      <c r="C9" s="46">
        <v>0</v>
      </c>
      <c r="D9" s="46">
        <v>0</v>
      </c>
      <c r="E9" s="46">
        <v>0</v>
      </c>
      <c r="F9" s="140">
        <f t="shared" si="0"/>
        <v>0</v>
      </c>
    </row>
    <row r="10" spans="2:6" x14ac:dyDescent="0.3">
      <c r="B10" s="55" t="s">
        <v>126</v>
      </c>
      <c r="C10" s="46">
        <v>0</v>
      </c>
      <c r="D10" s="46">
        <v>6266.8280000000004</v>
      </c>
      <c r="E10" s="46">
        <v>0</v>
      </c>
      <c r="F10" s="140">
        <f t="shared" si="0"/>
        <v>6266.8280000000004</v>
      </c>
    </row>
    <row r="11" spans="2:6" x14ac:dyDescent="0.3">
      <c r="B11" s="55" t="s">
        <v>127</v>
      </c>
      <c r="C11" s="46">
        <v>100</v>
      </c>
      <c r="D11" s="46">
        <v>28656</v>
      </c>
      <c r="E11" s="46">
        <v>1711.373</v>
      </c>
      <c r="F11" s="140">
        <f t="shared" si="0"/>
        <v>30467.373</v>
      </c>
    </row>
    <row r="12" spans="2:6" x14ac:dyDescent="0.3">
      <c r="B12" s="56" t="s">
        <v>90</v>
      </c>
      <c r="C12" s="57">
        <f>SUM(C6:C11)</f>
        <v>100</v>
      </c>
      <c r="D12" s="57">
        <f>SUM(D6:D11)</f>
        <v>58738.50518</v>
      </c>
      <c r="E12" s="57">
        <f>SUM(E6:E11)</f>
        <v>1711.373</v>
      </c>
      <c r="F12" s="57">
        <f>SUM(F6:F11)</f>
        <v>60549.87818</v>
      </c>
    </row>
    <row r="13" spans="2:6" x14ac:dyDescent="0.3">
      <c r="B13" s="272" t="s">
        <v>98</v>
      </c>
      <c r="C13" s="238"/>
      <c r="D13" s="238"/>
      <c r="E13" s="238"/>
      <c r="F13" s="238"/>
    </row>
  </sheetData>
  <sheetProtection algorithmName="SHA-512" hashValue="jajwKW6gk4t9RrVvsdzsTciddFurPx3oBBa+Z1AAIaIYyIFvqxuh9sHb7X79vL9Uier5LfQZhAiJWHLgUI3AwA==" saltValue="+VHwBY2y5x6o9vP9FJNVfw==" spinCount="100000" sheet="1" objects="1" scenarios="1"/>
  <mergeCells count="3">
    <mergeCell ref="B13:F13"/>
    <mergeCell ref="B3:F3"/>
    <mergeCell ref="B5:F5"/>
  </mergeCells>
  <pageMargins left="0.7" right="0.7" top="0.75" bottom="0.75" header="0.3" footer="0.3"/>
  <pageSetup scale="34"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46">
    <tabColor rgb="FF92D050"/>
  </sheetPr>
  <dimension ref="B3:F13"/>
  <sheetViews>
    <sheetView zoomScale="90" zoomScaleNormal="90" workbookViewId="0">
      <selection activeCell="C9" sqref="C9"/>
    </sheetView>
  </sheetViews>
  <sheetFormatPr defaultColWidth="9.453125" defaultRowHeight="14" x14ac:dyDescent="0.3"/>
  <cols>
    <col min="1" max="1" width="16.453125" style="2" customWidth="1"/>
    <col min="2" max="2" width="49.453125" style="2" customWidth="1"/>
    <col min="3" max="6" width="26.1796875" style="2" customWidth="1"/>
    <col min="7" max="7" width="21.54296875" style="2" customWidth="1"/>
    <col min="8" max="8" width="14.54296875" style="2" bestFit="1" customWidth="1"/>
    <col min="9" max="59" width="9.453125" style="2" customWidth="1"/>
    <col min="60" max="16384" width="9.453125" style="2"/>
  </cols>
  <sheetData>
    <row r="3" spans="2:6" ht="14.5" customHeight="1" x14ac:dyDescent="0.35">
      <c r="B3" s="279" t="str">
        <f>_xlfn.CONCAT('Table of Contents'!B32,": ",'Table of Contents'!C32)</f>
        <v>APPENDIX 25Micro: SUMMARY OF CLAIMS INCURRED UNDER MICRO INSURANCE BUSINESS FOR THE PERIOD ENDED 31.03.2025</v>
      </c>
      <c r="C3" s="252"/>
      <c r="D3" s="252"/>
      <c r="E3" s="252"/>
      <c r="F3" s="253"/>
    </row>
    <row r="4" spans="2:6" s="59" customFormat="1" ht="31" customHeight="1" x14ac:dyDescent="0.35">
      <c r="B4" s="107" t="s">
        <v>36</v>
      </c>
      <c r="C4" s="107" t="s">
        <v>184</v>
      </c>
      <c r="D4" s="107" t="s">
        <v>185</v>
      </c>
      <c r="E4" s="107" t="s">
        <v>186</v>
      </c>
      <c r="F4" s="107" t="s">
        <v>170</v>
      </c>
    </row>
    <row r="5" spans="2:6" ht="14.5" customHeight="1" x14ac:dyDescent="0.35">
      <c r="B5" s="280" t="s">
        <v>53</v>
      </c>
      <c r="C5" s="252"/>
      <c r="D5" s="252"/>
      <c r="E5" s="252"/>
      <c r="F5" s="253"/>
    </row>
    <row r="6" spans="2:6" ht="15.5" customHeight="1" x14ac:dyDescent="0.35">
      <c r="B6" s="100" t="s">
        <v>122</v>
      </c>
      <c r="C6" s="101">
        <v>0</v>
      </c>
      <c r="D6" s="101">
        <v>0</v>
      </c>
      <c r="E6" s="101">
        <v>0</v>
      </c>
      <c r="F6" s="102">
        <f>SUM(C6:E6)</f>
        <v>0</v>
      </c>
    </row>
    <row r="7" spans="2:6" ht="15.5" customHeight="1" x14ac:dyDescent="0.35">
      <c r="B7" s="100" t="s">
        <v>123</v>
      </c>
      <c r="C7" s="101">
        <v>0</v>
      </c>
      <c r="D7" s="101">
        <v>0</v>
      </c>
      <c r="E7" s="101">
        <v>0</v>
      </c>
      <c r="F7" s="102">
        <f t="shared" ref="F7:F11" si="0">SUM(C7:E7)</f>
        <v>0</v>
      </c>
    </row>
    <row r="8" spans="2:6" ht="15.5" customHeight="1" x14ac:dyDescent="0.35">
      <c r="B8" s="100" t="s">
        <v>124</v>
      </c>
      <c r="C8" s="103">
        <v>0</v>
      </c>
      <c r="D8" s="103">
        <v>78096.29853</v>
      </c>
      <c r="E8" s="103">
        <v>0</v>
      </c>
      <c r="F8" s="102">
        <f t="shared" si="0"/>
        <v>78096.29853</v>
      </c>
    </row>
    <row r="9" spans="2:6" ht="15.5" customHeight="1" x14ac:dyDescent="0.35">
      <c r="B9" s="100" t="s">
        <v>125</v>
      </c>
      <c r="C9" s="103">
        <v>0</v>
      </c>
      <c r="D9" s="103">
        <v>0</v>
      </c>
      <c r="E9" s="103">
        <v>0</v>
      </c>
      <c r="F9" s="102">
        <f t="shared" si="0"/>
        <v>0</v>
      </c>
    </row>
    <row r="10" spans="2:6" ht="15.5" customHeight="1" x14ac:dyDescent="0.35">
      <c r="B10" s="100" t="s">
        <v>126</v>
      </c>
      <c r="C10" s="103">
        <v>0</v>
      </c>
      <c r="D10" s="103">
        <v>6230.6239999999998</v>
      </c>
      <c r="E10" s="103">
        <v>0</v>
      </c>
      <c r="F10" s="102">
        <f t="shared" si="0"/>
        <v>6230.6239999999998</v>
      </c>
    </row>
    <row r="11" spans="2:6" ht="15.5" customHeight="1" x14ac:dyDescent="0.35">
      <c r="B11" s="100" t="s">
        <v>127</v>
      </c>
      <c r="C11" s="103">
        <v>313.59300000000002</v>
      </c>
      <c r="D11" s="103">
        <v>30119.668000000001</v>
      </c>
      <c r="E11" s="103">
        <v>2176.8380000000002</v>
      </c>
      <c r="F11" s="102">
        <f t="shared" si="0"/>
        <v>32610.099000000002</v>
      </c>
    </row>
    <row r="12" spans="2:6" ht="15.5" customHeight="1" x14ac:dyDescent="0.35">
      <c r="B12" s="104" t="s">
        <v>90</v>
      </c>
      <c r="C12" s="105">
        <f>SUM(C6:C11)</f>
        <v>313.59300000000002</v>
      </c>
      <c r="D12" s="105">
        <f>SUM(D6:D11)</f>
        <v>114446.59053</v>
      </c>
      <c r="E12" s="105">
        <f>SUM(E6:E11)</f>
        <v>2176.8380000000002</v>
      </c>
      <c r="F12" s="105">
        <f>SUM(F6:F11)</f>
        <v>116937.02153</v>
      </c>
    </row>
    <row r="13" spans="2:6" ht="15.5" customHeight="1" x14ac:dyDescent="0.35">
      <c r="B13" s="277" t="s">
        <v>98</v>
      </c>
      <c r="C13" s="255"/>
      <c r="D13" s="255"/>
      <c r="E13" s="255"/>
      <c r="F13" s="255"/>
    </row>
  </sheetData>
  <sheetProtection algorithmName="SHA-512" hashValue="CEs7TMw2pMgGYs6gDsfCwxrHxOb3JZ1Vhp5rRb9oh5NUfqgvcdCcro/fnHnFb3ZLEwZkpkoO5/TQ9GQiAlwunw==" saltValue="IqGmiJvDFloTivz0xXEX7w==" spinCount="100000" sheet="1" objects="1" scenarios="1"/>
  <mergeCells count="3">
    <mergeCell ref="B13:F13"/>
    <mergeCell ref="B3:F3"/>
    <mergeCell ref="B5:F5"/>
  </mergeCells>
  <pageMargins left="0.7" right="0.7" top="0.75" bottom="0.75" header="0.3" footer="0.3"/>
  <pageSetup paperSize="9" scale="31"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7">
    <tabColor rgb="FF92D050"/>
    <pageSetUpPr fitToPage="1"/>
  </sheetPr>
  <dimension ref="B3:F13"/>
  <sheetViews>
    <sheetView zoomScale="90" zoomScaleNormal="90" workbookViewId="0">
      <selection activeCell="F8" sqref="F8:F11"/>
    </sheetView>
  </sheetViews>
  <sheetFormatPr defaultColWidth="9.453125" defaultRowHeight="14" x14ac:dyDescent="0.3"/>
  <cols>
    <col min="1" max="1" width="17.453125" style="2" customWidth="1"/>
    <col min="2" max="2" width="50.6328125" style="2" bestFit="1" customWidth="1"/>
    <col min="3" max="6" width="27.81640625" style="2" customWidth="1"/>
    <col min="7" max="7" width="2.453125" style="2" customWidth="1"/>
    <col min="8" max="58" width="9.453125" style="2" customWidth="1"/>
    <col min="59" max="16384" width="9.453125" style="2"/>
  </cols>
  <sheetData>
    <row r="3" spans="2:6" ht="14.5" customHeight="1" x14ac:dyDescent="0.35">
      <c r="B3" s="279" t="str">
        <f>_xlfn.CONCAT('Table of Contents'!B33,": ",'Table of Contents'!C33)</f>
        <v>APPENDIX 26Micro: SUMMARY OF INCURRED CLAIMS RATIOS UNDER MICRO INSURANCE BUSINESS FOR THE PERIOD ENDED 31.03.2025</v>
      </c>
      <c r="C3" s="252"/>
      <c r="D3" s="252"/>
      <c r="E3" s="252"/>
      <c r="F3" s="253"/>
    </row>
    <row r="4" spans="2:6" ht="15.5" customHeight="1" x14ac:dyDescent="0.35">
      <c r="B4" s="98" t="s">
        <v>36</v>
      </c>
      <c r="C4" s="209" t="s">
        <v>184</v>
      </c>
      <c r="D4" s="209" t="s">
        <v>185</v>
      </c>
      <c r="E4" s="209" t="s">
        <v>186</v>
      </c>
      <c r="F4" s="209" t="s">
        <v>170</v>
      </c>
    </row>
    <row r="5" spans="2:6" ht="14.5" customHeight="1" x14ac:dyDescent="0.35">
      <c r="B5" s="280" t="s">
        <v>53</v>
      </c>
      <c r="C5" s="252"/>
      <c r="D5" s="252"/>
      <c r="E5" s="252"/>
      <c r="F5" s="253"/>
    </row>
    <row r="6" spans="2:6" ht="15.5" customHeight="1" x14ac:dyDescent="0.35">
      <c r="B6" s="109" t="str">
        <f>'APPENDIX 25Micro'!B6</f>
        <v>APA MICRO INSURANCE</v>
      </c>
      <c r="C6" s="213" t="str">
        <f>IFERROR('APPENDIX 25Micro'!C6/'NEPI (Micro)'!C6*100,"0.00")</f>
        <v>0.00</v>
      </c>
      <c r="D6" s="213" t="str">
        <f>IFERROR('APPENDIX 25Micro'!D6/'NEPI (Micro)'!D6*100,"0.00")</f>
        <v>0.00</v>
      </c>
      <c r="E6" s="213" t="str">
        <f>IFERROR('APPENDIX 25Micro'!E6/'NEPI (Micro)'!E6*100,"0.00")</f>
        <v>0.00</v>
      </c>
      <c r="F6" s="214" t="str">
        <f>IFERROR('APPENDIX 25Micro'!F6/'NEPI (Micro)'!F6*100,"0.00")</f>
        <v>0.00</v>
      </c>
    </row>
    <row r="7" spans="2:6" ht="15.5" customHeight="1" x14ac:dyDescent="0.35">
      <c r="B7" s="109" t="str">
        <f>'APPENDIX 25Micro'!B7</f>
        <v>BIRDVIEW MICRO INSURANCE</v>
      </c>
      <c r="C7" s="213" t="str">
        <f>IFERROR('APPENDIX 25Micro'!C7/'NEPI (Micro)'!C7*100,"0.00")</f>
        <v>0.00</v>
      </c>
      <c r="D7" s="213" t="str">
        <f>IFERROR('APPENDIX 25Micro'!D7/'NEPI (Micro)'!D7*100,"0.00")</f>
        <v>0.00</v>
      </c>
      <c r="E7" s="213" t="str">
        <f>IFERROR('APPENDIX 25Micro'!E7/'NEPI (Micro)'!E7*100,"0.00")</f>
        <v>0.00</v>
      </c>
      <c r="F7" s="214" t="str">
        <f>IFERROR('APPENDIX 25Micro'!F7/'NEPI (Micro)'!F7*100,"0.00")</f>
        <v>0.00</v>
      </c>
    </row>
    <row r="8" spans="2:6" ht="15.5" customHeight="1" x14ac:dyDescent="0.35">
      <c r="B8" s="109" t="str">
        <f>'APPENDIX 25Micro'!B8</f>
        <v>BRITAM MICRO INSURANCE</v>
      </c>
      <c r="C8" s="213" t="str">
        <f>IFERROR('APPENDIX 25Micro'!C8/'NEPI (Micro)'!C8*100,"0.00")</f>
        <v>0.00</v>
      </c>
      <c r="D8" s="213">
        <f>IFERROR('APPENDIX 25Micro'!D8/'NEPI (Micro)'!D8*100,"0.00")</f>
        <v>54.602331065429041</v>
      </c>
      <c r="E8" s="213" t="str">
        <f>IFERROR('APPENDIX 25Micro'!E8/'NEPI (Micro)'!E8*100,"0.00")</f>
        <v>0.00</v>
      </c>
      <c r="F8" s="214">
        <f>IFERROR('APPENDIX 25Micro'!F8/'NEPI (Micro)'!F8*100,"0.00")</f>
        <v>54.602331065429041</v>
      </c>
    </row>
    <row r="9" spans="2:6" ht="15.5" customHeight="1" x14ac:dyDescent="0.35">
      <c r="B9" s="109" t="str">
        <f>'APPENDIX 25Micro'!B9</f>
        <v>CIC MICRO INSURANCE</v>
      </c>
      <c r="C9" s="213" t="str">
        <f>IFERROR('APPENDIX 25Micro'!C9/'NEPI (Micro)'!C9*100,"0.00")</f>
        <v>0.00</v>
      </c>
      <c r="D9" s="213" t="str">
        <f>IFERROR('APPENDIX 25Micro'!D9/'NEPI (Micro)'!D9*100,"0.00")</f>
        <v>0.00</v>
      </c>
      <c r="E9" s="213" t="str">
        <f>IFERROR('APPENDIX 25Micro'!E9/'NEPI (Micro)'!E9*100,"0.00")</f>
        <v>0.00</v>
      </c>
      <c r="F9" s="214" t="str">
        <f>IFERROR('APPENDIX 25Micro'!F9/'NEPI (Micro)'!F9*100,"0.00")</f>
        <v>0.00</v>
      </c>
    </row>
    <row r="10" spans="2:6" ht="15.5" customHeight="1" x14ac:dyDescent="0.35">
      <c r="B10" s="109" t="str">
        <f>'APPENDIX 25Micro'!B10</f>
        <v>STAR DISCOVER MICRO INSURANCE</v>
      </c>
      <c r="C10" s="213" t="str">
        <f>IFERROR('APPENDIX 25Micro'!C10/'NEPI (Micro)'!C10*100,"0.00")</f>
        <v>0.00</v>
      </c>
      <c r="D10" s="213">
        <f>IFERROR('APPENDIX 25Micro'!D10/'NEPI (Micro)'!D10*100,"0.00")</f>
        <v>26.257929110944566</v>
      </c>
      <c r="E10" s="213" t="str">
        <f>IFERROR('APPENDIX 25Micro'!E10/'NEPI (Micro)'!E10*100,"0.00")</f>
        <v>0.00</v>
      </c>
      <c r="F10" s="214">
        <f>IFERROR('APPENDIX 25Micro'!F10/'NEPI (Micro)'!F10*100,"0.00")</f>
        <v>26.257929110944566</v>
      </c>
    </row>
    <row r="11" spans="2:6" ht="15.5" customHeight="1" x14ac:dyDescent="0.35">
      <c r="B11" s="109" t="str">
        <f>'APPENDIX 25Micro'!B11</f>
        <v>TURACO MICRO INSURANCE</v>
      </c>
      <c r="C11" s="213">
        <f>IFERROR('APPENDIX 25Micro'!C11/'NEPI (Micro)'!C11*100,"0.00")</f>
        <v>5.435449997499914</v>
      </c>
      <c r="D11" s="213">
        <f>IFERROR('APPENDIX 25Micro'!D11/'NEPI (Micro)'!D11*100,"0.00")</f>
        <v>46.165987743434492</v>
      </c>
      <c r="E11" s="213">
        <f>IFERROR('APPENDIX 25Micro'!E11/'NEPI (Micro)'!E11*100,"0.00")</f>
        <v>27.867702378322601</v>
      </c>
      <c r="F11" s="214">
        <f>IFERROR('APPENDIX 25Micro'!F11/'NEPI (Micro)'!F11*100,"0.00")</f>
        <v>41.371377934323533</v>
      </c>
    </row>
    <row r="12" spans="2:6" ht="15.5" customHeight="1" x14ac:dyDescent="0.35">
      <c r="B12" s="104" t="s">
        <v>90</v>
      </c>
      <c r="C12" s="215">
        <f>IFERROR('APPENDIX 25Micro'!C12/'NEPI (Micro)'!C12*100,"0.00")</f>
        <v>5.435449997499914</v>
      </c>
      <c r="D12" s="215">
        <f>IFERROR('APPENDIX 25Micro'!D12/'NEPI (Micro)'!D12*100,"0.00")</f>
        <v>49.330837755620962</v>
      </c>
      <c r="E12" s="215">
        <f>IFERROR('APPENDIX 25Micro'!E12/'NEPI (Micro)'!E12*100,"0.00")</f>
        <v>27.867702378322601</v>
      </c>
      <c r="F12" s="215">
        <f>IFERROR('APPENDIX 25Micro'!F12/'NEPI (Micro)'!F12*100,"0.00")</f>
        <v>47.616904029965248</v>
      </c>
    </row>
    <row r="13" spans="2:6" ht="15.5" customHeight="1" x14ac:dyDescent="0.35">
      <c r="B13" s="131" t="s">
        <v>187</v>
      </c>
      <c r="C13" s="113"/>
      <c r="D13" s="113"/>
      <c r="E13" s="113"/>
      <c r="F13" s="113"/>
    </row>
  </sheetData>
  <sheetProtection algorithmName="SHA-512" hashValue="pwTUr54aMz28Qv49dU0d0Ko8EVdVDguVSA3qbzKamPIxY5+bWifz52Ii40+wu98+GuS62/11U1woI+QH7RsRRA==" saltValue="PExQPy9poeaV5FSRlyXZ5A==" spinCount="100000" sheet="1" objects="1" scenarios="1"/>
  <mergeCells count="2">
    <mergeCell ref="B3:F3"/>
    <mergeCell ref="B5:F5"/>
  </mergeCells>
  <pageMargins left="0.7" right="0.7" top="0.75" bottom="0.75" header="0.3" footer="0.3"/>
  <pageSetup paperSize="9" scale="36"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8">
    <tabColor rgb="FFA2D668"/>
    <pageSetUpPr fitToPage="1"/>
  </sheetPr>
  <dimension ref="B3:F13"/>
  <sheetViews>
    <sheetView zoomScale="90" zoomScaleNormal="80" workbookViewId="0">
      <selection activeCell="B3" sqref="B3:F13"/>
    </sheetView>
  </sheetViews>
  <sheetFormatPr defaultColWidth="9.453125" defaultRowHeight="14" x14ac:dyDescent="0.3"/>
  <cols>
    <col min="1" max="1" width="15.453125" style="2" customWidth="1"/>
    <col min="2" max="2" width="51.453125" style="2" customWidth="1"/>
    <col min="3" max="6" width="21.54296875" style="2" customWidth="1"/>
    <col min="7" max="8" width="6.453125" style="2" bestFit="1" customWidth="1"/>
    <col min="9" max="9" width="13.54296875" style="2" customWidth="1"/>
    <col min="10" max="60" width="9.453125" style="2" customWidth="1"/>
    <col min="61" max="16384" width="9.453125" style="2"/>
  </cols>
  <sheetData>
    <row r="3" spans="2:6" ht="14.5" customHeight="1" x14ac:dyDescent="0.35">
      <c r="B3" s="279" t="str">
        <f>_xlfn.CONCAT("NPI: SUMMARY OF NET PREMIUM INCOME UNDER MICRO INSURANCE BUSINESS FOR THE PERIOD ENDED"," ",Details!F18)</f>
        <v>NPI: SUMMARY OF NET PREMIUM INCOME UNDER MICRO INSURANCE BUSINESS FOR THE PERIOD ENDED 31.03.2025</v>
      </c>
      <c r="C3" s="252"/>
      <c r="D3" s="252"/>
      <c r="E3" s="252"/>
      <c r="F3" s="253"/>
    </row>
    <row r="4" spans="2:6" ht="31" customHeight="1" x14ac:dyDescent="0.35">
      <c r="B4" s="98" t="s">
        <v>36</v>
      </c>
      <c r="C4" s="99" t="s">
        <v>184</v>
      </c>
      <c r="D4" s="99" t="s">
        <v>185</v>
      </c>
      <c r="E4" s="99" t="s">
        <v>186</v>
      </c>
      <c r="F4" s="209" t="s">
        <v>170</v>
      </c>
    </row>
    <row r="5" spans="2:6" ht="14.5" customHeight="1" x14ac:dyDescent="0.35">
      <c r="B5" s="280" t="s">
        <v>53</v>
      </c>
      <c r="C5" s="252"/>
      <c r="D5" s="252"/>
      <c r="E5" s="252"/>
      <c r="F5" s="253"/>
    </row>
    <row r="6" spans="2:6" ht="15.5" customHeight="1" x14ac:dyDescent="0.35">
      <c r="B6" s="100" t="s">
        <v>122</v>
      </c>
      <c r="C6" s="103">
        <v>0</v>
      </c>
      <c r="D6" s="103">
        <v>0</v>
      </c>
      <c r="E6" s="103">
        <v>0</v>
      </c>
      <c r="F6" s="106">
        <v>0</v>
      </c>
    </row>
    <row r="7" spans="2:6" ht="15.5" customHeight="1" x14ac:dyDescent="0.35">
      <c r="B7" s="100" t="s">
        <v>123</v>
      </c>
      <c r="C7" s="103">
        <v>0</v>
      </c>
      <c r="D7" s="103">
        <v>0</v>
      </c>
      <c r="E7" s="103">
        <v>0</v>
      </c>
      <c r="F7" s="106">
        <v>0</v>
      </c>
    </row>
    <row r="8" spans="2:6" ht="15.5" customHeight="1" x14ac:dyDescent="0.35">
      <c r="B8" s="100" t="s">
        <v>124</v>
      </c>
      <c r="C8" s="103">
        <v>0</v>
      </c>
      <c r="D8" s="103">
        <v>361227.0014699999</v>
      </c>
      <c r="E8" s="103">
        <v>0</v>
      </c>
      <c r="F8" s="106">
        <v>0</v>
      </c>
    </row>
    <row r="9" spans="2:6" ht="15.5" customHeight="1" x14ac:dyDescent="0.35">
      <c r="B9" s="100" t="s">
        <v>125</v>
      </c>
      <c r="C9" s="103">
        <v>0</v>
      </c>
      <c r="D9" s="103">
        <v>0</v>
      </c>
      <c r="E9" s="103">
        <v>0</v>
      </c>
      <c r="F9" s="106">
        <v>0</v>
      </c>
    </row>
    <row r="10" spans="2:6" ht="15.5" customHeight="1" x14ac:dyDescent="0.35">
      <c r="B10" s="100" t="s">
        <v>126</v>
      </c>
      <c r="C10" s="103">
        <v>0</v>
      </c>
      <c r="D10" s="103">
        <v>6644.915</v>
      </c>
      <c r="E10" s="103">
        <v>0</v>
      </c>
      <c r="F10" s="106">
        <v>0</v>
      </c>
    </row>
    <row r="11" spans="2:6" ht="15.5" customHeight="1" x14ac:dyDescent="0.35">
      <c r="B11" s="100" t="s">
        <v>127</v>
      </c>
      <c r="C11" s="103">
        <v>4676.8467199999996</v>
      </c>
      <c r="D11" s="103">
        <v>74448.894568000003</v>
      </c>
      <c r="E11" s="103">
        <v>6276.4982959999934</v>
      </c>
      <c r="F11" s="106">
        <v>0</v>
      </c>
    </row>
    <row r="12" spans="2:6" ht="15.5" customHeight="1" x14ac:dyDescent="0.35">
      <c r="B12" s="104" t="s">
        <v>90</v>
      </c>
      <c r="C12" s="105">
        <f>SUM(C6:C11)</f>
        <v>4676.8467199999996</v>
      </c>
      <c r="D12" s="105">
        <f>SUM(D6:D11)</f>
        <v>442320.81103799987</v>
      </c>
      <c r="E12" s="105">
        <f>SUM(E6:E11)</f>
        <v>6276.4982959999934</v>
      </c>
      <c r="F12" s="105">
        <f>SUM(F6:F11)</f>
        <v>0</v>
      </c>
    </row>
    <row r="13" spans="2:6" ht="14.5" customHeight="1" x14ac:dyDescent="0.35">
      <c r="B13" s="281" t="s">
        <v>98</v>
      </c>
      <c r="C13" s="238"/>
      <c r="D13" s="238"/>
      <c r="E13" s="238"/>
      <c r="F13" s="238"/>
    </row>
  </sheetData>
  <sheetProtection algorithmName="SHA-512" hashValue="gB3VsIrgNH28ACUKwSl/JO01MbQLxZIefYVhGTo0CKAzSIAlp0o1RxjWg6+HNQz2yQ+Y3nsnz8uV/vMfeUYPMA==" saltValue="jUfoE8s9j4JRmP/03PTIIQ==" spinCount="100000" sheet="1" objects="1" scenarios="1"/>
  <mergeCells count="3">
    <mergeCell ref="B13:F13"/>
    <mergeCell ref="B3:F3"/>
    <mergeCell ref="B5:F5"/>
  </mergeCells>
  <pageMargins left="0.7" right="0.7" top="0.75" bottom="0.75" header="0.3" footer="0.3"/>
  <pageSetup paperSize="9" scale="33"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9">
    <tabColor rgb="FFA2D668"/>
    <pageSetUpPr fitToPage="1"/>
  </sheetPr>
  <dimension ref="B3:F13"/>
  <sheetViews>
    <sheetView zoomScale="90" zoomScaleNormal="90" workbookViewId="0">
      <selection activeCell="B3" sqref="B3:F13"/>
    </sheetView>
  </sheetViews>
  <sheetFormatPr defaultColWidth="9.453125" defaultRowHeight="14" x14ac:dyDescent="0.3"/>
  <cols>
    <col min="1" max="1" width="15.453125" style="2" customWidth="1"/>
    <col min="2" max="2" width="51.453125" style="2" customWidth="1"/>
    <col min="3" max="6" width="23.26953125" style="2" customWidth="1"/>
    <col min="7" max="8" width="6.453125" style="2" bestFit="1" customWidth="1"/>
    <col min="9" max="9" width="13.54296875" style="2" customWidth="1"/>
    <col min="10" max="60" width="9.453125" style="2" customWidth="1"/>
    <col min="61" max="16384" width="9.453125" style="2"/>
  </cols>
  <sheetData>
    <row r="3" spans="2:6" ht="14.5" customHeight="1" x14ac:dyDescent="0.35">
      <c r="B3" s="279" t="str">
        <f>_xlfn.CONCAT("NEPI: SUMMARY OF NET EARNED PREMIUM UNDER MICRO INSURANCE BUSINESS FOR THE PERIOD ENDED"," ",Details!F18)</f>
        <v>NEPI: SUMMARY OF NET EARNED PREMIUM UNDER MICRO INSURANCE BUSINESS FOR THE PERIOD ENDED 31.03.2025</v>
      </c>
      <c r="C3" s="252"/>
      <c r="D3" s="252"/>
      <c r="E3" s="252"/>
      <c r="F3" s="253"/>
    </row>
    <row r="4" spans="2:6" ht="31" customHeight="1" x14ac:dyDescent="0.35">
      <c r="B4" s="98" t="s">
        <v>36</v>
      </c>
      <c r="C4" s="99" t="s">
        <v>184</v>
      </c>
      <c r="D4" s="99" t="s">
        <v>185</v>
      </c>
      <c r="E4" s="99" t="s">
        <v>186</v>
      </c>
      <c r="F4" s="209" t="s">
        <v>170</v>
      </c>
    </row>
    <row r="5" spans="2:6" ht="14.5" customHeight="1" x14ac:dyDescent="0.35">
      <c r="B5" s="280" t="s">
        <v>53</v>
      </c>
      <c r="C5" s="252"/>
      <c r="D5" s="252"/>
      <c r="E5" s="252"/>
      <c r="F5" s="253"/>
    </row>
    <row r="6" spans="2:6" ht="15.5" customHeight="1" x14ac:dyDescent="0.35">
      <c r="B6" s="100" t="s">
        <v>122</v>
      </c>
      <c r="C6" s="103">
        <v>0</v>
      </c>
      <c r="D6" s="103">
        <v>0</v>
      </c>
      <c r="E6" s="103">
        <v>0</v>
      </c>
      <c r="F6" s="106">
        <f t="shared" ref="F6:F11" si="0">SUM(C6:E6)</f>
        <v>0</v>
      </c>
    </row>
    <row r="7" spans="2:6" ht="15.5" customHeight="1" x14ac:dyDescent="0.35">
      <c r="B7" s="100" t="s">
        <v>123</v>
      </c>
      <c r="C7" s="103">
        <v>0</v>
      </c>
      <c r="D7" s="103">
        <v>0</v>
      </c>
      <c r="E7" s="103">
        <v>0</v>
      </c>
      <c r="F7" s="106">
        <f t="shared" si="0"/>
        <v>0</v>
      </c>
    </row>
    <row r="8" spans="2:6" ht="15.5" customHeight="1" x14ac:dyDescent="0.35">
      <c r="B8" s="100" t="s">
        <v>124</v>
      </c>
      <c r="C8" s="103">
        <v>0</v>
      </c>
      <c r="D8" s="103">
        <v>143027.40744972689</v>
      </c>
      <c r="E8" s="103">
        <v>0</v>
      </c>
      <c r="F8" s="106">
        <f t="shared" si="0"/>
        <v>143027.40744972689</v>
      </c>
    </row>
    <row r="9" spans="2:6" ht="15.5" customHeight="1" x14ac:dyDescent="0.35">
      <c r="B9" s="100" t="s">
        <v>125</v>
      </c>
      <c r="C9" s="103">
        <v>0</v>
      </c>
      <c r="D9" s="103">
        <v>0</v>
      </c>
      <c r="E9" s="103">
        <v>0</v>
      </c>
      <c r="F9" s="106">
        <f t="shared" si="0"/>
        <v>0</v>
      </c>
    </row>
    <row r="10" spans="2:6" ht="15.5" customHeight="1" x14ac:dyDescent="0.35">
      <c r="B10" s="100" t="s">
        <v>126</v>
      </c>
      <c r="C10" s="103">
        <v>0</v>
      </c>
      <c r="D10" s="103">
        <v>23728.543000000001</v>
      </c>
      <c r="E10" s="103">
        <v>0</v>
      </c>
      <c r="F10" s="106">
        <f t="shared" si="0"/>
        <v>23728.543000000001</v>
      </c>
    </row>
    <row r="11" spans="2:6" ht="15.5" customHeight="1" x14ac:dyDescent="0.35">
      <c r="B11" s="100" t="s">
        <v>127</v>
      </c>
      <c r="C11" s="103">
        <v>5769.402720000001</v>
      </c>
      <c r="D11" s="103">
        <v>65242.117568000001</v>
      </c>
      <c r="E11" s="103">
        <v>7811.3292959999926</v>
      </c>
      <c r="F11" s="106">
        <f t="shared" si="0"/>
        <v>78822.849583999996</v>
      </c>
    </row>
    <row r="12" spans="2:6" ht="15.5" customHeight="1" x14ac:dyDescent="0.35">
      <c r="B12" s="104" t="s">
        <v>90</v>
      </c>
      <c r="C12" s="105">
        <f>SUM(C6:C11)</f>
        <v>5769.402720000001</v>
      </c>
      <c r="D12" s="105">
        <f>SUM(D6:D11)</f>
        <v>231998.06801772688</v>
      </c>
      <c r="E12" s="105">
        <f>SUM(E6:E11)</f>
        <v>7811.3292959999926</v>
      </c>
      <c r="F12" s="105">
        <f>SUM(F6:F11)</f>
        <v>245578.8000337269</v>
      </c>
    </row>
    <row r="13" spans="2:6" ht="14.5" customHeight="1" x14ac:dyDescent="0.35">
      <c r="B13" s="281" t="s">
        <v>98</v>
      </c>
      <c r="C13" s="238"/>
      <c r="D13" s="238"/>
      <c r="E13" s="238"/>
      <c r="F13" s="238"/>
    </row>
  </sheetData>
  <sheetProtection algorithmName="SHA-512" hashValue="lGz74j+lylR7a4Dk8mnGG2BMgHb4PsVnIsskg0A4qtMF5wb/NrL57fUp/whhTlzeikioxdf/OesmNRwidAtTSQ==" saltValue="nKf1ekmg5SuY1/o3GsOPkg==" spinCount="100000" sheet="1" objects="1" scenarios="1"/>
  <mergeCells count="3">
    <mergeCell ref="B13:F13"/>
    <mergeCell ref="B3:F3"/>
    <mergeCell ref="B5:F5"/>
  </mergeCells>
  <pageMargins left="0.7" right="0.7" top="0.75" bottom="0.75" header="0.3" footer="0.3"/>
  <pageSetup paperSize="9" scale="33"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50">
    <tabColor rgb="FFA2D668"/>
    <pageSetUpPr fitToPage="1"/>
  </sheetPr>
  <dimension ref="B3:F13"/>
  <sheetViews>
    <sheetView topLeftCell="B1" zoomScale="90" zoomScaleNormal="90" workbookViewId="0">
      <selection activeCell="B3" sqref="B3:F13"/>
    </sheetView>
  </sheetViews>
  <sheetFormatPr defaultColWidth="9.453125" defaultRowHeight="14" x14ac:dyDescent="0.3"/>
  <cols>
    <col min="1" max="1" width="15.453125" style="2" customWidth="1"/>
    <col min="2" max="2" width="51.453125" style="2" customWidth="1"/>
    <col min="3" max="6" width="22.08984375" style="2" customWidth="1"/>
    <col min="7" max="8" width="6.453125" style="2" bestFit="1" customWidth="1"/>
    <col min="9" max="9" width="13.54296875" style="2" customWidth="1"/>
    <col min="10" max="60" width="9.453125" style="2" customWidth="1"/>
    <col min="61" max="16384" width="9.453125" style="2"/>
  </cols>
  <sheetData>
    <row r="3" spans="2:6" ht="14.5" customHeight="1" x14ac:dyDescent="0.35">
      <c r="B3" s="279" t="str">
        <f>_xlfn.CONCAT("COM: SUMMARY OF NET COMMISSIONS UNDER MICRO INSURANCE BUSINESS FOR THE PERIOD ENDED"," ",Details!F18)</f>
        <v>COM: SUMMARY OF NET COMMISSIONS UNDER MICRO INSURANCE BUSINESS FOR THE PERIOD ENDED 31.03.2025</v>
      </c>
      <c r="C3" s="252"/>
      <c r="D3" s="252"/>
      <c r="E3" s="252"/>
      <c r="F3" s="253"/>
    </row>
    <row r="4" spans="2:6" ht="31" customHeight="1" x14ac:dyDescent="0.35">
      <c r="B4" s="98" t="s">
        <v>36</v>
      </c>
      <c r="C4" s="99" t="s">
        <v>184</v>
      </c>
      <c r="D4" s="99" t="s">
        <v>185</v>
      </c>
      <c r="E4" s="99" t="s">
        <v>186</v>
      </c>
      <c r="F4" s="209" t="s">
        <v>170</v>
      </c>
    </row>
    <row r="5" spans="2:6" ht="14.5" customHeight="1" x14ac:dyDescent="0.35">
      <c r="B5" s="280" t="s">
        <v>53</v>
      </c>
      <c r="C5" s="252"/>
      <c r="D5" s="252"/>
      <c r="E5" s="252"/>
      <c r="F5" s="253"/>
    </row>
    <row r="6" spans="2:6" ht="15.5" customHeight="1" x14ac:dyDescent="0.35">
      <c r="B6" s="100" t="s">
        <v>122</v>
      </c>
      <c r="C6" s="103">
        <v>0</v>
      </c>
      <c r="D6" s="103">
        <v>0</v>
      </c>
      <c r="E6" s="103">
        <v>0</v>
      </c>
      <c r="F6" s="106">
        <v>0</v>
      </c>
    </row>
    <row r="7" spans="2:6" ht="15.5" customHeight="1" x14ac:dyDescent="0.35">
      <c r="B7" s="100" t="s">
        <v>123</v>
      </c>
      <c r="C7" s="103">
        <v>0</v>
      </c>
      <c r="D7" s="103">
        <v>0</v>
      </c>
      <c r="E7" s="103">
        <v>0</v>
      </c>
      <c r="F7" s="106">
        <v>0</v>
      </c>
    </row>
    <row r="8" spans="2:6" ht="15.5" customHeight="1" x14ac:dyDescent="0.35">
      <c r="B8" s="100" t="s">
        <v>124</v>
      </c>
      <c r="C8" s="103">
        <v>0</v>
      </c>
      <c r="D8" s="103">
        <v>24486.427629999998</v>
      </c>
      <c r="E8" s="103">
        <v>0</v>
      </c>
      <c r="F8" s="106">
        <v>0</v>
      </c>
    </row>
    <row r="9" spans="2:6" ht="15.5" customHeight="1" x14ac:dyDescent="0.35">
      <c r="B9" s="100" t="s">
        <v>125</v>
      </c>
      <c r="C9" s="103">
        <v>0</v>
      </c>
      <c r="D9" s="103">
        <v>0</v>
      </c>
      <c r="E9" s="103">
        <v>0</v>
      </c>
      <c r="F9" s="106">
        <v>0</v>
      </c>
    </row>
    <row r="10" spans="2:6" ht="15.5" customHeight="1" x14ac:dyDescent="0.35">
      <c r="B10" s="100" t="s">
        <v>126</v>
      </c>
      <c r="C10" s="103">
        <v>0</v>
      </c>
      <c r="D10" s="103">
        <v>-610.5</v>
      </c>
      <c r="E10" s="103">
        <v>0</v>
      </c>
      <c r="F10" s="106">
        <v>0</v>
      </c>
    </row>
    <row r="11" spans="2:6" ht="15.5" customHeight="1" x14ac:dyDescent="0.35">
      <c r="B11" s="100" t="s">
        <v>127</v>
      </c>
      <c r="C11" s="103">
        <v>-628.15899999999999</v>
      </c>
      <c r="D11" s="103">
        <v>-9999.4169999999995</v>
      </c>
      <c r="E11" s="103">
        <v>-843.01199999999994</v>
      </c>
      <c r="F11" s="106">
        <v>0</v>
      </c>
    </row>
    <row r="12" spans="2:6" ht="15.5" customHeight="1" x14ac:dyDescent="0.35">
      <c r="B12" s="104" t="s">
        <v>90</v>
      </c>
      <c r="C12" s="105">
        <f>SUM(C6:C11)</f>
        <v>-628.15899999999999</v>
      </c>
      <c r="D12" s="105">
        <f>SUM(D6:D11)</f>
        <v>13876.510629999999</v>
      </c>
      <c r="E12" s="105">
        <f>SUM(E6:E11)</f>
        <v>-843.01199999999994</v>
      </c>
      <c r="F12" s="105">
        <f>SUM(F6:F11)</f>
        <v>0</v>
      </c>
    </row>
    <row r="13" spans="2:6" ht="14.5" customHeight="1" x14ac:dyDescent="0.35">
      <c r="B13" s="281" t="s">
        <v>98</v>
      </c>
      <c r="C13" s="238"/>
      <c r="D13" s="238"/>
      <c r="E13" s="238"/>
      <c r="F13" s="238"/>
    </row>
  </sheetData>
  <sheetProtection algorithmName="SHA-512" hashValue="szS5FgD4iLu6jln3SsTnjCtHp9w/b+7iBCpgnrMibnUcN2dHDghLWFRnDcKi0BWRzM31z/vgDJvGKA4NFM2c5w==" saltValue="FFjwJCHOdAitDK6J3OEGCQ==" spinCount="100000" sheet="1" objects="1" scenarios="1"/>
  <mergeCells count="3">
    <mergeCell ref="B13:F13"/>
    <mergeCell ref="B3:F3"/>
    <mergeCell ref="B5:F5"/>
  </mergeCells>
  <pageMargins left="0.7" right="0.7" top="0.75" bottom="0.75" header="0.3" footer="0.3"/>
  <pageSetup paperSize="9" scale="33"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51">
    <tabColor rgb="FFA2D668"/>
    <pageSetUpPr fitToPage="1"/>
  </sheetPr>
  <dimension ref="B3:F13"/>
  <sheetViews>
    <sheetView topLeftCell="B1" zoomScale="90" zoomScaleNormal="90" workbookViewId="0">
      <selection activeCell="B3" sqref="B3:F13"/>
    </sheetView>
  </sheetViews>
  <sheetFormatPr defaultColWidth="9.453125" defaultRowHeight="14" x14ac:dyDescent="0.3"/>
  <cols>
    <col min="1" max="1" width="15.453125" style="2" customWidth="1"/>
    <col min="2" max="2" width="51.453125" style="2" customWidth="1"/>
    <col min="3" max="6" width="23.81640625" style="2" customWidth="1"/>
    <col min="7" max="8" width="6.453125" style="2" bestFit="1" customWidth="1"/>
    <col min="9" max="9" width="13.54296875" style="2" customWidth="1"/>
    <col min="10" max="60" width="9.453125" style="2" customWidth="1"/>
    <col min="61" max="16384" width="9.453125" style="2"/>
  </cols>
  <sheetData>
    <row r="3" spans="2:6" ht="14.5" customHeight="1" x14ac:dyDescent="0.35">
      <c r="B3" s="279" t="str">
        <f>_xlfn.CONCAT("MGT: SUMMARY OF MANAGEMENT EXPENSES UNDER MICRO INSURANCE BUSINESS FOR THE PERIOD ENDED"," ",Details!F18)</f>
        <v>MGT: SUMMARY OF MANAGEMENT EXPENSES UNDER MICRO INSURANCE BUSINESS FOR THE PERIOD ENDED 31.03.2025</v>
      </c>
      <c r="C3" s="252"/>
      <c r="D3" s="252"/>
      <c r="E3" s="252"/>
      <c r="F3" s="253"/>
    </row>
    <row r="4" spans="2:6" ht="31" customHeight="1" x14ac:dyDescent="0.35">
      <c r="B4" s="98" t="s">
        <v>36</v>
      </c>
      <c r="C4" s="99" t="str">
        <f>'COM (Micro)'!C4</f>
        <v>Life</v>
      </c>
      <c r="D4" s="99" t="str">
        <f>'COM (Micro)'!D4</f>
        <v>General</v>
      </c>
      <c r="E4" s="99" t="str">
        <f>'COM (Micro)'!E4</f>
        <v>Bundled</v>
      </c>
      <c r="F4" s="209" t="s">
        <v>170</v>
      </c>
    </row>
    <row r="5" spans="2:6" ht="14.5" customHeight="1" x14ac:dyDescent="0.35">
      <c r="B5" s="280" t="s">
        <v>53</v>
      </c>
      <c r="C5" s="252"/>
      <c r="D5" s="252"/>
      <c r="E5" s="252"/>
      <c r="F5" s="253"/>
    </row>
    <row r="6" spans="2:6" ht="15.5" customHeight="1" x14ac:dyDescent="0.35">
      <c r="B6" s="100" t="s">
        <v>122</v>
      </c>
      <c r="C6" s="103">
        <v>0</v>
      </c>
      <c r="D6" s="103">
        <v>0</v>
      </c>
      <c r="E6" s="103">
        <v>0</v>
      </c>
      <c r="F6" s="106">
        <v>0</v>
      </c>
    </row>
    <row r="7" spans="2:6" ht="15.5" customHeight="1" x14ac:dyDescent="0.35">
      <c r="B7" s="100" t="s">
        <v>123</v>
      </c>
      <c r="C7" s="103">
        <v>0</v>
      </c>
      <c r="D7" s="103">
        <v>0</v>
      </c>
      <c r="E7" s="103">
        <v>0</v>
      </c>
      <c r="F7" s="106">
        <v>0</v>
      </c>
    </row>
    <row r="8" spans="2:6" ht="15.5" customHeight="1" x14ac:dyDescent="0.35">
      <c r="B8" s="100" t="s">
        <v>124</v>
      </c>
      <c r="C8" s="103">
        <v>0</v>
      </c>
      <c r="D8" s="103">
        <v>57272.090290000007</v>
      </c>
      <c r="E8" s="103">
        <v>0</v>
      </c>
      <c r="F8" s="106">
        <v>0</v>
      </c>
    </row>
    <row r="9" spans="2:6" ht="15.5" customHeight="1" x14ac:dyDescent="0.35">
      <c r="B9" s="100" t="s">
        <v>125</v>
      </c>
      <c r="C9" s="103">
        <v>0</v>
      </c>
      <c r="D9" s="103">
        <v>0</v>
      </c>
      <c r="E9" s="103">
        <v>0</v>
      </c>
      <c r="F9" s="106">
        <v>0</v>
      </c>
    </row>
    <row r="10" spans="2:6" ht="15.5" customHeight="1" x14ac:dyDescent="0.35">
      <c r="B10" s="100" t="s">
        <v>126</v>
      </c>
      <c r="C10" s="103">
        <v>0</v>
      </c>
      <c r="D10" s="103">
        <v>16988.224590769041</v>
      </c>
      <c r="E10" s="103">
        <v>0</v>
      </c>
      <c r="F10" s="106">
        <v>0</v>
      </c>
    </row>
    <row r="11" spans="2:6" ht="15.5" customHeight="1" x14ac:dyDescent="0.35">
      <c r="B11" s="100" t="s">
        <v>127</v>
      </c>
      <c r="C11" s="103">
        <v>1882.2380601033451</v>
      </c>
      <c r="D11" s="103">
        <v>29962.61183614561</v>
      </c>
      <c r="E11" s="103">
        <v>2526.0318937510469</v>
      </c>
      <c r="F11" s="106">
        <v>0</v>
      </c>
    </row>
    <row r="12" spans="2:6" ht="15.5" customHeight="1" x14ac:dyDescent="0.35">
      <c r="B12" s="104" t="s">
        <v>90</v>
      </c>
      <c r="C12" s="105">
        <f>SUM(C6:C11)</f>
        <v>1882.2380601033451</v>
      </c>
      <c r="D12" s="105">
        <f>SUM(D6:D11)</f>
        <v>104222.92671691466</v>
      </c>
      <c r="E12" s="105">
        <f>SUM(E6:E11)</f>
        <v>2526.0318937510469</v>
      </c>
      <c r="F12" s="105">
        <f>SUM(F6:F11)</f>
        <v>0</v>
      </c>
    </row>
    <row r="13" spans="2:6" ht="14.5" customHeight="1" x14ac:dyDescent="0.35">
      <c r="B13" s="281" t="s">
        <v>98</v>
      </c>
      <c r="C13" s="238"/>
      <c r="D13" s="238"/>
      <c r="E13" s="238"/>
      <c r="F13" s="238"/>
    </row>
  </sheetData>
  <sheetProtection algorithmName="SHA-512" hashValue="DW0YmDfST+cvir3HRHc8KgAxhe4SaXwjMlYM1O2kkhpn4WiPmcmUpqii8vHVZbyTDff45RqQZQF80XjyEWjeuA==" saltValue="N6bgcSH43/+xG+7HCWNSNg==" spinCount="100000" sheet="1" objects="1" scenarios="1"/>
  <mergeCells count="3">
    <mergeCell ref="B13:F13"/>
    <mergeCell ref="B3:F3"/>
    <mergeCell ref="B5:F5"/>
  </mergeCells>
  <pageMargins left="0.7" right="0.7" top="0.75" bottom="0.75" header="0.3" footer="0.3"/>
  <pageSetup paperSize="9" scale="33"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52">
    <tabColor rgb="FFA2D668"/>
    <pageSetUpPr fitToPage="1"/>
  </sheetPr>
  <dimension ref="B3:F13"/>
  <sheetViews>
    <sheetView zoomScale="90" zoomScaleNormal="90" workbookViewId="0">
      <selection activeCell="F6" sqref="F6:F11"/>
    </sheetView>
  </sheetViews>
  <sheetFormatPr defaultColWidth="9.453125" defaultRowHeight="14" x14ac:dyDescent="0.3"/>
  <cols>
    <col min="1" max="1" width="15.453125" style="2" customWidth="1"/>
    <col min="2" max="2" width="51.453125" style="2" customWidth="1"/>
    <col min="3" max="6" width="26.90625" style="2" customWidth="1"/>
    <col min="7" max="8" width="6.453125" style="2" bestFit="1" customWidth="1"/>
    <col min="9" max="9" width="13.54296875" style="2" customWidth="1"/>
    <col min="10" max="60" width="9.453125" style="2" customWidth="1"/>
    <col min="61" max="16384" width="9.453125" style="2"/>
  </cols>
  <sheetData>
    <row r="3" spans="2:6" ht="14.5" customHeight="1" x14ac:dyDescent="0.35">
      <c r="B3" s="279" t="str">
        <f>_xlfn.CONCAT('Table of Contents'!B34,": ",'Table of Contents'!C34)</f>
        <v>APPENDIX 27Micro: SUMMARY OF UNDERWRITING PROFITS UNDER MICRO INSURANCE BUSINESS FOR THE PERIOD ENDED 31.03.2025</v>
      </c>
      <c r="C3" s="252"/>
      <c r="D3" s="252"/>
      <c r="E3" s="252"/>
      <c r="F3" s="253"/>
    </row>
    <row r="4" spans="2:6" ht="31" customHeight="1" x14ac:dyDescent="0.35">
      <c r="B4" s="98" t="s">
        <v>36</v>
      </c>
      <c r="C4" s="99" t="s">
        <v>184</v>
      </c>
      <c r="D4" s="99" t="s">
        <v>185</v>
      </c>
      <c r="E4" s="99" t="s">
        <v>186</v>
      </c>
      <c r="F4" s="209" t="s">
        <v>170</v>
      </c>
    </row>
    <row r="5" spans="2:6" ht="14.5" customHeight="1" x14ac:dyDescent="0.35">
      <c r="B5" s="280" t="s">
        <v>53</v>
      </c>
      <c r="C5" s="252"/>
      <c r="D5" s="252"/>
      <c r="E5" s="252"/>
      <c r="F5" s="253"/>
    </row>
    <row r="6" spans="2:6" ht="15.5" customHeight="1" x14ac:dyDescent="0.35">
      <c r="B6" s="100" t="s">
        <v>122</v>
      </c>
      <c r="C6" s="103">
        <v>0</v>
      </c>
      <c r="D6" s="103">
        <v>0</v>
      </c>
      <c r="E6" s="103">
        <v>0</v>
      </c>
      <c r="F6" s="106">
        <f>SUM(C6:E6)</f>
        <v>0</v>
      </c>
    </row>
    <row r="7" spans="2:6" ht="15.5" customHeight="1" x14ac:dyDescent="0.35">
      <c r="B7" s="100" t="s">
        <v>123</v>
      </c>
      <c r="C7" s="103">
        <v>0</v>
      </c>
      <c r="D7" s="103">
        <v>0</v>
      </c>
      <c r="E7" s="103">
        <v>0</v>
      </c>
      <c r="F7" s="106">
        <f t="shared" ref="F7:F11" si="0">SUM(C7:E7)</f>
        <v>0</v>
      </c>
    </row>
    <row r="8" spans="2:6" ht="15.5" customHeight="1" x14ac:dyDescent="0.35">
      <c r="B8" s="100" t="s">
        <v>124</v>
      </c>
      <c r="C8" s="103">
        <v>0</v>
      </c>
      <c r="D8" s="103">
        <v>-16827.409000273099</v>
      </c>
      <c r="E8" s="103">
        <v>0</v>
      </c>
      <c r="F8" s="106">
        <f t="shared" si="0"/>
        <v>-16827.409000273099</v>
      </c>
    </row>
    <row r="9" spans="2:6" ht="15.5" customHeight="1" x14ac:dyDescent="0.35">
      <c r="B9" s="100" t="s">
        <v>125</v>
      </c>
      <c r="C9" s="103">
        <v>0</v>
      </c>
      <c r="D9" s="103">
        <v>0</v>
      </c>
      <c r="E9" s="103">
        <v>0</v>
      </c>
      <c r="F9" s="106">
        <f t="shared" si="0"/>
        <v>0</v>
      </c>
    </row>
    <row r="10" spans="2:6" ht="15.5" customHeight="1" x14ac:dyDescent="0.35">
      <c r="B10" s="100" t="s">
        <v>126</v>
      </c>
      <c r="C10" s="103">
        <v>0</v>
      </c>
      <c r="D10" s="103">
        <v>1120.194409230955</v>
      </c>
      <c r="E10" s="103">
        <v>0</v>
      </c>
      <c r="F10" s="106">
        <f t="shared" si="0"/>
        <v>1120.194409230955</v>
      </c>
    </row>
    <row r="11" spans="2:6" ht="15.5" customHeight="1" x14ac:dyDescent="0.35">
      <c r="B11" s="100" t="s">
        <v>127</v>
      </c>
      <c r="C11" s="103">
        <v>4201.7306598966561</v>
      </c>
      <c r="D11" s="103">
        <v>15159.2547318544</v>
      </c>
      <c r="E11" s="103">
        <v>3951.4714022489452</v>
      </c>
      <c r="F11" s="106">
        <f t="shared" si="0"/>
        <v>23312.456794000002</v>
      </c>
    </row>
    <row r="12" spans="2:6" ht="15.5" customHeight="1" x14ac:dyDescent="0.35">
      <c r="B12" s="104" t="s">
        <v>90</v>
      </c>
      <c r="C12" s="105">
        <f>SUM(C6:C11)</f>
        <v>4201.7306598966561</v>
      </c>
      <c r="D12" s="105">
        <f>SUM(D6:D11)</f>
        <v>-547.95985918774386</v>
      </c>
      <c r="E12" s="105">
        <f>SUM(E6:E11)</f>
        <v>3951.4714022489452</v>
      </c>
      <c r="F12" s="105">
        <f>SUM(F6:F11)</f>
        <v>7605.2422029578574</v>
      </c>
    </row>
    <row r="13" spans="2:6" ht="14.5" customHeight="1" x14ac:dyDescent="0.35">
      <c r="B13" s="281" t="s">
        <v>98</v>
      </c>
      <c r="C13" s="238"/>
      <c r="D13" s="238"/>
      <c r="E13" s="238"/>
      <c r="F13" s="238"/>
    </row>
  </sheetData>
  <sheetProtection algorithmName="SHA-512" hashValue="rQwQRTGaUz/nzKk1H8qn77ZDv/JD8rHxP+pyKpvJUp2SPvzJMQPS/HNa+a+u5fKuAVNMWE+p++B72SeTncR15w==" saltValue="kyjS87CmpKgVnuqHOBAuTQ==" spinCount="100000" sheet="1" objects="1" scenarios="1"/>
  <mergeCells count="3">
    <mergeCell ref="B13:F13"/>
    <mergeCell ref="B3:F3"/>
    <mergeCell ref="B5:F5"/>
  </mergeCells>
  <pageMargins left="0.7" right="0.7" top="0.75" bottom="0.75" header="0.3" footer="0.3"/>
  <pageSetup paperSize="9" scale="33"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53">
    <tabColor rgb="FF92D050"/>
    <pageSetUpPr fitToPage="1"/>
  </sheetPr>
  <dimension ref="B3:Q14"/>
  <sheetViews>
    <sheetView zoomScale="57" zoomScaleNormal="90" workbookViewId="0">
      <selection activeCell="E16" sqref="E16"/>
    </sheetView>
  </sheetViews>
  <sheetFormatPr defaultColWidth="12" defaultRowHeight="21" customHeight="1" x14ac:dyDescent="0.3"/>
  <cols>
    <col min="1" max="1" width="17" style="2" customWidth="1"/>
    <col min="2" max="2" width="47.6328125" style="2" customWidth="1"/>
    <col min="3" max="17" width="22.54296875" style="2" customWidth="1"/>
    <col min="18" max="18" width="16.54296875" style="2" customWidth="1"/>
    <col min="19" max="19" width="16.54296875" style="2" bestFit="1" customWidth="1"/>
    <col min="20" max="70" width="12" style="2" customWidth="1"/>
    <col min="71" max="16384" width="12" style="2"/>
  </cols>
  <sheetData>
    <row r="3" spans="2:17" ht="24.75" customHeight="1" x14ac:dyDescent="0.35">
      <c r="B3" s="274" t="str">
        <f>_xlfn.CONCAT('Table of Contents'!B35,": ",'Table of Contents'!C35)</f>
        <v>APPENDIX 23: SUMMARY OF COMBINED MICRO INSURANCE BUSINESS REVENUE ACCOUNTS FOR THE PERIOD ENDED 31.03.2025</v>
      </c>
      <c r="C3" s="252"/>
      <c r="D3" s="252"/>
      <c r="E3" s="252"/>
      <c r="F3" s="252"/>
      <c r="G3" s="252"/>
      <c r="H3" s="252"/>
      <c r="I3" s="252"/>
      <c r="J3" s="252"/>
      <c r="K3" s="252"/>
      <c r="L3" s="252"/>
      <c r="M3" s="252"/>
      <c r="N3" s="252"/>
      <c r="O3" s="252"/>
      <c r="P3" s="252"/>
      <c r="Q3" s="253"/>
    </row>
    <row r="4" spans="2:17" ht="31" customHeight="1" x14ac:dyDescent="0.35">
      <c r="B4" s="98" t="s">
        <v>36</v>
      </c>
      <c r="C4" s="99" t="s">
        <v>173</v>
      </c>
      <c r="D4" s="99" t="s">
        <v>174</v>
      </c>
      <c r="E4" s="99" t="s">
        <v>175</v>
      </c>
      <c r="F4" s="99" t="s">
        <v>176</v>
      </c>
      <c r="G4" s="99" t="s">
        <v>177</v>
      </c>
      <c r="H4" s="99" t="s">
        <v>178</v>
      </c>
      <c r="I4" s="99" t="s">
        <v>179</v>
      </c>
      <c r="J4" s="99" t="s">
        <v>178</v>
      </c>
      <c r="K4" s="99" t="s">
        <v>180</v>
      </c>
      <c r="L4" s="99" t="s">
        <v>181</v>
      </c>
      <c r="M4" s="99" t="s">
        <v>149</v>
      </c>
      <c r="N4" s="99" t="s">
        <v>150</v>
      </c>
      <c r="O4" s="99" t="s">
        <v>182</v>
      </c>
      <c r="P4" s="99" t="s">
        <v>151</v>
      </c>
      <c r="Q4" s="99" t="s">
        <v>183</v>
      </c>
    </row>
    <row r="5" spans="2:17" ht="28.5" customHeight="1" x14ac:dyDescent="0.35">
      <c r="B5" s="278" t="s">
        <v>53</v>
      </c>
      <c r="C5" s="252"/>
      <c r="D5" s="252"/>
      <c r="E5" s="252"/>
      <c r="F5" s="252"/>
      <c r="G5" s="252"/>
      <c r="H5" s="252"/>
      <c r="I5" s="252"/>
      <c r="J5" s="252"/>
      <c r="K5" s="252"/>
      <c r="L5" s="252"/>
      <c r="M5" s="252"/>
      <c r="N5" s="252"/>
      <c r="O5" s="252"/>
      <c r="P5" s="252"/>
      <c r="Q5" s="253"/>
    </row>
    <row r="6" spans="2:17" ht="28.5" customHeight="1" x14ac:dyDescent="0.35">
      <c r="B6" s="100" t="s">
        <v>122</v>
      </c>
      <c r="C6" s="103">
        <v>0</v>
      </c>
      <c r="D6" s="103">
        <v>0</v>
      </c>
      <c r="E6" s="103">
        <v>0</v>
      </c>
      <c r="F6" s="103">
        <v>0</v>
      </c>
      <c r="G6" s="103">
        <v>0</v>
      </c>
      <c r="H6" s="103">
        <v>0</v>
      </c>
      <c r="I6" s="103">
        <v>0</v>
      </c>
      <c r="J6" s="103">
        <v>0</v>
      </c>
      <c r="K6" s="103">
        <v>0</v>
      </c>
      <c r="L6" s="103">
        <v>0</v>
      </c>
      <c r="M6" s="103">
        <v>0</v>
      </c>
      <c r="N6" s="103">
        <v>0</v>
      </c>
      <c r="O6" s="103">
        <v>0</v>
      </c>
      <c r="P6" s="103">
        <v>0</v>
      </c>
      <c r="Q6" s="106">
        <v>0</v>
      </c>
    </row>
    <row r="7" spans="2:17" ht="28.5" customHeight="1" x14ac:dyDescent="0.35">
      <c r="B7" s="100" t="s">
        <v>123</v>
      </c>
      <c r="C7" s="103">
        <v>0</v>
      </c>
      <c r="D7" s="103">
        <v>0</v>
      </c>
      <c r="E7" s="103">
        <v>0</v>
      </c>
      <c r="F7" s="103">
        <v>0</v>
      </c>
      <c r="G7" s="103">
        <v>0</v>
      </c>
      <c r="H7" s="103">
        <v>0</v>
      </c>
      <c r="I7" s="103">
        <v>0</v>
      </c>
      <c r="J7" s="103">
        <v>0</v>
      </c>
      <c r="K7" s="103">
        <v>0</v>
      </c>
      <c r="L7" s="103">
        <v>0</v>
      </c>
      <c r="M7" s="103">
        <v>0</v>
      </c>
      <c r="N7" s="103">
        <v>0</v>
      </c>
      <c r="O7" s="103">
        <v>0</v>
      </c>
      <c r="P7" s="103">
        <v>0</v>
      </c>
      <c r="Q7" s="106">
        <v>0</v>
      </c>
    </row>
    <row r="8" spans="2:17" ht="28.5" customHeight="1" x14ac:dyDescent="0.35">
      <c r="B8" s="100" t="s">
        <v>124</v>
      </c>
      <c r="C8" s="103">
        <v>407847.13831000001</v>
      </c>
      <c r="D8" s="103">
        <v>0</v>
      </c>
      <c r="E8" s="103">
        <v>46620.136840000006</v>
      </c>
      <c r="F8" s="103">
        <v>361227.0014699999</v>
      </c>
      <c r="G8" s="103">
        <v>0</v>
      </c>
      <c r="H8" s="103">
        <v>0</v>
      </c>
      <c r="I8" s="103">
        <v>218199.59402027301</v>
      </c>
      <c r="J8" s="103">
        <v>0</v>
      </c>
      <c r="K8" s="103">
        <v>143027.40744972689</v>
      </c>
      <c r="L8" s="103">
        <v>78096.29853</v>
      </c>
      <c r="M8" s="103">
        <v>24486.427629999998</v>
      </c>
      <c r="N8" s="103">
        <v>57272.090290000007</v>
      </c>
      <c r="O8" s="103">
        <v>-16827.409000273099</v>
      </c>
      <c r="P8" s="103">
        <v>11598.92857</v>
      </c>
      <c r="Q8" s="106">
        <v>-5228.4804302731009</v>
      </c>
    </row>
    <row r="9" spans="2:17" ht="28.5" customHeight="1" x14ac:dyDescent="0.35">
      <c r="B9" s="100" t="s">
        <v>125</v>
      </c>
      <c r="C9" s="103">
        <v>0</v>
      </c>
      <c r="D9" s="103">
        <v>0</v>
      </c>
      <c r="E9" s="103">
        <v>0</v>
      </c>
      <c r="F9" s="103">
        <v>0</v>
      </c>
      <c r="G9" s="103">
        <v>0</v>
      </c>
      <c r="H9" s="103">
        <v>0</v>
      </c>
      <c r="I9" s="103">
        <v>0</v>
      </c>
      <c r="J9" s="103">
        <v>0</v>
      </c>
      <c r="K9" s="103">
        <v>0</v>
      </c>
      <c r="L9" s="103">
        <v>0</v>
      </c>
      <c r="M9" s="103">
        <v>0</v>
      </c>
      <c r="N9" s="103">
        <v>0</v>
      </c>
      <c r="O9" s="103">
        <v>0</v>
      </c>
      <c r="P9" s="103">
        <v>0</v>
      </c>
      <c r="Q9" s="106">
        <v>0</v>
      </c>
    </row>
    <row r="10" spans="2:17" ht="28.5" customHeight="1" x14ac:dyDescent="0.35">
      <c r="B10" s="100" t="s">
        <v>126</v>
      </c>
      <c r="C10" s="103">
        <v>6644.915</v>
      </c>
      <c r="D10" s="103">
        <v>0</v>
      </c>
      <c r="E10" s="103">
        <v>0</v>
      </c>
      <c r="F10" s="103">
        <v>6644.915</v>
      </c>
      <c r="G10" s="103">
        <v>38931.631000000001</v>
      </c>
      <c r="H10" s="103">
        <v>0</v>
      </c>
      <c r="I10" s="103">
        <v>21848.003000000001</v>
      </c>
      <c r="J10" s="103">
        <v>0</v>
      </c>
      <c r="K10" s="103">
        <v>23728.543000000001</v>
      </c>
      <c r="L10" s="103">
        <v>6230.6239999999998</v>
      </c>
      <c r="M10" s="103">
        <v>-610.5</v>
      </c>
      <c r="N10" s="103">
        <v>16988.224590769041</v>
      </c>
      <c r="O10" s="103">
        <v>1120.194409230955</v>
      </c>
      <c r="P10" s="103">
        <v>0</v>
      </c>
      <c r="Q10" s="106">
        <v>1120.194409230955</v>
      </c>
    </row>
    <row r="11" spans="2:17" ht="28.5" customHeight="1" x14ac:dyDescent="0.35">
      <c r="B11" s="100" t="s">
        <v>127</v>
      </c>
      <c r="C11" s="103">
        <v>106752.79948</v>
      </c>
      <c r="D11" s="103">
        <v>0</v>
      </c>
      <c r="E11" s="103">
        <v>21350.559895999999</v>
      </c>
      <c r="F11" s="103">
        <v>85402.239583999995</v>
      </c>
      <c r="G11" s="103">
        <v>14953.755999999999</v>
      </c>
      <c r="H11" s="103">
        <v>0</v>
      </c>
      <c r="I11" s="103">
        <v>21533.146000000001</v>
      </c>
      <c r="J11" s="103">
        <v>0</v>
      </c>
      <c r="K11" s="103">
        <v>78822.849583999996</v>
      </c>
      <c r="L11" s="103">
        <v>32610.098999999998</v>
      </c>
      <c r="M11" s="103">
        <v>-11470.588</v>
      </c>
      <c r="N11" s="103">
        <v>34370.881789999999</v>
      </c>
      <c r="O11" s="103">
        <v>23312.456794000002</v>
      </c>
      <c r="P11" s="103">
        <v>1052.0530000000001</v>
      </c>
      <c r="Q11" s="106">
        <v>24364.509794000001</v>
      </c>
    </row>
    <row r="12" spans="2:17" ht="28.5" customHeight="1" x14ac:dyDescent="0.35">
      <c r="B12" s="104" t="s">
        <v>90</v>
      </c>
      <c r="C12" s="105">
        <f t="shared" ref="C12:Q12" si="0">SUM(C6:C11)</f>
        <v>521244.85278999998</v>
      </c>
      <c r="D12" s="105">
        <f t="shared" si="0"/>
        <v>0</v>
      </c>
      <c r="E12" s="105">
        <f t="shared" si="0"/>
        <v>67970.696736000013</v>
      </c>
      <c r="F12" s="105">
        <f t="shared" si="0"/>
        <v>453274.1560539999</v>
      </c>
      <c r="G12" s="105">
        <f t="shared" si="0"/>
        <v>53885.387000000002</v>
      </c>
      <c r="H12" s="105">
        <f t="shared" si="0"/>
        <v>0</v>
      </c>
      <c r="I12" s="105">
        <f t="shared" si="0"/>
        <v>261580.74302027302</v>
      </c>
      <c r="J12" s="105">
        <f t="shared" si="0"/>
        <v>0</v>
      </c>
      <c r="K12" s="105">
        <f t="shared" si="0"/>
        <v>245578.8000337269</v>
      </c>
      <c r="L12" s="105">
        <f t="shared" si="0"/>
        <v>116937.02153</v>
      </c>
      <c r="M12" s="105">
        <f t="shared" si="0"/>
        <v>12405.339629999999</v>
      </c>
      <c r="N12" s="105">
        <f t="shared" si="0"/>
        <v>108631.19667076904</v>
      </c>
      <c r="O12" s="105">
        <f t="shared" si="0"/>
        <v>7605.2422029578574</v>
      </c>
      <c r="P12" s="105">
        <f t="shared" si="0"/>
        <v>12650.98157</v>
      </c>
      <c r="Q12" s="105">
        <f t="shared" si="0"/>
        <v>20256.223772957856</v>
      </c>
    </row>
    <row r="13" spans="2:17" ht="21" customHeight="1" x14ac:dyDescent="0.35">
      <c r="B13" s="282" t="s">
        <v>98</v>
      </c>
      <c r="C13" s="255"/>
      <c r="D13" s="255"/>
      <c r="E13" s="255"/>
      <c r="F13" s="255"/>
      <c r="G13" s="255"/>
      <c r="H13" s="255"/>
      <c r="I13" s="255"/>
      <c r="J13" s="255"/>
      <c r="K13" s="255"/>
      <c r="L13" s="255"/>
      <c r="M13" s="255"/>
      <c r="N13" s="255"/>
      <c r="O13" s="255"/>
      <c r="P13" s="255"/>
      <c r="Q13" s="255"/>
    </row>
    <row r="14" spans="2:17" ht="21" customHeight="1" x14ac:dyDescent="0.3">
      <c r="B14" s="61"/>
      <c r="C14" s="63"/>
      <c r="D14" s="63"/>
      <c r="E14" s="63"/>
      <c r="F14" s="63"/>
      <c r="G14" s="63"/>
      <c r="H14" s="63"/>
      <c r="I14" s="63"/>
      <c r="J14" s="63"/>
      <c r="K14" s="63"/>
      <c r="L14" s="63"/>
      <c r="M14" s="63"/>
      <c r="N14" s="63"/>
      <c r="O14" s="63"/>
      <c r="P14" s="63"/>
      <c r="Q14" s="63"/>
    </row>
  </sheetData>
  <sheetProtection algorithmName="SHA-512" hashValue="Kh/My7lgEUDO7InjueTJ2txVxZ9f40CNtw0jJSQrVTIEcKS0XyGI1e6hZsfAnnqtcotyEiQS9e1aavoxGbFRJw==" saltValue="MRCXE1/wEGGpEnRhQ3h/Zg==" spinCount="100000" sheet="1" objects="1" scenarios="1"/>
  <mergeCells count="3">
    <mergeCell ref="B13:Q13"/>
    <mergeCell ref="B3:Q3"/>
    <mergeCell ref="B5:Q5"/>
  </mergeCells>
  <pageMargins left="0.7" right="0.7" top="0.75" bottom="0.75" header="0.3" footer="0.3"/>
  <pageSetup paperSize="9" scale="35"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21">
    <tabColor rgb="FF92D050"/>
    <pageSetUpPr fitToPage="1"/>
  </sheetPr>
  <dimension ref="B4:P46"/>
  <sheetViews>
    <sheetView zoomScale="70" zoomScaleNormal="70" workbookViewId="0">
      <pane xSplit="2" ySplit="5" topLeftCell="C34" activePane="bottomRight" state="frozen"/>
      <selection pane="topRight" activeCell="C1" sqref="C1"/>
      <selection pane="bottomLeft" activeCell="A6" sqref="A6"/>
      <selection pane="bottomRight" activeCell="B4" sqref="B4:L44"/>
    </sheetView>
  </sheetViews>
  <sheetFormatPr defaultColWidth="21.453125" defaultRowHeight="14.5" x14ac:dyDescent="0.35"/>
  <cols>
    <col min="1" max="1" width="16.453125" style="2" customWidth="1"/>
    <col min="2" max="2" width="34.81640625" style="2" customWidth="1"/>
    <col min="3" max="3" width="17.36328125" style="2" bestFit="1" customWidth="1"/>
    <col min="4" max="4" width="17.6328125" style="2" bestFit="1" customWidth="1"/>
    <col min="5" max="5" width="19" style="2" bestFit="1" customWidth="1"/>
    <col min="6" max="6" width="17" style="2" bestFit="1" customWidth="1"/>
    <col min="7" max="7" width="16.36328125" style="2" bestFit="1" customWidth="1"/>
    <col min="8" max="8" width="17.81640625" style="2" bestFit="1" customWidth="1"/>
    <col min="9" max="9" width="15.36328125" style="2" customWidth="1"/>
    <col min="10" max="10" width="16.08984375" style="2" bestFit="1" customWidth="1"/>
    <col min="11" max="11" width="16.08984375" style="2" customWidth="1"/>
    <col min="12" max="12" width="16.453125" style="2" bestFit="1" customWidth="1"/>
    <col min="16" max="16" width="18.6328125" style="2" customWidth="1"/>
    <col min="17" max="64" width="21.453125" style="2" customWidth="1"/>
    <col min="65" max="16384" width="21.453125" style="2"/>
  </cols>
  <sheetData>
    <row r="4" spans="2:16" ht="15.5" customHeight="1" x14ac:dyDescent="0.35">
      <c r="B4" s="298" t="str">
        <f>_xlfn.CONCAT('Table of Contents'!B36,": ",'Table of Contents'!C36)</f>
        <v>APPENDIX 24 i: SUMMARY OF LONG TERM INSURANCE BUSINESS BALANCE SHEETS AS AT 31.03.2025</v>
      </c>
      <c r="C4" s="252"/>
      <c r="D4" s="252"/>
      <c r="E4" s="252"/>
      <c r="F4" s="252"/>
      <c r="G4" s="252"/>
      <c r="H4" s="252"/>
      <c r="I4" s="252"/>
      <c r="J4" s="252"/>
      <c r="K4" s="252"/>
      <c r="L4" s="252"/>
    </row>
    <row r="5" spans="2:16" ht="39" customHeight="1" x14ac:dyDescent="0.35">
      <c r="B5" s="186" t="s">
        <v>36</v>
      </c>
      <c r="C5" s="182" t="s">
        <v>99</v>
      </c>
      <c r="D5" s="182" t="s">
        <v>100</v>
      </c>
      <c r="E5" s="182" t="s">
        <v>101</v>
      </c>
      <c r="F5" s="182" t="s">
        <v>102</v>
      </c>
      <c r="G5" s="182" t="s">
        <v>103</v>
      </c>
      <c r="H5" s="182" t="s">
        <v>104</v>
      </c>
      <c r="I5" s="182" t="s">
        <v>92</v>
      </c>
      <c r="J5" s="182" t="s">
        <v>60</v>
      </c>
      <c r="K5" s="182" t="s">
        <v>93</v>
      </c>
      <c r="L5" s="182" t="s">
        <v>105</v>
      </c>
      <c r="P5" s="182"/>
    </row>
    <row r="6" spans="2:16" ht="24" customHeight="1" x14ac:dyDescent="0.35">
      <c r="B6" s="187" t="s">
        <v>188</v>
      </c>
      <c r="C6" s="183">
        <v>699000</v>
      </c>
      <c r="D6" s="183">
        <v>1100000</v>
      </c>
      <c r="E6" s="183">
        <v>1200000</v>
      </c>
      <c r="F6" s="183">
        <v>416725.76799999998</v>
      </c>
      <c r="G6" s="183">
        <v>400000</v>
      </c>
      <c r="H6" s="183">
        <v>800000</v>
      </c>
      <c r="I6" s="183">
        <v>500000</v>
      </c>
      <c r="J6" s="183">
        <v>200000</v>
      </c>
      <c r="K6" s="183">
        <v>500000</v>
      </c>
      <c r="L6" s="183">
        <v>420000</v>
      </c>
    </row>
    <row r="7" spans="2:16" ht="24" customHeight="1" x14ac:dyDescent="0.35">
      <c r="B7" s="187" t="s">
        <v>189</v>
      </c>
      <c r="C7" s="183">
        <v>0</v>
      </c>
      <c r="D7" s="183">
        <v>0</v>
      </c>
      <c r="E7" s="183">
        <v>0</v>
      </c>
      <c r="F7" s="183">
        <v>491067.64799999999</v>
      </c>
      <c r="G7" s="183">
        <v>0</v>
      </c>
      <c r="H7" s="183">
        <v>0</v>
      </c>
      <c r="I7" s="183">
        <v>0</v>
      </c>
      <c r="J7" s="183">
        <v>0</v>
      </c>
      <c r="K7" s="183">
        <v>0</v>
      </c>
      <c r="L7" s="183">
        <v>180000</v>
      </c>
    </row>
    <row r="8" spans="2:16" ht="24" customHeight="1" x14ac:dyDescent="0.35">
      <c r="B8" s="187" t="s">
        <v>190</v>
      </c>
      <c r="C8" s="183">
        <v>0</v>
      </c>
      <c r="D8" s="183">
        <v>0</v>
      </c>
      <c r="E8" s="183">
        <v>0</v>
      </c>
      <c r="F8" s="183">
        <v>2500</v>
      </c>
      <c r="G8" s="183">
        <v>2072.9090000000001</v>
      </c>
      <c r="H8" s="183">
        <v>0</v>
      </c>
      <c r="I8" s="183">
        <v>0</v>
      </c>
      <c r="J8" s="183">
        <v>-8100</v>
      </c>
      <c r="K8" s="183">
        <v>0</v>
      </c>
      <c r="L8" s="183">
        <v>0</v>
      </c>
    </row>
    <row r="9" spans="2:16" ht="24" customHeight="1" x14ac:dyDescent="0.35">
      <c r="B9" s="187" t="s">
        <v>191</v>
      </c>
      <c r="C9" s="183">
        <v>-40382.649029927787</v>
      </c>
      <c r="D9" s="183">
        <v>-83052.755999999994</v>
      </c>
      <c r="E9" s="183">
        <v>15326359.579</v>
      </c>
      <c r="F9" s="183">
        <v>0</v>
      </c>
      <c r="G9" s="183">
        <v>0</v>
      </c>
      <c r="H9" s="183">
        <v>2397028.954394571</v>
      </c>
      <c r="I9" s="183">
        <v>21056.733</v>
      </c>
      <c r="J9" s="183">
        <v>-205203</v>
      </c>
      <c r="K9" s="183">
        <v>0</v>
      </c>
      <c r="L9" s="183">
        <v>0</v>
      </c>
    </row>
    <row r="10" spans="2:16" ht="24" customHeight="1" x14ac:dyDescent="0.35">
      <c r="B10" s="187" t="s">
        <v>192</v>
      </c>
      <c r="C10" s="183">
        <v>0</v>
      </c>
      <c r="D10" s="183">
        <v>0</v>
      </c>
      <c r="E10" s="183">
        <v>0</v>
      </c>
      <c r="F10" s="183">
        <v>401638.86900000012</v>
      </c>
      <c r="G10" s="183">
        <v>0</v>
      </c>
      <c r="H10" s="183">
        <v>423190.33383999992</v>
      </c>
      <c r="I10" s="183">
        <v>-4.1109999999999998</v>
      </c>
      <c r="J10" s="183">
        <v>0</v>
      </c>
      <c r="K10" s="183">
        <v>0</v>
      </c>
      <c r="L10" s="183">
        <v>0</v>
      </c>
    </row>
    <row r="11" spans="2:16" ht="24" customHeight="1" x14ac:dyDescent="0.35">
      <c r="B11" s="187" t="s">
        <v>193</v>
      </c>
      <c r="C11" s="183">
        <v>341781.43530735507</v>
      </c>
      <c r="D11" s="183">
        <v>318661.15318024717</v>
      </c>
      <c r="E11" s="183">
        <v>75000</v>
      </c>
      <c r="F11" s="183">
        <v>-1244334.958213446</v>
      </c>
      <c r="G11" s="183">
        <v>232781.8952414261</v>
      </c>
      <c r="H11" s="183">
        <v>71861.000047946698</v>
      </c>
      <c r="I11" s="183">
        <v>66366.462141366821</v>
      </c>
      <c r="J11" s="183">
        <v>-195981.34487982659</v>
      </c>
      <c r="K11" s="183">
        <v>1135494.3021182241</v>
      </c>
      <c r="L11" s="183">
        <v>5152992.1938841501</v>
      </c>
    </row>
    <row r="12" spans="2:16" ht="24" customHeight="1" x14ac:dyDescent="0.35">
      <c r="B12" s="187" t="s">
        <v>194</v>
      </c>
      <c r="C12" s="183">
        <v>0</v>
      </c>
      <c r="D12" s="183">
        <v>0</v>
      </c>
      <c r="E12" s="183">
        <v>0</v>
      </c>
      <c r="F12" s="183">
        <v>518154.63468000002</v>
      </c>
      <c r="G12" s="183">
        <v>1120.164</v>
      </c>
      <c r="H12" s="183">
        <v>0</v>
      </c>
      <c r="I12" s="183">
        <v>0</v>
      </c>
      <c r="J12" s="183">
        <v>0</v>
      </c>
      <c r="K12" s="183">
        <v>0</v>
      </c>
      <c r="L12" s="183">
        <v>0</v>
      </c>
    </row>
    <row r="13" spans="2:16" ht="24" customHeight="1" thickBot="1" x14ac:dyDescent="0.4">
      <c r="B13" s="188" t="s">
        <v>195</v>
      </c>
      <c r="C13" s="184">
        <v>1000398.786277427</v>
      </c>
      <c r="D13" s="184">
        <v>1335608.3971802469</v>
      </c>
      <c r="E13" s="184">
        <v>16601359.579</v>
      </c>
      <c r="F13" s="184">
        <v>585751.96146655374</v>
      </c>
      <c r="G13" s="184">
        <v>635974.96824142616</v>
      </c>
      <c r="H13" s="184">
        <v>3692080.2882825178</v>
      </c>
      <c r="I13" s="184">
        <v>587419.08414136688</v>
      </c>
      <c r="J13" s="184">
        <v>-209284.34487982659</v>
      </c>
      <c r="K13" s="184">
        <v>1635494.3021182241</v>
      </c>
      <c r="L13" s="184">
        <v>5752992.1938841501</v>
      </c>
    </row>
    <row r="14" spans="2:16" ht="24" customHeight="1" thickTop="1" x14ac:dyDescent="0.35">
      <c r="B14" s="187" t="s">
        <v>196</v>
      </c>
      <c r="C14" s="183">
        <v>0</v>
      </c>
      <c r="D14" s="183">
        <v>281472.04898833518</v>
      </c>
      <c r="E14" s="183">
        <v>0</v>
      </c>
      <c r="F14" s="183">
        <v>0</v>
      </c>
      <c r="G14" s="183">
        <v>13760.82553887794</v>
      </c>
      <c r="H14" s="183">
        <v>105924.262802481</v>
      </c>
      <c r="I14" s="183">
        <v>0</v>
      </c>
      <c r="J14" s="183">
        <v>0</v>
      </c>
      <c r="K14" s="183">
        <v>0</v>
      </c>
      <c r="L14" s="183">
        <v>0</v>
      </c>
    </row>
    <row r="15" spans="2:16" ht="24" customHeight="1" x14ac:dyDescent="0.35">
      <c r="B15" s="189" t="s">
        <v>197</v>
      </c>
      <c r="C15" s="183">
        <v>14550159.915878849</v>
      </c>
      <c r="D15" s="183">
        <v>16298392.58808374</v>
      </c>
      <c r="E15" s="183">
        <v>153561631.27662</v>
      </c>
      <c r="F15" s="183">
        <v>895581.71300454787</v>
      </c>
      <c r="G15" s="183">
        <v>1500912.5256580519</v>
      </c>
      <c r="H15" s="183">
        <v>30755557.971572541</v>
      </c>
      <c r="I15" s="183">
        <v>62719.014000000003</v>
      </c>
      <c r="J15" s="183">
        <v>827800.83260252164</v>
      </c>
      <c r="K15" s="183">
        <v>888490.84202583204</v>
      </c>
      <c r="L15" s="183">
        <v>21637825.189504839</v>
      </c>
    </row>
    <row r="16" spans="2:16" ht="24" customHeight="1" x14ac:dyDescent="0.35">
      <c r="B16" s="189" t="s">
        <v>198</v>
      </c>
      <c r="C16" s="183">
        <v>0</v>
      </c>
      <c r="D16" s="183">
        <v>0</v>
      </c>
      <c r="E16" s="183">
        <v>4362.356903464176</v>
      </c>
      <c r="F16" s="183">
        <v>0</v>
      </c>
      <c r="G16" s="183">
        <v>69773.005000000005</v>
      </c>
      <c r="H16" s="183">
        <v>0</v>
      </c>
      <c r="I16" s="183">
        <v>7462.0789999999997</v>
      </c>
      <c r="J16" s="183">
        <v>0</v>
      </c>
      <c r="K16" s="183">
        <v>118876.40188999999</v>
      </c>
      <c r="L16" s="183">
        <v>0</v>
      </c>
    </row>
    <row r="17" spans="2:12" ht="24" customHeight="1" x14ac:dyDescent="0.35">
      <c r="B17" s="189" t="s">
        <v>199</v>
      </c>
      <c r="C17" s="183">
        <v>223609.26800000001</v>
      </c>
      <c r="D17" s="183">
        <v>149483.861</v>
      </c>
      <c r="E17" s="183">
        <v>6568440.0522857141</v>
      </c>
      <c r="F17" s="183">
        <v>0</v>
      </c>
      <c r="G17" s="183">
        <v>0</v>
      </c>
      <c r="H17" s="183">
        <v>1053425.673540151</v>
      </c>
      <c r="I17" s="183">
        <v>70315.084000000003</v>
      </c>
      <c r="J17" s="183">
        <v>22466.928</v>
      </c>
      <c r="K17" s="183">
        <v>486640.32900000003</v>
      </c>
      <c r="L17" s="183">
        <v>795587.95529999991</v>
      </c>
    </row>
    <row r="18" spans="2:12" ht="24" customHeight="1" x14ac:dyDescent="0.35">
      <c r="B18" s="189" t="s">
        <v>200</v>
      </c>
      <c r="C18" s="183">
        <v>459917.21525605791</v>
      </c>
      <c r="D18" s="183">
        <v>83593.728000000003</v>
      </c>
      <c r="E18" s="183">
        <v>982466.99808568112</v>
      </c>
      <c r="F18" s="183">
        <v>169056.35201000009</v>
      </c>
      <c r="G18" s="183">
        <v>5207.2650000000003</v>
      </c>
      <c r="H18" s="183">
        <v>699933.31674764957</v>
      </c>
      <c r="I18" s="183">
        <v>16739.949000000001</v>
      </c>
      <c r="J18" s="183">
        <v>133973.31175600001</v>
      </c>
      <c r="K18" s="183">
        <v>0</v>
      </c>
      <c r="L18" s="183">
        <v>110605.57184</v>
      </c>
    </row>
    <row r="19" spans="2:12" ht="24" customHeight="1" x14ac:dyDescent="0.35">
      <c r="B19" s="189" t="s">
        <v>201</v>
      </c>
      <c r="C19" s="183">
        <v>473217.15415999969</v>
      </c>
      <c r="D19" s="183">
        <v>189748.5453499979</v>
      </c>
      <c r="E19" s="183">
        <v>612040.86974000256</v>
      </c>
      <c r="F19" s="183">
        <v>264065.83428000013</v>
      </c>
      <c r="G19" s="183">
        <v>59509.865000000027</v>
      </c>
      <c r="H19" s="183">
        <v>71005.683537900477</v>
      </c>
      <c r="I19" s="183">
        <v>52576.548999999999</v>
      </c>
      <c r="J19" s="183">
        <v>0.247</v>
      </c>
      <c r="K19" s="183">
        <v>10129.501298098559</v>
      </c>
      <c r="L19" s="183">
        <v>834873.03908999951</v>
      </c>
    </row>
    <row r="20" spans="2:12" ht="24" customHeight="1" thickBot="1" x14ac:dyDescent="0.4">
      <c r="B20" s="190" t="s">
        <v>202</v>
      </c>
      <c r="C20" s="185">
        <v>16707302.339572329</v>
      </c>
      <c r="D20" s="185">
        <v>18338299.168602321</v>
      </c>
      <c r="E20" s="185">
        <v>178330301.13263479</v>
      </c>
      <c r="F20" s="185">
        <v>1914455.8607611021</v>
      </c>
      <c r="G20" s="185">
        <v>2285138.4544383562</v>
      </c>
      <c r="H20" s="185">
        <v>36377927.19648324</v>
      </c>
      <c r="I20" s="185">
        <v>797231.75914136681</v>
      </c>
      <c r="J20" s="185">
        <v>774956.97447869519</v>
      </c>
      <c r="K20" s="185">
        <v>3139631.376332155</v>
      </c>
      <c r="L20" s="185">
        <v>29131883.949618999</v>
      </c>
    </row>
    <row r="21" spans="2:12" ht="24" customHeight="1" thickTop="1" x14ac:dyDescent="0.35">
      <c r="B21" s="189" t="s">
        <v>203</v>
      </c>
      <c r="C21" s="183">
        <v>47859.380920000003</v>
      </c>
      <c r="D21" s="183">
        <v>12072.639139999999</v>
      </c>
      <c r="E21" s="183">
        <v>278080.17388999998</v>
      </c>
      <c r="F21" s="183">
        <v>1133.3436599999959</v>
      </c>
      <c r="G21" s="183">
        <v>9741.6820000000007</v>
      </c>
      <c r="H21" s="183">
        <v>62182.553450000021</v>
      </c>
      <c r="I21" s="183">
        <v>0</v>
      </c>
      <c r="J21" s="183">
        <v>633.33062000000007</v>
      </c>
      <c r="K21" s="183">
        <v>0.1</v>
      </c>
      <c r="L21" s="183">
        <v>230343.27585000001</v>
      </c>
    </row>
    <row r="22" spans="2:12" ht="24" customHeight="1" x14ac:dyDescent="0.35">
      <c r="B22" s="189" t="s">
        <v>204</v>
      </c>
      <c r="C22" s="183">
        <v>0</v>
      </c>
      <c r="D22" s="183">
        <v>155000</v>
      </c>
      <c r="E22" s="183">
        <v>323279.34299999999</v>
      </c>
      <c r="F22" s="183">
        <v>92500</v>
      </c>
      <c r="G22" s="183">
        <v>0</v>
      </c>
      <c r="H22" s="183">
        <v>0</v>
      </c>
      <c r="I22" s="183">
        <v>0</v>
      </c>
      <c r="J22" s="183">
        <v>0</v>
      </c>
      <c r="K22" s="183">
        <v>0</v>
      </c>
      <c r="L22" s="183">
        <v>0</v>
      </c>
    </row>
    <row r="23" spans="2:12" ht="24" customHeight="1" x14ac:dyDescent="0.35">
      <c r="B23" s="189" t="s">
        <v>205</v>
      </c>
      <c r="C23" s="183">
        <v>0</v>
      </c>
      <c r="D23" s="183">
        <v>0</v>
      </c>
      <c r="E23" s="183">
        <v>16408883.30110939</v>
      </c>
      <c r="F23" s="183">
        <v>944050</v>
      </c>
      <c r="G23" s="183">
        <v>540000</v>
      </c>
      <c r="H23" s="183">
        <v>2182352.9562499998</v>
      </c>
      <c r="I23" s="183">
        <v>0</v>
      </c>
      <c r="J23" s="183">
        <v>713255.39899999998</v>
      </c>
      <c r="K23" s="183">
        <v>0</v>
      </c>
      <c r="L23" s="183">
        <v>0</v>
      </c>
    </row>
    <row r="24" spans="2:12" ht="24" customHeight="1" x14ac:dyDescent="0.35">
      <c r="B24" s="189" t="s">
        <v>206</v>
      </c>
      <c r="C24" s="183">
        <v>26421.477999999999</v>
      </c>
      <c r="D24" s="183">
        <v>11524.144773278749</v>
      </c>
      <c r="E24" s="183">
        <v>101602.98479000029</v>
      </c>
      <c r="F24" s="183">
        <v>1394.277075764734</v>
      </c>
      <c r="G24" s="183">
        <v>18900.955999999998</v>
      </c>
      <c r="H24" s="183">
        <v>56856.621310000002</v>
      </c>
      <c r="I24" s="183">
        <v>0</v>
      </c>
      <c r="J24" s="183">
        <v>619.08081000000016</v>
      </c>
      <c r="K24" s="183">
        <v>0</v>
      </c>
      <c r="L24" s="183">
        <v>5393.8947099999996</v>
      </c>
    </row>
    <row r="25" spans="2:12" ht="24" customHeight="1" x14ac:dyDescent="0.35">
      <c r="B25" s="189" t="s">
        <v>207</v>
      </c>
      <c r="C25" s="183">
        <v>12916353.983332969</v>
      </c>
      <c r="D25" s="183">
        <v>15745780.079337619</v>
      </c>
      <c r="E25" s="183">
        <v>132838246.10523</v>
      </c>
      <c r="F25" s="183">
        <v>498787.7352774684</v>
      </c>
      <c r="G25" s="183">
        <v>299734.97200000001</v>
      </c>
      <c r="H25" s="183">
        <v>21963494.474560011</v>
      </c>
      <c r="I25" s="183">
        <v>649610.11548000004</v>
      </c>
      <c r="J25" s="183">
        <v>27568.399000000001</v>
      </c>
      <c r="K25" s="183">
        <v>1009104.692799977</v>
      </c>
      <c r="L25" s="183">
        <v>21833657.4049308</v>
      </c>
    </row>
    <row r="26" spans="2:12" ht="24" customHeight="1" x14ac:dyDescent="0.35">
      <c r="B26" s="189" t="s">
        <v>208</v>
      </c>
      <c r="C26" s="183">
        <v>0</v>
      </c>
      <c r="D26" s="183">
        <v>85294.176999999996</v>
      </c>
      <c r="E26" s="183">
        <v>12657411.450610001</v>
      </c>
      <c r="F26" s="183">
        <v>0</v>
      </c>
      <c r="G26" s="183">
        <v>0</v>
      </c>
      <c r="H26" s="183">
        <v>346419.90029000002</v>
      </c>
      <c r="I26" s="183">
        <v>0</v>
      </c>
      <c r="J26" s="183">
        <v>0</v>
      </c>
      <c r="K26" s="183">
        <v>0</v>
      </c>
      <c r="L26" s="183">
        <v>0</v>
      </c>
    </row>
    <row r="27" spans="2:12" ht="24" customHeight="1" x14ac:dyDescent="0.35">
      <c r="B27" s="189" t="s">
        <v>209</v>
      </c>
      <c r="C27" s="183">
        <v>0</v>
      </c>
      <c r="D27" s="183">
        <v>0</v>
      </c>
      <c r="E27" s="183">
        <v>7760921.199</v>
      </c>
      <c r="F27" s="183">
        <v>0</v>
      </c>
      <c r="G27" s="183">
        <v>0</v>
      </c>
      <c r="H27" s="183">
        <v>0</v>
      </c>
      <c r="I27" s="183">
        <v>0</v>
      </c>
      <c r="J27" s="183">
        <v>0</v>
      </c>
      <c r="K27" s="183">
        <v>0</v>
      </c>
      <c r="L27" s="183">
        <v>0</v>
      </c>
    </row>
    <row r="28" spans="2:12" ht="24" customHeight="1" x14ac:dyDescent="0.35">
      <c r="B28" s="189" t="s">
        <v>210</v>
      </c>
      <c r="C28" s="183">
        <v>0</v>
      </c>
      <c r="D28" s="183">
        <v>112694.79</v>
      </c>
      <c r="E28" s="183">
        <v>4236.5186599999997</v>
      </c>
      <c r="F28" s="183">
        <v>0</v>
      </c>
      <c r="G28" s="183">
        <v>0</v>
      </c>
      <c r="H28" s="183">
        <v>64615.400909999997</v>
      </c>
      <c r="I28" s="183">
        <v>0</v>
      </c>
      <c r="J28" s="183">
        <v>0</v>
      </c>
      <c r="K28" s="183">
        <v>0</v>
      </c>
      <c r="L28" s="183">
        <v>51408.657066641506</v>
      </c>
    </row>
    <row r="29" spans="2:12" ht="24" customHeight="1" x14ac:dyDescent="0.35">
      <c r="B29" s="189" t="s">
        <v>211</v>
      </c>
      <c r="C29" s="183">
        <v>0</v>
      </c>
      <c r="D29" s="183">
        <v>71411.506640000007</v>
      </c>
      <c r="E29" s="183">
        <v>0</v>
      </c>
      <c r="F29" s="183">
        <v>0</v>
      </c>
      <c r="G29" s="183">
        <v>0</v>
      </c>
      <c r="H29" s="183">
        <v>0</v>
      </c>
      <c r="I29" s="183">
        <v>0</v>
      </c>
      <c r="J29" s="183">
        <v>0</v>
      </c>
      <c r="K29" s="183">
        <v>0</v>
      </c>
      <c r="L29" s="183">
        <v>0</v>
      </c>
    </row>
    <row r="30" spans="2:12" ht="24" customHeight="1" x14ac:dyDescent="0.35">
      <c r="B30" s="189" t="s">
        <v>212</v>
      </c>
      <c r="C30" s="183">
        <v>0</v>
      </c>
      <c r="D30" s="183">
        <v>0</v>
      </c>
      <c r="E30" s="183">
        <v>0</v>
      </c>
      <c r="F30" s="183">
        <v>0</v>
      </c>
      <c r="G30" s="183">
        <v>0</v>
      </c>
      <c r="H30" s="183">
        <v>0</v>
      </c>
      <c r="I30" s="183">
        <v>0</v>
      </c>
      <c r="J30" s="183">
        <v>0</v>
      </c>
      <c r="K30" s="183">
        <v>0</v>
      </c>
      <c r="L30" s="183">
        <v>0</v>
      </c>
    </row>
    <row r="31" spans="2:12" ht="24" customHeight="1" x14ac:dyDescent="0.35">
      <c r="B31" s="189" t="s">
        <v>213</v>
      </c>
      <c r="C31" s="183">
        <v>0</v>
      </c>
      <c r="D31" s="183">
        <v>289934.93</v>
      </c>
      <c r="E31" s="183">
        <v>2132798.47744</v>
      </c>
      <c r="F31" s="183">
        <v>0</v>
      </c>
      <c r="G31" s="183">
        <v>1.56</v>
      </c>
      <c r="H31" s="183">
        <v>636892.82826999994</v>
      </c>
      <c r="I31" s="183">
        <v>0</v>
      </c>
      <c r="J31" s="183">
        <v>0</v>
      </c>
      <c r="K31" s="183">
        <v>9272.8790000000008</v>
      </c>
      <c r="L31" s="183">
        <v>2044697.2743500001</v>
      </c>
    </row>
    <row r="32" spans="2:12" ht="24" customHeight="1" x14ac:dyDescent="0.35">
      <c r="B32" s="189" t="s">
        <v>214</v>
      </c>
      <c r="C32" s="183">
        <v>0</v>
      </c>
      <c r="D32" s="183">
        <v>10161.451206420041</v>
      </c>
      <c r="E32" s="183">
        <v>950707.50160864263</v>
      </c>
      <c r="F32" s="183">
        <v>211.64</v>
      </c>
      <c r="G32" s="183">
        <v>0</v>
      </c>
      <c r="H32" s="183">
        <v>0</v>
      </c>
      <c r="I32" s="183">
        <v>0</v>
      </c>
      <c r="J32" s="183">
        <v>0</v>
      </c>
      <c r="K32" s="183">
        <v>0</v>
      </c>
      <c r="L32" s="183">
        <v>0</v>
      </c>
    </row>
    <row r="33" spans="2:12" ht="24" customHeight="1" x14ac:dyDescent="0.35">
      <c r="B33" s="189" t="s">
        <v>215</v>
      </c>
      <c r="C33" s="183">
        <v>0</v>
      </c>
      <c r="D33" s="183">
        <v>0</v>
      </c>
      <c r="E33" s="183">
        <v>0</v>
      </c>
      <c r="F33" s="183">
        <v>0</v>
      </c>
      <c r="G33" s="183">
        <v>0</v>
      </c>
      <c r="H33" s="183">
        <v>0</v>
      </c>
      <c r="I33" s="183">
        <v>0</v>
      </c>
      <c r="J33" s="183">
        <v>0</v>
      </c>
      <c r="K33" s="183">
        <v>0</v>
      </c>
      <c r="L33" s="183">
        <v>0</v>
      </c>
    </row>
    <row r="34" spans="2:12" ht="24" customHeight="1" x14ac:dyDescent="0.35">
      <c r="B34" s="189" t="s">
        <v>216</v>
      </c>
      <c r="C34" s="183">
        <v>0</v>
      </c>
      <c r="D34" s="183">
        <v>0</v>
      </c>
      <c r="E34" s="183">
        <v>0</v>
      </c>
      <c r="F34" s="183">
        <v>0</v>
      </c>
      <c r="G34" s="183">
        <v>0</v>
      </c>
      <c r="H34" s="183">
        <v>0</v>
      </c>
      <c r="I34" s="183">
        <v>0</v>
      </c>
      <c r="J34" s="183">
        <v>0</v>
      </c>
      <c r="K34" s="183">
        <v>0</v>
      </c>
      <c r="L34" s="183">
        <v>0</v>
      </c>
    </row>
    <row r="35" spans="2:12" ht="24" customHeight="1" x14ac:dyDescent="0.35">
      <c r="B35" s="189" t="s">
        <v>217</v>
      </c>
      <c r="C35" s="183">
        <v>0</v>
      </c>
      <c r="D35" s="183">
        <v>57111.135920000001</v>
      </c>
      <c r="E35" s="183">
        <v>88205.156000000017</v>
      </c>
      <c r="F35" s="183">
        <v>0</v>
      </c>
      <c r="G35" s="183">
        <v>0</v>
      </c>
      <c r="H35" s="183">
        <v>192122.3473549113</v>
      </c>
      <c r="I35" s="183">
        <v>0</v>
      </c>
      <c r="J35" s="183">
        <v>0</v>
      </c>
      <c r="K35" s="183">
        <v>0</v>
      </c>
      <c r="L35" s="183">
        <v>0</v>
      </c>
    </row>
    <row r="36" spans="2:12" ht="24" customHeight="1" x14ac:dyDescent="0.35">
      <c r="B36" s="189" t="s">
        <v>218</v>
      </c>
      <c r="C36" s="183">
        <v>0</v>
      </c>
      <c r="D36" s="183">
        <v>0</v>
      </c>
      <c r="E36" s="183">
        <v>869593.90800000005</v>
      </c>
      <c r="F36" s="183">
        <v>0</v>
      </c>
      <c r="G36" s="183">
        <v>0</v>
      </c>
      <c r="H36" s="183">
        <v>0</v>
      </c>
      <c r="I36" s="183">
        <v>0</v>
      </c>
      <c r="J36" s="183">
        <v>0</v>
      </c>
      <c r="K36" s="183">
        <v>0</v>
      </c>
      <c r="L36" s="183">
        <v>0</v>
      </c>
    </row>
    <row r="37" spans="2:12" ht="24" customHeight="1" x14ac:dyDescent="0.35">
      <c r="B37" s="189" t="s">
        <v>219</v>
      </c>
      <c r="C37" s="183">
        <v>663418.56459936197</v>
      </c>
      <c r="D37" s="183">
        <v>1181470.6407397259</v>
      </c>
      <c r="E37" s="183">
        <v>121895.78949</v>
      </c>
      <c r="F37" s="183">
        <v>50795.977167973957</v>
      </c>
      <c r="G37" s="183">
        <v>249491.2764383562</v>
      </c>
      <c r="H37" s="183">
        <v>8423583.4426899999</v>
      </c>
      <c r="I37" s="183">
        <v>142789.33900000001</v>
      </c>
      <c r="J37" s="183">
        <v>1770.231</v>
      </c>
      <c r="K37" s="183">
        <v>1090959.8419999999</v>
      </c>
      <c r="L37" s="183">
        <v>281477.19574</v>
      </c>
    </row>
    <row r="38" spans="2:12" ht="24" customHeight="1" x14ac:dyDescent="0.35">
      <c r="B38" s="189" t="s">
        <v>220</v>
      </c>
      <c r="C38" s="183">
        <v>976091.45623999985</v>
      </c>
      <c r="D38" s="183">
        <v>130717.07825000001</v>
      </c>
      <c r="E38" s="183">
        <v>1022305.03894</v>
      </c>
      <c r="F38" s="183">
        <v>52323.296860000009</v>
      </c>
      <c r="G38" s="183">
        <v>25853.534</v>
      </c>
      <c r="H38" s="183">
        <v>352075.76679999992</v>
      </c>
      <c r="I38" s="183">
        <v>-67.444000000000003</v>
      </c>
      <c r="J38" s="183">
        <v>5447.7112241100349</v>
      </c>
      <c r="K38" s="183">
        <v>472206.43800000002</v>
      </c>
      <c r="L38" s="183">
        <v>1981693.76107</v>
      </c>
    </row>
    <row r="39" spans="2:12" ht="24" customHeight="1" x14ac:dyDescent="0.35">
      <c r="B39" s="189" t="s">
        <v>221</v>
      </c>
      <c r="C39" s="183">
        <v>0</v>
      </c>
      <c r="D39" s="183">
        <v>0</v>
      </c>
      <c r="E39" s="183">
        <v>0</v>
      </c>
      <c r="F39" s="183">
        <v>0</v>
      </c>
      <c r="G39" s="183">
        <v>456971.09700000001</v>
      </c>
      <c r="H39" s="183">
        <v>0</v>
      </c>
      <c r="I39" s="183">
        <v>0</v>
      </c>
      <c r="J39" s="183">
        <v>0</v>
      </c>
      <c r="K39" s="183">
        <v>302807.94199999998</v>
      </c>
      <c r="L39" s="183">
        <v>0</v>
      </c>
    </row>
    <row r="40" spans="2:12" ht="24" customHeight="1" x14ac:dyDescent="0.35">
      <c r="B40" s="189" t="s">
        <v>222</v>
      </c>
      <c r="C40" s="183">
        <v>1014457.757152132</v>
      </c>
      <c r="D40" s="183">
        <v>436973.61877499538</v>
      </c>
      <c r="E40" s="183">
        <v>579844.5189034642</v>
      </c>
      <c r="F40" s="183">
        <v>102105.7535128665</v>
      </c>
      <c r="G40" s="183">
        <v>362635.17</v>
      </c>
      <c r="H40" s="183">
        <v>1336178.532189151</v>
      </c>
      <c r="I40" s="183">
        <v>2841.5479999999998</v>
      </c>
      <c r="J40" s="183">
        <v>5599.3821883488936</v>
      </c>
      <c r="K40" s="183">
        <v>179868.19963217771</v>
      </c>
      <c r="L40" s="183">
        <v>1686825.5493815539</v>
      </c>
    </row>
    <row r="41" spans="2:12" ht="24" customHeight="1" x14ac:dyDescent="0.35">
      <c r="B41" s="189" t="s">
        <v>223</v>
      </c>
      <c r="C41" s="183">
        <v>2139.8282800000002</v>
      </c>
      <c r="D41" s="183">
        <v>22675.02116</v>
      </c>
      <c r="E41" s="183">
        <v>1815513.0451733971</v>
      </c>
      <c r="F41" s="183">
        <v>0</v>
      </c>
      <c r="G41" s="183">
        <v>0</v>
      </c>
      <c r="H41" s="183">
        <v>638859.93646172201</v>
      </c>
      <c r="I41" s="183">
        <v>2058.2007800000001</v>
      </c>
      <c r="J41" s="183">
        <v>12816.618</v>
      </c>
      <c r="K41" s="183">
        <v>75411.282900000006</v>
      </c>
      <c r="L41" s="183">
        <v>307974.20410999999</v>
      </c>
    </row>
    <row r="42" spans="2:12" ht="24" customHeight="1" x14ac:dyDescent="0.35">
      <c r="B42" s="189" t="s">
        <v>224</v>
      </c>
      <c r="C42" s="183">
        <v>1060559.8910478679</v>
      </c>
      <c r="D42" s="183">
        <v>15477.956200000001</v>
      </c>
      <c r="E42" s="183">
        <v>376776.62141999998</v>
      </c>
      <c r="F42" s="183">
        <v>171153.83783</v>
      </c>
      <c r="G42" s="183">
        <v>321808.20699999999</v>
      </c>
      <c r="H42" s="183">
        <v>122292.4359474299</v>
      </c>
      <c r="I42" s="183">
        <v>0</v>
      </c>
      <c r="J42" s="183">
        <v>7246.8223839660996</v>
      </c>
      <c r="K42" s="183">
        <v>0</v>
      </c>
      <c r="L42" s="183">
        <v>708412.73240999994</v>
      </c>
    </row>
    <row r="43" spans="2:12" ht="24" customHeight="1" thickBot="1" x14ac:dyDescent="0.4">
      <c r="B43" s="190" t="s">
        <v>225</v>
      </c>
      <c r="C43" s="185">
        <v>16707302.339572329</v>
      </c>
      <c r="D43" s="185">
        <v>18338299.169142041</v>
      </c>
      <c r="E43" s="185">
        <v>178330301.13326481</v>
      </c>
      <c r="F43" s="185">
        <v>1914455.861384074</v>
      </c>
      <c r="G43" s="185">
        <v>2285138.4544383562</v>
      </c>
      <c r="H43" s="185">
        <v>36377927.19648324</v>
      </c>
      <c r="I43" s="185">
        <v>797231.75925999996</v>
      </c>
      <c r="J43" s="185">
        <v>774956.97422642505</v>
      </c>
      <c r="K43" s="185">
        <v>3139631.376332155</v>
      </c>
      <c r="L43" s="185">
        <v>29131883.949618999</v>
      </c>
    </row>
    <row r="44" spans="2:12" ht="14.5" customHeight="1" thickTop="1" x14ac:dyDescent="0.35">
      <c r="B44" s="201" t="s">
        <v>226</v>
      </c>
      <c r="K44" s="299" t="s">
        <v>227</v>
      </c>
      <c r="L44" s="299"/>
    </row>
    <row r="46" spans="2:12" x14ac:dyDescent="0.35">
      <c r="C46" s="205"/>
      <c r="D46" s="205"/>
      <c r="E46" s="205"/>
      <c r="F46" s="205"/>
      <c r="G46" s="205"/>
      <c r="H46" s="205"/>
      <c r="I46" s="205"/>
      <c r="J46" s="205"/>
      <c r="K46" s="205"/>
      <c r="L46" s="205"/>
    </row>
  </sheetData>
  <sheetProtection algorithmName="SHA-512" hashValue="ojPhbjWNMLRk3jotwCQkLSUDdwd69XrqwYTGypr0NryXbIQBkiZvuNIppNPjC16/S5HuYeCfa2pNEtpQLGASJw==" saltValue="eeHGX5XdITdDg9NDuIsDSg==" spinCount="100000" sheet="1" objects="1" scenarios="1"/>
  <mergeCells count="2">
    <mergeCell ref="B4:L4"/>
    <mergeCell ref="K44:L44"/>
  </mergeCells>
  <pageMargins left="0.70866141732283472" right="0.70866141732283472" top="0.74803149606299213" bottom="0.74803149606299213" header="0.31496062992125978" footer="0.31496062992125978"/>
  <pageSetup paperSize="9" scale="41"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22">
    <tabColor rgb="FF92D050"/>
    <pageSetUpPr fitToPage="1"/>
  </sheetPr>
  <dimension ref="B3:M46"/>
  <sheetViews>
    <sheetView zoomScale="70" zoomScaleNormal="70" workbookViewId="0">
      <pane xSplit="2" ySplit="5" topLeftCell="C35" activePane="bottomRight" state="frozen"/>
      <selection pane="topRight" activeCell="C1" sqref="C1"/>
      <selection pane="bottomLeft" activeCell="A6" sqref="A6"/>
      <selection pane="bottomRight" activeCell="B3" sqref="B3:L44"/>
    </sheetView>
  </sheetViews>
  <sheetFormatPr defaultColWidth="19.453125" defaultRowHeight="14.5" x14ac:dyDescent="0.35"/>
  <cols>
    <col min="1" max="1" width="18.453125" style="12" customWidth="1"/>
    <col min="2" max="2" width="41" style="12" bestFit="1" customWidth="1"/>
    <col min="3" max="3" width="17.6328125" style="2" bestFit="1" customWidth="1"/>
    <col min="4" max="4" width="17.7265625" style="2" bestFit="1" customWidth="1"/>
    <col min="5" max="5" width="16.36328125" style="2" bestFit="1" customWidth="1"/>
    <col min="6" max="9" width="24.453125" style="12" customWidth="1"/>
    <col min="10" max="11" width="24.08984375" style="12" customWidth="1"/>
    <col min="12" max="12" width="24.453125" style="12" customWidth="1"/>
    <col min="14" max="62" width="19.453125" style="12" customWidth="1"/>
    <col min="63" max="16384" width="19.453125" style="12"/>
  </cols>
  <sheetData>
    <row r="3" spans="2:12" ht="16" customHeight="1" x14ac:dyDescent="0.35">
      <c r="B3" s="218" t="s">
        <v>228</v>
      </c>
    </row>
    <row r="4" spans="2:12" ht="26.25" customHeight="1" x14ac:dyDescent="0.35">
      <c r="B4" s="300" t="str">
        <f>_xlfn.CONCAT('Table of Contents'!B37,": ",'Table of Contents'!C37)</f>
        <v>APPENDIX 24 ii: SUMMARY OF LONG TERM INSURANCE BUSINESS BALANCE SHEETS AS AT 31.03.2025</v>
      </c>
      <c r="C4" s="252"/>
      <c r="D4" s="252"/>
      <c r="E4" s="252"/>
      <c r="F4" s="252"/>
      <c r="G4" s="252"/>
      <c r="H4" s="252"/>
      <c r="I4" s="252"/>
      <c r="J4" s="252"/>
      <c r="K4" s="252"/>
      <c r="L4" s="252"/>
    </row>
    <row r="5" spans="2:12" ht="39" customHeight="1" x14ac:dyDescent="0.35">
      <c r="B5" s="186" t="s">
        <v>36</v>
      </c>
      <c r="C5" s="182" t="s">
        <v>106</v>
      </c>
      <c r="D5" s="182" t="s">
        <v>107</v>
      </c>
      <c r="E5" s="182" t="s">
        <v>108</v>
      </c>
      <c r="F5" s="182" t="s">
        <v>109</v>
      </c>
      <c r="G5" s="182" t="s">
        <v>110</v>
      </c>
      <c r="H5" s="182" t="s">
        <v>111</v>
      </c>
      <c r="I5" s="182" t="s">
        <v>95</v>
      </c>
      <c r="J5" s="182" t="s">
        <v>112</v>
      </c>
      <c r="K5" s="182" t="s">
        <v>113</v>
      </c>
      <c r="L5" s="182" t="s">
        <v>74</v>
      </c>
    </row>
    <row r="6" spans="2:12" ht="24" customHeight="1" x14ac:dyDescent="0.35">
      <c r="B6" s="187" t="s">
        <v>188</v>
      </c>
      <c r="C6" s="183">
        <v>400000</v>
      </c>
      <c r="D6" s="183">
        <v>458093.67894999997</v>
      </c>
      <c r="E6" s="183">
        <v>1125000</v>
      </c>
      <c r="F6" s="183">
        <v>500000</v>
      </c>
      <c r="G6" s="183">
        <v>400000</v>
      </c>
      <c r="H6" s="183">
        <v>313000</v>
      </c>
      <c r="I6" s="183">
        <v>500000</v>
      </c>
      <c r="J6" s="183">
        <v>400100</v>
      </c>
      <c r="K6" s="183">
        <v>742340</v>
      </c>
      <c r="L6" s="183">
        <v>450000</v>
      </c>
    </row>
    <row r="7" spans="2:12" ht="24" customHeight="1" x14ac:dyDescent="0.35">
      <c r="B7" s="187" t="s">
        <v>189</v>
      </c>
      <c r="C7" s="183">
        <v>0</v>
      </c>
      <c r="D7" s="183">
        <v>0</v>
      </c>
      <c r="E7" s="183">
        <v>1125000</v>
      </c>
      <c r="F7" s="183">
        <v>0</v>
      </c>
      <c r="G7" s="183">
        <v>0</v>
      </c>
      <c r="H7" s="183">
        <v>0</v>
      </c>
      <c r="I7" s="183">
        <v>0</v>
      </c>
      <c r="J7" s="183">
        <v>0</v>
      </c>
      <c r="K7" s="183">
        <v>0</v>
      </c>
      <c r="L7" s="183">
        <v>0</v>
      </c>
    </row>
    <row r="8" spans="2:12" ht="24" customHeight="1" x14ac:dyDescent="0.35">
      <c r="B8" s="187" t="s">
        <v>190</v>
      </c>
      <c r="C8" s="183">
        <v>0</v>
      </c>
      <c r="D8" s="183">
        <v>0</v>
      </c>
      <c r="E8" s="183">
        <v>0</v>
      </c>
      <c r="F8" s="183">
        <v>0</v>
      </c>
      <c r="G8" s="183">
        <v>-536.59</v>
      </c>
      <c r="H8" s="183">
        <v>0</v>
      </c>
      <c r="I8" s="183">
        <v>0</v>
      </c>
      <c r="J8" s="183">
        <v>0</v>
      </c>
      <c r="K8" s="183">
        <v>384946.36200000002</v>
      </c>
      <c r="L8" s="183">
        <v>19341.205000000002</v>
      </c>
    </row>
    <row r="9" spans="2:12" ht="24" customHeight="1" x14ac:dyDescent="0.35">
      <c r="B9" s="187" t="s">
        <v>191</v>
      </c>
      <c r="C9" s="183">
        <v>3683602.1949999998</v>
      </c>
      <c r="D9" s="183">
        <v>316902.99955000001</v>
      </c>
      <c r="E9" s="183">
        <v>17241389</v>
      </c>
      <c r="F9" s="183">
        <v>3067746.1673923889</v>
      </c>
      <c r="G9" s="183">
        <v>2081895.9069999999</v>
      </c>
      <c r="H9" s="183">
        <v>169251.32244240309</v>
      </c>
      <c r="I9" s="183">
        <v>0</v>
      </c>
      <c r="J9" s="183">
        <v>0</v>
      </c>
      <c r="K9" s="183">
        <v>2010574.067</v>
      </c>
      <c r="L9" s="183">
        <v>-1834757.2050000001</v>
      </c>
    </row>
    <row r="10" spans="2:12" ht="24" customHeight="1" x14ac:dyDescent="0.35">
      <c r="B10" s="187" t="s">
        <v>192</v>
      </c>
      <c r="C10" s="183">
        <v>0</v>
      </c>
      <c r="D10" s="183">
        <v>0</v>
      </c>
      <c r="E10" s="183">
        <v>1050000</v>
      </c>
      <c r="F10" s="183">
        <v>0</v>
      </c>
      <c r="G10" s="183">
        <v>0</v>
      </c>
      <c r="H10" s="183">
        <v>0</v>
      </c>
      <c r="I10" s="183">
        <v>0</v>
      </c>
      <c r="J10" s="183">
        <v>0</v>
      </c>
      <c r="K10" s="183">
        <v>0</v>
      </c>
      <c r="L10" s="183">
        <v>1550000</v>
      </c>
    </row>
    <row r="11" spans="2:12" ht="24" customHeight="1" x14ac:dyDescent="0.35">
      <c r="B11" s="187" t="s">
        <v>193</v>
      </c>
      <c r="C11" s="183">
        <v>264334.80879466009</v>
      </c>
      <c r="D11" s="183">
        <v>257050.38750299031</v>
      </c>
      <c r="E11" s="183">
        <v>1819284.217857305</v>
      </c>
      <c r="F11" s="183">
        <v>6395804.1077287579</v>
      </c>
      <c r="G11" s="183">
        <v>2290541.8362406609</v>
      </c>
      <c r="H11" s="183">
        <v>118446.2367591269</v>
      </c>
      <c r="I11" s="183">
        <v>10231588.98413128</v>
      </c>
      <c r="J11" s="183">
        <v>-13304.7689789575</v>
      </c>
      <c r="K11" s="183">
        <v>-304169.90022950579</v>
      </c>
      <c r="L11" s="183">
        <v>-1768678.1</v>
      </c>
    </row>
    <row r="12" spans="2:12" ht="24" customHeight="1" x14ac:dyDescent="0.35">
      <c r="B12" s="187" t="s">
        <v>194</v>
      </c>
      <c r="C12" s="183">
        <v>0</v>
      </c>
      <c r="D12" s="183">
        <v>0</v>
      </c>
      <c r="E12" s="183">
        <v>0</v>
      </c>
      <c r="F12" s="183">
        <v>0</v>
      </c>
      <c r="G12" s="183">
        <v>1480514.9</v>
      </c>
      <c r="H12" s="183">
        <v>0</v>
      </c>
      <c r="I12" s="183">
        <v>0</v>
      </c>
      <c r="J12" s="183">
        <v>0</v>
      </c>
      <c r="K12" s="183">
        <v>0</v>
      </c>
      <c r="L12" s="183">
        <v>0</v>
      </c>
    </row>
    <row r="13" spans="2:12" ht="24" customHeight="1" thickBot="1" x14ac:dyDescent="0.4">
      <c r="B13" s="188" t="s">
        <v>195</v>
      </c>
      <c r="C13" s="184">
        <v>4347937.0037946608</v>
      </c>
      <c r="D13" s="184">
        <v>1032047.06600299</v>
      </c>
      <c r="E13" s="184">
        <v>22360673.217857301</v>
      </c>
      <c r="F13" s="184">
        <v>9963550.2751211468</v>
      </c>
      <c r="G13" s="184">
        <v>6252416.0532406606</v>
      </c>
      <c r="H13" s="184">
        <v>600697.55920152995</v>
      </c>
      <c r="I13" s="184">
        <v>10731588.98413128</v>
      </c>
      <c r="J13" s="184">
        <v>386795.23102104251</v>
      </c>
      <c r="K13" s="184">
        <v>2833690.5287704938</v>
      </c>
      <c r="L13" s="184">
        <v>-1584094.1</v>
      </c>
    </row>
    <row r="14" spans="2:12" ht="24" customHeight="1" thickTop="1" x14ac:dyDescent="0.35">
      <c r="B14" s="187" t="s">
        <v>196</v>
      </c>
      <c r="C14" s="183">
        <v>44729253.066240013</v>
      </c>
      <c r="D14" s="183">
        <v>931740.48180990503</v>
      </c>
      <c r="E14" s="183">
        <v>0</v>
      </c>
      <c r="F14" s="183">
        <v>0</v>
      </c>
      <c r="G14" s="183">
        <v>0</v>
      </c>
      <c r="H14" s="183">
        <v>1828175.2361164079</v>
      </c>
      <c r="I14" s="183">
        <v>0</v>
      </c>
      <c r="J14" s="183">
        <v>0</v>
      </c>
      <c r="K14" s="183">
        <v>11417655.288000001</v>
      </c>
      <c r="L14" s="183">
        <v>0</v>
      </c>
    </row>
    <row r="15" spans="2:12" ht="24" customHeight="1" x14ac:dyDescent="0.35">
      <c r="B15" s="189" t="s">
        <v>197</v>
      </c>
      <c r="C15" s="183">
        <v>36945.359130551813</v>
      </c>
      <c r="D15" s="183">
        <v>1482198.1621265931</v>
      </c>
      <c r="E15" s="183">
        <v>162600714.12830451</v>
      </c>
      <c r="F15" s="183">
        <v>144073726.32871071</v>
      </c>
      <c r="G15" s="183">
        <v>89166727.67563577</v>
      </c>
      <c r="H15" s="183">
        <v>2673057.0583311059</v>
      </c>
      <c r="I15" s="183">
        <v>3181066.5749112759</v>
      </c>
      <c r="J15" s="183">
        <v>741095.06200000003</v>
      </c>
      <c r="K15" s="183">
        <v>13530627.799921479</v>
      </c>
      <c r="L15" s="183">
        <v>20386886.509</v>
      </c>
    </row>
    <row r="16" spans="2:12" ht="24" customHeight="1" x14ac:dyDescent="0.35">
      <c r="B16" s="189" t="s">
        <v>198</v>
      </c>
      <c r="C16" s="183">
        <v>0</v>
      </c>
      <c r="D16" s="183">
        <v>0</v>
      </c>
      <c r="E16" s="183">
        <v>0</v>
      </c>
      <c r="F16" s="183">
        <v>0</v>
      </c>
      <c r="G16" s="183">
        <v>52275.339489999969</v>
      </c>
      <c r="H16" s="183">
        <v>0</v>
      </c>
      <c r="I16" s="183">
        <v>0</v>
      </c>
      <c r="J16" s="183">
        <v>3445.049</v>
      </c>
      <c r="K16" s="183">
        <v>0</v>
      </c>
      <c r="L16" s="183">
        <v>73741.001000000004</v>
      </c>
    </row>
    <row r="17" spans="2:12" ht="24" customHeight="1" x14ac:dyDescent="0.35">
      <c r="B17" s="189" t="s">
        <v>199</v>
      </c>
      <c r="C17" s="183">
        <v>0</v>
      </c>
      <c r="D17" s="183">
        <v>58439.677000000003</v>
      </c>
      <c r="E17" s="183">
        <v>4023785</v>
      </c>
      <c r="F17" s="183">
        <v>1378255.808305501</v>
      </c>
      <c r="G17" s="183">
        <v>892135.51899999997</v>
      </c>
      <c r="H17" s="183">
        <v>117345.89599999999</v>
      </c>
      <c r="I17" s="183">
        <v>0</v>
      </c>
      <c r="J17" s="183">
        <v>94639.013999999996</v>
      </c>
      <c r="K17" s="183">
        <v>1026646.618</v>
      </c>
      <c r="L17" s="183">
        <v>0</v>
      </c>
    </row>
    <row r="18" spans="2:12" ht="24" customHeight="1" x14ac:dyDescent="0.35">
      <c r="B18" s="189" t="s">
        <v>200</v>
      </c>
      <c r="C18" s="183">
        <v>100029.21854</v>
      </c>
      <c r="D18" s="183">
        <v>47033.741000000002</v>
      </c>
      <c r="E18" s="183">
        <v>0</v>
      </c>
      <c r="F18" s="183">
        <v>2145565.8815729399</v>
      </c>
      <c r="G18" s="183">
        <v>1137877.7009999999</v>
      </c>
      <c r="H18" s="183">
        <v>34738.582000000002</v>
      </c>
      <c r="I18" s="183">
        <v>0</v>
      </c>
      <c r="J18" s="183">
        <v>72053.9127970314</v>
      </c>
      <c r="K18" s="183">
        <v>568915.30500000005</v>
      </c>
      <c r="L18" s="183">
        <v>167457.08100000001</v>
      </c>
    </row>
    <row r="19" spans="2:12" ht="24" customHeight="1" x14ac:dyDescent="0.35">
      <c r="B19" s="189" t="s">
        <v>201</v>
      </c>
      <c r="C19" s="183">
        <v>3678775.653965157</v>
      </c>
      <c r="D19" s="183">
        <v>21382.837730000021</v>
      </c>
      <c r="E19" s="183">
        <v>2728082.8563800049</v>
      </c>
      <c r="F19" s="183">
        <v>252246.6974227679</v>
      </c>
      <c r="G19" s="183">
        <v>110362.7350000055</v>
      </c>
      <c r="H19" s="183">
        <v>3943.374859999657</v>
      </c>
      <c r="I19" s="183">
        <v>51125.055</v>
      </c>
      <c r="J19" s="183">
        <v>96406.835285736801</v>
      </c>
      <c r="K19" s="183">
        <v>348416.76774999808</v>
      </c>
      <c r="L19" s="183">
        <v>186054.91399999999</v>
      </c>
    </row>
    <row r="20" spans="2:12" ht="24" customHeight="1" thickBot="1" x14ac:dyDescent="0.4">
      <c r="B20" s="190" t="s">
        <v>202</v>
      </c>
      <c r="C20" s="185">
        <v>52892940.30167038</v>
      </c>
      <c r="D20" s="185">
        <v>3572841.9656694881</v>
      </c>
      <c r="E20" s="185">
        <v>191713255.20254171</v>
      </c>
      <c r="F20" s="185">
        <v>157813344.99113309</v>
      </c>
      <c r="G20" s="185">
        <v>97611795.023366436</v>
      </c>
      <c r="H20" s="185">
        <v>5257957.7065090435</v>
      </c>
      <c r="I20" s="185">
        <v>13963780.61404255</v>
      </c>
      <c r="J20" s="185">
        <v>1394435.1041038111</v>
      </c>
      <c r="K20" s="185">
        <v>29725952.307441968</v>
      </c>
      <c r="L20" s="185">
        <v>19230045.405000001</v>
      </c>
    </row>
    <row r="21" spans="2:12" ht="24" customHeight="1" thickTop="1" x14ac:dyDescent="0.35">
      <c r="B21" s="189" t="s">
        <v>203</v>
      </c>
      <c r="C21" s="183">
        <v>13.36201</v>
      </c>
      <c r="D21" s="183">
        <v>3861.87</v>
      </c>
      <c r="E21" s="183">
        <v>9230</v>
      </c>
      <c r="F21" s="183">
        <v>20784.804489999999</v>
      </c>
      <c r="G21" s="183">
        <v>2105.9059999999999</v>
      </c>
      <c r="H21" s="183">
        <v>6146.828199999999</v>
      </c>
      <c r="I21" s="183">
        <v>0</v>
      </c>
      <c r="J21" s="183">
        <v>21670.1073</v>
      </c>
      <c r="K21" s="183">
        <v>98781.186000000002</v>
      </c>
      <c r="L21" s="183">
        <v>39467.631000000001</v>
      </c>
    </row>
    <row r="22" spans="2:12" ht="24" customHeight="1" x14ac:dyDescent="0.35">
      <c r="B22" s="189" t="s">
        <v>204</v>
      </c>
      <c r="C22" s="183">
        <v>0</v>
      </c>
      <c r="D22" s="183">
        <v>0</v>
      </c>
      <c r="E22" s="183">
        <v>0</v>
      </c>
      <c r="F22" s="183">
        <v>0</v>
      </c>
      <c r="G22" s="183">
        <v>844353.53640957456</v>
      </c>
      <c r="H22" s="183">
        <v>0</v>
      </c>
      <c r="I22" s="183">
        <v>0</v>
      </c>
      <c r="J22" s="183">
        <v>0</v>
      </c>
      <c r="K22" s="183">
        <v>770786.86399999994</v>
      </c>
      <c r="L22" s="183">
        <v>263398.36099999998</v>
      </c>
    </row>
    <row r="23" spans="2:12" ht="24" customHeight="1" x14ac:dyDescent="0.35">
      <c r="B23" s="189" t="s">
        <v>205</v>
      </c>
      <c r="C23" s="183">
        <v>1443598.5249999999</v>
      </c>
      <c r="D23" s="183">
        <v>74000</v>
      </c>
      <c r="E23" s="183">
        <v>10288000</v>
      </c>
      <c r="F23" s="183">
        <v>3491391.8149999999</v>
      </c>
      <c r="G23" s="183">
        <v>2060400</v>
      </c>
      <c r="H23" s="183">
        <v>560000</v>
      </c>
      <c r="I23" s="183">
        <v>1889174.966</v>
      </c>
      <c r="J23" s="183">
        <v>0</v>
      </c>
      <c r="K23" s="183">
        <v>445213.136</v>
      </c>
      <c r="L23" s="183">
        <v>7106442.6550000003</v>
      </c>
    </row>
    <row r="24" spans="2:12" ht="24" customHeight="1" x14ac:dyDescent="0.35">
      <c r="B24" s="189" t="s">
        <v>206</v>
      </c>
      <c r="C24" s="183">
        <v>460.52575000000002</v>
      </c>
      <c r="D24" s="183">
        <v>14219.15831575343</v>
      </c>
      <c r="E24" s="183">
        <v>324636.24547999998</v>
      </c>
      <c r="F24" s="183">
        <v>169112.0206300001</v>
      </c>
      <c r="G24" s="183">
        <v>20973.94</v>
      </c>
      <c r="H24" s="183">
        <v>2514.367290000001</v>
      </c>
      <c r="I24" s="183">
        <v>0</v>
      </c>
      <c r="J24" s="183">
        <v>116017.92746875</v>
      </c>
      <c r="K24" s="183">
        <v>70957.92591999998</v>
      </c>
      <c r="L24" s="183">
        <v>29909.145</v>
      </c>
    </row>
    <row r="25" spans="2:12" ht="24" customHeight="1" x14ac:dyDescent="0.35">
      <c r="B25" s="189" t="s">
        <v>207</v>
      </c>
      <c r="C25" s="183">
        <v>50996927.321430303</v>
      </c>
      <c r="D25" s="183">
        <v>1601556.4657300001</v>
      </c>
      <c r="E25" s="183">
        <v>109964874.37006</v>
      </c>
      <c r="F25" s="183">
        <v>134588374.54381311</v>
      </c>
      <c r="G25" s="183">
        <v>93333955.689485386</v>
      </c>
      <c r="H25" s="183">
        <v>3560588.5056191632</v>
      </c>
      <c r="I25" s="183">
        <v>7102008.3130000001</v>
      </c>
      <c r="J25" s="183">
        <v>0</v>
      </c>
      <c r="K25" s="183">
        <v>18280998.827032659</v>
      </c>
      <c r="L25" s="183">
        <v>4088878.736</v>
      </c>
    </row>
    <row r="26" spans="2:12" ht="24" customHeight="1" x14ac:dyDescent="0.35">
      <c r="B26" s="189" t="s">
        <v>208</v>
      </c>
      <c r="C26" s="183">
        <v>1590.9670000000001</v>
      </c>
      <c r="D26" s="183">
        <v>0</v>
      </c>
      <c r="E26" s="183">
        <v>1762581.0689999999</v>
      </c>
      <c r="F26" s="183">
        <v>0</v>
      </c>
      <c r="G26" s="183">
        <v>0</v>
      </c>
      <c r="H26" s="183">
        <v>141734.84588571879</v>
      </c>
      <c r="I26" s="183">
        <v>0</v>
      </c>
      <c r="J26" s="183">
        <v>0</v>
      </c>
      <c r="K26" s="183">
        <v>1095036.1303099999</v>
      </c>
      <c r="L26" s="183">
        <v>7721.2920000000004</v>
      </c>
    </row>
    <row r="27" spans="2:12" ht="24" customHeight="1" x14ac:dyDescent="0.35">
      <c r="B27" s="189" t="s">
        <v>209</v>
      </c>
      <c r="C27" s="183">
        <v>0</v>
      </c>
      <c r="D27" s="183">
        <v>0</v>
      </c>
      <c r="E27" s="183">
        <v>747113.95218000002</v>
      </c>
      <c r="F27" s="183">
        <v>2573942.7388903559</v>
      </c>
      <c r="G27" s="183">
        <v>0</v>
      </c>
      <c r="H27" s="183">
        <v>0</v>
      </c>
      <c r="I27" s="183">
        <v>0</v>
      </c>
      <c r="J27" s="183">
        <v>0</v>
      </c>
      <c r="K27" s="183">
        <v>0</v>
      </c>
      <c r="L27" s="183">
        <v>0</v>
      </c>
    </row>
    <row r="28" spans="2:12" ht="24" customHeight="1" x14ac:dyDescent="0.35">
      <c r="B28" s="189" t="s">
        <v>210</v>
      </c>
      <c r="C28" s="183">
        <v>0</v>
      </c>
      <c r="D28" s="183">
        <v>3250.1073670042301</v>
      </c>
      <c r="E28" s="183">
        <v>231665.87570999999</v>
      </c>
      <c r="F28" s="183">
        <v>6883.9070000000002</v>
      </c>
      <c r="G28" s="183">
        <v>6675.1967100000002</v>
      </c>
      <c r="H28" s="183">
        <v>140734.6561728571</v>
      </c>
      <c r="I28" s="183">
        <v>0</v>
      </c>
      <c r="J28" s="183">
        <v>0</v>
      </c>
      <c r="K28" s="183">
        <v>0</v>
      </c>
      <c r="L28" s="183">
        <v>0</v>
      </c>
    </row>
    <row r="29" spans="2:12" ht="24" customHeight="1" x14ac:dyDescent="0.35">
      <c r="B29" s="189" t="s">
        <v>211</v>
      </c>
      <c r="C29" s="183">
        <v>0</v>
      </c>
      <c r="D29" s="183">
        <v>0</v>
      </c>
      <c r="E29" s="183">
        <v>0</v>
      </c>
      <c r="F29" s="183">
        <v>0</v>
      </c>
      <c r="G29" s="183">
        <v>0</v>
      </c>
      <c r="H29" s="183">
        <v>0</v>
      </c>
      <c r="I29" s="183">
        <v>0</v>
      </c>
      <c r="J29" s="183">
        <v>0</v>
      </c>
      <c r="K29" s="183">
        <v>0</v>
      </c>
      <c r="L29" s="183">
        <v>0</v>
      </c>
    </row>
    <row r="30" spans="2:12" ht="24" customHeight="1" x14ac:dyDescent="0.35">
      <c r="B30" s="189" t="s">
        <v>212</v>
      </c>
      <c r="C30" s="183">
        <v>0</v>
      </c>
      <c r="D30" s="183">
        <v>0</v>
      </c>
      <c r="E30" s="183">
        <v>0</v>
      </c>
      <c r="F30" s="183">
        <v>0</v>
      </c>
      <c r="G30" s="183">
        <v>0</v>
      </c>
      <c r="H30" s="183">
        <v>0</v>
      </c>
      <c r="I30" s="183">
        <v>0</v>
      </c>
      <c r="J30" s="183">
        <v>0</v>
      </c>
      <c r="K30" s="183">
        <v>0</v>
      </c>
      <c r="L30" s="183">
        <v>0</v>
      </c>
    </row>
    <row r="31" spans="2:12" ht="24" customHeight="1" x14ac:dyDescent="0.35">
      <c r="B31" s="189" t="s">
        <v>213</v>
      </c>
      <c r="C31" s="183">
        <v>73747.588000000003</v>
      </c>
      <c r="D31" s="183">
        <v>37435.051299999999</v>
      </c>
      <c r="E31" s="183">
        <v>8176133.4318649992</v>
      </c>
      <c r="F31" s="183">
        <v>5301057.6255474826</v>
      </c>
      <c r="G31" s="183">
        <v>806139.21679999994</v>
      </c>
      <c r="H31" s="183">
        <v>0</v>
      </c>
      <c r="I31" s="183">
        <v>215500</v>
      </c>
      <c r="J31" s="183">
        <v>0</v>
      </c>
      <c r="K31" s="183">
        <v>1430051.3188499999</v>
      </c>
      <c r="L31" s="183">
        <v>131988.75</v>
      </c>
    </row>
    <row r="32" spans="2:12" ht="24" customHeight="1" x14ac:dyDescent="0.35">
      <c r="B32" s="189" t="s">
        <v>214</v>
      </c>
      <c r="C32" s="183">
        <v>0</v>
      </c>
      <c r="D32" s="183">
        <v>0</v>
      </c>
      <c r="E32" s="183">
        <v>15724.8</v>
      </c>
      <c r="F32" s="183">
        <v>5067585.9010404879</v>
      </c>
      <c r="G32" s="183">
        <v>31.898720000000001</v>
      </c>
      <c r="H32" s="183">
        <v>307767.2</v>
      </c>
      <c r="I32" s="183">
        <v>0</v>
      </c>
      <c r="J32" s="183">
        <v>0</v>
      </c>
      <c r="K32" s="183">
        <v>195927.01764000001</v>
      </c>
      <c r="L32" s="183">
        <v>2043847.446</v>
      </c>
    </row>
    <row r="33" spans="2:12" ht="24" customHeight="1" x14ac:dyDescent="0.35">
      <c r="B33" s="189" t="s">
        <v>215</v>
      </c>
      <c r="C33" s="183">
        <v>0</v>
      </c>
      <c r="D33" s="183">
        <v>0</v>
      </c>
      <c r="E33" s="183">
        <v>1001.176</v>
      </c>
      <c r="F33" s="183">
        <v>0</v>
      </c>
      <c r="G33" s="183">
        <v>0</v>
      </c>
      <c r="H33" s="183">
        <v>0</v>
      </c>
      <c r="I33" s="183">
        <v>0</v>
      </c>
      <c r="J33" s="183">
        <v>0</v>
      </c>
      <c r="K33" s="183">
        <v>0</v>
      </c>
      <c r="L33" s="183">
        <v>0</v>
      </c>
    </row>
    <row r="34" spans="2:12" ht="24" customHeight="1" x14ac:dyDescent="0.35">
      <c r="B34" s="189" t="s">
        <v>216</v>
      </c>
      <c r="C34" s="183">
        <v>0</v>
      </c>
      <c r="D34" s="183">
        <v>0</v>
      </c>
      <c r="E34" s="183">
        <v>0</v>
      </c>
      <c r="F34" s="183">
        <v>1148768.8289999999</v>
      </c>
      <c r="G34" s="183">
        <v>0</v>
      </c>
      <c r="H34" s="183">
        <v>0</v>
      </c>
      <c r="I34" s="183">
        <v>0</v>
      </c>
      <c r="J34" s="183">
        <v>0</v>
      </c>
      <c r="K34" s="183">
        <v>0</v>
      </c>
      <c r="L34" s="183">
        <v>0</v>
      </c>
    </row>
    <row r="35" spans="2:12" ht="24" customHeight="1" x14ac:dyDescent="0.35">
      <c r="B35" s="189" t="s">
        <v>217</v>
      </c>
      <c r="C35" s="183">
        <v>2443.36589</v>
      </c>
      <c r="D35" s="183">
        <v>16386.57314</v>
      </c>
      <c r="E35" s="183">
        <v>130082.94454</v>
      </c>
      <c r="F35" s="183">
        <v>0</v>
      </c>
      <c r="G35" s="183">
        <v>103380.708</v>
      </c>
      <c r="H35" s="183">
        <v>35627.985689999987</v>
      </c>
      <c r="I35" s="183">
        <v>0</v>
      </c>
      <c r="J35" s="183">
        <v>8920</v>
      </c>
      <c r="K35" s="183">
        <v>29439.962640000002</v>
      </c>
      <c r="L35" s="183">
        <v>1113694.25</v>
      </c>
    </row>
    <row r="36" spans="2:12" ht="24" customHeight="1" x14ac:dyDescent="0.35">
      <c r="B36" s="189" t="s">
        <v>218</v>
      </c>
      <c r="C36" s="183">
        <v>0</v>
      </c>
      <c r="D36" s="183">
        <v>0</v>
      </c>
      <c r="E36" s="183">
        <v>612291.74564000021</v>
      </c>
      <c r="F36" s="183">
        <v>0</v>
      </c>
      <c r="G36" s="183">
        <v>0</v>
      </c>
      <c r="H36" s="183">
        <v>0</v>
      </c>
      <c r="I36" s="183">
        <v>0</v>
      </c>
      <c r="J36" s="183">
        <v>0</v>
      </c>
      <c r="K36" s="183">
        <v>355618.54745000001</v>
      </c>
      <c r="L36" s="183">
        <v>119649.386</v>
      </c>
    </row>
    <row r="37" spans="2:12" ht="24" customHeight="1" x14ac:dyDescent="0.35">
      <c r="B37" s="189" t="s">
        <v>219</v>
      </c>
      <c r="C37" s="183">
        <v>266344.76163000002</v>
      </c>
      <c r="D37" s="183">
        <v>582459.82661999972</v>
      </c>
      <c r="E37" s="183">
        <v>56450223.050999999</v>
      </c>
      <c r="F37" s="183">
        <v>1660006.2481099949</v>
      </c>
      <c r="G37" s="183">
        <v>153515.93908000001</v>
      </c>
      <c r="H37" s="183">
        <v>433962.70922000002</v>
      </c>
      <c r="I37" s="183">
        <v>4643224.7748560486</v>
      </c>
      <c r="J37" s="183">
        <v>81738.106</v>
      </c>
      <c r="K37" s="183">
        <v>5454697.9199999999</v>
      </c>
      <c r="L37" s="183">
        <v>1701152.7080000001</v>
      </c>
    </row>
    <row r="38" spans="2:12" ht="24" customHeight="1" x14ac:dyDescent="0.35">
      <c r="B38" s="189" t="s">
        <v>220</v>
      </c>
      <c r="C38" s="183">
        <v>44851.665639999999</v>
      </c>
      <c r="D38" s="183">
        <v>76675.935489999974</v>
      </c>
      <c r="E38" s="183">
        <v>230693.33413</v>
      </c>
      <c r="F38" s="183">
        <v>1448013.5286999959</v>
      </c>
      <c r="G38" s="183">
        <v>153552.02900000001</v>
      </c>
      <c r="H38" s="183">
        <v>14506.23325640785</v>
      </c>
      <c r="I38" s="183">
        <v>41.188000000000002</v>
      </c>
      <c r="J38" s="183">
        <v>101881.288</v>
      </c>
      <c r="K38" s="183">
        <v>794149.27722000005</v>
      </c>
      <c r="L38" s="183">
        <v>253464</v>
      </c>
    </row>
    <row r="39" spans="2:12" ht="24" customHeight="1" x14ac:dyDescent="0.35">
      <c r="B39" s="189" t="s">
        <v>221</v>
      </c>
      <c r="C39" s="183">
        <v>0</v>
      </c>
      <c r="D39" s="183">
        <v>0</v>
      </c>
      <c r="E39" s="183">
        <v>0</v>
      </c>
      <c r="F39" s="183">
        <v>0</v>
      </c>
      <c r="G39" s="183">
        <v>0</v>
      </c>
      <c r="H39" s="183">
        <v>0</v>
      </c>
      <c r="I39" s="183">
        <v>0</v>
      </c>
      <c r="J39" s="183">
        <v>274.03199999999998</v>
      </c>
      <c r="K39" s="183">
        <v>0</v>
      </c>
      <c r="L39" s="183">
        <v>0</v>
      </c>
    </row>
    <row r="40" spans="2:12" ht="24" customHeight="1" x14ac:dyDescent="0.35">
      <c r="B40" s="189" t="s">
        <v>222</v>
      </c>
      <c r="C40" s="183">
        <v>34320.278020000012</v>
      </c>
      <c r="D40" s="183">
        <v>476440.03648914932</v>
      </c>
      <c r="E40" s="183">
        <v>331914.2048795867</v>
      </c>
      <c r="F40" s="183">
        <v>691468.0003499462</v>
      </c>
      <c r="G40" s="183">
        <v>68230.633304377145</v>
      </c>
      <c r="H40" s="183">
        <v>42183.096623079313</v>
      </c>
      <c r="I40" s="183">
        <v>113831.37241664701</v>
      </c>
      <c r="J40" s="183">
        <v>77992.054000000004</v>
      </c>
      <c r="K40" s="183">
        <v>201691.60452983779</v>
      </c>
      <c r="L40" s="183">
        <v>488219.00099999999</v>
      </c>
    </row>
    <row r="41" spans="2:12" ht="24" customHeight="1" x14ac:dyDescent="0.35">
      <c r="B41" s="189" t="s">
        <v>223</v>
      </c>
      <c r="C41" s="183">
        <v>0</v>
      </c>
      <c r="D41" s="183">
        <v>180456.0201075809</v>
      </c>
      <c r="E41" s="183">
        <v>108657.54163000001</v>
      </c>
      <c r="F41" s="183">
        <v>842115.2668216594</v>
      </c>
      <c r="G41" s="183">
        <v>40184.281999999999</v>
      </c>
      <c r="H41" s="183">
        <v>0</v>
      </c>
      <c r="I41" s="183">
        <v>0</v>
      </c>
      <c r="J41" s="183">
        <v>661289.63879999996</v>
      </c>
      <c r="K41" s="183">
        <v>232689.65340000001</v>
      </c>
      <c r="L41" s="183">
        <v>95277.199340000006</v>
      </c>
    </row>
    <row r="42" spans="2:12" ht="24" customHeight="1" x14ac:dyDescent="0.35">
      <c r="B42" s="189" t="s">
        <v>224</v>
      </c>
      <c r="C42" s="183">
        <v>28641.94198</v>
      </c>
      <c r="D42" s="183">
        <v>506100.92111</v>
      </c>
      <c r="E42" s="183">
        <v>2328431.460427145</v>
      </c>
      <c r="F42" s="183">
        <v>803839.76173999999</v>
      </c>
      <c r="G42" s="183">
        <v>18296.046999999999</v>
      </c>
      <c r="H42" s="183">
        <v>12191.27911584834</v>
      </c>
      <c r="I42" s="183">
        <v>0</v>
      </c>
      <c r="J42" s="183">
        <v>324651.95053506072</v>
      </c>
      <c r="K42" s="183">
        <v>269912.93646</v>
      </c>
      <c r="L42" s="183">
        <v>1746934.845</v>
      </c>
    </row>
    <row r="43" spans="2:12" ht="24" customHeight="1" thickBot="1" x14ac:dyDescent="0.4">
      <c r="B43" s="190" t="s">
        <v>225</v>
      </c>
      <c r="C43" s="185">
        <v>52892940.302350298</v>
      </c>
      <c r="D43" s="185">
        <v>3572841.9656694881</v>
      </c>
      <c r="E43" s="185">
        <v>191713255.20254171</v>
      </c>
      <c r="F43" s="185">
        <v>157813344.99113309</v>
      </c>
      <c r="G43" s="185">
        <v>97611795.022509351</v>
      </c>
      <c r="H43" s="185">
        <v>5257957.7070730738</v>
      </c>
      <c r="I43" s="185">
        <v>13963780.614272701</v>
      </c>
      <c r="J43" s="185">
        <v>1394435.1041038111</v>
      </c>
      <c r="K43" s="185">
        <v>29725952.3074525</v>
      </c>
      <c r="L43" s="185">
        <v>19230045.405340001</v>
      </c>
    </row>
    <row r="44" spans="2:12" ht="24" customHeight="1" thickTop="1" x14ac:dyDescent="0.35">
      <c r="B44" s="216" t="s">
        <v>226</v>
      </c>
      <c r="C44" s="217"/>
      <c r="D44" s="217"/>
      <c r="E44" s="217"/>
      <c r="L44" s="208" t="s">
        <v>227</v>
      </c>
    </row>
    <row r="46" spans="2:12" x14ac:dyDescent="0.35">
      <c r="C46" s="205"/>
      <c r="D46" s="205"/>
      <c r="E46" s="205"/>
    </row>
  </sheetData>
  <sheetProtection algorithmName="SHA-512" hashValue="t2+Lv3FOEDDlU9NAgD7/BRwaK0MpTKvD0t4m78Zbj460garRNBMHaI4MOnccieXXDPMaAoljj/peDMS30o0g2Q==" saltValue="8reS6ajLi0+VB5V+VotFOA==" spinCount="100000" sheet="1" objects="1" scenarios="1"/>
  <mergeCells count="1">
    <mergeCell ref="B4:L4"/>
  </mergeCells>
  <pageMargins left="0.7" right="0.7" top="0.75" bottom="0.75" header="0.3" footer="0.3"/>
  <pageSetup paperSize="9" scale="44"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23">
    <tabColor rgb="FF92D050"/>
    <pageSetUpPr fitToPage="1"/>
  </sheetPr>
  <dimension ref="A1:R47"/>
  <sheetViews>
    <sheetView zoomScale="70" zoomScaleNormal="70" workbookViewId="0">
      <pane xSplit="2" ySplit="5" topLeftCell="E35" activePane="bottomRight" state="frozen"/>
      <selection pane="topRight" activeCell="C1" sqref="C1"/>
      <selection pane="bottomLeft" activeCell="A6" sqref="A6"/>
      <selection pane="bottomRight" activeCell="B3" sqref="B3:K44"/>
    </sheetView>
  </sheetViews>
  <sheetFormatPr defaultColWidth="9.453125" defaultRowHeight="19.5" customHeight="1" x14ac:dyDescent="0.35"/>
  <cols>
    <col min="1" max="1" width="12.453125" style="113" customWidth="1"/>
    <col min="2" max="2" width="45.54296875" style="113" customWidth="1"/>
    <col min="3" max="3" width="20.36328125" style="12" customWidth="1"/>
    <col min="4" max="4" width="26.81640625" style="154" customWidth="1"/>
    <col min="5" max="6" width="22.54296875" style="113" customWidth="1"/>
    <col min="7" max="7" width="21.453125" style="113" customWidth="1"/>
    <col min="8" max="10" width="22.54296875" style="113" customWidth="1"/>
    <col min="11" max="11" width="21.36328125" style="155" customWidth="1"/>
    <col min="12" max="12" width="9.453125" style="113" customWidth="1"/>
    <col min="13" max="14" width="17.1796875" style="113" hidden="1" customWidth="1"/>
    <col min="15" max="15" width="9.453125" style="113" hidden="1" customWidth="1"/>
    <col min="16" max="16" width="19.36328125" style="113" hidden="1" customWidth="1"/>
    <col min="17" max="17" width="15.1796875" style="113" hidden="1" customWidth="1"/>
    <col min="18" max="18" width="19.36328125" style="113" hidden="1" customWidth="1"/>
    <col min="19" max="19" width="9" style="113" customWidth="1"/>
    <col min="20" max="20" width="6.54296875" style="113" customWidth="1"/>
    <col min="21" max="21" width="4.453125" style="113" customWidth="1"/>
    <col min="22" max="22" width="7" style="113" customWidth="1"/>
    <col min="23" max="23" width="5" style="113" customWidth="1"/>
    <col min="24" max="24" width="6.453125" style="113" customWidth="1"/>
    <col min="25" max="25" width="3.453125" style="113" customWidth="1"/>
    <col min="26" max="26" width="12.54296875" style="113" customWidth="1"/>
    <col min="27" max="27" width="8" style="113" customWidth="1"/>
    <col min="28" max="29" width="8.54296875" style="113" customWidth="1"/>
    <col min="30" max="30" width="10.54296875" style="113" customWidth="1"/>
    <col min="31" max="31" width="15.453125" style="113" customWidth="1"/>
    <col min="32" max="32" width="12" style="113" customWidth="1"/>
    <col min="33" max="33" width="13.54296875" style="113" customWidth="1"/>
    <col min="34" max="34" width="11.453125" style="113" customWidth="1"/>
    <col min="35" max="85" width="9.453125" style="113" customWidth="1"/>
    <col min="86" max="16384" width="9.453125" style="113"/>
  </cols>
  <sheetData>
    <row r="1" spans="1:18" ht="15.5" customHeight="1" x14ac:dyDescent="0.35"/>
    <row r="2" spans="1:18" ht="1.5" customHeight="1" x14ac:dyDescent="0.35"/>
    <row r="3" spans="1:18" ht="24" customHeight="1" x14ac:dyDescent="0.4">
      <c r="A3" s="131"/>
      <c r="B3" s="134" t="s">
        <v>228</v>
      </c>
      <c r="D3" s="114"/>
      <c r="E3" s="134"/>
      <c r="F3" s="134"/>
      <c r="G3" s="134"/>
      <c r="H3" s="134"/>
      <c r="I3" s="134"/>
      <c r="J3" s="134"/>
      <c r="K3" s="115"/>
    </row>
    <row r="4" spans="1:18" ht="29.25" customHeight="1" x14ac:dyDescent="0.35">
      <c r="B4" s="301" t="str">
        <f>_xlfn.CONCAT('Table of Contents'!B38,": ",'Table of Contents'!C38)</f>
        <v>APPENDIX 24 iii: SUMMARY OF LONG TERM INSURANCE BUSINESS BALANCE SHEETS AS AT 31.03.2025</v>
      </c>
      <c r="C4" s="252"/>
      <c r="D4" s="252"/>
      <c r="E4" s="252"/>
      <c r="F4" s="252"/>
      <c r="G4" s="252"/>
      <c r="H4" s="252"/>
      <c r="I4" s="252"/>
      <c r="J4" s="252"/>
      <c r="K4" s="253"/>
      <c r="P4" s="302" t="s">
        <v>229</v>
      </c>
      <c r="Q4" s="303"/>
      <c r="R4" s="303"/>
    </row>
    <row r="5" spans="1:18" ht="42.75" customHeight="1" x14ac:dyDescent="0.35">
      <c r="B5" s="186" t="s">
        <v>36</v>
      </c>
      <c r="C5" s="182" t="s">
        <v>114</v>
      </c>
      <c r="D5" s="182" t="s">
        <v>115</v>
      </c>
      <c r="E5" s="182" t="s">
        <v>116</v>
      </c>
      <c r="F5" s="182" t="s">
        <v>117</v>
      </c>
      <c r="G5" s="182" t="s">
        <v>118</v>
      </c>
      <c r="H5" s="182" t="s">
        <v>119</v>
      </c>
      <c r="I5" s="182" t="s">
        <v>120</v>
      </c>
      <c r="J5" s="182" t="s">
        <v>121</v>
      </c>
      <c r="K5" s="182" t="s">
        <v>90</v>
      </c>
      <c r="M5" s="182" t="s">
        <v>230</v>
      </c>
      <c r="N5" s="182" t="s">
        <v>231</v>
      </c>
      <c r="P5" s="182" t="s">
        <v>230</v>
      </c>
      <c r="Q5" s="182" t="s">
        <v>231</v>
      </c>
      <c r="R5" s="182" t="s">
        <v>136</v>
      </c>
    </row>
    <row r="6" spans="1:18" ht="24" customHeight="1" x14ac:dyDescent="0.35">
      <c r="B6" s="187" t="s">
        <v>188</v>
      </c>
      <c r="C6" s="183">
        <v>2174870.523</v>
      </c>
      <c r="D6" s="183">
        <v>2946667.388980655</v>
      </c>
      <c r="E6" s="183">
        <v>400000</v>
      </c>
      <c r="F6" s="183">
        <v>425698.08</v>
      </c>
      <c r="G6" s="183">
        <v>843138.54299999995</v>
      </c>
      <c r="H6" s="183">
        <v>400000</v>
      </c>
      <c r="I6" s="183">
        <v>500000</v>
      </c>
      <c r="J6" s="183">
        <v>0</v>
      </c>
      <c r="K6" s="183">
        <v>19214633.981930651</v>
      </c>
      <c r="M6" s="183">
        <f t="shared" ref="M6:M43" si="0">K6-N6</f>
        <v>17714633.981930651</v>
      </c>
      <c r="N6" s="183">
        <f>'APPENDIX 24 ii'!I6+'APPENDIX 24 i'!K6+'APPENDIX 24 i'!I6</f>
        <v>1500000</v>
      </c>
      <c r="P6" s="183">
        <f>M6+'APPENDIX  25 iv'!P6+'APPENDIX 26 i'!I6</f>
        <v>48363027.773915619</v>
      </c>
      <c r="Q6" s="183">
        <f>N6+'APPENDIX  25 iv'!Q6</f>
        <v>19101531.359999999</v>
      </c>
      <c r="R6" s="183">
        <f t="shared" ref="R6:R43" si="1">SUM(P6:Q6)</f>
        <v>67464559.133915618</v>
      </c>
    </row>
    <row r="7" spans="1:18" ht="24" customHeight="1" x14ac:dyDescent="0.35">
      <c r="B7" s="187" t="s">
        <v>189</v>
      </c>
      <c r="C7" s="183">
        <v>1884956.8370000001</v>
      </c>
      <c r="D7" s="183">
        <v>1160475.7094793441</v>
      </c>
      <c r="E7" s="183">
        <v>0</v>
      </c>
      <c r="F7" s="183">
        <v>3768621.5819999999</v>
      </c>
      <c r="G7" s="183">
        <v>30260</v>
      </c>
      <c r="H7" s="183">
        <v>0</v>
      </c>
      <c r="I7" s="183">
        <v>0</v>
      </c>
      <c r="J7" s="183">
        <v>0</v>
      </c>
      <c r="K7" s="183">
        <v>8640381.7764793448</v>
      </c>
      <c r="M7" s="183">
        <f t="shared" si="0"/>
        <v>8640381.7764793448</v>
      </c>
      <c r="N7" s="183">
        <f>'APPENDIX 24 ii'!I7+'APPENDIX 24 i'!K7+'APPENDIX 24 i'!I7</f>
        <v>0</v>
      </c>
      <c r="P7" s="183">
        <f>M7+'APPENDIX  25 iv'!P7+'APPENDIX 26 i'!I7</f>
        <v>10549834.286479345</v>
      </c>
      <c r="Q7" s="183">
        <f>N7+'APPENDIX  25 iv'!Q7</f>
        <v>10871.242</v>
      </c>
      <c r="R7" s="183">
        <f t="shared" si="1"/>
        <v>10560705.528479345</v>
      </c>
    </row>
    <row r="8" spans="1:18" ht="24" customHeight="1" x14ac:dyDescent="0.35">
      <c r="B8" s="187" t="s">
        <v>190</v>
      </c>
      <c r="C8" s="183">
        <v>0</v>
      </c>
      <c r="D8" s="183">
        <v>0</v>
      </c>
      <c r="E8" s="183">
        <v>0</v>
      </c>
      <c r="F8" s="183">
        <v>0</v>
      </c>
      <c r="G8" s="183">
        <v>0</v>
      </c>
      <c r="H8" s="183">
        <v>0</v>
      </c>
      <c r="I8" s="183">
        <v>0</v>
      </c>
      <c r="J8" s="183">
        <v>0</v>
      </c>
      <c r="K8" s="183">
        <v>400223.88600000012</v>
      </c>
      <c r="M8" s="183">
        <f t="shared" si="0"/>
        <v>400223.88600000012</v>
      </c>
      <c r="N8" s="183">
        <f>'APPENDIX 24 ii'!I8+'APPENDIX 24 i'!K8+'APPENDIX 24 i'!I8</f>
        <v>0</v>
      </c>
      <c r="P8" s="183">
        <f>M8+'APPENDIX  25 iv'!P8+'APPENDIX 26 i'!I8</f>
        <v>2954741.0665698731</v>
      </c>
      <c r="Q8" s="183">
        <f>N8+'APPENDIX  25 iv'!Q8</f>
        <v>258456.29787000001</v>
      </c>
      <c r="R8" s="183">
        <f t="shared" si="1"/>
        <v>3213197.364439873</v>
      </c>
    </row>
    <row r="9" spans="1:18" ht="24" customHeight="1" x14ac:dyDescent="0.35">
      <c r="B9" s="187" t="s">
        <v>191</v>
      </c>
      <c r="C9" s="183">
        <v>0</v>
      </c>
      <c r="D9" s="183">
        <v>-243794.69572523411</v>
      </c>
      <c r="E9" s="183">
        <v>232406.32800000001</v>
      </c>
      <c r="F9" s="183">
        <v>0</v>
      </c>
      <c r="G9" s="183">
        <v>2622148.4049999998</v>
      </c>
      <c r="H9" s="183">
        <v>0</v>
      </c>
      <c r="I9" s="183">
        <v>-100849.459</v>
      </c>
      <c r="J9" s="183">
        <v>0</v>
      </c>
      <c r="K9" s="183">
        <v>46662321.893024214</v>
      </c>
      <c r="M9" s="183">
        <f t="shared" si="0"/>
        <v>46641265.160024211</v>
      </c>
      <c r="N9" s="183">
        <f>'APPENDIX 24 ii'!I9+'APPENDIX 24 i'!K9+'APPENDIX 24 i'!I9</f>
        <v>21056.733</v>
      </c>
      <c r="P9" s="183">
        <f>M9</f>
        <v>46641265.160024211</v>
      </c>
      <c r="Q9" s="183">
        <f>N9</f>
        <v>21056.733</v>
      </c>
      <c r="R9" s="183">
        <f t="shared" si="1"/>
        <v>46662321.893024214</v>
      </c>
    </row>
    <row r="10" spans="1:18" ht="24" customHeight="1" x14ac:dyDescent="0.35">
      <c r="B10" s="187" t="s">
        <v>192</v>
      </c>
      <c r="C10" s="183">
        <v>0</v>
      </c>
      <c r="D10" s="183">
        <v>0</v>
      </c>
      <c r="E10" s="183">
        <v>35000</v>
      </c>
      <c r="F10" s="183">
        <v>0</v>
      </c>
      <c r="G10" s="183">
        <v>0</v>
      </c>
      <c r="H10" s="183">
        <v>0</v>
      </c>
      <c r="I10" s="183">
        <v>0</v>
      </c>
      <c r="J10" s="183">
        <v>0</v>
      </c>
      <c r="K10" s="183">
        <v>3459825.0918399999</v>
      </c>
      <c r="M10" s="183">
        <f t="shared" si="0"/>
        <v>3459829.2028399999</v>
      </c>
      <c r="N10" s="183">
        <f>'APPENDIX 24 ii'!I10+'APPENDIX 24 i'!K10+'APPENDIX 24 i'!I10</f>
        <v>-4.1109999999999998</v>
      </c>
      <c r="P10" s="183">
        <f>M10+'APPENDIX  25 iv'!P9+'APPENDIX 26 i'!I9</f>
        <v>7959116.0396024734</v>
      </c>
      <c r="Q10" s="183">
        <f>N10+'APPENDIX  25 iv'!Q9</f>
        <v>-108812.01300000001</v>
      </c>
      <c r="R10" s="183">
        <f t="shared" si="1"/>
        <v>7850304.0266024731</v>
      </c>
    </row>
    <row r="11" spans="1:18" ht="24" customHeight="1" x14ac:dyDescent="0.35">
      <c r="B11" s="187" t="s">
        <v>193</v>
      </c>
      <c r="C11" s="183">
        <v>-1651115.40089844</v>
      </c>
      <c r="D11" s="183">
        <v>-618889.22786928399</v>
      </c>
      <c r="E11" s="183">
        <v>286351.88384361891</v>
      </c>
      <c r="F11" s="183">
        <v>-3006913.4332834752</v>
      </c>
      <c r="G11" s="183">
        <v>235067.3492723247</v>
      </c>
      <c r="H11" s="183">
        <v>284172.22088083148</v>
      </c>
      <c r="I11" s="183">
        <v>-52193.355917200097</v>
      </c>
      <c r="J11" s="183">
        <v>0</v>
      </c>
      <c r="K11" s="183">
        <v>20721999.98466213</v>
      </c>
      <c r="M11" s="183">
        <f t="shared" si="0"/>
        <v>9288550.2362712603</v>
      </c>
      <c r="N11" s="183">
        <f>'APPENDIX 24 ii'!I11+'APPENDIX 24 i'!K11+'APPENDIX 24 i'!I11</f>
        <v>11433449.74839087</v>
      </c>
      <c r="P11" s="183">
        <f>M11+'APPENDIX  25 iv'!P10+'APPENDIX 26 i'!I10</f>
        <v>54034420.162110329</v>
      </c>
      <c r="Q11" s="183">
        <f>N11+'APPENDIX  25 iv'!Q10</f>
        <v>43216809.72110036</v>
      </c>
      <c r="R11" s="183">
        <f t="shared" si="1"/>
        <v>97251229.883210689</v>
      </c>
    </row>
    <row r="12" spans="1:18" ht="24" customHeight="1" x14ac:dyDescent="0.35">
      <c r="B12" s="187" t="s">
        <v>194</v>
      </c>
      <c r="C12" s="183">
        <v>0</v>
      </c>
      <c r="D12" s="183">
        <v>27533.633999999998</v>
      </c>
      <c r="E12" s="183">
        <v>0</v>
      </c>
      <c r="F12" s="183">
        <v>0</v>
      </c>
      <c r="G12" s="183">
        <v>0</v>
      </c>
      <c r="H12" s="183">
        <v>0</v>
      </c>
      <c r="I12" s="183">
        <v>0</v>
      </c>
      <c r="J12" s="183">
        <v>0</v>
      </c>
      <c r="K12" s="183">
        <v>2027323.33268</v>
      </c>
      <c r="M12" s="183">
        <f t="shared" si="0"/>
        <v>2027323.33268</v>
      </c>
      <c r="N12" s="183">
        <f>'APPENDIX 24 ii'!I12+'APPENDIX 24 i'!K12+'APPENDIX 24 i'!I12</f>
        <v>0</v>
      </c>
      <c r="P12" s="183">
        <f>M12+'APPENDIX  25 iv'!P11+'APPENDIX 26 i'!I11</f>
        <v>4677337.3706809077</v>
      </c>
      <c r="Q12" s="183">
        <f>N12+'APPENDIX  25 iv'!Q11</f>
        <v>1447472.6680000001</v>
      </c>
      <c r="R12" s="183">
        <f t="shared" si="1"/>
        <v>6124810.0386809073</v>
      </c>
    </row>
    <row r="13" spans="1:18" ht="24" customHeight="1" thickBot="1" x14ac:dyDescent="0.4">
      <c r="B13" s="188" t="s">
        <v>195</v>
      </c>
      <c r="C13" s="184">
        <v>2408711.9591015601</v>
      </c>
      <c r="D13" s="203">
        <v>3271992.808865482</v>
      </c>
      <c r="E13" s="203">
        <v>953758.21184361889</v>
      </c>
      <c r="F13" s="203">
        <v>1187406.228716525</v>
      </c>
      <c r="G13" s="203">
        <v>3730614.297272325</v>
      </c>
      <c r="H13" s="203">
        <v>684172.22088083148</v>
      </c>
      <c r="I13" s="203">
        <v>346957.18508279999</v>
      </c>
      <c r="J13" s="203">
        <v>0</v>
      </c>
      <c r="K13" s="203">
        <v>101126709.94661631</v>
      </c>
      <c r="M13" s="203">
        <f t="shared" si="0"/>
        <v>88172207.57622543</v>
      </c>
      <c r="N13" s="203">
        <f>'APPENDIX 24 ii'!I13+'APPENDIX 24 i'!K13+'APPENDIX 24 i'!I13</f>
        <v>12954502.37039087</v>
      </c>
      <c r="P13" s="203">
        <f>M13+'APPENDIX  25 iv'!P12+'APPENDIX 26 i'!I12</f>
        <v>175179741.85938275</v>
      </c>
      <c r="Q13" s="203">
        <f>N13+'APPENDIX  25 iv'!Q12</f>
        <v>63947386.008970357</v>
      </c>
      <c r="R13" s="203">
        <f t="shared" si="1"/>
        <v>239127127.8683531</v>
      </c>
    </row>
    <row r="14" spans="1:18" ht="24" customHeight="1" thickTop="1" x14ac:dyDescent="0.35">
      <c r="B14" s="187" t="s">
        <v>196</v>
      </c>
      <c r="C14" s="183">
        <v>865954.22108827403</v>
      </c>
      <c r="D14" s="183">
        <v>35895.752557226951</v>
      </c>
      <c r="E14" s="183">
        <v>0</v>
      </c>
      <c r="F14" s="183">
        <v>0</v>
      </c>
      <c r="G14" s="183">
        <v>0</v>
      </c>
      <c r="H14" s="183">
        <v>0</v>
      </c>
      <c r="I14" s="183">
        <v>4523887.1679999996</v>
      </c>
      <c r="J14" s="183">
        <v>0</v>
      </c>
      <c r="K14" s="183">
        <v>64733718.35114152</v>
      </c>
      <c r="M14" s="183">
        <f t="shared" si="0"/>
        <v>64733718.35114152</v>
      </c>
      <c r="N14" s="183">
        <f>'APPENDIX 24 ii'!I14+'APPENDIX 24 i'!K14+'APPENDIX 24 i'!I14</f>
        <v>0</v>
      </c>
      <c r="P14" s="183">
        <f>M14</f>
        <v>64733718.35114152</v>
      </c>
      <c r="Q14" s="183">
        <f>N14</f>
        <v>0</v>
      </c>
      <c r="R14" s="183">
        <f t="shared" si="1"/>
        <v>64733718.35114152</v>
      </c>
    </row>
    <row r="15" spans="1:18" ht="24" customHeight="1" x14ac:dyDescent="0.35">
      <c r="B15" s="189" t="s">
        <v>197</v>
      </c>
      <c r="C15" s="183">
        <v>9123749.2879799996</v>
      </c>
      <c r="D15" s="183">
        <v>13818460.596000001</v>
      </c>
      <c r="E15" s="183">
        <v>11825301.659092659</v>
      </c>
      <c r="F15" s="183">
        <v>4751469.2098849369</v>
      </c>
      <c r="G15" s="183">
        <v>30025402.89740096</v>
      </c>
      <c r="H15" s="183">
        <v>-35371.481335251417</v>
      </c>
      <c r="I15" s="183">
        <v>1304974.5560000001</v>
      </c>
      <c r="J15" s="183">
        <v>0</v>
      </c>
      <c r="K15" s="183">
        <v>749666103.25204611</v>
      </c>
      <c r="M15" s="183">
        <f t="shared" si="0"/>
        <v>745533826.82110906</v>
      </c>
      <c r="N15" s="183">
        <f>'APPENDIX 24 ii'!I15+'APPENDIX 24 i'!K15+'APPENDIX 24 i'!I15</f>
        <v>4132276.4309371081</v>
      </c>
      <c r="P15" s="183">
        <f>M15+'APPENDIX  25 iv'!P13+'APPENDIX 26 i'!I13</f>
        <v>909467009.38019013</v>
      </c>
      <c r="Q15" s="183">
        <f>N15+'APPENDIX  25 iv'!Q13</f>
        <v>24807369.124493815</v>
      </c>
      <c r="R15" s="183">
        <f t="shared" si="1"/>
        <v>934274378.50468397</v>
      </c>
    </row>
    <row r="16" spans="1:18" ht="24" customHeight="1" x14ac:dyDescent="0.35">
      <c r="B16" s="189" t="s">
        <v>198</v>
      </c>
      <c r="C16" s="183">
        <v>0</v>
      </c>
      <c r="D16" s="183">
        <v>0</v>
      </c>
      <c r="E16" s="183">
        <v>0</v>
      </c>
      <c r="F16" s="183">
        <v>0</v>
      </c>
      <c r="G16" s="183">
        <v>0</v>
      </c>
      <c r="H16" s="183">
        <v>0</v>
      </c>
      <c r="I16" s="183">
        <v>0</v>
      </c>
      <c r="J16" s="183">
        <v>0</v>
      </c>
      <c r="K16" s="183">
        <v>329935.23228346423</v>
      </c>
      <c r="M16" s="183">
        <f t="shared" si="0"/>
        <v>203596.75139346422</v>
      </c>
      <c r="N16" s="183">
        <f>'APPENDIX 24 ii'!I16+'APPENDIX 24 i'!K16+'APPENDIX 24 i'!I16</f>
        <v>126338.48088999999</v>
      </c>
      <c r="P16" s="183">
        <f>M16+'APPENDIX  25 iv'!P14+'APPENDIX 26 i'!I14</f>
        <v>4599395.9206445245</v>
      </c>
      <c r="Q16" s="183">
        <f>N16+'APPENDIX  25 iv'!Q14</f>
        <v>2750295.9486135845</v>
      </c>
      <c r="R16" s="183">
        <f t="shared" si="1"/>
        <v>7349691.8692581095</v>
      </c>
    </row>
    <row r="17" spans="2:18" ht="24" customHeight="1" x14ac:dyDescent="0.35">
      <c r="B17" s="189" t="s">
        <v>199</v>
      </c>
      <c r="C17" s="183">
        <v>0</v>
      </c>
      <c r="D17" s="183">
        <v>0</v>
      </c>
      <c r="E17" s="183">
        <v>0</v>
      </c>
      <c r="F17" s="183">
        <v>0</v>
      </c>
      <c r="G17" s="183">
        <v>1124191.4140000001</v>
      </c>
      <c r="H17" s="183">
        <v>0</v>
      </c>
      <c r="I17" s="183">
        <v>0</v>
      </c>
      <c r="J17" s="183">
        <v>0</v>
      </c>
      <c r="K17" s="183">
        <v>18085408.097431369</v>
      </c>
      <c r="M17" s="183">
        <f t="shared" si="0"/>
        <v>17528452.68443137</v>
      </c>
      <c r="N17" s="183">
        <f>'APPENDIX 24 ii'!I17+'APPENDIX 24 i'!K17+'APPENDIX 24 i'!I17</f>
        <v>556955.41300000006</v>
      </c>
      <c r="P17" s="183">
        <f>M17+'APPENDIX  25 iv'!P15+'APPENDIX 26 i'!I15</f>
        <v>19497771.459554814</v>
      </c>
      <c r="Q17" s="183">
        <f>N17+'APPENDIX  25 iv'!Q15</f>
        <v>1976489.838</v>
      </c>
      <c r="R17" s="183">
        <f t="shared" si="1"/>
        <v>21474261.297554813</v>
      </c>
    </row>
    <row r="18" spans="2:18" ht="24" customHeight="1" x14ac:dyDescent="0.35">
      <c r="B18" s="189" t="s">
        <v>200</v>
      </c>
      <c r="C18" s="183">
        <v>535696.71800227591</v>
      </c>
      <c r="D18" s="183">
        <v>801573.14397035341</v>
      </c>
      <c r="E18" s="183">
        <v>459646.27837999997</v>
      </c>
      <c r="F18" s="183">
        <v>83284.598729999998</v>
      </c>
      <c r="G18" s="183">
        <v>803195.63</v>
      </c>
      <c r="H18" s="183">
        <v>33153.896999999997</v>
      </c>
      <c r="I18" s="183">
        <v>36329.788</v>
      </c>
      <c r="J18" s="183">
        <v>0</v>
      </c>
      <c r="K18" s="183">
        <v>9688045.1846879888</v>
      </c>
      <c r="M18" s="183">
        <f t="shared" si="0"/>
        <v>9671305.2356879897</v>
      </c>
      <c r="N18" s="183">
        <f>'APPENDIX 24 ii'!I18+'APPENDIX 24 i'!K18+'APPENDIX 24 i'!I18</f>
        <v>16739.949000000001</v>
      </c>
      <c r="P18" s="183">
        <f>M18+'APPENDIX  25 iv'!P16+'APPENDIX 26 i'!I16</f>
        <v>25741335.095890503</v>
      </c>
      <c r="Q18" s="183">
        <f>N18+'APPENDIX  25 iv'!Q16</f>
        <v>2032071.1442495026</v>
      </c>
      <c r="R18" s="183">
        <f t="shared" si="1"/>
        <v>27773406.240140006</v>
      </c>
    </row>
    <row r="19" spans="2:18" ht="24" customHeight="1" x14ac:dyDescent="0.35">
      <c r="B19" s="189" t="s">
        <v>201</v>
      </c>
      <c r="C19" s="183">
        <v>378144.1773627486</v>
      </c>
      <c r="D19" s="183">
        <v>182841.72001000019</v>
      </c>
      <c r="E19" s="183">
        <v>191451.44784999959</v>
      </c>
      <c r="F19" s="183">
        <v>371452.91051537747</v>
      </c>
      <c r="G19" s="183">
        <v>584038.62064142223</v>
      </c>
      <c r="H19" s="183">
        <v>11144.90194581775</v>
      </c>
      <c r="I19" s="183">
        <v>0</v>
      </c>
      <c r="J19" s="183">
        <v>0</v>
      </c>
      <c r="K19" s="183">
        <v>11763038.794175031</v>
      </c>
      <c r="M19" s="183">
        <f t="shared" si="0"/>
        <v>11649207.688876932</v>
      </c>
      <c r="N19" s="183">
        <f>'APPENDIX 24 ii'!I19+'APPENDIX 24 i'!K19+'APPENDIX 24 i'!I19</f>
        <v>113831.10529809856</v>
      </c>
      <c r="P19" s="183">
        <f>M19+'APPENDIX  25 iv'!P17+'APPENDIX 26 i'!I17</f>
        <v>19620087.865312129</v>
      </c>
      <c r="Q19" s="183">
        <f>N19+'APPENDIX  25 iv'!Q17</f>
        <v>980950.30205277179</v>
      </c>
      <c r="R19" s="183">
        <f t="shared" si="1"/>
        <v>20601038.167364903</v>
      </c>
    </row>
    <row r="20" spans="2:18" ht="24" customHeight="1" thickBot="1" x14ac:dyDescent="0.4">
      <c r="B20" s="190" t="s">
        <v>202</v>
      </c>
      <c r="C20" s="185">
        <v>13312256.36353486</v>
      </c>
      <c r="D20" s="204">
        <v>18110764.021403059</v>
      </c>
      <c r="E20" s="204">
        <v>13430157.59716627</v>
      </c>
      <c r="F20" s="204">
        <v>6393612.9478468401</v>
      </c>
      <c r="G20" s="204">
        <v>36267442.859314702</v>
      </c>
      <c r="H20" s="204">
        <v>693099.53849139786</v>
      </c>
      <c r="I20" s="204">
        <v>6212148.6970827999</v>
      </c>
      <c r="J20" s="204">
        <v>0</v>
      </c>
      <c r="K20" s="204">
        <v>955392958.85838175</v>
      </c>
      <c r="M20" s="204">
        <f t="shared" si="0"/>
        <v>937492315.10886562</v>
      </c>
      <c r="N20" s="204">
        <f>'APPENDIX 24 ii'!I20+'APPENDIX 24 i'!K20+'APPENDIX 24 i'!I20</f>
        <v>17900643.749516074</v>
      </c>
      <c r="P20" s="204">
        <f>M20+'APPENDIX  25 iv'!P18+'APPENDIX 26 i'!I18</f>
        <v>1218839059.9321163</v>
      </c>
      <c r="Q20" s="204">
        <f>N20+'APPENDIX  25 iv'!Q18</f>
        <v>96494562.366380036</v>
      </c>
      <c r="R20" s="204">
        <f t="shared" si="1"/>
        <v>1315333622.2984962</v>
      </c>
    </row>
    <row r="21" spans="2:18" ht="24" customHeight="1" thickTop="1" x14ac:dyDescent="0.35">
      <c r="B21" s="189" t="s">
        <v>203</v>
      </c>
      <c r="C21" s="183">
        <v>7343.2556200000035</v>
      </c>
      <c r="D21" s="183">
        <v>11402.419239999999</v>
      </c>
      <c r="E21" s="183">
        <v>5779.5892400000002</v>
      </c>
      <c r="F21" s="183">
        <v>16659.55366999999</v>
      </c>
      <c r="G21" s="183">
        <v>0</v>
      </c>
      <c r="H21" s="183">
        <v>6861.7290000000003</v>
      </c>
      <c r="I21" s="183">
        <v>0</v>
      </c>
      <c r="J21" s="183">
        <v>0</v>
      </c>
      <c r="K21" s="183">
        <v>892154.72130000009</v>
      </c>
      <c r="M21" s="183">
        <f t="shared" si="0"/>
        <v>892154.62130000012</v>
      </c>
      <c r="N21" s="183">
        <f>'APPENDIX 24 ii'!I21+'APPENDIX 24 i'!K21+'APPENDIX 24 i'!I21</f>
        <v>0.1</v>
      </c>
      <c r="P21" s="183">
        <f>M21+'APPENDIX  25 iv'!P19+'APPENDIX 26 i'!I19</f>
        <v>2275230.6052130898</v>
      </c>
      <c r="Q21" s="183">
        <f>N21+'APPENDIX  25 iv'!Q19</f>
        <v>48310.337221249996</v>
      </c>
      <c r="R21" s="183">
        <f t="shared" si="1"/>
        <v>2323540.9424343398</v>
      </c>
    </row>
    <row r="22" spans="2:18" ht="24" customHeight="1" x14ac:dyDescent="0.35">
      <c r="B22" s="189" t="s">
        <v>204</v>
      </c>
      <c r="C22" s="183">
        <v>0</v>
      </c>
      <c r="D22" s="183">
        <v>0</v>
      </c>
      <c r="E22" s="183">
        <v>0</v>
      </c>
      <c r="F22" s="183">
        <v>0</v>
      </c>
      <c r="G22" s="183">
        <v>0</v>
      </c>
      <c r="H22" s="183">
        <v>0</v>
      </c>
      <c r="I22" s="183">
        <v>1794600</v>
      </c>
      <c r="J22" s="183">
        <v>0</v>
      </c>
      <c r="K22" s="183">
        <v>4243918.1044095755</v>
      </c>
      <c r="M22" s="183">
        <f t="shared" si="0"/>
        <v>4243918.1044095755</v>
      </c>
      <c r="N22" s="183">
        <f>'APPENDIX 24 ii'!I22+'APPENDIX 24 i'!K22+'APPENDIX 24 i'!I22</f>
        <v>0</v>
      </c>
      <c r="P22" s="183">
        <f>M22+'APPENDIX  25 iv'!P20+'APPENDIX 26 i'!I20</f>
        <v>9512705.2574095763</v>
      </c>
      <c r="Q22" s="183">
        <f>N22+'APPENDIX  25 iv'!Q20</f>
        <v>407376.97962</v>
      </c>
      <c r="R22" s="183">
        <f t="shared" si="1"/>
        <v>9920082.2370295767</v>
      </c>
    </row>
    <row r="23" spans="2:18" ht="24" customHeight="1" x14ac:dyDescent="0.35">
      <c r="B23" s="189" t="s">
        <v>205</v>
      </c>
      <c r="C23" s="183">
        <v>2344000</v>
      </c>
      <c r="D23" s="183">
        <v>0</v>
      </c>
      <c r="E23" s="183">
        <v>1706200</v>
      </c>
      <c r="F23" s="183">
        <v>0</v>
      </c>
      <c r="G23" s="183">
        <v>2799000</v>
      </c>
      <c r="H23" s="183">
        <v>0</v>
      </c>
      <c r="I23" s="183">
        <v>1390050</v>
      </c>
      <c r="J23" s="183">
        <v>0</v>
      </c>
      <c r="K23" s="183">
        <v>56386012.753359377</v>
      </c>
      <c r="M23" s="183">
        <f t="shared" si="0"/>
        <v>54496837.787359379</v>
      </c>
      <c r="N23" s="183">
        <f>'APPENDIX 24 ii'!I23+'APPENDIX 24 i'!K23+'APPENDIX 24 i'!I23</f>
        <v>1889174.966</v>
      </c>
      <c r="P23" s="183">
        <f>M23+'APPENDIX  25 iv'!P21+'APPENDIX 26 i'!I21</f>
        <v>77703499.700729385</v>
      </c>
      <c r="Q23" s="183">
        <f>N23+'APPENDIX  25 iv'!Q21</f>
        <v>13794549.686999999</v>
      </c>
      <c r="R23" s="183">
        <f t="shared" si="1"/>
        <v>91498049.387729377</v>
      </c>
    </row>
    <row r="24" spans="2:18" ht="24" customHeight="1" x14ac:dyDescent="0.35">
      <c r="B24" s="189" t="s">
        <v>206</v>
      </c>
      <c r="C24" s="183">
        <v>2221.794760000083</v>
      </c>
      <c r="D24" s="183">
        <v>102669.78079</v>
      </c>
      <c r="E24" s="183">
        <v>36045.26497340206</v>
      </c>
      <c r="F24" s="183">
        <v>30797.454686245648</v>
      </c>
      <c r="G24" s="183">
        <v>93068.103110000025</v>
      </c>
      <c r="H24" s="183">
        <v>2568.3424199999999</v>
      </c>
      <c r="I24" s="183">
        <v>6967.6679999999997</v>
      </c>
      <c r="J24" s="183">
        <v>0</v>
      </c>
      <c r="K24" s="183">
        <v>1245853.1020631951</v>
      </c>
      <c r="M24" s="183">
        <f t="shared" si="0"/>
        <v>1245853.1020631951</v>
      </c>
      <c r="N24" s="183">
        <f>'APPENDIX 24 ii'!I24+'APPENDIX 24 i'!K24+'APPENDIX 24 i'!I24</f>
        <v>0</v>
      </c>
      <c r="P24" s="183">
        <f>M24+'APPENDIX  25 iv'!P22+'APPENDIX 26 i'!I22</f>
        <v>2940541.3052992681</v>
      </c>
      <c r="Q24" s="183">
        <f>N24+'APPENDIX  25 iv'!Q22</f>
        <v>138079.08500862808</v>
      </c>
      <c r="R24" s="183">
        <f t="shared" si="1"/>
        <v>3078620.3903078963</v>
      </c>
    </row>
    <row r="25" spans="2:18" ht="24" customHeight="1" x14ac:dyDescent="0.35">
      <c r="B25" s="189" t="s">
        <v>207</v>
      </c>
      <c r="C25" s="183">
        <v>8190863.1723500006</v>
      </c>
      <c r="D25" s="183">
        <v>11431434.244000001</v>
      </c>
      <c r="E25" s="183">
        <v>6061482.9996600011</v>
      </c>
      <c r="F25" s="183">
        <v>4941076.7074604547</v>
      </c>
      <c r="G25" s="183">
        <v>30839550.625004768</v>
      </c>
      <c r="H25" s="183">
        <v>22745.16</v>
      </c>
      <c r="I25" s="183">
        <v>581000</v>
      </c>
      <c r="J25" s="183">
        <v>0</v>
      </c>
      <c r="K25" s="183">
        <v>693368653.64259458</v>
      </c>
      <c r="M25" s="183">
        <f t="shared" si="0"/>
        <v>684607930.52131462</v>
      </c>
      <c r="N25" s="183">
        <f>'APPENDIX 24 ii'!I25+'APPENDIX 24 i'!K25+'APPENDIX 24 i'!I25</f>
        <v>8760723.1212799773</v>
      </c>
      <c r="P25" s="183">
        <f>M25+'APPENDIX  25 iv'!P23+'APPENDIX 26 i'!I23</f>
        <v>788359840.57547975</v>
      </c>
      <c r="Q25" s="183">
        <f>N25+'APPENDIX  25 iv'!Q23</f>
        <v>35606705.438502938</v>
      </c>
      <c r="R25" s="183">
        <f t="shared" si="1"/>
        <v>823966546.01398265</v>
      </c>
    </row>
    <row r="26" spans="2:18" ht="24" customHeight="1" x14ac:dyDescent="0.35">
      <c r="B26" s="189" t="s">
        <v>208</v>
      </c>
      <c r="C26" s="183">
        <v>250128.92869</v>
      </c>
      <c r="D26" s="183">
        <v>638336.84089999995</v>
      </c>
      <c r="E26" s="183">
        <v>0</v>
      </c>
      <c r="F26" s="183">
        <v>0</v>
      </c>
      <c r="G26" s="183">
        <v>0</v>
      </c>
      <c r="H26" s="183">
        <v>0</v>
      </c>
      <c r="I26" s="183">
        <v>0</v>
      </c>
      <c r="J26" s="183">
        <v>0</v>
      </c>
      <c r="K26" s="183">
        <v>16986255.60168571</v>
      </c>
      <c r="M26" s="183">
        <f t="shared" si="0"/>
        <v>16986255.60168571</v>
      </c>
      <c r="N26" s="183">
        <f>'APPENDIX 24 ii'!I26+'APPENDIX 24 i'!K26+'APPENDIX 24 i'!I26</f>
        <v>0</v>
      </c>
      <c r="P26" s="183">
        <f>M26+'APPENDIX  25 iv'!P24+'APPENDIX 26 i'!I24</f>
        <v>17481808.144544575</v>
      </c>
      <c r="Q26" s="183">
        <f>N26+'APPENDIX  25 iv'!Q24</f>
        <v>717944.55826505786</v>
      </c>
      <c r="R26" s="183">
        <f t="shared" si="1"/>
        <v>18199752.702809632</v>
      </c>
    </row>
    <row r="27" spans="2:18" ht="24" customHeight="1" x14ac:dyDescent="0.35">
      <c r="B27" s="189" t="s">
        <v>209</v>
      </c>
      <c r="C27" s="183">
        <v>0</v>
      </c>
      <c r="D27" s="183">
        <v>2127736.1627799999</v>
      </c>
      <c r="E27" s="183">
        <v>0</v>
      </c>
      <c r="F27" s="183">
        <v>0</v>
      </c>
      <c r="G27" s="183">
        <v>0</v>
      </c>
      <c r="H27" s="183">
        <v>0</v>
      </c>
      <c r="I27" s="183">
        <v>0</v>
      </c>
      <c r="J27" s="183">
        <v>0</v>
      </c>
      <c r="K27" s="183">
        <v>13209714.052850351</v>
      </c>
      <c r="M27" s="183">
        <f t="shared" si="0"/>
        <v>13209714.052850351</v>
      </c>
      <c r="N27" s="183">
        <f>'APPENDIX 24 ii'!I27+'APPENDIX 24 i'!K27+'APPENDIX 24 i'!I27</f>
        <v>0</v>
      </c>
      <c r="P27" s="183">
        <f>M27+'APPENDIX  25 iv'!P25+'APPENDIX 26 i'!I25</f>
        <v>19912630.061810341</v>
      </c>
      <c r="Q27" s="183">
        <f>N27+'APPENDIX  25 iv'!Q25</f>
        <v>12567784.074760001</v>
      </c>
      <c r="R27" s="183">
        <f t="shared" si="1"/>
        <v>32480414.136570342</v>
      </c>
    </row>
    <row r="28" spans="2:18" ht="24" customHeight="1" x14ac:dyDescent="0.35">
      <c r="B28" s="189" t="s">
        <v>210</v>
      </c>
      <c r="C28" s="183">
        <v>0</v>
      </c>
      <c r="D28" s="183">
        <v>52669.652470000001</v>
      </c>
      <c r="E28" s="183">
        <v>7950</v>
      </c>
      <c r="F28" s="183">
        <v>0</v>
      </c>
      <c r="G28" s="183">
        <v>0</v>
      </c>
      <c r="H28" s="183">
        <v>0</v>
      </c>
      <c r="I28" s="183">
        <v>0</v>
      </c>
      <c r="J28" s="183">
        <v>0</v>
      </c>
      <c r="K28" s="183">
        <v>682784.76206650282</v>
      </c>
      <c r="M28" s="183">
        <f t="shared" si="0"/>
        <v>682784.76206650282</v>
      </c>
      <c r="N28" s="183">
        <f>'APPENDIX 24 ii'!I28+'APPENDIX 24 i'!K28+'APPENDIX 24 i'!I28</f>
        <v>0</v>
      </c>
      <c r="P28" s="183">
        <f>M28+'APPENDIX  25 iv'!P26+'APPENDIX 26 i'!I26</f>
        <v>852889.05148647225</v>
      </c>
      <c r="Q28" s="183">
        <f>N28+'APPENDIX  25 iv'!Q26</f>
        <v>46268.504000000001</v>
      </c>
      <c r="R28" s="183">
        <f t="shared" si="1"/>
        <v>899157.55548647221</v>
      </c>
    </row>
    <row r="29" spans="2:18" ht="24" customHeight="1" x14ac:dyDescent="0.35">
      <c r="B29" s="189" t="s">
        <v>211</v>
      </c>
      <c r="C29" s="183">
        <v>0</v>
      </c>
      <c r="D29" s="183">
        <v>0</v>
      </c>
      <c r="E29" s="183">
        <v>0</v>
      </c>
      <c r="F29" s="183">
        <v>0</v>
      </c>
      <c r="G29" s="183">
        <v>0</v>
      </c>
      <c r="H29" s="183">
        <v>0</v>
      </c>
      <c r="I29" s="183">
        <v>0</v>
      </c>
      <c r="J29" s="183">
        <v>0</v>
      </c>
      <c r="K29" s="183">
        <v>71411.506640000007</v>
      </c>
      <c r="M29" s="183">
        <f t="shared" si="0"/>
        <v>71411.506640000007</v>
      </c>
      <c r="N29" s="183">
        <f>'APPENDIX 24 ii'!I29+'APPENDIX 24 i'!K29+'APPENDIX 24 i'!I29</f>
        <v>0</v>
      </c>
      <c r="P29" s="183">
        <f>M29+'APPENDIX  25 iv'!P27+'APPENDIX 26 i'!I27</f>
        <v>72884.250640000013</v>
      </c>
      <c r="Q29" s="183">
        <f>N29+'APPENDIX  25 iv'!Q27</f>
        <v>0</v>
      </c>
      <c r="R29" s="183">
        <f t="shared" si="1"/>
        <v>72884.250640000013</v>
      </c>
    </row>
    <row r="30" spans="2:18" ht="24" customHeight="1" x14ac:dyDescent="0.35">
      <c r="B30" s="189" t="s">
        <v>212</v>
      </c>
      <c r="C30" s="183">
        <v>0</v>
      </c>
      <c r="D30" s="183">
        <v>0</v>
      </c>
      <c r="E30" s="183">
        <v>0</v>
      </c>
      <c r="F30" s="183">
        <v>0</v>
      </c>
      <c r="G30" s="183">
        <v>0</v>
      </c>
      <c r="H30" s="183">
        <v>0</v>
      </c>
      <c r="I30" s="183">
        <v>0</v>
      </c>
      <c r="J30" s="183">
        <v>0</v>
      </c>
      <c r="K30" s="183">
        <v>0</v>
      </c>
      <c r="M30" s="183">
        <f t="shared" si="0"/>
        <v>0</v>
      </c>
      <c r="N30" s="183">
        <f>'APPENDIX 24 ii'!I30+'APPENDIX 24 i'!K30+'APPENDIX 24 i'!I30</f>
        <v>0</v>
      </c>
      <c r="P30" s="183">
        <f>M30+'APPENDIX  25 iv'!P28+'APPENDIX 26 i'!I28</f>
        <v>357021.46899999998</v>
      </c>
      <c r="Q30" s="183">
        <f>N30+'APPENDIX  25 iv'!Q28</f>
        <v>0</v>
      </c>
      <c r="R30" s="183">
        <f t="shared" si="1"/>
        <v>357021.46899999998</v>
      </c>
    </row>
    <row r="31" spans="2:18" ht="24" customHeight="1" x14ac:dyDescent="0.35">
      <c r="B31" s="189" t="s">
        <v>213</v>
      </c>
      <c r="C31" s="183">
        <v>465732.20899999997</v>
      </c>
      <c r="D31" s="183">
        <v>239898.70475</v>
      </c>
      <c r="E31" s="183">
        <v>762494.32134999998</v>
      </c>
      <c r="F31" s="183">
        <v>0</v>
      </c>
      <c r="G31" s="183">
        <v>0</v>
      </c>
      <c r="H31" s="183">
        <v>0</v>
      </c>
      <c r="I31" s="183">
        <v>0</v>
      </c>
      <c r="J31" s="183">
        <v>0</v>
      </c>
      <c r="K31" s="183">
        <v>22753776.166522481</v>
      </c>
      <c r="M31" s="183">
        <f t="shared" si="0"/>
        <v>22529003.28752248</v>
      </c>
      <c r="N31" s="183">
        <f>'APPENDIX 24 ii'!I31+'APPENDIX 24 i'!K31+'APPENDIX 24 i'!I31</f>
        <v>224772.87900000002</v>
      </c>
      <c r="P31" s="183">
        <f>M31+'APPENDIX  25 iv'!P29+'APPENDIX 26 i'!I29</f>
        <v>25835003.253220167</v>
      </c>
      <c r="Q31" s="183">
        <f>N31+'APPENDIX  25 iv'!Q29</f>
        <v>1498373.4650000001</v>
      </c>
      <c r="R31" s="183">
        <f t="shared" si="1"/>
        <v>27333376.718220167</v>
      </c>
    </row>
    <row r="32" spans="2:18" ht="24" customHeight="1" x14ac:dyDescent="0.35">
      <c r="B32" s="189" t="s">
        <v>214</v>
      </c>
      <c r="C32" s="183">
        <v>442611.08572999999</v>
      </c>
      <c r="D32" s="183">
        <v>109962.408</v>
      </c>
      <c r="E32" s="183">
        <v>0</v>
      </c>
      <c r="F32" s="183">
        <v>0</v>
      </c>
      <c r="G32" s="183">
        <v>0</v>
      </c>
      <c r="H32" s="183">
        <v>0</v>
      </c>
      <c r="I32" s="183">
        <v>0</v>
      </c>
      <c r="J32" s="183">
        <v>0</v>
      </c>
      <c r="K32" s="183">
        <v>9144538.3499455508</v>
      </c>
      <c r="M32" s="183">
        <f t="shared" si="0"/>
        <v>9144538.3499455508</v>
      </c>
      <c r="N32" s="183">
        <f>'APPENDIX 24 ii'!I32+'APPENDIX 24 i'!K32+'APPENDIX 24 i'!I32</f>
        <v>0</v>
      </c>
      <c r="P32" s="183">
        <f>M32+'APPENDIX  25 iv'!P30+'APPENDIX 26 i'!I30</f>
        <v>13332208.600033453</v>
      </c>
      <c r="Q32" s="183">
        <f>N32+'APPENDIX  25 iv'!Q30</f>
        <v>603113.14922333299</v>
      </c>
      <c r="R32" s="183">
        <f t="shared" si="1"/>
        <v>13935321.749256786</v>
      </c>
    </row>
    <row r="33" spans="2:18" ht="24" customHeight="1" x14ac:dyDescent="0.35">
      <c r="B33" s="189" t="s">
        <v>215</v>
      </c>
      <c r="C33" s="183">
        <v>0</v>
      </c>
      <c r="D33" s="183">
        <v>0</v>
      </c>
      <c r="E33" s="183">
        <v>0</v>
      </c>
      <c r="F33" s="183">
        <v>0</v>
      </c>
      <c r="G33" s="183">
        <v>0</v>
      </c>
      <c r="H33" s="183">
        <v>0</v>
      </c>
      <c r="I33" s="183">
        <v>0</v>
      </c>
      <c r="J33" s="183">
        <v>0</v>
      </c>
      <c r="K33" s="183">
        <v>1001.176</v>
      </c>
      <c r="M33" s="183">
        <f t="shared" si="0"/>
        <v>1001.176</v>
      </c>
      <c r="N33" s="183">
        <f>'APPENDIX 24 ii'!I33+'APPENDIX 24 i'!K33+'APPENDIX 24 i'!I33</f>
        <v>0</v>
      </c>
      <c r="P33" s="183">
        <f>M33+'APPENDIX  25 iv'!P31+'APPENDIX 26 i'!I31</f>
        <v>1403.2760000000001</v>
      </c>
      <c r="Q33" s="183">
        <f>N33+'APPENDIX  25 iv'!Q31</f>
        <v>64.623999999999995</v>
      </c>
      <c r="R33" s="183">
        <f t="shared" si="1"/>
        <v>1467.9</v>
      </c>
    </row>
    <row r="34" spans="2:18" ht="24" customHeight="1" x14ac:dyDescent="0.35">
      <c r="B34" s="189" t="s">
        <v>216</v>
      </c>
      <c r="C34" s="183">
        <v>0</v>
      </c>
      <c r="D34" s="183">
        <v>0</v>
      </c>
      <c r="E34" s="183">
        <v>200000</v>
      </c>
      <c r="F34" s="183">
        <v>0</v>
      </c>
      <c r="G34" s="183">
        <v>0</v>
      </c>
      <c r="H34" s="183">
        <v>0</v>
      </c>
      <c r="I34" s="183">
        <v>0</v>
      </c>
      <c r="J34" s="183">
        <v>0</v>
      </c>
      <c r="K34" s="183">
        <v>1348768.8289999999</v>
      </c>
      <c r="M34" s="183">
        <f t="shared" si="0"/>
        <v>1348768.8289999999</v>
      </c>
      <c r="N34" s="183">
        <f>'APPENDIX 24 ii'!I34+'APPENDIX 24 i'!K34+'APPENDIX 24 i'!I34</f>
        <v>0</v>
      </c>
      <c r="P34" s="183">
        <f>M34+'APPENDIX  25 iv'!P32+'APPENDIX 26 i'!I32</f>
        <v>1348827.8289999999</v>
      </c>
      <c r="Q34" s="183">
        <f>N34+'APPENDIX  25 iv'!Q32</f>
        <v>0</v>
      </c>
      <c r="R34" s="183">
        <f t="shared" si="1"/>
        <v>1348827.8289999999</v>
      </c>
    </row>
    <row r="35" spans="2:18" ht="24" customHeight="1" x14ac:dyDescent="0.35">
      <c r="B35" s="189" t="s">
        <v>217</v>
      </c>
      <c r="C35" s="183">
        <v>0</v>
      </c>
      <c r="D35" s="183">
        <v>74555.289310000007</v>
      </c>
      <c r="E35" s="183">
        <v>380960.94188</v>
      </c>
      <c r="F35" s="183">
        <v>2203.2848100000001</v>
      </c>
      <c r="G35" s="183">
        <v>0</v>
      </c>
      <c r="H35" s="183">
        <v>0</v>
      </c>
      <c r="I35" s="183">
        <v>1573476.284</v>
      </c>
      <c r="J35" s="183">
        <v>0</v>
      </c>
      <c r="K35" s="183">
        <v>3808610.229174912</v>
      </c>
      <c r="M35" s="183">
        <f t="shared" si="0"/>
        <v>3808610.229174912</v>
      </c>
      <c r="N35" s="183">
        <f>'APPENDIX 24 ii'!I35+'APPENDIX 24 i'!K35+'APPENDIX 24 i'!I35</f>
        <v>0</v>
      </c>
      <c r="P35" s="183">
        <f>M35+'APPENDIX  25 iv'!P33+'APPENDIX 26 i'!I33</f>
        <v>6493831.8811233109</v>
      </c>
      <c r="Q35" s="183">
        <f>N35+'APPENDIX  25 iv'!Q33</f>
        <v>37260.509979999988</v>
      </c>
      <c r="R35" s="183">
        <f t="shared" si="1"/>
        <v>6531092.3911033105</v>
      </c>
    </row>
    <row r="36" spans="2:18" ht="24" customHeight="1" x14ac:dyDescent="0.35">
      <c r="B36" s="189" t="s">
        <v>218</v>
      </c>
      <c r="C36" s="183">
        <v>0</v>
      </c>
      <c r="D36" s="183">
        <v>0</v>
      </c>
      <c r="E36" s="183">
        <v>0</v>
      </c>
      <c r="F36" s="183">
        <v>0</v>
      </c>
      <c r="G36" s="183">
        <v>57149.055</v>
      </c>
      <c r="H36" s="183">
        <v>0</v>
      </c>
      <c r="I36" s="183">
        <v>0</v>
      </c>
      <c r="J36" s="183">
        <v>0</v>
      </c>
      <c r="K36" s="183">
        <v>2014302.64209</v>
      </c>
      <c r="M36" s="183">
        <f t="shared" si="0"/>
        <v>2014302.64209</v>
      </c>
      <c r="N36" s="183">
        <f>'APPENDIX 24 ii'!I36+'APPENDIX 24 i'!K36+'APPENDIX 24 i'!I36</f>
        <v>0</v>
      </c>
      <c r="P36" s="183">
        <f>M36+'APPENDIX  25 iv'!P34+'APPENDIX 26 i'!I34</f>
        <v>2349580.8978278134</v>
      </c>
      <c r="Q36" s="183">
        <f>N36+'APPENDIX  25 iv'!Q34</f>
        <v>931617.8386152999</v>
      </c>
      <c r="R36" s="183">
        <f t="shared" si="1"/>
        <v>3281198.7364431135</v>
      </c>
    </row>
    <row r="37" spans="2:18" ht="24" customHeight="1" x14ac:dyDescent="0.35">
      <c r="B37" s="189" t="s">
        <v>219</v>
      </c>
      <c r="C37" s="183">
        <v>969981.82826665998</v>
      </c>
      <c r="D37" s="183">
        <v>1001821.70481</v>
      </c>
      <c r="E37" s="183">
        <v>813263.4217399992</v>
      </c>
      <c r="F37" s="183">
        <v>780620.2896660812</v>
      </c>
      <c r="G37" s="183">
        <v>1587212.5530000001</v>
      </c>
      <c r="H37" s="183">
        <v>0</v>
      </c>
      <c r="I37" s="183">
        <v>370717.57036149298</v>
      </c>
      <c r="J37" s="183">
        <v>0</v>
      </c>
      <c r="K37" s="183">
        <v>89158595.711225718</v>
      </c>
      <c r="M37" s="183">
        <f t="shared" si="0"/>
        <v>83281621.755369663</v>
      </c>
      <c r="N37" s="183">
        <f>'APPENDIX 24 ii'!I37+'APPENDIX 24 i'!K37+'APPENDIX 24 i'!I37</f>
        <v>5876973.9558560485</v>
      </c>
      <c r="P37" s="183">
        <f>M37+'APPENDIX  25 iv'!P35+'APPENDIX 26 i'!I35</f>
        <v>114659927.71417907</v>
      </c>
      <c r="Q37" s="183">
        <f>N37+'APPENDIX  25 iv'!Q35</f>
        <v>17502424.735181328</v>
      </c>
      <c r="R37" s="183">
        <f t="shared" si="1"/>
        <v>132162352.4493604</v>
      </c>
    </row>
    <row r="38" spans="2:18" ht="24" customHeight="1" x14ac:dyDescent="0.35">
      <c r="B38" s="189" t="s">
        <v>220</v>
      </c>
      <c r="C38" s="183">
        <v>143247.31909999999</v>
      </c>
      <c r="D38" s="183">
        <v>338623.47596000001</v>
      </c>
      <c r="E38" s="183">
        <v>20727.028999999999</v>
      </c>
      <c r="F38" s="183">
        <v>131121.7726618</v>
      </c>
      <c r="G38" s="183">
        <v>179047.10620000001</v>
      </c>
      <c r="H38" s="183">
        <v>21616.936000000002</v>
      </c>
      <c r="I38" s="183">
        <v>34406.817999999999</v>
      </c>
      <c r="J38" s="183">
        <v>0</v>
      </c>
      <c r="K38" s="183">
        <v>9005265.5737423133</v>
      </c>
      <c r="M38" s="183">
        <f t="shared" si="0"/>
        <v>8533085.3917423133</v>
      </c>
      <c r="N38" s="183">
        <f>'APPENDIX 24 ii'!I38+'APPENDIX 24 i'!K38+'APPENDIX 24 i'!I38</f>
        <v>472180.18200000003</v>
      </c>
      <c r="P38" s="183">
        <f>M38+'APPENDIX  25 iv'!P36+'APPENDIX 26 i'!I36</f>
        <v>17738132.281250998</v>
      </c>
      <c r="Q38" s="183">
        <f>N38+'APPENDIX  25 iv'!Q36</f>
        <v>1951163.8249415038</v>
      </c>
      <c r="R38" s="183">
        <f t="shared" si="1"/>
        <v>19689296.106192503</v>
      </c>
    </row>
    <row r="39" spans="2:18" ht="24" customHeight="1" x14ac:dyDescent="0.35">
      <c r="B39" s="189" t="s">
        <v>221</v>
      </c>
      <c r="C39" s="183">
        <v>0</v>
      </c>
      <c r="D39" s="183">
        <v>0</v>
      </c>
      <c r="E39" s="183">
        <v>0</v>
      </c>
      <c r="F39" s="183">
        <v>196728.7407208232</v>
      </c>
      <c r="G39" s="183">
        <v>0</v>
      </c>
      <c r="H39" s="183">
        <v>0</v>
      </c>
      <c r="I39" s="183">
        <v>289187.02</v>
      </c>
      <c r="J39" s="183">
        <v>0</v>
      </c>
      <c r="K39" s="183">
        <v>1245968.831720823</v>
      </c>
      <c r="M39" s="183">
        <f t="shared" si="0"/>
        <v>943160.88972082292</v>
      </c>
      <c r="N39" s="183">
        <f>'APPENDIX 24 ii'!I39+'APPENDIX 24 i'!K39+'APPENDIX 24 i'!I39</f>
        <v>302807.94199999998</v>
      </c>
      <c r="P39" s="183">
        <f>M39+'APPENDIX  25 iv'!P37+'APPENDIX 26 i'!I37</f>
        <v>7595344.9632187244</v>
      </c>
      <c r="Q39" s="183">
        <f>N39+'APPENDIX  25 iv'!Q37</f>
        <v>2381145.0799437435</v>
      </c>
      <c r="R39" s="183">
        <f t="shared" si="1"/>
        <v>9976490.0431624688</v>
      </c>
    </row>
    <row r="40" spans="2:18" ht="24" customHeight="1" x14ac:dyDescent="0.35">
      <c r="B40" s="189" t="s">
        <v>222</v>
      </c>
      <c r="C40" s="183">
        <v>94303.228000000003</v>
      </c>
      <c r="D40" s="183">
        <v>592656.94499999995</v>
      </c>
      <c r="E40" s="183">
        <v>315467.70983504638</v>
      </c>
      <c r="F40" s="183">
        <v>141930.2039403792</v>
      </c>
      <c r="G40" s="183">
        <v>381128.40806273278</v>
      </c>
      <c r="H40" s="183">
        <v>1214.6264755034681</v>
      </c>
      <c r="I40" s="183">
        <v>165761.973</v>
      </c>
      <c r="J40" s="183">
        <v>0</v>
      </c>
      <c r="K40" s="183">
        <v>9926083.4056609757</v>
      </c>
      <c r="M40" s="183">
        <f t="shared" si="0"/>
        <v>9629542.285612151</v>
      </c>
      <c r="N40" s="183">
        <f>'APPENDIX 24 ii'!I40+'APPENDIX 24 i'!K40+'APPENDIX 24 i'!I40</f>
        <v>296541.12004882476</v>
      </c>
      <c r="P40" s="183">
        <f>M40+'APPENDIX  25 iv'!P38+'APPENDIX 26 i'!I38</f>
        <v>65445767.807357386</v>
      </c>
      <c r="Q40" s="183">
        <f>N40+'APPENDIX  25 iv'!Q38</f>
        <v>4539999.879611833</v>
      </c>
      <c r="R40" s="183">
        <f t="shared" si="1"/>
        <v>69985767.686969221</v>
      </c>
    </row>
    <row r="41" spans="2:18" ht="24" customHeight="1" x14ac:dyDescent="0.35">
      <c r="B41" s="189" t="s">
        <v>223</v>
      </c>
      <c r="C41" s="183">
        <v>220859.43552999999</v>
      </c>
      <c r="D41" s="183">
        <v>0</v>
      </c>
      <c r="E41" s="183">
        <v>88397.926020000014</v>
      </c>
      <c r="F41" s="183">
        <v>3948.71839</v>
      </c>
      <c r="G41" s="183">
        <v>310491.82509000011</v>
      </c>
      <c r="H41" s="183">
        <v>634934.58695999999</v>
      </c>
      <c r="I41" s="183">
        <v>5981.3637213067996</v>
      </c>
      <c r="J41" s="183">
        <v>0</v>
      </c>
      <c r="K41" s="183">
        <v>6302731.5946756667</v>
      </c>
      <c r="M41" s="183">
        <f t="shared" si="0"/>
        <v>6225262.1109956671</v>
      </c>
      <c r="N41" s="183">
        <f>'APPENDIX 24 ii'!I41+'APPENDIX 24 i'!K41+'APPENDIX 24 i'!I41</f>
        <v>77469.483680000005</v>
      </c>
      <c r="P41" s="183">
        <f>M41+'APPENDIX  25 iv'!P39+'APPENDIX 26 i'!I39</f>
        <v>10764705.561551442</v>
      </c>
      <c r="Q41" s="183">
        <f>N41+'APPENDIX  25 iv'!Q39</f>
        <v>2371251.4831600003</v>
      </c>
      <c r="R41" s="183">
        <f t="shared" si="1"/>
        <v>13135957.044711443</v>
      </c>
    </row>
    <row r="42" spans="2:18" ht="24" customHeight="1" x14ac:dyDescent="0.35">
      <c r="B42" s="189" t="s">
        <v>224</v>
      </c>
      <c r="C42" s="183">
        <v>180964.10648819679</v>
      </c>
      <c r="D42" s="183">
        <v>1388996.3933930639</v>
      </c>
      <c r="E42" s="183">
        <v>3031388.393467824</v>
      </c>
      <c r="F42" s="183">
        <v>148526.2218410538</v>
      </c>
      <c r="G42" s="183">
        <v>20795.183509999981</v>
      </c>
      <c r="H42" s="183">
        <v>3158.157440441546</v>
      </c>
      <c r="I42" s="183">
        <v>0</v>
      </c>
      <c r="J42" s="183">
        <v>0</v>
      </c>
      <c r="K42" s="183">
        <v>13596558.103747901</v>
      </c>
      <c r="M42" s="183">
        <f t="shared" si="0"/>
        <v>13596558.103747901</v>
      </c>
      <c r="N42" s="183">
        <f>'APPENDIX 24 ii'!I42+'APPENDIX 24 i'!K42+'APPENDIX 24 i'!I42</f>
        <v>0</v>
      </c>
      <c r="P42" s="183">
        <f>M42+'APPENDIX  25 iv'!P40+'APPENDIX 26 i'!I40</f>
        <v>33805275.446641468</v>
      </c>
      <c r="Q42" s="183">
        <f>N42+'APPENDIX  25 iv'!Q40</f>
        <v>1351129.1113795964</v>
      </c>
      <c r="R42" s="183">
        <f t="shared" si="1"/>
        <v>35156404.558021061</v>
      </c>
    </row>
    <row r="43" spans="2:18" ht="24" customHeight="1" thickBot="1" x14ac:dyDescent="0.4">
      <c r="B43" s="190" t="s">
        <v>225</v>
      </c>
      <c r="C43" s="185">
        <v>13312256.36353486</v>
      </c>
      <c r="D43" s="185">
        <v>18110764.021403059</v>
      </c>
      <c r="E43" s="185">
        <v>13430157.59716627</v>
      </c>
      <c r="F43" s="185">
        <v>6393612.9478468401</v>
      </c>
      <c r="G43" s="185">
        <v>36267442.858977497</v>
      </c>
      <c r="H43" s="185">
        <v>693099.53829594504</v>
      </c>
      <c r="I43" s="185">
        <v>6212148.6970827999</v>
      </c>
      <c r="J43" s="185">
        <v>0</v>
      </c>
      <c r="K43" s="185">
        <v>955392958.86047578</v>
      </c>
      <c r="M43" s="185">
        <f t="shared" si="0"/>
        <v>937492315.11061096</v>
      </c>
      <c r="N43" s="185">
        <f>'APPENDIX 24 ii'!I43+'APPENDIX 24 i'!K43+'APPENDIX 24 i'!I43</f>
        <v>17900643.749864854</v>
      </c>
      <c r="P43" s="185">
        <f>M43+'APPENDIX  25 iv'!P41+'APPENDIX 26 i'!I41</f>
        <v>1218839059.9330165</v>
      </c>
      <c r="Q43" s="185">
        <f>N43+'APPENDIX  25 iv'!Q41</f>
        <v>96494562.36541453</v>
      </c>
      <c r="R43" s="185">
        <f t="shared" si="1"/>
        <v>1315333622.2984312</v>
      </c>
    </row>
    <row r="44" spans="2:18" ht="18" customHeight="1" thickTop="1" x14ac:dyDescent="0.35">
      <c r="B44" s="201" t="s">
        <v>226</v>
      </c>
      <c r="C44" s="217"/>
      <c r="D44" s="202"/>
    </row>
    <row r="45" spans="2:18" ht="19.5" customHeight="1" x14ac:dyDescent="0.35">
      <c r="E45" s="154"/>
      <c r="F45" s="154"/>
      <c r="G45" s="154"/>
      <c r="H45" s="154"/>
      <c r="I45" s="154"/>
      <c r="J45" s="154"/>
      <c r="K45" s="154"/>
    </row>
    <row r="46" spans="2:18" ht="15.5" customHeight="1" x14ac:dyDescent="0.35"/>
    <row r="47" spans="2:18" ht="19.5" customHeight="1" x14ac:dyDescent="0.35">
      <c r="K47" s="212"/>
      <c r="M47" s="212">
        <f>M43-M40-M39-M41-M42-M38-M24-M21-M22</f>
        <v>892182780.50101948</v>
      </c>
      <c r="N47" s="212">
        <f>N43-N40-N39-N41-N42-N38-N24-N21-N22</f>
        <v>16751644.922136029</v>
      </c>
      <c r="P47" s="212">
        <f>P43-P40-P39-P41-P42-P38-P24-P21-P22</f>
        <v>1068761356.7050748</v>
      </c>
      <c r="Q47" s="212">
        <f>Q43-Q40-Q39-Q41-Q42-Q38-Q24-Q21-Q22</f>
        <v>83306106.584527984</v>
      </c>
      <c r="R47" s="212">
        <f>R43-R40-R39-R41-R42-R38-R24-R21-R22</f>
        <v>1152067463.2896025</v>
      </c>
    </row>
  </sheetData>
  <sheetProtection algorithmName="SHA-512" hashValue="dtNcDlX6qFRQkanM5Guk8Sq43p1v3JA1y4M2tHGSKBu3QwLULaRJ2osS6vU3F5gwH3Vh9LLTaIjhVOVI3x2AHA==" saltValue="VVrOptKlUs5FZHAn/t1x9g==" spinCount="100000" sheet="1" objects="1" scenarios="1"/>
  <mergeCells count="2">
    <mergeCell ref="B4:K4"/>
    <mergeCell ref="P4:R4"/>
  </mergeCells>
  <pageMargins left="0.7" right="0.7" top="0.75" bottom="0.75" header="0.3" footer="0.3"/>
  <pageSetup paperSize="9" scale="42"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32">
    <tabColor rgb="FF92D050"/>
    <pageSetUpPr fitToPage="1"/>
  </sheetPr>
  <dimension ref="B4:L44"/>
  <sheetViews>
    <sheetView zoomScale="70" zoomScaleNormal="70" workbookViewId="0">
      <pane xSplit="2" ySplit="5" topLeftCell="F34" activePane="bottomRight" state="frozen"/>
      <selection pane="topRight" activeCell="C1" sqref="C1"/>
      <selection pane="bottomLeft" activeCell="A6" sqref="A6"/>
      <selection pane="bottomRight" activeCell="I45" sqref="I45"/>
    </sheetView>
  </sheetViews>
  <sheetFormatPr defaultColWidth="9.453125" defaultRowHeight="14" x14ac:dyDescent="0.3"/>
  <cols>
    <col min="1" max="1" width="16.453125" style="2" customWidth="1"/>
    <col min="2" max="2" width="36.54296875" style="2" customWidth="1"/>
    <col min="3" max="11" width="23.54296875" style="2" customWidth="1"/>
    <col min="12" max="12" width="22" style="2" customWidth="1"/>
    <col min="13" max="63" width="9.453125" style="2" customWidth="1"/>
    <col min="64" max="16384" width="9.453125" style="2"/>
  </cols>
  <sheetData>
    <row r="4" spans="2:12" ht="24" customHeight="1" x14ac:dyDescent="0.35">
      <c r="B4" s="264" t="str">
        <f>_xlfn.CONCAT('Table of Contents'!B39,": ",'Table of Contents'!C39)</f>
        <v>APPENDIX 25 i: SUMMARY OF GENERAL INSURANCE BUSINESS BALANCE SHEETS AS AT 31.03.2025</v>
      </c>
      <c r="C4" s="252"/>
      <c r="D4" s="252"/>
      <c r="E4" s="252"/>
      <c r="F4" s="252"/>
      <c r="G4" s="252"/>
      <c r="H4" s="252"/>
      <c r="I4" s="252"/>
      <c r="J4" s="252"/>
      <c r="K4" s="252"/>
      <c r="L4" s="253"/>
    </row>
    <row r="5" spans="2:12" ht="57.75" customHeight="1" x14ac:dyDescent="0.3">
      <c r="B5" s="195" t="s">
        <v>232</v>
      </c>
      <c r="C5" s="191" t="s">
        <v>54</v>
      </c>
      <c r="D5" s="191" t="s">
        <v>55</v>
      </c>
      <c r="E5" s="191" t="s">
        <v>56</v>
      </c>
      <c r="F5" s="191" t="s">
        <v>57</v>
      </c>
      <c r="G5" s="191" t="s">
        <v>58</v>
      </c>
      <c r="H5" s="191" t="s">
        <v>59</v>
      </c>
      <c r="I5" s="191" t="s">
        <v>92</v>
      </c>
      <c r="J5" s="191" t="s">
        <v>60</v>
      </c>
      <c r="K5" s="191" t="s">
        <v>61</v>
      </c>
      <c r="L5" s="191" t="s">
        <v>62</v>
      </c>
    </row>
    <row r="6" spans="2:12" ht="24" customHeight="1" x14ac:dyDescent="0.3">
      <c r="B6" s="153" t="s">
        <v>188</v>
      </c>
      <c r="C6" s="192">
        <v>1017626.572</v>
      </c>
      <c r="D6" s="192">
        <v>987386</v>
      </c>
      <c r="E6" s="192">
        <v>1250000</v>
      </c>
      <c r="F6" s="192">
        <v>2668000</v>
      </c>
      <c r="G6" s="192">
        <v>453960.46</v>
      </c>
      <c r="H6" s="192">
        <v>1700000</v>
      </c>
      <c r="I6" s="192">
        <v>1000000</v>
      </c>
      <c r="J6" s="192">
        <v>484386.36</v>
      </c>
      <c r="K6" s="192">
        <v>625352.92188497086</v>
      </c>
      <c r="L6" s="192">
        <v>300000</v>
      </c>
    </row>
    <row r="7" spans="2:12" ht="24" customHeight="1" x14ac:dyDescent="0.3">
      <c r="B7" s="153" t="s">
        <v>233</v>
      </c>
      <c r="C7" s="192">
        <v>460523</v>
      </c>
      <c r="D7" s="192">
        <v>0</v>
      </c>
      <c r="E7" s="192">
        <v>0</v>
      </c>
      <c r="F7" s="192">
        <v>0</v>
      </c>
      <c r="G7" s="192">
        <v>583039.52</v>
      </c>
      <c r="H7" s="192">
        <v>0</v>
      </c>
      <c r="I7" s="192">
        <v>0</v>
      </c>
      <c r="J7" s="192">
        <v>0</v>
      </c>
      <c r="K7" s="192">
        <v>0</v>
      </c>
      <c r="L7" s="192">
        <v>0</v>
      </c>
    </row>
    <row r="8" spans="2:12" ht="24" customHeight="1" x14ac:dyDescent="0.3">
      <c r="B8" s="153" t="s">
        <v>234</v>
      </c>
      <c r="C8" s="192">
        <v>0</v>
      </c>
      <c r="D8" s="192">
        <v>26469.27908</v>
      </c>
      <c r="E8" s="192">
        <v>234618.57339682651</v>
      </c>
      <c r="F8" s="192">
        <v>0</v>
      </c>
      <c r="G8" s="192">
        <v>74345</v>
      </c>
      <c r="H8" s="192">
        <v>0</v>
      </c>
      <c r="I8" s="192">
        <v>0</v>
      </c>
      <c r="J8" s="192">
        <v>0</v>
      </c>
      <c r="K8" s="192">
        <v>0</v>
      </c>
      <c r="L8" s="192">
        <v>-17519.573279453281</v>
      </c>
    </row>
    <row r="9" spans="2:12" ht="24" customHeight="1" x14ac:dyDescent="0.3">
      <c r="B9" s="153" t="s">
        <v>192</v>
      </c>
      <c r="C9" s="192">
        <v>0</v>
      </c>
      <c r="D9" s="192">
        <v>0</v>
      </c>
      <c r="E9" s="192">
        <v>500000</v>
      </c>
      <c r="F9" s="192">
        <v>0</v>
      </c>
      <c r="G9" s="192">
        <v>-86582</v>
      </c>
      <c r="H9" s="192">
        <v>205115.1678719302</v>
      </c>
      <c r="I9" s="192">
        <v>695.00199999999995</v>
      </c>
      <c r="J9" s="192">
        <v>0</v>
      </c>
      <c r="K9" s="192">
        <v>0</v>
      </c>
      <c r="L9" s="192">
        <v>0</v>
      </c>
    </row>
    <row r="10" spans="2:12" ht="24" customHeight="1" x14ac:dyDescent="0.3">
      <c r="B10" s="153" t="s">
        <v>193</v>
      </c>
      <c r="C10" s="192">
        <v>903332.91106938047</v>
      </c>
      <c r="D10" s="192">
        <v>240136.7267395345</v>
      </c>
      <c r="E10" s="192">
        <v>4749455.4022740433</v>
      </c>
      <c r="F10" s="192">
        <v>4484827.5270584114</v>
      </c>
      <c r="G10" s="192">
        <v>-230183.75295630921</v>
      </c>
      <c r="H10" s="192">
        <v>3811175.5828464301</v>
      </c>
      <c r="I10" s="192">
        <v>1818995.8433070739</v>
      </c>
      <c r="J10" s="192">
        <v>369532.9611586539</v>
      </c>
      <c r="K10" s="192">
        <v>0</v>
      </c>
      <c r="L10" s="192">
        <v>-2567865.196582004</v>
      </c>
    </row>
    <row r="11" spans="2:12" ht="24" customHeight="1" x14ac:dyDescent="0.3">
      <c r="B11" s="153" t="s">
        <v>194</v>
      </c>
      <c r="C11" s="192">
        <v>0</v>
      </c>
      <c r="D11" s="192">
        <v>0</v>
      </c>
      <c r="E11" s="192">
        <v>0</v>
      </c>
      <c r="F11" s="192">
        <v>0</v>
      </c>
      <c r="G11" s="192">
        <v>0</v>
      </c>
      <c r="H11" s="192">
        <v>0</v>
      </c>
      <c r="I11" s="192">
        <v>-76192.104999999996</v>
      </c>
      <c r="J11" s="192">
        <v>32245.5</v>
      </c>
      <c r="K11" s="192">
        <v>0</v>
      </c>
      <c r="L11" s="192">
        <v>0</v>
      </c>
    </row>
    <row r="12" spans="2:12" s="113" customFormat="1" ht="24" customHeight="1" thickBot="1" x14ac:dyDescent="0.4">
      <c r="B12" s="188" t="s">
        <v>195</v>
      </c>
      <c r="C12" s="193">
        <v>2381482.4830693812</v>
      </c>
      <c r="D12" s="193">
        <v>1253992.0058195351</v>
      </c>
      <c r="E12" s="193">
        <v>6734073.9756708695</v>
      </c>
      <c r="F12" s="193">
        <v>7152827.5270584114</v>
      </c>
      <c r="G12" s="193">
        <v>794579.22704369086</v>
      </c>
      <c r="H12" s="193">
        <v>5716290.7507183598</v>
      </c>
      <c r="I12" s="193">
        <v>2743498.740307074</v>
      </c>
      <c r="J12" s="193">
        <v>886164.82115865394</v>
      </c>
      <c r="K12" s="193">
        <v>625352.92188497086</v>
      </c>
      <c r="L12" s="193">
        <v>-2285384.7698614579</v>
      </c>
    </row>
    <row r="13" spans="2:12" ht="24" customHeight="1" thickTop="1" x14ac:dyDescent="0.3">
      <c r="B13" s="153" t="s">
        <v>197</v>
      </c>
      <c r="C13" s="192">
        <v>4631735.9120087251</v>
      </c>
      <c r="D13" s="192">
        <v>2372157.75839925</v>
      </c>
      <c r="E13" s="192">
        <v>11473624.20570218</v>
      </c>
      <c r="F13" s="192">
        <v>11449355.051911689</v>
      </c>
      <c r="G13" s="192">
        <v>2397288.5568743208</v>
      </c>
      <c r="H13" s="192">
        <v>11486172.881099891</v>
      </c>
      <c r="I13" s="192">
        <v>5646741.7960000001</v>
      </c>
      <c r="J13" s="192">
        <v>430834.09860997542</v>
      </c>
      <c r="K13" s="192">
        <v>59144.932413214679</v>
      </c>
      <c r="L13" s="192">
        <v>9222930.2352055721</v>
      </c>
    </row>
    <row r="14" spans="2:12" ht="24" customHeight="1" x14ac:dyDescent="0.3">
      <c r="B14" s="153" t="s">
        <v>198</v>
      </c>
      <c r="C14" s="192">
        <v>0</v>
      </c>
      <c r="D14" s="192">
        <v>9132.4104277930001</v>
      </c>
      <c r="E14" s="192">
        <v>0</v>
      </c>
      <c r="F14" s="192">
        <v>357076.05764047301</v>
      </c>
      <c r="G14" s="192">
        <v>0</v>
      </c>
      <c r="H14" s="192">
        <v>0</v>
      </c>
      <c r="I14" s="192">
        <v>199243.38800000001</v>
      </c>
      <c r="J14" s="192">
        <v>0</v>
      </c>
      <c r="K14" s="192">
        <v>0</v>
      </c>
      <c r="L14" s="192">
        <v>0</v>
      </c>
    </row>
    <row r="15" spans="2:12" ht="24" customHeight="1" x14ac:dyDescent="0.3">
      <c r="B15" s="153" t="s">
        <v>199</v>
      </c>
      <c r="C15" s="192">
        <v>0</v>
      </c>
      <c r="D15" s="192">
        <v>77502.024999999994</v>
      </c>
      <c r="E15" s="192">
        <v>0</v>
      </c>
      <c r="F15" s="192">
        <v>0</v>
      </c>
      <c r="G15" s="192">
        <v>90445.995150000002</v>
      </c>
      <c r="H15" s="192">
        <v>0</v>
      </c>
      <c r="I15" s="192">
        <v>0</v>
      </c>
      <c r="J15" s="192">
        <v>0</v>
      </c>
      <c r="K15" s="192">
        <v>0</v>
      </c>
      <c r="L15" s="192">
        <v>0</v>
      </c>
    </row>
    <row r="16" spans="2:12" ht="24" customHeight="1" x14ac:dyDescent="0.3">
      <c r="B16" s="153" t="s">
        <v>200</v>
      </c>
      <c r="C16" s="192">
        <v>873779.41224189184</v>
      </c>
      <c r="D16" s="192">
        <v>151147.36600000001</v>
      </c>
      <c r="E16" s="192">
        <v>989020.66693083337</v>
      </c>
      <c r="F16" s="192">
        <v>903918.92027337977</v>
      </c>
      <c r="G16" s="192">
        <v>302715.41800000001</v>
      </c>
      <c r="H16" s="192">
        <v>904179.30264710658</v>
      </c>
      <c r="I16" s="192">
        <v>0</v>
      </c>
      <c r="J16" s="192">
        <v>126887.451974182</v>
      </c>
      <c r="K16" s="192">
        <v>0</v>
      </c>
      <c r="L16" s="192">
        <v>178708.986</v>
      </c>
    </row>
    <row r="17" spans="2:12" ht="24" customHeight="1" x14ac:dyDescent="0.3">
      <c r="B17" s="153" t="s">
        <v>201</v>
      </c>
      <c r="C17" s="192">
        <v>235211.51450534919</v>
      </c>
      <c r="D17" s="192">
        <v>145037.84280999989</v>
      </c>
      <c r="E17" s="192">
        <v>213670.03439064071</v>
      </c>
      <c r="F17" s="192">
        <v>903882.28270109755</v>
      </c>
      <c r="G17" s="192">
        <v>30741.774690487029</v>
      </c>
      <c r="H17" s="192">
        <v>124957.5688668267</v>
      </c>
      <c r="I17" s="192">
        <v>224445.139</v>
      </c>
      <c r="J17" s="192">
        <v>15594.481999999951</v>
      </c>
      <c r="K17" s="192">
        <v>66007.430205129058</v>
      </c>
      <c r="L17" s="192">
        <v>112804.268</v>
      </c>
    </row>
    <row r="18" spans="2:12" ht="24" customHeight="1" thickBot="1" x14ac:dyDescent="0.35">
      <c r="B18" s="196" t="s">
        <v>202</v>
      </c>
      <c r="C18" s="197">
        <v>8122209.3218253469</v>
      </c>
      <c r="D18" s="197">
        <v>4008969.4084565779</v>
      </c>
      <c r="E18" s="197">
        <v>19410388.88269452</v>
      </c>
      <c r="F18" s="197">
        <v>20767059.839585051</v>
      </c>
      <c r="G18" s="197">
        <v>3615770.9717584988</v>
      </c>
      <c r="H18" s="197">
        <v>18231600.503332179</v>
      </c>
      <c r="I18" s="197">
        <v>8813929.063307073</v>
      </c>
      <c r="J18" s="197">
        <v>1459480.8537428109</v>
      </c>
      <c r="K18" s="197">
        <v>750505.28450331464</v>
      </c>
      <c r="L18" s="197">
        <v>7229058.719344114</v>
      </c>
    </row>
    <row r="19" spans="2:12" ht="24" customHeight="1" thickTop="1" x14ac:dyDescent="0.3">
      <c r="B19" s="153" t="s">
        <v>203</v>
      </c>
      <c r="C19" s="194">
        <v>12487.75359</v>
      </c>
      <c r="D19" s="194">
        <v>30506.760999999999</v>
      </c>
      <c r="E19" s="194">
        <v>31285.735860000019</v>
      </c>
      <c r="F19" s="194">
        <v>110646.0034399999</v>
      </c>
      <c r="G19" s="194">
        <v>10604.262000000001</v>
      </c>
      <c r="H19" s="194">
        <v>41203.035200000013</v>
      </c>
      <c r="I19" s="194">
        <v>0</v>
      </c>
      <c r="J19" s="194">
        <v>1025.3</v>
      </c>
      <c r="K19" s="194">
        <v>68000</v>
      </c>
      <c r="L19" s="194">
        <v>0</v>
      </c>
    </row>
    <row r="20" spans="2:12" ht="24" customHeight="1" x14ac:dyDescent="0.3">
      <c r="B20" s="153" t="s">
        <v>204</v>
      </c>
      <c r="C20" s="194">
        <v>0</v>
      </c>
      <c r="D20" s="194">
        <v>1060778.246</v>
      </c>
      <c r="E20" s="194">
        <v>0</v>
      </c>
      <c r="F20" s="194">
        <v>0</v>
      </c>
      <c r="G20" s="194">
        <v>92500</v>
      </c>
      <c r="H20" s="194">
        <v>232537.53099999999</v>
      </c>
      <c r="I20" s="194">
        <v>0</v>
      </c>
      <c r="J20" s="194">
        <v>0</v>
      </c>
      <c r="K20" s="194">
        <v>0</v>
      </c>
      <c r="L20" s="194">
        <v>0</v>
      </c>
    </row>
    <row r="21" spans="2:12" ht="24" customHeight="1" x14ac:dyDescent="0.3">
      <c r="B21" s="153" t="s">
        <v>205</v>
      </c>
      <c r="C21" s="194">
        <v>0</v>
      </c>
      <c r="D21" s="194">
        <v>563000</v>
      </c>
      <c r="E21" s="194">
        <v>1070000</v>
      </c>
      <c r="F21" s="194">
        <v>0</v>
      </c>
      <c r="G21" s="194">
        <v>637973.30099999998</v>
      </c>
      <c r="H21" s="194">
        <v>1602000</v>
      </c>
      <c r="I21" s="194">
        <v>0</v>
      </c>
      <c r="J21" s="194">
        <v>698735.74199999997</v>
      </c>
      <c r="K21" s="194">
        <v>0</v>
      </c>
      <c r="L21" s="194">
        <v>2505000</v>
      </c>
    </row>
    <row r="22" spans="2:12" ht="24" customHeight="1" x14ac:dyDescent="0.3">
      <c r="B22" s="153" t="s">
        <v>206</v>
      </c>
      <c r="C22" s="194">
        <v>41459.623709999993</v>
      </c>
      <c r="D22" s="194">
        <v>66782.471543749998</v>
      </c>
      <c r="E22" s="194">
        <v>39355.887867916659</v>
      </c>
      <c r="F22" s="194">
        <v>112983.3083099995</v>
      </c>
      <c r="G22" s="194">
        <v>6364.533557546416</v>
      </c>
      <c r="H22" s="194">
        <v>112193.3374895383</v>
      </c>
      <c r="I22" s="194">
        <v>41669.930999999997</v>
      </c>
      <c r="J22" s="194">
        <v>3568.4226727800001</v>
      </c>
      <c r="K22" s="194">
        <v>21221.240061083328</v>
      </c>
      <c r="L22" s="194">
        <v>39806.30156</v>
      </c>
    </row>
    <row r="23" spans="2:12" ht="24" customHeight="1" x14ac:dyDescent="0.3">
      <c r="B23" s="153" t="s">
        <v>207</v>
      </c>
      <c r="C23" s="194">
        <v>3620545.78101</v>
      </c>
      <c r="D23" s="194">
        <v>1336120.41493</v>
      </c>
      <c r="E23" s="194">
        <v>9679247.4599281345</v>
      </c>
      <c r="F23" s="194">
        <v>13610666.171490001</v>
      </c>
      <c r="G23" s="194">
        <v>287617.06346553733</v>
      </c>
      <c r="H23" s="194">
        <v>7805136.2429283448</v>
      </c>
      <c r="I23" s="194">
        <v>3053656.3171299999</v>
      </c>
      <c r="J23" s="194">
        <v>82504.092000000004</v>
      </c>
      <c r="K23" s="194">
        <v>600000</v>
      </c>
      <c r="L23" s="194">
        <v>902728.68215999997</v>
      </c>
    </row>
    <row r="24" spans="2:12" ht="24" customHeight="1" x14ac:dyDescent="0.3">
      <c r="B24" s="153" t="s">
        <v>208</v>
      </c>
      <c r="C24" s="194">
        <v>0</v>
      </c>
      <c r="D24" s="194">
        <v>0</v>
      </c>
      <c r="E24" s="194">
        <v>94072.701690000002</v>
      </c>
      <c r="F24" s="194">
        <v>0</v>
      </c>
      <c r="G24" s="194">
        <v>0</v>
      </c>
      <c r="H24" s="194">
        <v>298864.423768865</v>
      </c>
      <c r="I24" s="194">
        <v>0</v>
      </c>
      <c r="J24" s="194">
        <v>0</v>
      </c>
      <c r="K24" s="194">
        <v>0</v>
      </c>
      <c r="L24" s="194">
        <v>0</v>
      </c>
    </row>
    <row r="25" spans="2:12" ht="24" customHeight="1" x14ac:dyDescent="0.3">
      <c r="B25" s="153" t="s">
        <v>209</v>
      </c>
      <c r="C25" s="194">
        <v>442626.57199999999</v>
      </c>
      <c r="D25" s="194">
        <v>0</v>
      </c>
      <c r="E25" s="194">
        <v>383072.23752000002</v>
      </c>
      <c r="F25" s="194">
        <v>100000</v>
      </c>
      <c r="G25" s="194">
        <v>14225.441000000001</v>
      </c>
      <c r="H25" s="194">
        <v>0</v>
      </c>
      <c r="I25" s="194">
        <v>0</v>
      </c>
      <c r="J25" s="194">
        <v>0</v>
      </c>
      <c r="K25" s="194">
        <v>0</v>
      </c>
      <c r="L25" s="194">
        <v>0</v>
      </c>
    </row>
    <row r="26" spans="2:12" ht="24" customHeight="1" x14ac:dyDescent="0.3">
      <c r="B26" s="153" t="s">
        <v>210</v>
      </c>
      <c r="C26" s="194">
        <v>0</v>
      </c>
      <c r="D26" s="194">
        <v>0</v>
      </c>
      <c r="E26" s="194">
        <v>0</v>
      </c>
      <c r="F26" s="194">
        <v>0</v>
      </c>
      <c r="G26" s="194">
        <v>0</v>
      </c>
      <c r="H26" s="194">
        <v>4104.1181307999996</v>
      </c>
      <c r="I26" s="194">
        <v>0</v>
      </c>
      <c r="J26" s="194">
        <v>0</v>
      </c>
      <c r="K26" s="194">
        <v>0</v>
      </c>
      <c r="L26" s="194">
        <v>0</v>
      </c>
    </row>
    <row r="27" spans="2:12" ht="24" customHeight="1" x14ac:dyDescent="0.3">
      <c r="B27" s="153" t="s">
        <v>211</v>
      </c>
      <c r="C27" s="194">
        <v>0</v>
      </c>
      <c r="D27" s="194">
        <v>0</v>
      </c>
      <c r="E27" s="194">
        <v>0</v>
      </c>
      <c r="F27" s="194">
        <v>0</v>
      </c>
      <c r="G27" s="194">
        <v>0</v>
      </c>
      <c r="H27" s="194">
        <v>0</v>
      </c>
      <c r="I27" s="194">
        <v>0</v>
      </c>
      <c r="J27" s="194">
        <v>0</v>
      </c>
      <c r="K27" s="194">
        <v>0</v>
      </c>
      <c r="L27" s="194">
        <v>0</v>
      </c>
    </row>
    <row r="28" spans="2:12" ht="24" customHeight="1" x14ac:dyDescent="0.3">
      <c r="B28" s="153" t="s">
        <v>212</v>
      </c>
      <c r="C28" s="194">
        <v>0</v>
      </c>
      <c r="D28" s="194">
        <v>0</v>
      </c>
      <c r="E28" s="194">
        <v>0</v>
      </c>
      <c r="F28" s="194">
        <v>0</v>
      </c>
      <c r="G28" s="194">
        <v>0</v>
      </c>
      <c r="H28" s="194">
        <v>0</v>
      </c>
      <c r="I28" s="194">
        <v>0</v>
      </c>
      <c r="J28" s="194">
        <v>0</v>
      </c>
      <c r="K28" s="194">
        <v>0</v>
      </c>
      <c r="L28" s="194">
        <v>0</v>
      </c>
    </row>
    <row r="29" spans="2:12" ht="24" customHeight="1" x14ac:dyDescent="0.3">
      <c r="B29" s="153" t="s">
        <v>213</v>
      </c>
      <c r="C29" s="194">
        <v>0</v>
      </c>
      <c r="D29" s="194">
        <v>939.81700000000001</v>
      </c>
      <c r="E29" s="194">
        <v>763295.59745</v>
      </c>
      <c r="F29" s="194">
        <v>0</v>
      </c>
      <c r="G29" s="194">
        <v>0</v>
      </c>
      <c r="H29" s="194">
        <v>301109.14474999998</v>
      </c>
      <c r="I29" s="194">
        <v>0</v>
      </c>
      <c r="J29" s="194">
        <v>0</v>
      </c>
      <c r="K29" s="194">
        <v>0</v>
      </c>
      <c r="L29" s="194">
        <v>78757.648000000001</v>
      </c>
    </row>
    <row r="30" spans="2:12" ht="24" customHeight="1" x14ac:dyDescent="0.3">
      <c r="B30" s="153" t="s">
        <v>214</v>
      </c>
      <c r="C30" s="194">
        <v>0</v>
      </c>
      <c r="D30" s="194">
        <v>0</v>
      </c>
      <c r="E30" s="194">
        <v>17689.757699999998</v>
      </c>
      <c r="F30" s="194">
        <v>0</v>
      </c>
      <c r="G30" s="194">
        <v>1437.932</v>
      </c>
      <c r="H30" s="194">
        <v>18957.818599999999</v>
      </c>
      <c r="I30" s="194">
        <v>0</v>
      </c>
      <c r="J30" s="194">
        <v>1784.97156</v>
      </c>
      <c r="K30" s="194">
        <v>0</v>
      </c>
      <c r="L30" s="194">
        <v>0</v>
      </c>
    </row>
    <row r="31" spans="2:12" ht="24" customHeight="1" x14ac:dyDescent="0.3">
      <c r="B31" s="153" t="s">
        <v>215</v>
      </c>
      <c r="C31" s="194">
        <v>0</v>
      </c>
      <c r="D31" s="194">
        <v>0</v>
      </c>
      <c r="E31" s="194">
        <v>0</v>
      </c>
      <c r="F31" s="194">
        <v>0</v>
      </c>
      <c r="G31" s="194">
        <v>0</v>
      </c>
      <c r="H31" s="194">
        <v>0</v>
      </c>
      <c r="I31" s="194">
        <v>0</v>
      </c>
      <c r="J31" s="194">
        <v>0</v>
      </c>
      <c r="K31" s="194">
        <v>0</v>
      </c>
      <c r="L31" s="194">
        <v>0</v>
      </c>
    </row>
    <row r="32" spans="2:12" ht="24" customHeight="1" x14ac:dyDescent="0.3">
      <c r="B32" s="153" t="s">
        <v>216</v>
      </c>
      <c r="C32" s="194">
        <v>0</v>
      </c>
      <c r="D32" s="194">
        <v>0</v>
      </c>
      <c r="E32" s="194">
        <v>0</v>
      </c>
      <c r="F32" s="194">
        <v>0</v>
      </c>
      <c r="G32" s="194">
        <v>0</v>
      </c>
      <c r="H32" s="194">
        <v>0</v>
      </c>
      <c r="I32" s="194">
        <v>0</v>
      </c>
      <c r="J32" s="194">
        <v>0</v>
      </c>
      <c r="K32" s="194">
        <v>0</v>
      </c>
      <c r="L32" s="194">
        <v>0</v>
      </c>
    </row>
    <row r="33" spans="2:12" ht="24" customHeight="1" x14ac:dyDescent="0.3">
      <c r="B33" s="153" t="s">
        <v>217</v>
      </c>
      <c r="C33" s="194">
        <v>0</v>
      </c>
      <c r="D33" s="194">
        <v>0</v>
      </c>
      <c r="E33" s="194">
        <v>19508.51829</v>
      </c>
      <c r="F33" s="194">
        <v>0</v>
      </c>
      <c r="G33" s="194">
        <v>187544.07800000001</v>
      </c>
      <c r="H33" s="194">
        <v>0</v>
      </c>
      <c r="I33" s="194">
        <v>5078.8429999999998</v>
      </c>
      <c r="J33" s="194">
        <v>10944.620150000001</v>
      </c>
      <c r="K33" s="194">
        <v>0</v>
      </c>
      <c r="L33" s="194">
        <v>657144.23008000001</v>
      </c>
    </row>
    <row r="34" spans="2:12" ht="24" customHeight="1" x14ac:dyDescent="0.3">
      <c r="B34" s="153" t="s">
        <v>218</v>
      </c>
      <c r="C34" s="194">
        <v>0</v>
      </c>
      <c r="D34" s="194">
        <v>0</v>
      </c>
      <c r="E34" s="194">
        <v>50223.082170000001</v>
      </c>
      <c r="F34" s="194">
        <v>0</v>
      </c>
      <c r="G34" s="194">
        <v>13157.69562</v>
      </c>
      <c r="H34" s="194">
        <v>24046.187150000002</v>
      </c>
      <c r="I34" s="194">
        <v>0</v>
      </c>
      <c r="J34" s="194">
        <v>0</v>
      </c>
      <c r="K34" s="194">
        <v>0</v>
      </c>
      <c r="L34" s="194">
        <v>0</v>
      </c>
    </row>
    <row r="35" spans="2:12" ht="24" customHeight="1" x14ac:dyDescent="0.3">
      <c r="B35" s="153" t="s">
        <v>219</v>
      </c>
      <c r="C35" s="194">
        <v>1274072.2256700001</v>
      </c>
      <c r="D35" s="194">
        <v>87234.159000000014</v>
      </c>
      <c r="E35" s="194">
        <v>2277795.2677530129</v>
      </c>
      <c r="F35" s="194">
        <v>876674.7090899999</v>
      </c>
      <c r="G35" s="194">
        <v>480234.19805462129</v>
      </c>
      <c r="H35" s="194">
        <v>3959328.7722499999</v>
      </c>
      <c r="I35" s="194">
        <v>534173.870060866</v>
      </c>
      <c r="J35" s="194">
        <v>930.20869999999991</v>
      </c>
      <c r="K35" s="194">
        <v>0</v>
      </c>
      <c r="L35" s="194">
        <v>947173.78652999992</v>
      </c>
    </row>
    <row r="36" spans="2:12" ht="24" customHeight="1" x14ac:dyDescent="0.3">
      <c r="B36" s="153" t="s">
        <v>220</v>
      </c>
      <c r="C36" s="194">
        <v>499491.598</v>
      </c>
      <c r="D36" s="194">
        <v>163816.9785096503</v>
      </c>
      <c r="E36" s="194">
        <v>327664.25311065448</v>
      </c>
      <c r="F36" s="194">
        <v>561282.63544000033</v>
      </c>
      <c r="G36" s="194">
        <v>-122525.9498</v>
      </c>
      <c r="H36" s="194">
        <v>424310.07822999929</v>
      </c>
      <c r="I36" s="194">
        <v>44993.071239999997</v>
      </c>
      <c r="J36" s="194">
        <v>24292.274870789941</v>
      </c>
      <c r="K36" s="194">
        <v>19403.35585</v>
      </c>
      <c r="L36" s="194">
        <v>-407095.38911999989</v>
      </c>
    </row>
    <row r="37" spans="2:12" ht="24" customHeight="1" x14ac:dyDescent="0.3">
      <c r="B37" s="153" t="s">
        <v>221</v>
      </c>
      <c r="C37" s="194">
        <v>0</v>
      </c>
      <c r="D37" s="194">
        <v>398.62048351800081</v>
      </c>
      <c r="E37" s="194">
        <v>0</v>
      </c>
      <c r="F37" s="194">
        <v>125499.52202504021</v>
      </c>
      <c r="G37" s="194">
        <v>0</v>
      </c>
      <c r="H37" s="194">
        <v>0</v>
      </c>
      <c r="I37" s="194">
        <v>434878.141</v>
      </c>
      <c r="J37" s="194">
        <v>0</v>
      </c>
      <c r="K37" s="194">
        <v>0</v>
      </c>
      <c r="L37" s="194">
        <v>87174.336759999991</v>
      </c>
    </row>
    <row r="38" spans="2:12" ht="24" customHeight="1" x14ac:dyDescent="0.3">
      <c r="B38" s="153" t="s">
        <v>222</v>
      </c>
      <c r="C38" s="194">
        <v>1434662.537269999</v>
      </c>
      <c r="D38" s="194">
        <v>363304.508073</v>
      </c>
      <c r="E38" s="194">
        <v>3971631.5656642038</v>
      </c>
      <c r="F38" s="194">
        <v>3677019.6792188571</v>
      </c>
      <c r="G38" s="194">
        <v>975737.79145274975</v>
      </c>
      <c r="H38" s="194">
        <v>2214659.0862713172</v>
      </c>
      <c r="I38" s="194">
        <v>2889324.4189627338</v>
      </c>
      <c r="J38" s="194">
        <v>433230.65899748972</v>
      </c>
      <c r="K38" s="194">
        <v>4670.8638254735133</v>
      </c>
      <c r="L38" s="194">
        <v>0</v>
      </c>
    </row>
    <row r="39" spans="2:12" ht="24" customHeight="1" x14ac:dyDescent="0.3">
      <c r="B39" s="153" t="s">
        <v>223</v>
      </c>
      <c r="C39" s="194">
        <v>110216.45836</v>
      </c>
      <c r="D39" s="194">
        <v>17170.687999999998</v>
      </c>
      <c r="E39" s="194">
        <v>23329.549594810731</v>
      </c>
      <c r="F39" s="194">
        <v>432528.29963999998</v>
      </c>
      <c r="G39" s="194">
        <v>70051.181793181822</v>
      </c>
      <c r="H39" s="194">
        <v>597832.56711331999</v>
      </c>
      <c r="I39" s="194">
        <v>1025696.65247</v>
      </c>
      <c r="J39" s="194">
        <v>113451.03866427</v>
      </c>
      <c r="K39" s="194">
        <v>9929.8112000000001</v>
      </c>
      <c r="L39" s="194">
        <v>272060.848</v>
      </c>
    </row>
    <row r="40" spans="2:12" ht="24" customHeight="1" x14ac:dyDescent="0.3">
      <c r="B40" s="153" t="s">
        <v>224</v>
      </c>
      <c r="C40" s="194">
        <v>686646.77204999991</v>
      </c>
      <c r="D40" s="194">
        <v>318916.74328376068</v>
      </c>
      <c r="E40" s="194">
        <v>662217.26809578342</v>
      </c>
      <c r="F40" s="194">
        <v>1159759.5109311531</v>
      </c>
      <c r="G40" s="194">
        <v>960849.44419000007</v>
      </c>
      <c r="H40" s="194">
        <v>595318.16044999985</v>
      </c>
      <c r="I40" s="194">
        <v>784457.81799999997</v>
      </c>
      <c r="J40" s="194">
        <v>89013.524737849992</v>
      </c>
      <c r="K40" s="194">
        <v>27280.01419694948</v>
      </c>
      <c r="L40" s="194">
        <v>2146308.2753957072</v>
      </c>
    </row>
    <row r="41" spans="2:12" ht="24" customHeight="1" thickBot="1" x14ac:dyDescent="0.35">
      <c r="B41" s="196" t="s">
        <v>225</v>
      </c>
      <c r="C41" s="197">
        <v>8122209.3216599971</v>
      </c>
      <c r="D41" s="197">
        <v>4008969.407823679</v>
      </c>
      <c r="E41" s="197">
        <v>19410388.88269452</v>
      </c>
      <c r="F41" s="197">
        <v>20767059.839585051</v>
      </c>
      <c r="G41" s="197">
        <v>3615770.9723336361</v>
      </c>
      <c r="H41" s="197">
        <v>18231600.503332179</v>
      </c>
      <c r="I41" s="197">
        <v>8813929.0628635995</v>
      </c>
      <c r="J41" s="197">
        <v>1459480.8543531799</v>
      </c>
      <c r="K41" s="197">
        <v>750505.2851335064</v>
      </c>
      <c r="L41" s="197">
        <v>7229058.7193657067</v>
      </c>
    </row>
    <row r="42" spans="2:12" ht="18" customHeight="1" thickTop="1" x14ac:dyDescent="0.3">
      <c r="B42" s="201" t="s">
        <v>235</v>
      </c>
      <c r="L42" s="200" t="s">
        <v>227</v>
      </c>
    </row>
    <row r="44" spans="2:12" x14ac:dyDescent="0.3">
      <c r="C44" s="206"/>
      <c r="D44" s="206"/>
      <c r="E44" s="206"/>
      <c r="F44" s="206"/>
      <c r="G44" s="206"/>
      <c r="H44" s="206"/>
      <c r="I44" s="206"/>
      <c r="J44" s="206"/>
      <c r="K44" s="206"/>
      <c r="L44" s="206"/>
    </row>
  </sheetData>
  <sheetProtection algorithmName="SHA-512" hashValue="pmDCkAVEdBjH8/52SWDbsANidBOSkMQddFGopXat/ePiaRPU7XrpoTksV2lIL9FSh3+U2hQQFdM/S/Ei8nnRwQ==" saltValue="HFzoYRfRXC9V5ioAciFvxw==" spinCount="100000" sheet="1" objects="1" scenarios="1"/>
  <mergeCells count="1">
    <mergeCell ref="B4:L4"/>
  </mergeCells>
  <pageMargins left="0.7" right="0.7" top="0.75" bottom="0.75" header="0.3" footer="0.3"/>
  <pageSetup paperSize="9" scale="43"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33">
    <tabColor rgb="FF92D050"/>
    <pageSetUpPr fitToPage="1"/>
  </sheetPr>
  <dimension ref="B3:L43"/>
  <sheetViews>
    <sheetView zoomScale="70" zoomScaleNormal="70" workbookViewId="0">
      <pane xSplit="2" ySplit="5" topLeftCell="E33" activePane="bottomRight" state="frozen"/>
      <selection pane="topRight" activeCell="C1" sqref="C1"/>
      <selection pane="bottomLeft" activeCell="A6" sqref="A6"/>
      <selection pane="bottomRight" activeCell="B3" sqref="B3:L42"/>
    </sheetView>
  </sheetViews>
  <sheetFormatPr defaultColWidth="9.453125" defaultRowHeight="14" x14ac:dyDescent="0.3"/>
  <cols>
    <col min="1" max="1" width="16.453125" style="2" customWidth="1"/>
    <col min="2" max="2" width="39.7265625" style="2" bestFit="1" customWidth="1"/>
    <col min="3" max="12" width="21.54296875" style="2" customWidth="1"/>
    <col min="13" max="13" width="12.6328125" style="2" customWidth="1"/>
    <col min="14" max="64" width="9.453125" style="2" customWidth="1"/>
    <col min="65" max="16384" width="9.453125" style="2"/>
  </cols>
  <sheetData>
    <row r="3" spans="2:12" ht="15.5" customHeight="1" x14ac:dyDescent="0.35">
      <c r="B3" s="304" t="s">
        <v>228</v>
      </c>
      <c r="C3" s="303"/>
      <c r="D3" s="303"/>
      <c r="E3" s="303"/>
      <c r="F3" s="303"/>
      <c r="G3" s="303"/>
      <c r="H3" s="303"/>
      <c r="I3" s="303"/>
      <c r="J3" s="303"/>
      <c r="K3" s="303"/>
      <c r="L3" s="303"/>
    </row>
    <row r="4" spans="2:12" ht="25.5" customHeight="1" x14ac:dyDescent="0.35">
      <c r="B4" s="264" t="str">
        <f>_xlfn.CONCAT('Table of Contents'!B40,": ",'Table of Contents'!C40)</f>
        <v>APPENDIX 25 ii: SUMMARY OF GENERAL INSURANCE BUSINESS BALANCE SHEETS AS AT 31.03.2025</v>
      </c>
      <c r="C4" s="252"/>
      <c r="D4" s="252"/>
      <c r="E4" s="252"/>
      <c r="F4" s="252"/>
      <c r="G4" s="252"/>
      <c r="H4" s="252"/>
      <c r="I4" s="252"/>
      <c r="J4" s="252"/>
      <c r="K4" s="252"/>
      <c r="L4" s="253"/>
    </row>
    <row r="5" spans="2:12" ht="47" customHeight="1" x14ac:dyDescent="0.3">
      <c r="B5" s="195" t="s">
        <v>232</v>
      </c>
      <c r="C5" s="191" t="s">
        <v>93</v>
      </c>
      <c r="D5" s="191" t="s">
        <v>63</v>
      </c>
      <c r="E5" s="191" t="s">
        <v>64</v>
      </c>
      <c r="F5" s="191" t="s">
        <v>65</v>
      </c>
      <c r="G5" s="191" t="s">
        <v>66</v>
      </c>
      <c r="H5" s="191" t="s">
        <v>67</v>
      </c>
      <c r="I5" s="191" t="s">
        <v>94</v>
      </c>
      <c r="J5" s="191" t="s">
        <v>68</v>
      </c>
      <c r="K5" s="191" t="s">
        <v>69</v>
      </c>
      <c r="L5" s="191" t="s">
        <v>70</v>
      </c>
    </row>
    <row r="6" spans="2:12" ht="24" customHeight="1" x14ac:dyDescent="0.3">
      <c r="B6" s="153" t="s">
        <v>188</v>
      </c>
      <c r="C6" s="192">
        <v>1000000</v>
      </c>
      <c r="D6" s="192">
        <v>600000</v>
      </c>
      <c r="E6" s="192">
        <v>600000</v>
      </c>
      <c r="F6" s="192">
        <v>810000</v>
      </c>
      <c r="G6" s="192">
        <v>1500000</v>
      </c>
      <c r="H6" s="192">
        <v>1006250</v>
      </c>
      <c r="I6" s="192">
        <v>1000000</v>
      </c>
      <c r="J6" s="192">
        <v>1000000</v>
      </c>
      <c r="K6" s="192">
        <v>700000</v>
      </c>
      <c r="L6" s="192">
        <v>0</v>
      </c>
    </row>
    <row r="7" spans="2:12" ht="24" customHeight="1" x14ac:dyDescent="0.3">
      <c r="B7" s="153" t="s">
        <v>233</v>
      </c>
      <c r="C7" s="192">
        <v>0</v>
      </c>
      <c r="D7" s="192">
        <v>0</v>
      </c>
      <c r="E7" s="192">
        <v>0</v>
      </c>
      <c r="F7" s="192">
        <v>512138.51</v>
      </c>
      <c r="G7" s="192">
        <v>0</v>
      </c>
      <c r="H7" s="192">
        <v>0</v>
      </c>
      <c r="I7" s="192">
        <v>10871.242</v>
      </c>
      <c r="J7" s="192">
        <v>0</v>
      </c>
      <c r="K7" s="192">
        <v>0</v>
      </c>
      <c r="L7" s="192">
        <v>0</v>
      </c>
    </row>
    <row r="8" spans="2:12" ht="24" customHeight="1" x14ac:dyDescent="0.3">
      <c r="B8" s="153" t="s">
        <v>234</v>
      </c>
      <c r="C8" s="192">
        <v>221544.98787000001</v>
      </c>
      <c r="D8" s="192">
        <v>0</v>
      </c>
      <c r="E8" s="192">
        <v>102296.5021425</v>
      </c>
      <c r="F8" s="192">
        <v>268057.86300000001</v>
      </c>
      <c r="G8" s="192">
        <v>904878.73800000001</v>
      </c>
      <c r="H8" s="192">
        <v>0</v>
      </c>
      <c r="I8" s="192">
        <v>0</v>
      </c>
      <c r="J8" s="192">
        <v>-67373.214999999997</v>
      </c>
      <c r="K8" s="192">
        <v>342209.33899999998</v>
      </c>
      <c r="L8" s="192">
        <v>0</v>
      </c>
    </row>
    <row r="9" spans="2:12" ht="24" customHeight="1" x14ac:dyDescent="0.3">
      <c r="B9" s="153" t="s">
        <v>192</v>
      </c>
      <c r="C9" s="192">
        <v>0</v>
      </c>
      <c r="D9" s="192">
        <v>0</v>
      </c>
      <c r="E9" s="192">
        <v>0</v>
      </c>
      <c r="F9" s="192">
        <v>0</v>
      </c>
      <c r="G9" s="192">
        <v>0</v>
      </c>
      <c r="H9" s="192">
        <v>3925.8789999999999</v>
      </c>
      <c r="I9" s="192">
        <v>0</v>
      </c>
      <c r="J9" s="192">
        <v>400000</v>
      </c>
      <c r="K9" s="192">
        <v>22000</v>
      </c>
      <c r="L9" s="192">
        <v>0</v>
      </c>
    </row>
    <row r="10" spans="2:12" ht="24" customHeight="1" x14ac:dyDescent="0.3">
      <c r="B10" s="153" t="s">
        <v>193</v>
      </c>
      <c r="C10" s="192">
        <v>4807923.2682400718</v>
      </c>
      <c r="D10" s="192">
        <v>36395.324136281073</v>
      </c>
      <c r="E10" s="192">
        <v>531921.31564319448</v>
      </c>
      <c r="F10" s="192">
        <v>249740.4395102445</v>
      </c>
      <c r="G10" s="192">
        <v>6620075.4044526704</v>
      </c>
      <c r="H10" s="192">
        <v>209487.9405961684</v>
      </c>
      <c r="I10" s="192">
        <v>1006143.984017282</v>
      </c>
      <c r="J10" s="192">
        <v>7157617.5930000003</v>
      </c>
      <c r="K10" s="192">
        <v>230773.02480514819</v>
      </c>
      <c r="L10" s="192">
        <v>0</v>
      </c>
    </row>
    <row r="11" spans="2:12" ht="24" customHeight="1" x14ac:dyDescent="0.3">
      <c r="B11" s="153" t="s">
        <v>194</v>
      </c>
      <c r="C11" s="192">
        <v>0</v>
      </c>
      <c r="D11" s="192">
        <v>0</v>
      </c>
      <c r="E11" s="192">
        <v>0</v>
      </c>
      <c r="F11" s="192">
        <v>0</v>
      </c>
      <c r="G11" s="192">
        <v>913980.01</v>
      </c>
      <c r="H11" s="192">
        <v>32216.242999999999</v>
      </c>
      <c r="I11" s="192">
        <v>0</v>
      </c>
      <c r="J11" s="192">
        <v>0</v>
      </c>
      <c r="K11" s="192">
        <v>0</v>
      </c>
      <c r="L11" s="192">
        <v>0</v>
      </c>
    </row>
    <row r="12" spans="2:12" ht="24" customHeight="1" thickBot="1" x14ac:dyDescent="0.35">
      <c r="B12" s="188" t="s">
        <v>195</v>
      </c>
      <c r="C12" s="193">
        <v>6029468.2561100721</v>
      </c>
      <c r="D12" s="193">
        <v>636395.32413628104</v>
      </c>
      <c r="E12" s="193">
        <v>1234217.817785694</v>
      </c>
      <c r="F12" s="193">
        <v>1839936.8125102441</v>
      </c>
      <c r="G12" s="193">
        <v>9938934.1524526719</v>
      </c>
      <c r="H12" s="193">
        <v>1251880.0625961691</v>
      </c>
      <c r="I12" s="193">
        <v>2017015.2260172821</v>
      </c>
      <c r="J12" s="193">
        <v>8490244.3780000005</v>
      </c>
      <c r="K12" s="193">
        <v>1294982.3638051481</v>
      </c>
      <c r="L12" s="193">
        <v>0</v>
      </c>
    </row>
    <row r="13" spans="2:12" ht="24" customHeight="1" thickTop="1" x14ac:dyDescent="0.3">
      <c r="B13" s="153" t="s">
        <v>197</v>
      </c>
      <c r="C13" s="192">
        <v>3312460.0196336349</v>
      </c>
      <c r="D13" s="192">
        <v>1252826.0060494889</v>
      </c>
      <c r="E13" s="192">
        <v>4975256.0252103796</v>
      </c>
      <c r="F13" s="192">
        <v>6002031.1196801662</v>
      </c>
      <c r="G13" s="192">
        <v>17277960.673999999</v>
      </c>
      <c r="H13" s="192">
        <v>5746673.5520000001</v>
      </c>
      <c r="I13" s="192">
        <v>1142648.6326683781</v>
      </c>
      <c r="J13" s="192">
        <v>8093110.2000000002</v>
      </c>
      <c r="K13" s="192">
        <v>1515451.7323697361</v>
      </c>
      <c r="L13" s="192">
        <v>0</v>
      </c>
    </row>
    <row r="14" spans="2:12" ht="24" customHeight="1" x14ac:dyDescent="0.3">
      <c r="B14" s="153" t="s">
        <v>198</v>
      </c>
      <c r="C14" s="192">
        <v>93801.599999999991</v>
      </c>
      <c r="D14" s="192">
        <v>0</v>
      </c>
      <c r="E14" s="192">
        <v>0</v>
      </c>
      <c r="F14" s="192">
        <v>0</v>
      </c>
      <c r="G14" s="192">
        <v>2443241.4870000002</v>
      </c>
      <c r="H14" s="192">
        <v>0</v>
      </c>
      <c r="I14" s="192">
        <v>0</v>
      </c>
      <c r="J14" s="192">
        <v>666673.87799999979</v>
      </c>
      <c r="K14" s="192">
        <v>8192.0758358969997</v>
      </c>
      <c r="L14" s="192">
        <v>0</v>
      </c>
    </row>
    <row r="15" spans="2:12" ht="24" customHeight="1" x14ac:dyDescent="0.3">
      <c r="B15" s="153" t="s">
        <v>199</v>
      </c>
      <c r="C15" s="192">
        <v>0</v>
      </c>
      <c r="D15" s="192">
        <v>200000</v>
      </c>
      <c r="E15" s="192">
        <v>0</v>
      </c>
      <c r="F15" s="192">
        <v>0</v>
      </c>
      <c r="G15" s="192">
        <v>137686.40599999999</v>
      </c>
      <c r="H15" s="192">
        <v>0</v>
      </c>
      <c r="I15" s="192">
        <v>0</v>
      </c>
      <c r="J15" s="192">
        <v>449102.85499999998</v>
      </c>
      <c r="K15" s="192">
        <v>27338.298999999999</v>
      </c>
      <c r="L15" s="192">
        <v>0</v>
      </c>
    </row>
    <row r="16" spans="2:12" ht="24" customHeight="1" x14ac:dyDescent="0.3">
      <c r="B16" s="153" t="s">
        <v>200</v>
      </c>
      <c r="C16" s="192">
        <v>0</v>
      </c>
      <c r="D16" s="192">
        <v>345531.11499999999</v>
      </c>
      <c r="E16" s="192">
        <v>77908.838809594454</v>
      </c>
      <c r="F16" s="192">
        <v>732445.97699999996</v>
      </c>
      <c r="G16" s="192">
        <v>486954.10100000002</v>
      </c>
      <c r="H16" s="192">
        <v>71110.415999999997</v>
      </c>
      <c r="I16" s="192">
        <v>49242.894164709352</v>
      </c>
      <c r="J16" s="192">
        <v>692311.272</v>
      </c>
      <c r="K16" s="192">
        <v>89195.091</v>
      </c>
      <c r="L16" s="192">
        <v>0</v>
      </c>
    </row>
    <row r="17" spans="2:12" ht="24" customHeight="1" x14ac:dyDescent="0.3">
      <c r="B17" s="153" t="s">
        <v>201</v>
      </c>
      <c r="C17" s="192">
        <v>436215.74517431261</v>
      </c>
      <c r="D17" s="192">
        <v>24120</v>
      </c>
      <c r="E17" s="192">
        <v>36096.97240927285</v>
      </c>
      <c r="F17" s="192">
        <v>662044.70739000035</v>
      </c>
      <c r="G17" s="192">
        <v>310867.10100000002</v>
      </c>
      <c r="H17" s="192">
        <v>62102.84943679237</v>
      </c>
      <c r="I17" s="192">
        <v>1181.5521690428111</v>
      </c>
      <c r="J17" s="192">
        <v>105861.92237000111</v>
      </c>
      <c r="K17" s="192">
        <v>50146.17199999997</v>
      </c>
      <c r="L17" s="192">
        <v>0</v>
      </c>
    </row>
    <row r="18" spans="2:12" ht="24" customHeight="1" thickBot="1" x14ac:dyDescent="0.35">
      <c r="B18" s="196" t="s">
        <v>202</v>
      </c>
      <c r="C18" s="197">
        <v>9871945.6209180206</v>
      </c>
      <c r="D18" s="197">
        <v>2458872.4451857698</v>
      </c>
      <c r="E18" s="197">
        <v>6323479.654214941</v>
      </c>
      <c r="F18" s="197">
        <v>9236458.6165804099</v>
      </c>
      <c r="G18" s="197">
        <v>30595643.921452671</v>
      </c>
      <c r="H18" s="197">
        <v>7131766.8800329613</v>
      </c>
      <c r="I18" s="197">
        <v>3210088.3050194122</v>
      </c>
      <c r="J18" s="197">
        <v>18497304.505369999</v>
      </c>
      <c r="K18" s="197">
        <v>2985305.7340107812</v>
      </c>
      <c r="L18" s="197">
        <v>0</v>
      </c>
    </row>
    <row r="19" spans="2:12" ht="24" customHeight="1" thickTop="1" x14ac:dyDescent="0.3">
      <c r="B19" s="153" t="s">
        <v>203</v>
      </c>
      <c r="C19" s="194">
        <v>108.97499999999999</v>
      </c>
      <c r="D19" s="194">
        <v>0</v>
      </c>
      <c r="E19" s="194">
        <v>2670.0340000000001</v>
      </c>
      <c r="F19" s="194">
        <v>28471.917000000001</v>
      </c>
      <c r="G19" s="194">
        <v>40497.552000000003</v>
      </c>
      <c r="H19" s="194">
        <v>50516.349000000002</v>
      </c>
      <c r="I19" s="194">
        <v>1765.98277125</v>
      </c>
      <c r="J19" s="194">
        <v>63250.233999999997</v>
      </c>
      <c r="K19" s="194">
        <v>55211.192000000003</v>
      </c>
      <c r="L19" s="194">
        <v>0</v>
      </c>
    </row>
    <row r="20" spans="2:12" ht="24" customHeight="1" x14ac:dyDescent="0.3">
      <c r="B20" s="153" t="s">
        <v>204</v>
      </c>
      <c r="C20" s="194">
        <v>378594.41016999999</v>
      </c>
      <c r="D20" s="194">
        <v>0</v>
      </c>
      <c r="E20" s="194">
        <v>222528.318</v>
      </c>
      <c r="F20" s="194">
        <v>442349.99</v>
      </c>
      <c r="G20" s="194">
        <v>1167750</v>
      </c>
      <c r="H20" s="194">
        <v>410000</v>
      </c>
      <c r="I20" s="194">
        <v>28782.569449999999</v>
      </c>
      <c r="J20" s="194">
        <v>0</v>
      </c>
      <c r="K20" s="194">
        <v>0</v>
      </c>
      <c r="L20" s="194">
        <v>0</v>
      </c>
    </row>
    <row r="21" spans="2:12" ht="24" customHeight="1" x14ac:dyDescent="0.3">
      <c r="B21" s="153" t="s">
        <v>205</v>
      </c>
      <c r="C21" s="194">
        <v>733749.69</v>
      </c>
      <c r="D21" s="194">
        <v>0</v>
      </c>
      <c r="E21" s="194">
        <v>1001121.683</v>
      </c>
      <c r="F21" s="194">
        <v>980000</v>
      </c>
      <c r="G21" s="194">
        <v>1345380.0190999999</v>
      </c>
      <c r="H21" s="194">
        <v>974500</v>
      </c>
      <c r="I21" s="194">
        <v>0</v>
      </c>
      <c r="J21" s="194">
        <v>2865000</v>
      </c>
      <c r="K21" s="194">
        <v>504000</v>
      </c>
      <c r="L21" s="194">
        <v>0</v>
      </c>
    </row>
    <row r="22" spans="2:12" ht="24" customHeight="1" x14ac:dyDescent="0.3">
      <c r="B22" s="153" t="s">
        <v>206</v>
      </c>
      <c r="C22" s="194">
        <v>9210.8218299999789</v>
      </c>
      <c r="D22" s="194">
        <v>0</v>
      </c>
      <c r="E22" s="194">
        <v>20613.148000000001</v>
      </c>
      <c r="F22" s="194">
        <v>30188.208999999999</v>
      </c>
      <c r="G22" s="194">
        <v>47069.942000000003</v>
      </c>
      <c r="H22" s="194">
        <v>159898.73499999999</v>
      </c>
      <c r="I22" s="194">
        <v>9809.7923686281301</v>
      </c>
      <c r="J22" s="194">
        <v>51315.364999999998</v>
      </c>
      <c r="K22" s="194">
        <v>111032.46400000001</v>
      </c>
      <c r="L22" s="194">
        <v>0</v>
      </c>
    </row>
    <row r="23" spans="2:12" ht="24" customHeight="1" x14ac:dyDescent="0.3">
      <c r="B23" s="153" t="s">
        <v>207</v>
      </c>
      <c r="C23" s="194">
        <v>3535869.0838979678</v>
      </c>
      <c r="D23" s="194">
        <v>1470561.769376785</v>
      </c>
      <c r="E23" s="194">
        <v>2457167.031420636</v>
      </c>
      <c r="F23" s="194">
        <v>3797681.871254107</v>
      </c>
      <c r="G23" s="194">
        <v>7852192.0760000004</v>
      </c>
      <c r="H23" s="194">
        <v>1562570.3559999999</v>
      </c>
      <c r="I23" s="194">
        <v>1560521.029896813</v>
      </c>
      <c r="J23" s="194">
        <v>5758549.0580000002</v>
      </c>
      <c r="K23" s="194">
        <v>627054.28</v>
      </c>
      <c r="L23" s="194">
        <v>0</v>
      </c>
    </row>
    <row r="24" spans="2:12" ht="24" customHeight="1" x14ac:dyDescent="0.3">
      <c r="B24" s="153" t="s">
        <v>208</v>
      </c>
      <c r="C24" s="194">
        <v>187983.88990000001</v>
      </c>
      <c r="D24" s="194">
        <v>0</v>
      </c>
      <c r="E24" s="194">
        <v>0</v>
      </c>
      <c r="F24" s="194">
        <v>0</v>
      </c>
      <c r="G24" s="194">
        <v>0</v>
      </c>
      <c r="H24" s="194">
        <v>0</v>
      </c>
      <c r="I24" s="194">
        <v>0</v>
      </c>
      <c r="J24" s="194">
        <v>85027.381999999998</v>
      </c>
      <c r="K24" s="194">
        <v>0</v>
      </c>
      <c r="L24" s="194">
        <v>0</v>
      </c>
    </row>
    <row r="25" spans="2:12" ht="24" customHeight="1" x14ac:dyDescent="0.3">
      <c r="B25" s="153" t="s">
        <v>209</v>
      </c>
      <c r="C25" s="194">
        <v>644852.22075999994</v>
      </c>
      <c r="D25" s="194">
        <v>0</v>
      </c>
      <c r="E25" s="194">
        <v>13707.034600000001</v>
      </c>
      <c r="F25" s="194">
        <v>0</v>
      </c>
      <c r="G25" s="194">
        <v>1080779.358</v>
      </c>
      <c r="H25" s="194">
        <v>0</v>
      </c>
      <c r="I25" s="194">
        <v>0</v>
      </c>
      <c r="J25" s="194">
        <v>564243.20499999996</v>
      </c>
      <c r="K25" s="194">
        <v>0</v>
      </c>
      <c r="L25" s="194">
        <v>0</v>
      </c>
    </row>
    <row r="26" spans="2:12" ht="24" customHeight="1" x14ac:dyDescent="0.3">
      <c r="B26" s="153" t="s">
        <v>210</v>
      </c>
      <c r="C26" s="194">
        <v>0</v>
      </c>
      <c r="D26" s="194">
        <v>0</v>
      </c>
      <c r="E26" s="194">
        <v>4632.4807692307686</v>
      </c>
      <c r="F26" s="194">
        <v>0</v>
      </c>
      <c r="G26" s="194">
        <v>0</v>
      </c>
      <c r="H26" s="194">
        <v>10000</v>
      </c>
      <c r="I26" s="194">
        <v>0</v>
      </c>
      <c r="J26" s="194">
        <v>59875.718000000001</v>
      </c>
      <c r="K26" s="194">
        <v>0</v>
      </c>
      <c r="L26" s="194">
        <v>0</v>
      </c>
    </row>
    <row r="27" spans="2:12" ht="24" customHeight="1" x14ac:dyDescent="0.3">
      <c r="B27" s="153" t="s">
        <v>211</v>
      </c>
      <c r="C27" s="194">
        <v>0</v>
      </c>
      <c r="D27" s="194">
        <v>0</v>
      </c>
      <c r="E27" s="194">
        <v>0</v>
      </c>
      <c r="F27" s="194">
        <v>0</v>
      </c>
      <c r="G27" s="194">
        <v>0</v>
      </c>
      <c r="H27" s="194">
        <v>1472.7439999999999</v>
      </c>
      <c r="I27" s="194">
        <v>0</v>
      </c>
      <c r="J27" s="194">
        <v>0</v>
      </c>
      <c r="K27" s="194">
        <v>0</v>
      </c>
      <c r="L27" s="194">
        <v>0</v>
      </c>
    </row>
    <row r="28" spans="2:12" ht="24" customHeight="1" x14ac:dyDescent="0.3">
      <c r="B28" s="153" t="s">
        <v>212</v>
      </c>
      <c r="C28" s="194">
        <v>0</v>
      </c>
      <c r="D28" s="194">
        <v>0</v>
      </c>
      <c r="E28" s="194">
        <v>0</v>
      </c>
      <c r="F28" s="194">
        <v>0</v>
      </c>
      <c r="G28" s="194">
        <v>0</v>
      </c>
      <c r="H28" s="194">
        <v>0</v>
      </c>
      <c r="I28" s="194">
        <v>0</v>
      </c>
      <c r="J28" s="194">
        <v>0</v>
      </c>
      <c r="K28" s="194">
        <v>0</v>
      </c>
      <c r="L28" s="194">
        <v>0</v>
      </c>
    </row>
    <row r="29" spans="2:12" ht="24" customHeight="1" x14ac:dyDescent="0.3">
      <c r="B29" s="153" t="s">
        <v>213</v>
      </c>
      <c r="C29" s="194">
        <v>18547.04</v>
      </c>
      <c r="D29" s="194">
        <v>0</v>
      </c>
      <c r="E29" s="194">
        <v>69731.255999999994</v>
      </c>
      <c r="F29" s="194">
        <v>0</v>
      </c>
      <c r="G29" s="194">
        <v>498561.42</v>
      </c>
      <c r="H29" s="194">
        <v>57281.720280000001</v>
      </c>
      <c r="I29" s="194">
        <v>0</v>
      </c>
      <c r="J29" s="194">
        <v>764220.94499999995</v>
      </c>
      <c r="K29" s="194">
        <v>0</v>
      </c>
      <c r="L29" s="194">
        <v>0</v>
      </c>
    </row>
    <row r="30" spans="2:12" ht="24" customHeight="1" x14ac:dyDescent="0.3">
      <c r="B30" s="153" t="s">
        <v>214</v>
      </c>
      <c r="C30" s="194">
        <v>0</v>
      </c>
      <c r="D30" s="194">
        <v>0</v>
      </c>
      <c r="E30" s="194">
        <v>0</v>
      </c>
      <c r="F30" s="194">
        <v>0</v>
      </c>
      <c r="G30" s="194">
        <v>507149.1</v>
      </c>
      <c r="H30" s="194">
        <v>6266.4030000000002</v>
      </c>
      <c r="I30" s="194">
        <v>0</v>
      </c>
      <c r="J30" s="194">
        <v>0</v>
      </c>
      <c r="K30" s="194">
        <v>0</v>
      </c>
      <c r="L30" s="194">
        <v>0</v>
      </c>
    </row>
    <row r="31" spans="2:12" ht="24" customHeight="1" x14ac:dyDescent="0.3">
      <c r="B31" s="153" t="s">
        <v>215</v>
      </c>
      <c r="C31" s="194">
        <v>0</v>
      </c>
      <c r="D31" s="194">
        <v>0</v>
      </c>
      <c r="E31" s="194">
        <v>0</v>
      </c>
      <c r="F31" s="194">
        <v>0</v>
      </c>
      <c r="G31" s="194">
        <v>0</v>
      </c>
      <c r="H31" s="194">
        <v>0</v>
      </c>
      <c r="I31" s="194">
        <v>0</v>
      </c>
      <c r="J31" s="194">
        <v>0</v>
      </c>
      <c r="K31" s="194">
        <v>0</v>
      </c>
      <c r="L31" s="194">
        <v>0</v>
      </c>
    </row>
    <row r="32" spans="2:12" ht="24" customHeight="1" x14ac:dyDescent="0.3">
      <c r="B32" s="153" t="s">
        <v>216</v>
      </c>
      <c r="C32" s="194">
        <v>0</v>
      </c>
      <c r="D32" s="194">
        <v>0</v>
      </c>
      <c r="E32" s="194">
        <v>0</v>
      </c>
      <c r="F32" s="194">
        <v>0</v>
      </c>
      <c r="G32" s="194">
        <v>0</v>
      </c>
      <c r="H32" s="194">
        <v>0</v>
      </c>
      <c r="I32" s="194">
        <v>0</v>
      </c>
      <c r="J32" s="194">
        <v>0</v>
      </c>
      <c r="K32" s="194">
        <v>0</v>
      </c>
      <c r="L32" s="194">
        <v>0</v>
      </c>
    </row>
    <row r="33" spans="2:12" ht="24" customHeight="1" x14ac:dyDescent="0.3">
      <c r="B33" s="153" t="s">
        <v>217</v>
      </c>
      <c r="C33" s="194">
        <v>12100.33464999999</v>
      </c>
      <c r="D33" s="194">
        <v>0</v>
      </c>
      <c r="E33" s="194">
        <v>28499.352930000001</v>
      </c>
      <c r="F33" s="194">
        <v>3.9840000099502511E-4</v>
      </c>
      <c r="G33" s="194">
        <v>264546.06800000003</v>
      </c>
      <c r="H33" s="194">
        <v>0</v>
      </c>
      <c r="I33" s="194">
        <v>2458.3333299999999</v>
      </c>
      <c r="J33" s="194">
        <v>37204.432999999997</v>
      </c>
      <c r="K33" s="194">
        <v>10208.666999999999</v>
      </c>
      <c r="L33" s="194">
        <v>0</v>
      </c>
    </row>
    <row r="34" spans="2:12" ht="24" customHeight="1" x14ac:dyDescent="0.3">
      <c r="B34" s="153" t="s">
        <v>218</v>
      </c>
      <c r="C34" s="194">
        <v>108765.41099999999</v>
      </c>
      <c r="D34" s="194">
        <v>0</v>
      </c>
      <c r="E34" s="194">
        <v>2654.6190000000001</v>
      </c>
      <c r="F34" s="194">
        <v>0</v>
      </c>
      <c r="G34" s="194">
        <v>0</v>
      </c>
      <c r="H34" s="194">
        <v>0</v>
      </c>
      <c r="I34" s="194">
        <v>0</v>
      </c>
      <c r="J34" s="194">
        <v>0</v>
      </c>
      <c r="K34" s="194">
        <v>0</v>
      </c>
      <c r="L34" s="194">
        <v>0</v>
      </c>
    </row>
    <row r="35" spans="2:12" ht="24" customHeight="1" x14ac:dyDescent="0.3">
      <c r="B35" s="153" t="s">
        <v>219</v>
      </c>
      <c r="C35" s="194">
        <v>1723410.5330000001</v>
      </c>
      <c r="D35" s="194">
        <v>0</v>
      </c>
      <c r="E35" s="194">
        <v>526049.00003746746</v>
      </c>
      <c r="F35" s="194">
        <v>0</v>
      </c>
      <c r="G35" s="194">
        <v>736244.326</v>
      </c>
      <c r="H35" s="194">
        <v>621603.11199999996</v>
      </c>
      <c r="I35" s="194">
        <v>426151.60780049983</v>
      </c>
      <c r="J35" s="194">
        <v>2374639.9849999999</v>
      </c>
      <c r="K35" s="194">
        <v>588485.875</v>
      </c>
      <c r="L35" s="194">
        <v>0</v>
      </c>
    </row>
    <row r="36" spans="2:12" ht="24" customHeight="1" x14ac:dyDescent="0.3">
      <c r="B36" s="153" t="s">
        <v>220</v>
      </c>
      <c r="C36" s="194">
        <v>613086.71200000006</v>
      </c>
      <c r="D36" s="194">
        <v>704905.04939126736</v>
      </c>
      <c r="E36" s="194">
        <v>115102.59938</v>
      </c>
      <c r="F36" s="194">
        <v>315354.41188600002</v>
      </c>
      <c r="G36" s="194">
        <v>1132.538</v>
      </c>
      <c r="H36" s="194">
        <v>122496.78542</v>
      </c>
      <c r="I36" s="194">
        <v>649321.71729150368</v>
      </c>
      <c r="J36" s="194">
        <v>248216.89199999999</v>
      </c>
      <c r="K36" s="194">
        <v>204711.33100000001</v>
      </c>
      <c r="L36" s="194">
        <v>0</v>
      </c>
    </row>
    <row r="37" spans="2:12" ht="24" customHeight="1" x14ac:dyDescent="0.3">
      <c r="B37" s="153" t="s">
        <v>221</v>
      </c>
      <c r="C37" s="194">
        <v>1233952.621</v>
      </c>
      <c r="D37" s="194">
        <v>0</v>
      </c>
      <c r="E37" s="194">
        <v>0</v>
      </c>
      <c r="F37" s="194">
        <v>0</v>
      </c>
      <c r="G37" s="194">
        <v>5936923.3997999998</v>
      </c>
      <c r="H37" s="194">
        <v>0</v>
      </c>
      <c r="I37" s="194">
        <v>0</v>
      </c>
      <c r="J37" s="194">
        <v>0</v>
      </c>
      <c r="K37" s="194">
        <v>1.970299904</v>
      </c>
      <c r="L37" s="194">
        <v>0</v>
      </c>
    </row>
    <row r="38" spans="2:12" ht="24" customHeight="1" x14ac:dyDescent="0.3">
      <c r="B38" s="153" t="s">
        <v>222</v>
      </c>
      <c r="C38" s="194">
        <v>562183.15536005271</v>
      </c>
      <c r="D38" s="194">
        <v>274732.57243635162</v>
      </c>
      <c r="E38" s="194">
        <v>1036721.118154941</v>
      </c>
      <c r="F38" s="194">
        <v>2423036.1194503</v>
      </c>
      <c r="G38" s="194">
        <v>10910579.448000001</v>
      </c>
      <c r="H38" s="194">
        <v>2721290.4509999999</v>
      </c>
      <c r="I38" s="194">
        <v>217543.85241183941</v>
      </c>
      <c r="J38" s="194">
        <v>3888496.0380000002</v>
      </c>
      <c r="K38" s="194">
        <v>816662.04725868325</v>
      </c>
      <c r="L38" s="194">
        <v>0</v>
      </c>
    </row>
    <row r="39" spans="2:12" ht="24" customHeight="1" x14ac:dyDescent="0.3">
      <c r="B39" s="153" t="s">
        <v>223</v>
      </c>
      <c r="C39" s="194">
        <v>73129.910350000006</v>
      </c>
      <c r="D39" s="194">
        <v>150.05000000000001</v>
      </c>
      <c r="E39" s="194">
        <v>0</v>
      </c>
      <c r="F39" s="194">
        <v>188588.94044999999</v>
      </c>
      <c r="G39" s="194">
        <v>0</v>
      </c>
      <c r="H39" s="194">
        <v>0</v>
      </c>
      <c r="I39" s="194">
        <v>61437.29896</v>
      </c>
      <c r="J39" s="194">
        <v>1901.68</v>
      </c>
      <c r="K39" s="194">
        <v>11358.808999999999</v>
      </c>
      <c r="L39" s="194">
        <v>0</v>
      </c>
    </row>
    <row r="40" spans="2:12" ht="24" customHeight="1" x14ac:dyDescent="0.3">
      <c r="B40" s="153" t="s">
        <v>224</v>
      </c>
      <c r="C40" s="194">
        <v>36400.811999999998</v>
      </c>
      <c r="D40" s="194">
        <v>8523.0040000000008</v>
      </c>
      <c r="E40" s="194">
        <v>822281.97919643449</v>
      </c>
      <c r="F40" s="194">
        <v>1030787.157433999</v>
      </c>
      <c r="G40" s="194">
        <v>206838.674</v>
      </c>
      <c r="H40" s="194">
        <v>433870.22394</v>
      </c>
      <c r="I40" s="194">
        <v>252296.12137959659</v>
      </c>
      <c r="J40" s="194">
        <v>1735363.57</v>
      </c>
      <c r="K40" s="194">
        <v>56579.097999999998</v>
      </c>
      <c r="L40" s="194">
        <v>0</v>
      </c>
    </row>
    <row r="41" spans="2:12" ht="24" customHeight="1" thickBot="1" x14ac:dyDescent="0.35">
      <c r="B41" s="196" t="s">
        <v>225</v>
      </c>
      <c r="C41" s="197">
        <v>9871945.6209180206</v>
      </c>
      <c r="D41" s="197">
        <v>2458872.4452044028</v>
      </c>
      <c r="E41" s="197">
        <v>6323479.6544887107</v>
      </c>
      <c r="F41" s="197">
        <v>9236458.6168728042</v>
      </c>
      <c r="G41" s="197">
        <v>30595643.920899998</v>
      </c>
      <c r="H41" s="197">
        <v>7131766.8796399999</v>
      </c>
      <c r="I41" s="197">
        <v>3210088.3056601309</v>
      </c>
      <c r="J41" s="197">
        <v>18497304.504999999</v>
      </c>
      <c r="K41" s="197">
        <v>2985305.7335585868</v>
      </c>
      <c r="L41" s="197">
        <v>0</v>
      </c>
    </row>
    <row r="42" spans="2:12" ht="18" customHeight="1" thickTop="1" x14ac:dyDescent="0.3">
      <c r="B42" s="201" t="s">
        <v>235</v>
      </c>
      <c r="L42" s="200" t="s">
        <v>227</v>
      </c>
    </row>
    <row r="43" spans="2:12" x14ac:dyDescent="0.3">
      <c r="C43" s="206"/>
      <c r="D43" s="206"/>
      <c r="E43" s="206"/>
      <c r="F43" s="206"/>
      <c r="G43" s="206"/>
      <c r="H43" s="206"/>
      <c r="I43" s="206"/>
      <c r="J43" s="206"/>
      <c r="K43" s="206"/>
      <c r="L43" s="206"/>
    </row>
  </sheetData>
  <sheetProtection algorithmName="SHA-512" hashValue="DB4Lf/dBwnLutlEOrHcY39LMlf0i3KsrTsptg1tN1eQgVprV3vAPzclrDZyv0UGghkX4V1AcknFpbuaFl9kdiw==" saltValue="raDH6CuhIGQY5vNAaWKpAA==" spinCount="100000" sheet="1" objects="1" scenarios="1"/>
  <mergeCells count="2">
    <mergeCell ref="B4:L4"/>
    <mergeCell ref="B3:L3"/>
  </mergeCells>
  <pageMargins left="0.7" right="0.7" top="0.75" bottom="0.75" header="0.3" footer="0.3"/>
  <pageSetup paperSize="9" scale="43"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34">
    <tabColor rgb="FF92D050"/>
    <pageSetUpPr fitToPage="1"/>
  </sheetPr>
  <dimension ref="B3:L43"/>
  <sheetViews>
    <sheetView zoomScale="70" zoomScaleNormal="70" workbookViewId="0">
      <pane xSplit="2" ySplit="5" topLeftCell="D34" activePane="bottomRight" state="frozen"/>
      <selection pane="topRight" activeCell="C1" sqref="C1"/>
      <selection pane="bottomLeft" activeCell="A6" sqref="A6"/>
      <selection pane="bottomRight" activeCell="B3" sqref="B3:L42"/>
    </sheetView>
  </sheetViews>
  <sheetFormatPr defaultColWidth="9.453125" defaultRowHeight="14" x14ac:dyDescent="0.3"/>
  <cols>
    <col min="1" max="1" width="16.54296875" style="2" customWidth="1"/>
    <col min="2" max="2" width="37.453125" style="2" customWidth="1"/>
    <col min="3" max="12" width="19.54296875" style="2" customWidth="1"/>
    <col min="13" max="63" width="9.453125" style="2" customWidth="1"/>
    <col min="64" max="16384" width="9.453125" style="2"/>
  </cols>
  <sheetData>
    <row r="3" spans="2:12" ht="17.25" customHeight="1" x14ac:dyDescent="0.35">
      <c r="B3" s="304" t="s">
        <v>228</v>
      </c>
      <c r="C3" s="303"/>
      <c r="D3" s="303"/>
      <c r="E3" s="303"/>
      <c r="F3" s="303"/>
      <c r="G3" s="303"/>
      <c r="H3" s="303"/>
      <c r="I3" s="303"/>
      <c r="J3" s="303"/>
      <c r="K3" s="303"/>
      <c r="L3" s="303"/>
    </row>
    <row r="4" spans="2:12" ht="23.25" customHeight="1" x14ac:dyDescent="0.35">
      <c r="B4" s="264" t="str">
        <f>_xlfn.CONCAT('Table of Contents'!B41,": ",'Table of Contents'!C41)</f>
        <v>APPENDIX 25 iii: SUMMARY OF GENERAL INSURANCE BUSINESS BALANCE SHEETS AS AT 31.03.2025</v>
      </c>
      <c r="C4" s="252"/>
      <c r="D4" s="252"/>
      <c r="E4" s="252"/>
      <c r="F4" s="252"/>
      <c r="G4" s="252"/>
      <c r="H4" s="252"/>
      <c r="I4" s="252"/>
      <c r="J4" s="252"/>
      <c r="K4" s="252"/>
      <c r="L4" s="253"/>
    </row>
    <row r="5" spans="2:12" ht="57" customHeight="1" x14ac:dyDescent="0.3">
      <c r="B5" s="195" t="s">
        <v>232</v>
      </c>
      <c r="C5" s="191" t="s">
        <v>71</v>
      </c>
      <c r="D5" s="191" t="s">
        <v>72</v>
      </c>
      <c r="E5" s="191" t="s">
        <v>73</v>
      </c>
      <c r="F5" s="191" t="s">
        <v>95</v>
      </c>
      <c r="G5" s="191" t="s">
        <v>74</v>
      </c>
      <c r="H5" s="191" t="s">
        <v>75</v>
      </c>
      <c r="I5" s="191" t="s">
        <v>76</v>
      </c>
      <c r="J5" s="191" t="s">
        <v>77</v>
      </c>
      <c r="K5" s="191" t="s">
        <v>78</v>
      </c>
      <c r="L5" s="199" t="s">
        <v>79</v>
      </c>
    </row>
    <row r="6" spans="2:12" ht="24" customHeight="1" x14ac:dyDescent="0.3">
      <c r="B6" s="153" t="s">
        <v>188</v>
      </c>
      <c r="C6" s="192">
        <v>2763720</v>
      </c>
      <c r="D6" s="192">
        <v>600000</v>
      </c>
      <c r="E6" s="192">
        <v>0</v>
      </c>
      <c r="F6" s="192">
        <v>13498981.359999999</v>
      </c>
      <c r="G6" s="192">
        <v>605000</v>
      </c>
      <c r="H6" s="192">
        <v>1500000</v>
      </c>
      <c r="I6" s="192">
        <v>600000</v>
      </c>
      <c r="J6" s="192">
        <v>600000</v>
      </c>
      <c r="K6" s="192">
        <v>745831</v>
      </c>
      <c r="L6" s="192">
        <v>1000000</v>
      </c>
    </row>
    <row r="7" spans="2:12" ht="24" customHeight="1" x14ac:dyDescent="0.3">
      <c r="B7" s="153" t="s">
        <v>233</v>
      </c>
      <c r="C7" s="192">
        <v>0</v>
      </c>
      <c r="D7" s="192">
        <v>1198.2950000000001</v>
      </c>
      <c r="E7" s="192">
        <v>0</v>
      </c>
      <c r="F7" s="192">
        <v>0</v>
      </c>
      <c r="G7" s="192">
        <v>0</v>
      </c>
      <c r="H7" s="192">
        <v>0</v>
      </c>
      <c r="I7" s="192">
        <v>0</v>
      </c>
      <c r="J7" s="192">
        <v>0</v>
      </c>
      <c r="K7" s="192">
        <v>100378.9</v>
      </c>
      <c r="L7" s="192">
        <v>0</v>
      </c>
    </row>
    <row r="8" spans="2:12" ht="24" customHeight="1" x14ac:dyDescent="0.3">
      <c r="B8" s="153" t="s">
        <v>234</v>
      </c>
      <c r="C8" s="192">
        <v>-53660.462770000013</v>
      </c>
      <c r="D8" s="192">
        <v>456053</v>
      </c>
      <c r="E8" s="192">
        <v>0</v>
      </c>
      <c r="F8" s="192">
        <v>36911.31</v>
      </c>
      <c r="G8" s="192">
        <v>0</v>
      </c>
      <c r="H8" s="192">
        <v>-51662.879000000001</v>
      </c>
      <c r="I8" s="192">
        <v>-7064.1229999999996</v>
      </c>
      <c r="J8" s="192">
        <v>9458.8430000000008</v>
      </c>
      <c r="K8" s="192">
        <v>0</v>
      </c>
      <c r="L8" s="192">
        <v>0</v>
      </c>
    </row>
    <row r="9" spans="2:12" ht="24" customHeight="1" x14ac:dyDescent="0.3">
      <c r="B9" s="153" t="s">
        <v>192</v>
      </c>
      <c r="C9" s="192">
        <v>0</v>
      </c>
      <c r="D9" s="192">
        <v>441589.76500000001</v>
      </c>
      <c r="E9" s="192">
        <v>0</v>
      </c>
      <c r="F9" s="192">
        <v>-109502.90399999999</v>
      </c>
      <c r="G9" s="192">
        <v>0</v>
      </c>
      <c r="H9" s="192">
        <v>213735.06791054399</v>
      </c>
      <c r="I9" s="192">
        <v>1248198.287</v>
      </c>
      <c r="J9" s="192">
        <v>0</v>
      </c>
      <c r="K9" s="192">
        <v>150000</v>
      </c>
      <c r="L9" s="192">
        <v>0</v>
      </c>
    </row>
    <row r="10" spans="2:12" ht="24" customHeight="1" x14ac:dyDescent="0.3">
      <c r="B10" s="153" t="s">
        <v>193</v>
      </c>
      <c r="C10" s="192">
        <v>2715531.1290219738</v>
      </c>
      <c r="D10" s="192">
        <v>3184644.5233070431</v>
      </c>
      <c r="E10" s="192">
        <v>0</v>
      </c>
      <c r="F10" s="192">
        <v>22458706.361439269</v>
      </c>
      <c r="G10" s="192">
        <v>578423.91852546786</v>
      </c>
      <c r="H10" s="192">
        <v>3217700.105</v>
      </c>
      <c r="I10" s="192">
        <v>-1837148.6483941539</v>
      </c>
      <c r="J10" s="192">
        <v>1697828.0520540089</v>
      </c>
      <c r="K10" s="192">
        <v>-371998.13381493371</v>
      </c>
      <c r="L10" s="192">
        <v>5102917.493302634</v>
      </c>
    </row>
    <row r="11" spans="2:12" ht="24" customHeight="1" x14ac:dyDescent="0.3">
      <c r="B11" s="153" t="s">
        <v>194</v>
      </c>
      <c r="C11" s="192">
        <v>0</v>
      </c>
      <c r="D11" s="192">
        <v>0</v>
      </c>
      <c r="E11" s="192">
        <v>0</v>
      </c>
      <c r="F11" s="192">
        <v>1523664.773</v>
      </c>
      <c r="G11" s="192">
        <v>0</v>
      </c>
      <c r="H11" s="192">
        <v>631146.70100090792</v>
      </c>
      <c r="I11" s="192">
        <v>0</v>
      </c>
      <c r="J11" s="192">
        <v>0</v>
      </c>
      <c r="K11" s="192">
        <v>0</v>
      </c>
      <c r="L11" s="192">
        <v>0</v>
      </c>
    </row>
    <row r="12" spans="2:12" ht="24" customHeight="1" thickBot="1" x14ac:dyDescent="0.35">
      <c r="B12" s="188" t="s">
        <v>195</v>
      </c>
      <c r="C12" s="193">
        <v>5425590.6662519742</v>
      </c>
      <c r="D12" s="193">
        <v>4683485.5833070427</v>
      </c>
      <c r="E12" s="193">
        <v>0</v>
      </c>
      <c r="F12" s="193">
        <v>37408760.90043927</v>
      </c>
      <c r="G12" s="193">
        <v>1183423.9185254681</v>
      </c>
      <c r="H12" s="193">
        <v>5510918.9949114528</v>
      </c>
      <c r="I12" s="193">
        <v>3985.5156058464049</v>
      </c>
      <c r="J12" s="193">
        <v>2307286.8950540088</v>
      </c>
      <c r="K12" s="193">
        <v>624211.76618506631</v>
      </c>
      <c r="L12" s="193">
        <v>6102917.493302634</v>
      </c>
    </row>
    <row r="13" spans="2:12" ht="24" customHeight="1" thickTop="1" x14ac:dyDescent="0.3">
      <c r="B13" s="153" t="s">
        <v>197</v>
      </c>
      <c r="C13" s="192">
        <v>5651474.760890156</v>
      </c>
      <c r="D13" s="192">
        <v>6400703.1881791409</v>
      </c>
      <c r="E13" s="192">
        <v>0</v>
      </c>
      <c r="F13" s="192">
        <v>9341997.4578747302</v>
      </c>
      <c r="G13" s="192">
        <v>7031252.2744295103</v>
      </c>
      <c r="H13" s="192">
        <v>7974743.8360000001</v>
      </c>
      <c r="I13" s="192">
        <v>2457758.477</v>
      </c>
      <c r="J13" s="192">
        <v>2090528.30710131</v>
      </c>
      <c r="K13" s="192">
        <v>1996881.6957839939</v>
      </c>
      <c r="L13" s="192">
        <v>11360123.84166</v>
      </c>
    </row>
    <row r="14" spans="2:12" ht="24" customHeight="1" x14ac:dyDescent="0.3">
      <c r="B14" s="153" t="s">
        <v>198</v>
      </c>
      <c r="C14" s="192">
        <v>0</v>
      </c>
      <c r="D14" s="192">
        <v>0</v>
      </c>
      <c r="E14" s="192">
        <v>0</v>
      </c>
      <c r="F14" s="192">
        <v>1304722.3075915391</v>
      </c>
      <c r="G14" s="192">
        <v>0</v>
      </c>
      <c r="H14" s="192">
        <v>0</v>
      </c>
      <c r="I14" s="192">
        <v>0</v>
      </c>
      <c r="J14" s="192">
        <v>64121.663812114843</v>
      </c>
      <c r="K14" s="192">
        <v>0</v>
      </c>
      <c r="L14" s="192">
        <v>332751.22091118951</v>
      </c>
    </row>
    <row r="15" spans="2:12" ht="24" customHeight="1" x14ac:dyDescent="0.3">
      <c r="B15" s="153" t="s">
        <v>199</v>
      </c>
      <c r="C15" s="192">
        <v>0</v>
      </c>
      <c r="D15" s="192">
        <v>54306.603999999999</v>
      </c>
      <c r="E15" s="192">
        <v>0</v>
      </c>
      <c r="F15" s="192">
        <v>1419534.425</v>
      </c>
      <c r="G15" s="192">
        <v>0</v>
      </c>
      <c r="H15" s="192">
        <v>126893.37699999999</v>
      </c>
      <c r="I15" s="192">
        <v>0</v>
      </c>
      <c r="J15" s="192">
        <v>0</v>
      </c>
      <c r="K15" s="192">
        <v>0</v>
      </c>
      <c r="L15" s="192">
        <v>0</v>
      </c>
    </row>
    <row r="16" spans="2:12" ht="24" customHeight="1" x14ac:dyDescent="0.3">
      <c r="B16" s="153" t="s">
        <v>200</v>
      </c>
      <c r="C16" s="192">
        <v>17922.653999999999</v>
      </c>
      <c r="D16" s="192">
        <v>228855.09099999999</v>
      </c>
      <c r="E16" s="192">
        <v>0</v>
      </c>
      <c r="F16" s="192">
        <v>1588831.7790847931</v>
      </c>
      <c r="G16" s="192">
        <v>66023.646858317006</v>
      </c>
      <c r="H16" s="192">
        <v>3038419.216</v>
      </c>
      <c r="I16" s="192">
        <v>604836.80799999996</v>
      </c>
      <c r="J16" s="192">
        <v>458290.95137246198</v>
      </c>
      <c r="K16" s="192">
        <v>447646.45611724432</v>
      </c>
      <c r="L16" s="192">
        <v>1104840.77</v>
      </c>
    </row>
    <row r="17" spans="2:12" ht="24" customHeight="1" x14ac:dyDescent="0.3">
      <c r="B17" s="153" t="s">
        <v>201</v>
      </c>
      <c r="C17" s="192">
        <v>1492465.0069599999</v>
      </c>
      <c r="D17" s="192">
        <v>21949.912</v>
      </c>
      <c r="E17" s="192">
        <v>0</v>
      </c>
      <c r="F17" s="192">
        <v>-32185.740411682131</v>
      </c>
      <c r="G17" s="192">
        <v>3314.537375948325</v>
      </c>
      <c r="H17" s="192">
        <v>198792.685</v>
      </c>
      <c r="I17" s="192">
        <v>66683.369872365001</v>
      </c>
      <c r="J17" s="192">
        <v>216341.83884565439</v>
      </c>
      <c r="K17" s="192">
        <v>128369.91117000009</v>
      </c>
      <c r="L17" s="192">
        <v>1406250.732860001</v>
      </c>
    </row>
    <row r="18" spans="2:12" ht="24" customHeight="1" thickBot="1" x14ac:dyDescent="0.35">
      <c r="B18" s="196" t="s">
        <v>202</v>
      </c>
      <c r="C18" s="197">
        <v>12587453.08810213</v>
      </c>
      <c r="D18" s="197">
        <v>11389300.378486181</v>
      </c>
      <c r="E18" s="197">
        <v>0</v>
      </c>
      <c r="F18" s="197">
        <v>51031661.12957865</v>
      </c>
      <c r="G18" s="197">
        <v>8284014.3771892432</v>
      </c>
      <c r="H18" s="197">
        <v>16849768.108911451</v>
      </c>
      <c r="I18" s="197">
        <v>3133264.1704782108</v>
      </c>
      <c r="J18" s="197">
        <v>5136569.6561855506</v>
      </c>
      <c r="K18" s="197">
        <v>3197109.8292563041</v>
      </c>
      <c r="L18" s="197">
        <v>20306884.058733821</v>
      </c>
    </row>
    <row r="19" spans="2:12" ht="24" customHeight="1" thickTop="1" x14ac:dyDescent="0.3">
      <c r="B19" s="153" t="s">
        <v>203</v>
      </c>
      <c r="C19" s="194">
        <v>105061.54756000001</v>
      </c>
      <c r="D19" s="194">
        <v>4736.18</v>
      </c>
      <c r="E19" s="194">
        <v>0</v>
      </c>
      <c r="F19" s="194">
        <v>46280.038</v>
      </c>
      <c r="G19" s="194">
        <v>87078.42112309004</v>
      </c>
      <c r="H19" s="194">
        <v>47723.332999999999</v>
      </c>
      <c r="I19" s="194">
        <v>13308.35</v>
      </c>
      <c r="J19" s="194">
        <v>330062.74699999997</v>
      </c>
      <c r="K19" s="194">
        <v>0</v>
      </c>
      <c r="L19" s="194">
        <v>66775.216509999984</v>
      </c>
    </row>
    <row r="20" spans="2:12" ht="24" customHeight="1" x14ac:dyDescent="0.3">
      <c r="B20" s="153" t="s">
        <v>204</v>
      </c>
      <c r="C20" s="194">
        <v>0</v>
      </c>
      <c r="D20" s="194">
        <v>799971.73100000003</v>
      </c>
      <c r="E20" s="194">
        <v>0</v>
      </c>
      <c r="F20" s="194">
        <v>0</v>
      </c>
      <c r="G20" s="194">
        <v>0</v>
      </c>
      <c r="H20" s="194">
        <v>204666.389</v>
      </c>
      <c r="I20" s="194">
        <v>0</v>
      </c>
      <c r="J20" s="194">
        <v>0</v>
      </c>
      <c r="K20" s="194">
        <v>0</v>
      </c>
      <c r="L20" s="194">
        <v>0</v>
      </c>
    </row>
    <row r="21" spans="2:12" ht="24" customHeight="1" x14ac:dyDescent="0.3">
      <c r="B21" s="153" t="s">
        <v>205</v>
      </c>
      <c r="C21" s="194">
        <v>0</v>
      </c>
      <c r="D21" s="194">
        <v>1294600</v>
      </c>
      <c r="E21" s="194">
        <v>0</v>
      </c>
      <c r="F21" s="194">
        <v>11171625.030999999</v>
      </c>
      <c r="G21" s="194">
        <v>703932.30299999996</v>
      </c>
      <c r="H21" s="194">
        <v>403571.58299999998</v>
      </c>
      <c r="I21" s="194">
        <v>0</v>
      </c>
      <c r="J21" s="194">
        <v>0</v>
      </c>
      <c r="K21" s="194">
        <v>440000</v>
      </c>
      <c r="L21" s="194">
        <v>3128000</v>
      </c>
    </row>
    <row r="22" spans="2:12" ht="24" customHeight="1" x14ac:dyDescent="0.3">
      <c r="B22" s="153" t="s">
        <v>206</v>
      </c>
      <c r="C22" s="194">
        <v>84296.993819999989</v>
      </c>
      <c r="D22" s="194">
        <v>46422.773999999998</v>
      </c>
      <c r="E22" s="194">
        <v>0</v>
      </c>
      <c r="F22" s="194">
        <v>36811.529000000002</v>
      </c>
      <c r="G22" s="194">
        <v>29080.547100000011</v>
      </c>
      <c r="H22" s="194">
        <v>84785.539000000004</v>
      </c>
      <c r="I22" s="194">
        <v>47404.078999999998</v>
      </c>
      <c r="J22" s="194">
        <v>98646.625479999988</v>
      </c>
      <c r="K22" s="194">
        <v>11404.235028425001</v>
      </c>
      <c r="L22" s="194">
        <v>82803.854819998945</v>
      </c>
    </row>
    <row r="23" spans="2:12" ht="24" customHeight="1" x14ac:dyDescent="0.3">
      <c r="B23" s="153" t="s">
        <v>207</v>
      </c>
      <c r="C23" s="194">
        <v>4991749.5462500006</v>
      </c>
      <c r="D23" s="194">
        <v>3791697.115710001</v>
      </c>
      <c r="E23" s="194">
        <v>0</v>
      </c>
      <c r="F23" s="194">
        <v>17526232.995000001</v>
      </c>
      <c r="G23" s="194">
        <v>2143291.7000000002</v>
      </c>
      <c r="H23" s="194">
        <v>3987748.6189999999</v>
      </c>
      <c r="I23" s="194">
        <v>1017480.0196</v>
      </c>
      <c r="J23" s="194">
        <v>2041917.7781652671</v>
      </c>
      <c r="K23" s="194">
        <v>608505.63147748355</v>
      </c>
      <c r="L23" s="194">
        <v>9281371.752639778</v>
      </c>
    </row>
    <row r="24" spans="2:12" ht="24" customHeight="1" x14ac:dyDescent="0.3">
      <c r="B24" s="153" t="s">
        <v>208</v>
      </c>
      <c r="C24" s="194">
        <v>0</v>
      </c>
      <c r="D24" s="194">
        <v>0</v>
      </c>
      <c r="E24" s="194">
        <v>0</v>
      </c>
      <c r="F24" s="194">
        <v>0</v>
      </c>
      <c r="G24" s="194">
        <v>6134.05</v>
      </c>
      <c r="H24" s="194">
        <v>0</v>
      </c>
      <c r="I24" s="194">
        <v>0</v>
      </c>
      <c r="J24" s="194">
        <v>0</v>
      </c>
      <c r="K24" s="194">
        <v>0</v>
      </c>
      <c r="L24" s="194">
        <v>0</v>
      </c>
    </row>
    <row r="25" spans="2:12" ht="24" customHeight="1" x14ac:dyDescent="0.3">
      <c r="B25" s="153" t="s">
        <v>209</v>
      </c>
      <c r="C25" s="194">
        <v>1868331.23584</v>
      </c>
      <c r="D25" s="194">
        <v>105611.796</v>
      </c>
      <c r="E25" s="194">
        <v>0</v>
      </c>
      <c r="F25" s="194">
        <v>11922931.854</v>
      </c>
      <c r="G25" s="194">
        <v>0</v>
      </c>
      <c r="H25" s="194">
        <v>1735547.683</v>
      </c>
      <c r="I25" s="194">
        <v>98214.875</v>
      </c>
      <c r="J25" s="194">
        <v>0</v>
      </c>
      <c r="K25" s="194">
        <v>0</v>
      </c>
      <c r="L25" s="194">
        <v>0</v>
      </c>
    </row>
    <row r="26" spans="2:12" ht="24" customHeight="1" x14ac:dyDescent="0.3">
      <c r="B26" s="153" t="s">
        <v>210</v>
      </c>
      <c r="C26" s="194">
        <v>0</v>
      </c>
      <c r="D26" s="194">
        <v>0</v>
      </c>
      <c r="E26" s="194">
        <v>0</v>
      </c>
      <c r="F26" s="194">
        <v>46268.504000000001</v>
      </c>
      <c r="G26" s="194">
        <v>0</v>
      </c>
      <c r="H26" s="194">
        <v>27641.475999999999</v>
      </c>
      <c r="I26" s="194">
        <v>0</v>
      </c>
      <c r="J26" s="194">
        <v>0</v>
      </c>
      <c r="K26" s="194">
        <v>12372.26021993864</v>
      </c>
      <c r="L26" s="194">
        <v>51478.236300000011</v>
      </c>
    </row>
    <row r="27" spans="2:12" ht="24" customHeight="1" x14ac:dyDescent="0.3">
      <c r="B27" s="153" t="s">
        <v>211</v>
      </c>
      <c r="C27" s="194">
        <v>0</v>
      </c>
      <c r="D27" s="194">
        <v>0</v>
      </c>
      <c r="E27" s="194">
        <v>0</v>
      </c>
      <c r="F27" s="194">
        <v>0</v>
      </c>
      <c r="G27" s="194">
        <v>0</v>
      </c>
      <c r="H27" s="194">
        <v>0</v>
      </c>
      <c r="I27" s="194">
        <v>0</v>
      </c>
      <c r="J27" s="194">
        <v>0</v>
      </c>
      <c r="K27" s="194">
        <v>0</v>
      </c>
      <c r="L27" s="194">
        <v>0</v>
      </c>
    </row>
    <row r="28" spans="2:12" ht="24" customHeight="1" x14ac:dyDescent="0.3">
      <c r="B28" s="153" t="s">
        <v>212</v>
      </c>
      <c r="C28" s="194">
        <v>0</v>
      </c>
      <c r="D28" s="194">
        <v>0</v>
      </c>
      <c r="E28" s="194">
        <v>0</v>
      </c>
      <c r="F28" s="194">
        <v>0</v>
      </c>
      <c r="G28" s="194">
        <v>0</v>
      </c>
      <c r="H28" s="194">
        <v>0</v>
      </c>
      <c r="I28" s="194">
        <v>0</v>
      </c>
      <c r="J28" s="194">
        <v>0</v>
      </c>
      <c r="K28" s="194">
        <v>0</v>
      </c>
      <c r="L28" s="194">
        <v>0</v>
      </c>
    </row>
    <row r="29" spans="2:12" ht="24" customHeight="1" x14ac:dyDescent="0.3">
      <c r="B29" s="153" t="s">
        <v>213</v>
      </c>
      <c r="C29" s="194">
        <v>277977.26811923628</v>
      </c>
      <c r="D29" s="194">
        <v>51791.587534999999</v>
      </c>
      <c r="E29" s="194">
        <v>0</v>
      </c>
      <c r="F29" s="194">
        <v>1255053.5460000001</v>
      </c>
      <c r="G29" s="194">
        <v>6966.81</v>
      </c>
      <c r="H29" s="194">
        <v>130553.117</v>
      </c>
      <c r="I29" s="194">
        <v>65744.843583449998</v>
      </c>
      <c r="J29" s="194">
        <v>0</v>
      </c>
      <c r="K29" s="194">
        <v>0</v>
      </c>
      <c r="L29" s="194">
        <v>26463.147000000001</v>
      </c>
    </row>
    <row r="30" spans="2:12" ht="24" customHeight="1" x14ac:dyDescent="0.3">
      <c r="B30" s="153" t="s">
        <v>214</v>
      </c>
      <c r="C30" s="194">
        <v>747882.01825542725</v>
      </c>
      <c r="D30" s="194">
        <v>775846.15586000006</v>
      </c>
      <c r="E30" s="194">
        <v>0</v>
      </c>
      <c r="F30" s="194">
        <v>603113.14922333299</v>
      </c>
      <c r="G30" s="194">
        <v>545708.95136964915</v>
      </c>
      <c r="H30" s="194">
        <v>153371.101</v>
      </c>
      <c r="I30" s="194">
        <v>0</v>
      </c>
      <c r="J30" s="194">
        <v>0</v>
      </c>
      <c r="K30" s="194">
        <v>0</v>
      </c>
      <c r="L30" s="194">
        <v>159834.12437999999</v>
      </c>
    </row>
    <row r="31" spans="2:12" ht="24" customHeight="1" x14ac:dyDescent="0.3">
      <c r="B31" s="153" t="s">
        <v>215</v>
      </c>
      <c r="C31" s="194">
        <v>402.1</v>
      </c>
      <c r="D31" s="194">
        <v>0</v>
      </c>
      <c r="E31" s="194">
        <v>0</v>
      </c>
      <c r="F31" s="194">
        <v>64.623999999999995</v>
      </c>
      <c r="G31" s="194">
        <v>0</v>
      </c>
      <c r="H31" s="194">
        <v>0</v>
      </c>
      <c r="I31" s="194">
        <v>0</v>
      </c>
      <c r="J31" s="194">
        <v>0</v>
      </c>
      <c r="K31" s="194">
        <v>0</v>
      </c>
      <c r="L31" s="194">
        <v>0</v>
      </c>
    </row>
    <row r="32" spans="2:12" ht="24" customHeight="1" x14ac:dyDescent="0.3">
      <c r="B32" s="153" t="s">
        <v>216</v>
      </c>
      <c r="C32" s="194">
        <v>0</v>
      </c>
      <c r="D32" s="194">
        <v>0</v>
      </c>
      <c r="E32" s="194">
        <v>0</v>
      </c>
      <c r="F32" s="194">
        <v>0</v>
      </c>
      <c r="G32" s="194">
        <v>0</v>
      </c>
      <c r="H32" s="194">
        <v>0</v>
      </c>
      <c r="I32" s="194">
        <v>0</v>
      </c>
      <c r="J32" s="194">
        <v>0</v>
      </c>
      <c r="K32" s="194">
        <v>0</v>
      </c>
      <c r="L32" s="194">
        <v>0</v>
      </c>
    </row>
    <row r="33" spans="2:12" ht="24" customHeight="1" x14ac:dyDescent="0.3">
      <c r="B33" s="153" t="s">
        <v>217</v>
      </c>
      <c r="C33" s="194">
        <v>0</v>
      </c>
      <c r="D33" s="194">
        <v>20468.217000000001</v>
      </c>
      <c r="E33" s="194">
        <v>0</v>
      </c>
      <c r="F33" s="194">
        <v>0</v>
      </c>
      <c r="G33" s="194">
        <v>1230378.91335</v>
      </c>
      <c r="H33" s="194">
        <v>38495.167000000001</v>
      </c>
      <c r="I33" s="194">
        <v>1384.94298</v>
      </c>
      <c r="J33" s="194">
        <v>5989.1467699999994</v>
      </c>
      <c r="K33" s="194">
        <v>0</v>
      </c>
      <c r="L33" s="194">
        <v>0</v>
      </c>
    </row>
    <row r="34" spans="2:12" ht="24" customHeight="1" x14ac:dyDescent="0.3">
      <c r="B34" s="153" t="s">
        <v>218</v>
      </c>
      <c r="C34" s="194">
        <v>31000</v>
      </c>
      <c r="D34" s="194">
        <v>0</v>
      </c>
      <c r="E34" s="194">
        <v>0</v>
      </c>
      <c r="F34" s="194">
        <v>822852.42761529994</v>
      </c>
      <c r="G34" s="194">
        <v>0</v>
      </c>
      <c r="H34" s="194">
        <v>0</v>
      </c>
      <c r="I34" s="194">
        <v>0</v>
      </c>
      <c r="J34" s="194">
        <v>0</v>
      </c>
      <c r="K34" s="194">
        <v>0</v>
      </c>
      <c r="L34" s="194">
        <v>81431.149000000005</v>
      </c>
    </row>
    <row r="35" spans="2:12" ht="24" customHeight="1" x14ac:dyDescent="0.3">
      <c r="B35" s="153" t="s">
        <v>219</v>
      </c>
      <c r="C35" s="194">
        <v>2007566.209040991</v>
      </c>
      <c r="D35" s="194">
        <v>449623.80844000023</v>
      </c>
      <c r="E35" s="194">
        <v>0</v>
      </c>
      <c r="F35" s="194">
        <v>6198177.2251439523</v>
      </c>
      <c r="G35" s="194">
        <v>346149.79</v>
      </c>
      <c r="H35" s="194">
        <v>2357202.9890000001</v>
      </c>
      <c r="I35" s="194">
        <v>796154.56414815993</v>
      </c>
      <c r="J35" s="194">
        <v>4270</v>
      </c>
      <c r="K35" s="194">
        <v>78663.051999999996</v>
      </c>
      <c r="L35" s="194">
        <v>3008569.135986879</v>
      </c>
    </row>
    <row r="36" spans="2:12" ht="24" customHeight="1" x14ac:dyDescent="0.3">
      <c r="B36" s="153" t="s">
        <v>220</v>
      </c>
      <c r="C36" s="194">
        <v>1631753.8791400001</v>
      </c>
      <c r="D36" s="194">
        <v>18707.825000000001</v>
      </c>
      <c r="E36" s="194">
        <v>0</v>
      </c>
      <c r="F36" s="194">
        <v>34968.105000000003</v>
      </c>
      <c r="G36" s="194">
        <v>593604.69323999982</v>
      </c>
      <c r="H36" s="194">
        <v>1475872.2220000001</v>
      </c>
      <c r="I36" s="194">
        <v>172447.24001000001</v>
      </c>
      <c r="J36" s="194">
        <v>604450.97499999998</v>
      </c>
      <c r="K36" s="194">
        <v>25343.779630324589</v>
      </c>
      <c r="L36" s="194">
        <v>851524.76578999998</v>
      </c>
    </row>
    <row r="37" spans="2:12" ht="24" customHeight="1" x14ac:dyDescent="0.3">
      <c r="B37" s="153" t="s">
        <v>221</v>
      </c>
      <c r="C37" s="194">
        <v>0</v>
      </c>
      <c r="D37" s="194">
        <v>0</v>
      </c>
      <c r="E37" s="194">
        <v>0</v>
      </c>
      <c r="F37" s="194">
        <v>0</v>
      </c>
      <c r="G37" s="194">
        <v>0</v>
      </c>
      <c r="H37" s="194">
        <v>0</v>
      </c>
      <c r="I37" s="194">
        <v>0</v>
      </c>
      <c r="J37" s="194">
        <v>0</v>
      </c>
      <c r="K37" s="194">
        <v>0</v>
      </c>
      <c r="L37" s="194">
        <v>496712.92483425367</v>
      </c>
    </row>
    <row r="38" spans="2:12" ht="24" customHeight="1" x14ac:dyDescent="0.3">
      <c r="B38" s="153" t="s">
        <v>222</v>
      </c>
      <c r="C38" s="194">
        <v>177461.40286999999</v>
      </c>
      <c r="D38" s="194">
        <v>2731352.4740154599</v>
      </c>
      <c r="E38" s="194">
        <v>0</v>
      </c>
      <c r="F38" s="194">
        <v>312538.76559606189</v>
      </c>
      <c r="G38" s="194">
        <v>2488678.3640364711</v>
      </c>
      <c r="H38" s="194">
        <v>3099975.781</v>
      </c>
      <c r="I38" s="194">
        <v>633518.34900000005</v>
      </c>
      <c r="J38" s="194">
        <v>1446480.7351370531</v>
      </c>
      <c r="K38" s="194">
        <v>1594543.6190602051</v>
      </c>
      <c r="L38" s="194">
        <v>2045004.36366061</v>
      </c>
    </row>
    <row r="39" spans="2:12" ht="24" customHeight="1" x14ac:dyDescent="0.3">
      <c r="B39" s="153" t="s">
        <v>223</v>
      </c>
      <c r="C39" s="194">
        <v>214794.22805999999</v>
      </c>
      <c r="D39" s="194">
        <v>165249.11600000001</v>
      </c>
      <c r="E39" s="194">
        <v>0</v>
      </c>
      <c r="F39" s="194">
        <v>980285.84900000005</v>
      </c>
      <c r="G39" s="194">
        <v>100377.0042283363</v>
      </c>
      <c r="H39" s="194">
        <v>54598.754999999997</v>
      </c>
      <c r="I39" s="194">
        <v>122591.19263000001</v>
      </c>
      <c r="J39" s="194">
        <v>0</v>
      </c>
      <c r="K39" s="194">
        <v>0</v>
      </c>
      <c r="L39" s="194">
        <v>651487.61360000004</v>
      </c>
    </row>
    <row r="40" spans="2:12" ht="24" customHeight="1" x14ac:dyDescent="0.3">
      <c r="B40" s="153" t="s">
        <v>224</v>
      </c>
      <c r="C40" s="194">
        <v>449176.65914</v>
      </c>
      <c r="D40" s="194">
        <v>1133221.5974600001</v>
      </c>
      <c r="E40" s="194">
        <v>0</v>
      </c>
      <c r="F40" s="194">
        <v>74457.486999999994</v>
      </c>
      <c r="G40" s="194">
        <v>2632.829101638898</v>
      </c>
      <c r="H40" s="194">
        <v>3048014.355</v>
      </c>
      <c r="I40" s="194">
        <v>165015.71436000001</v>
      </c>
      <c r="J40" s="194">
        <v>604751.64863323059</v>
      </c>
      <c r="K40" s="194">
        <v>426277.25145795557</v>
      </c>
      <c r="L40" s="194">
        <v>375427.77441859012</v>
      </c>
    </row>
    <row r="41" spans="2:12" ht="24" customHeight="1" thickBot="1" x14ac:dyDescent="0.35">
      <c r="B41" s="196" t="s">
        <v>225</v>
      </c>
      <c r="C41" s="197">
        <v>12587453.08809565</v>
      </c>
      <c r="D41" s="197">
        <v>11389300.37802046</v>
      </c>
      <c r="E41" s="197">
        <v>0</v>
      </c>
      <c r="F41" s="197">
        <v>51031661.12957865</v>
      </c>
      <c r="G41" s="197">
        <v>8284014.3765491853</v>
      </c>
      <c r="H41" s="197">
        <v>16849768.109000001</v>
      </c>
      <c r="I41" s="197">
        <v>3133264.1703116102</v>
      </c>
      <c r="J41" s="197">
        <v>5136569.6561855506</v>
      </c>
      <c r="K41" s="197">
        <v>3197109.828874331</v>
      </c>
      <c r="L41" s="197">
        <v>20306884.058940109</v>
      </c>
    </row>
    <row r="42" spans="2:12" ht="24" customHeight="1" thickTop="1" x14ac:dyDescent="0.3">
      <c r="B42" s="201" t="s">
        <v>235</v>
      </c>
      <c r="J42" s="200"/>
      <c r="K42" s="200"/>
      <c r="L42" s="200" t="s">
        <v>227</v>
      </c>
    </row>
    <row r="43" spans="2:12" x14ac:dyDescent="0.3">
      <c r="C43" s="206"/>
      <c r="D43" s="206"/>
      <c r="E43" s="206"/>
      <c r="F43" s="206"/>
      <c r="G43" s="206"/>
      <c r="H43" s="206"/>
      <c r="I43" s="206"/>
      <c r="J43" s="206"/>
      <c r="K43" s="206"/>
      <c r="L43" s="206"/>
    </row>
  </sheetData>
  <sheetProtection algorithmName="SHA-512" hashValue="qa5hX1dr8j8E4XBOHfySoh+YM8rvelnlx+EhZW9x/QuxS+qxXaW6wnmbgN6+okYlDs3ibyo9iM3E/S8zHvu7Qg==" saltValue="/mX56G+pMY/i+26y9iZ1nA==" spinCount="100000" sheet="1" objects="1" scenarios="1"/>
  <mergeCells count="2">
    <mergeCell ref="B4:L4"/>
    <mergeCell ref="B3:L3"/>
  </mergeCells>
  <pageMargins left="0.7" right="0.7" top="0.75" bottom="0.75" header="0.3" footer="0.3"/>
  <pageSetup paperSize="9" scale="42"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35">
    <tabColor rgb="FF92D050"/>
    <pageSetUpPr fitToPage="1"/>
  </sheetPr>
  <dimension ref="B3:R43"/>
  <sheetViews>
    <sheetView zoomScale="70" zoomScaleNormal="70" workbookViewId="0">
      <pane xSplit="2" ySplit="5" topLeftCell="C34" activePane="bottomRight" state="frozen"/>
      <selection pane="topRight" activeCell="C1" sqref="C1"/>
      <selection pane="bottomLeft" activeCell="A6" sqref="A6"/>
      <selection pane="bottomRight" activeCell="B3" sqref="B3:N42"/>
    </sheetView>
  </sheetViews>
  <sheetFormatPr defaultColWidth="9.453125" defaultRowHeight="14" x14ac:dyDescent="0.3"/>
  <cols>
    <col min="1" max="1" width="18.453125" style="2" customWidth="1"/>
    <col min="2" max="2" width="36.90625" style="2" customWidth="1"/>
    <col min="3" max="8" width="20.81640625" style="2" customWidth="1"/>
    <col min="9" max="14" width="21.453125" style="2" customWidth="1"/>
    <col min="15" max="15" width="13" style="2" customWidth="1"/>
    <col min="16" max="17" width="21.453125" style="2" hidden="1" customWidth="1"/>
    <col min="18" max="18" width="12.81640625" style="2" bestFit="1" customWidth="1"/>
    <col min="19" max="69" width="9.453125" style="2" customWidth="1"/>
    <col min="70" max="16384" width="9.453125" style="2"/>
  </cols>
  <sheetData>
    <row r="3" spans="2:17" x14ac:dyDescent="0.3">
      <c r="B3" s="262" t="s">
        <v>228</v>
      </c>
      <c r="C3" s="238"/>
      <c r="D3" s="238"/>
      <c r="E3" s="238"/>
      <c r="F3" s="238"/>
      <c r="G3" s="238"/>
      <c r="H3" s="238"/>
      <c r="I3" s="238"/>
      <c r="J3" s="238"/>
      <c r="K3" s="238"/>
      <c r="L3" s="238"/>
      <c r="M3" s="238"/>
      <c r="N3" s="238"/>
    </row>
    <row r="4" spans="2:17" ht="21.75" customHeight="1" x14ac:dyDescent="0.35">
      <c r="B4" s="264" t="str">
        <f>_xlfn.CONCAT('Table of Contents'!B42,": ",'Table of Contents'!C42)</f>
        <v>APPENDIX 25 iv: SUMMARY OF GENERAL INSURANCE BUSINESS BALANCE SHEETS AS AT 31.03.2025</v>
      </c>
      <c r="C4" s="252"/>
      <c r="D4" s="252"/>
      <c r="E4" s="252"/>
      <c r="F4" s="252"/>
      <c r="G4" s="252"/>
      <c r="H4" s="252"/>
      <c r="I4" s="252"/>
      <c r="J4" s="252"/>
      <c r="K4" s="252"/>
      <c r="L4" s="252"/>
      <c r="M4" s="252"/>
      <c r="N4" s="253"/>
    </row>
    <row r="5" spans="2:17" ht="57" customHeight="1" x14ac:dyDescent="0.3">
      <c r="B5" s="195" t="s">
        <v>232</v>
      </c>
      <c r="C5" s="195" t="s">
        <v>80</v>
      </c>
      <c r="D5" s="195" t="s">
        <v>81</v>
      </c>
      <c r="E5" s="195" t="s">
        <v>82</v>
      </c>
      <c r="F5" s="195" t="s">
        <v>83</v>
      </c>
      <c r="G5" s="195" t="s">
        <v>84</v>
      </c>
      <c r="H5" s="195" t="s">
        <v>85</v>
      </c>
      <c r="I5" s="199" t="s">
        <v>86</v>
      </c>
      <c r="J5" s="199" t="s">
        <v>87</v>
      </c>
      <c r="K5" s="199" t="s">
        <v>88</v>
      </c>
      <c r="L5" s="199" t="s">
        <v>89</v>
      </c>
      <c r="M5" s="199" t="s">
        <v>96</v>
      </c>
      <c r="N5" s="199" t="s">
        <v>90</v>
      </c>
      <c r="P5" s="199" t="s">
        <v>230</v>
      </c>
      <c r="Q5" s="199" t="s">
        <v>231</v>
      </c>
    </row>
    <row r="6" spans="2:17" ht="24" customHeight="1" x14ac:dyDescent="0.3">
      <c r="B6" s="153" t="s">
        <v>188</v>
      </c>
      <c r="C6" s="153">
        <v>688553.90700000001</v>
      </c>
      <c r="D6" s="153">
        <v>700000</v>
      </c>
      <c r="E6" s="153">
        <v>1028998.1341</v>
      </c>
      <c r="F6" s="153">
        <v>600000</v>
      </c>
      <c r="G6" s="153">
        <v>566304.272</v>
      </c>
      <c r="H6" s="153">
        <v>600000</v>
      </c>
      <c r="I6" s="192">
        <v>1000000</v>
      </c>
      <c r="J6" s="192">
        <v>600000</v>
      </c>
      <c r="K6" s="192">
        <v>497024.16499999998</v>
      </c>
      <c r="L6" s="192">
        <v>0</v>
      </c>
      <c r="M6" s="192">
        <v>1102550</v>
      </c>
      <c r="N6" s="192">
        <v>47999925.151984967</v>
      </c>
      <c r="O6" s="206"/>
      <c r="P6" s="192">
        <f t="shared" ref="P6:P41" si="0">N6-Q6</f>
        <v>30398393.791984968</v>
      </c>
      <c r="Q6" s="192">
        <f>M6+'APPENDIX 25 iii'!F6+'APPENDIX 25 ii'!I6+'APPENDIX 25 ii'!C6+'APPENDIX 25 i'!I6</f>
        <v>17601531.359999999</v>
      </c>
    </row>
    <row r="7" spans="2:17" ht="24" customHeight="1" x14ac:dyDescent="0.3">
      <c r="B7" s="153" t="s">
        <v>233</v>
      </c>
      <c r="C7" s="153">
        <v>5712</v>
      </c>
      <c r="D7" s="153">
        <v>0</v>
      </c>
      <c r="E7" s="153">
        <v>100361.285</v>
      </c>
      <c r="F7" s="153">
        <v>0</v>
      </c>
      <c r="G7" s="153">
        <v>146101</v>
      </c>
      <c r="H7" s="153">
        <v>0</v>
      </c>
      <c r="I7" s="192">
        <v>0</v>
      </c>
      <c r="J7" s="192">
        <v>0</v>
      </c>
      <c r="K7" s="192">
        <v>0</v>
      </c>
      <c r="L7" s="192">
        <v>0</v>
      </c>
      <c r="M7" s="192">
        <v>0</v>
      </c>
      <c r="N7" s="192">
        <v>1920323.7520000001</v>
      </c>
      <c r="P7" s="192">
        <f t="shared" si="0"/>
        <v>1909452.51</v>
      </c>
      <c r="Q7" s="192">
        <f>M7+'APPENDIX 25 iii'!F7+'APPENDIX 25 ii'!I7+'APPENDIX 25 ii'!C7+'APPENDIX 25 i'!I7</f>
        <v>10871.242</v>
      </c>
    </row>
    <row r="8" spans="2:17" ht="24" customHeight="1" x14ac:dyDescent="0.3">
      <c r="B8" s="153" t="s">
        <v>234</v>
      </c>
      <c r="C8" s="153">
        <v>0</v>
      </c>
      <c r="D8" s="153">
        <v>0</v>
      </c>
      <c r="E8" s="153">
        <v>0</v>
      </c>
      <c r="F8" s="153">
        <v>0</v>
      </c>
      <c r="G8" s="153">
        <v>25539.216</v>
      </c>
      <c r="H8" s="153">
        <v>179489.08</v>
      </c>
      <c r="I8" s="192">
        <v>0</v>
      </c>
      <c r="J8" s="192">
        <v>128382</v>
      </c>
      <c r="K8" s="192">
        <v>0</v>
      </c>
      <c r="L8" s="192">
        <v>0</v>
      </c>
      <c r="M8" s="192">
        <v>0</v>
      </c>
      <c r="N8" s="192">
        <v>2812973.4784398731</v>
      </c>
      <c r="P8" s="192">
        <f t="shared" si="0"/>
        <v>2554517.1805698732</v>
      </c>
      <c r="Q8" s="192">
        <f>M8+'APPENDIX 25 iii'!F8+'APPENDIX 25 ii'!I8+'APPENDIX 25 ii'!C8+'APPENDIX 25 i'!I8</f>
        <v>258456.29787000001</v>
      </c>
    </row>
    <row r="9" spans="2:17" ht="24" customHeight="1" x14ac:dyDescent="0.3">
      <c r="B9" s="153" t="s">
        <v>192</v>
      </c>
      <c r="C9" s="153">
        <v>-10047.931</v>
      </c>
      <c r="D9" s="153">
        <v>50015</v>
      </c>
      <c r="E9" s="153">
        <v>1183118.93731</v>
      </c>
      <c r="F9" s="153">
        <v>0</v>
      </c>
      <c r="G9" s="153">
        <v>0</v>
      </c>
      <c r="H9" s="153">
        <v>178218.66367000001</v>
      </c>
      <c r="I9" s="192">
        <v>0</v>
      </c>
      <c r="J9" s="192">
        <v>0</v>
      </c>
      <c r="K9" s="192">
        <v>0</v>
      </c>
      <c r="L9" s="192">
        <v>0</v>
      </c>
      <c r="M9" s="192">
        <v>0</v>
      </c>
      <c r="N9" s="192">
        <v>4390478.9347624741</v>
      </c>
      <c r="P9" s="192">
        <f t="shared" si="0"/>
        <v>4499286.8367624739</v>
      </c>
      <c r="Q9" s="192">
        <f>M9+'APPENDIX 25 iii'!F9+'APPENDIX 25 ii'!I9+'APPENDIX 25 ii'!C9+'APPENDIX 25 i'!I9</f>
        <v>-108807.902</v>
      </c>
    </row>
    <row r="10" spans="2:17" ht="24" customHeight="1" x14ac:dyDescent="0.3">
      <c r="B10" s="153" t="s">
        <v>193</v>
      </c>
      <c r="C10" s="153">
        <v>301935.15823844599</v>
      </c>
      <c r="D10" s="153">
        <v>102882.9352711028</v>
      </c>
      <c r="E10" s="153">
        <v>-615268.3763136554</v>
      </c>
      <c r="F10" s="153">
        <v>-63868.570045052882</v>
      </c>
      <c r="G10" s="153">
        <v>-378814.58210414433</v>
      </c>
      <c r="H10" s="153">
        <v>1663049.937076272</v>
      </c>
      <c r="I10" s="192">
        <v>5182726.029906733</v>
      </c>
      <c r="J10" s="192">
        <v>-1158332.2579132151</v>
      </c>
      <c r="K10" s="192">
        <v>-1342034.4350000001</v>
      </c>
      <c r="L10" s="192">
        <v>0</v>
      </c>
      <c r="M10" s="192">
        <v>1691590.515705795</v>
      </c>
      <c r="N10" s="192">
        <v>76559957.454579845</v>
      </c>
      <c r="P10" s="192">
        <f t="shared" si="0"/>
        <v>44776597.481870353</v>
      </c>
      <c r="Q10" s="192">
        <f>M10+'APPENDIX 25 iii'!F10+'APPENDIX 25 ii'!I10+'APPENDIX 25 ii'!C10+'APPENDIX 25 i'!I10</f>
        <v>31783359.972709492</v>
      </c>
    </row>
    <row r="11" spans="2:17" ht="24" customHeight="1" x14ac:dyDescent="0.3">
      <c r="B11" s="153" t="s">
        <v>194</v>
      </c>
      <c r="C11" s="153">
        <v>24798.638999999999</v>
      </c>
      <c r="D11" s="153">
        <v>1031184.44</v>
      </c>
      <c r="E11" s="153">
        <v>0</v>
      </c>
      <c r="F11" s="153">
        <v>0</v>
      </c>
      <c r="G11" s="153">
        <v>0</v>
      </c>
      <c r="H11" s="153">
        <v>0</v>
      </c>
      <c r="I11" s="192">
        <v>0</v>
      </c>
      <c r="J11" s="192">
        <v>-15557.495000000001</v>
      </c>
      <c r="K11" s="192">
        <v>0</v>
      </c>
      <c r="L11" s="192">
        <v>0</v>
      </c>
      <c r="M11" s="192">
        <v>0</v>
      </c>
      <c r="N11" s="192">
        <v>4097486.7060009078</v>
      </c>
      <c r="P11" s="192">
        <f t="shared" si="0"/>
        <v>2650014.0380009077</v>
      </c>
      <c r="Q11" s="192">
        <f>M11+'APPENDIX 25 iii'!F11+'APPENDIX 25 ii'!I11+'APPENDIX 25 ii'!C11+'APPENDIX 25 i'!I11</f>
        <v>1447472.6680000001</v>
      </c>
    </row>
    <row r="12" spans="2:17" ht="24" customHeight="1" thickBot="1" x14ac:dyDescent="0.35">
      <c r="B12" s="188" t="s">
        <v>195</v>
      </c>
      <c r="C12" s="219">
        <v>1010951.773238446</v>
      </c>
      <c r="D12" s="219">
        <v>1884082.3752711031</v>
      </c>
      <c r="E12" s="219">
        <v>1697209.9800963439</v>
      </c>
      <c r="F12" s="219">
        <v>536131.42995494709</v>
      </c>
      <c r="G12" s="219">
        <v>359129.90589585569</v>
      </c>
      <c r="H12" s="219">
        <v>2620757.6807462722</v>
      </c>
      <c r="I12" s="193">
        <v>6182726.029906733</v>
      </c>
      <c r="J12" s="193">
        <v>-445507.75291321537</v>
      </c>
      <c r="K12" s="193">
        <v>-845010.27</v>
      </c>
      <c r="L12" s="193">
        <v>0</v>
      </c>
      <c r="M12" s="193">
        <v>2794140.515705795</v>
      </c>
      <c r="N12" s="193">
        <v>137781145.47776809</v>
      </c>
      <c r="P12" s="193">
        <f t="shared" si="0"/>
        <v>86788261.839188606</v>
      </c>
      <c r="Q12" s="193">
        <f>M12+'APPENDIX 25 iii'!F12+'APPENDIX 25 ii'!I12+'APPENDIX 25 ii'!C12+'APPENDIX 25 i'!I12</f>
        <v>50992883.638579488</v>
      </c>
    </row>
    <row r="13" spans="2:17" ht="24" customHeight="1" thickTop="1" x14ac:dyDescent="0.3">
      <c r="B13" s="153" t="s">
        <v>197</v>
      </c>
      <c r="C13" s="153">
        <v>2999700.6593660121</v>
      </c>
      <c r="D13" s="153">
        <v>1865056.6183840639</v>
      </c>
      <c r="E13" s="153">
        <v>2408993.670720994</v>
      </c>
      <c r="F13" s="153">
        <v>454620.36811402271</v>
      </c>
      <c r="G13" s="153">
        <v>769236.22069997108</v>
      </c>
      <c r="H13" s="153">
        <v>1325838.5712849</v>
      </c>
      <c r="I13" s="192">
        <v>6864682.9620000003</v>
      </c>
      <c r="J13" s="192">
        <v>1568025.976</v>
      </c>
      <c r="K13" s="192">
        <v>2186844.8909999998</v>
      </c>
      <c r="L13" s="192">
        <v>0</v>
      </c>
      <c r="M13" s="192">
        <v>1231244.7873799631</v>
      </c>
      <c r="N13" s="192">
        <v>184468111.95370531</v>
      </c>
      <c r="P13" s="192">
        <f t="shared" si="0"/>
        <v>163793019.26014861</v>
      </c>
      <c r="Q13" s="192">
        <f>M13+'APPENDIX 25 iii'!F13+'APPENDIX 25 ii'!I13+'APPENDIX 25 ii'!C13+'APPENDIX 25 i'!I13</f>
        <v>20675092.693556707</v>
      </c>
    </row>
    <row r="14" spans="2:17" ht="24" customHeight="1" x14ac:dyDescent="0.3">
      <c r="B14" s="153" t="s">
        <v>198</v>
      </c>
      <c r="C14" s="153">
        <v>0</v>
      </c>
      <c r="D14" s="153">
        <v>0</v>
      </c>
      <c r="E14" s="153">
        <v>228656.1724864729</v>
      </c>
      <c r="F14" s="153">
        <v>0</v>
      </c>
      <c r="G14" s="153">
        <v>21678.940503089001</v>
      </c>
      <c r="H14" s="153">
        <v>0</v>
      </c>
      <c r="I14" s="192">
        <v>246721.14300000001</v>
      </c>
      <c r="J14" s="192">
        <v>0</v>
      </c>
      <c r="K14" s="192">
        <v>0</v>
      </c>
      <c r="L14" s="192">
        <v>0</v>
      </c>
      <c r="M14" s="192">
        <v>1026190.172132046</v>
      </c>
      <c r="N14" s="192">
        <v>7002202.5173406145</v>
      </c>
      <c r="P14" s="192">
        <f t="shared" si="0"/>
        <v>4378245.0496170297</v>
      </c>
      <c r="Q14" s="192">
        <f>M14+'APPENDIX 25 iii'!F14+'APPENDIX 25 ii'!I14+'APPENDIX 25 ii'!C14+'APPENDIX 25 i'!I14</f>
        <v>2623957.4677235847</v>
      </c>
    </row>
    <row r="15" spans="2:17" ht="24" customHeight="1" x14ac:dyDescent="0.3">
      <c r="B15" s="153" t="s">
        <v>199</v>
      </c>
      <c r="C15" s="153">
        <v>37385.016000000003</v>
      </c>
      <c r="D15" s="153">
        <v>0</v>
      </c>
      <c r="E15" s="153">
        <v>0</v>
      </c>
      <c r="F15" s="153">
        <v>6698.4815234440021</v>
      </c>
      <c r="G15" s="153">
        <v>11988</v>
      </c>
      <c r="H15" s="153">
        <v>76897.702999999994</v>
      </c>
      <c r="I15" s="192">
        <v>0</v>
      </c>
      <c r="J15" s="192">
        <v>142463.92199999999</v>
      </c>
      <c r="K15" s="192">
        <v>525541.88544999994</v>
      </c>
      <c r="L15" s="192">
        <v>0</v>
      </c>
      <c r="M15" s="192">
        <v>0</v>
      </c>
      <c r="N15" s="192">
        <v>3383784.994123443</v>
      </c>
      <c r="P15" s="192">
        <f t="shared" si="0"/>
        <v>1964250.569123443</v>
      </c>
      <c r="Q15" s="192">
        <f>M15+'APPENDIX 25 iii'!F15+'APPENDIX 25 ii'!I15+'APPENDIX 25 ii'!C15+'APPENDIX 25 i'!I15</f>
        <v>1419534.425</v>
      </c>
    </row>
    <row r="16" spans="2:17" ht="24" customHeight="1" x14ac:dyDescent="0.3">
      <c r="B16" s="153" t="s">
        <v>200</v>
      </c>
      <c r="C16" s="153">
        <v>203067.486</v>
      </c>
      <c r="D16" s="153">
        <v>158053.72700000001</v>
      </c>
      <c r="E16" s="153">
        <v>172000.19374350001</v>
      </c>
      <c r="F16" s="153">
        <v>299413.76000000001</v>
      </c>
      <c r="G16" s="153">
        <v>72121.123897053898</v>
      </c>
      <c r="H16" s="153">
        <v>0</v>
      </c>
      <c r="I16" s="192">
        <v>410985.07199999999</v>
      </c>
      <c r="J16" s="192">
        <v>1225471.7420000001</v>
      </c>
      <c r="K16" s="192">
        <v>543775.48899999994</v>
      </c>
      <c r="L16" s="192">
        <v>0</v>
      </c>
      <c r="M16" s="192">
        <v>377256.522</v>
      </c>
      <c r="N16" s="192">
        <v>17992869.717115071</v>
      </c>
      <c r="P16" s="192">
        <f t="shared" si="0"/>
        <v>15977538.521865569</v>
      </c>
      <c r="Q16" s="192">
        <f>M16+'APPENDIX 25 iii'!F16+'APPENDIX 25 ii'!I16+'APPENDIX 25 ii'!C16+'APPENDIX 25 i'!I16</f>
        <v>2015331.1952495025</v>
      </c>
    </row>
    <row r="17" spans="2:17" ht="24" customHeight="1" x14ac:dyDescent="0.3">
      <c r="B17" s="153" t="s">
        <v>201</v>
      </c>
      <c r="C17" s="153">
        <v>49514.129000000001</v>
      </c>
      <c r="D17" s="153">
        <v>36332.008000000002</v>
      </c>
      <c r="E17" s="153">
        <v>111420.7136900005</v>
      </c>
      <c r="F17" s="153">
        <v>109182.87268667181</v>
      </c>
      <c r="G17" s="153">
        <v>64264.999999999884</v>
      </c>
      <c r="H17" s="153">
        <v>162504.67557449339</v>
      </c>
      <c r="I17" s="192">
        <v>448593.63500000001</v>
      </c>
      <c r="J17" s="192">
        <v>65333.965499999998</v>
      </c>
      <c r="K17" s="192">
        <v>25907.56999999976</v>
      </c>
      <c r="L17" s="192">
        <v>0</v>
      </c>
      <c r="M17" s="192">
        <v>237462.50082300001</v>
      </c>
      <c r="N17" s="192">
        <v>8573488.6830654033</v>
      </c>
      <c r="P17" s="192">
        <f t="shared" si="0"/>
        <v>7706369.4863107298</v>
      </c>
      <c r="Q17" s="192">
        <f>M17+'APPENDIX 25 iii'!F17+'APPENDIX 25 ii'!I17+'APPENDIX 25 ii'!C17+'APPENDIX 25 i'!I17</f>
        <v>867119.19675467326</v>
      </c>
    </row>
    <row r="18" spans="2:17" ht="24" customHeight="1" thickBot="1" x14ac:dyDescent="0.35">
      <c r="B18" s="196" t="s">
        <v>202</v>
      </c>
      <c r="C18" s="220">
        <v>4300619.0636044582</v>
      </c>
      <c r="D18" s="220">
        <v>3943524.728655166</v>
      </c>
      <c r="E18" s="220">
        <v>4618280.7307373118</v>
      </c>
      <c r="F18" s="220">
        <v>1406046.912279086</v>
      </c>
      <c r="G18" s="220">
        <v>1298419.19099597</v>
      </c>
      <c r="H18" s="220">
        <v>4185998.630605665</v>
      </c>
      <c r="I18" s="197">
        <v>14153708.84190673</v>
      </c>
      <c r="J18" s="197">
        <v>2555787.8525867839</v>
      </c>
      <c r="K18" s="197">
        <v>2437059.5654500001</v>
      </c>
      <c r="L18" s="197">
        <v>0</v>
      </c>
      <c r="M18" s="197">
        <v>5666294.4980408037</v>
      </c>
      <c r="N18" s="197">
        <v>359201603.34311801</v>
      </c>
      <c r="P18" s="197">
        <f t="shared" si="0"/>
        <v>280607684.72625405</v>
      </c>
      <c r="Q18" s="197">
        <f>M18+'APPENDIX 25 iii'!F18+'APPENDIX 25 ii'!I18+'APPENDIX 25 ii'!C18+'APPENDIX 25 i'!I18</f>
        <v>78593918.616863966</v>
      </c>
    </row>
    <row r="19" spans="2:17" ht="24" customHeight="1" thickTop="1" x14ac:dyDescent="0.3">
      <c r="B19" s="153" t="s">
        <v>203</v>
      </c>
      <c r="C19" s="221">
        <v>292.29300000000001</v>
      </c>
      <c r="D19" s="221">
        <v>10887.166999999999</v>
      </c>
      <c r="E19" s="221">
        <v>997.31762999999523</v>
      </c>
      <c r="F19" s="221">
        <v>33581.061000000002</v>
      </c>
      <c r="G19" s="221">
        <v>18473</v>
      </c>
      <c r="H19" s="221">
        <v>25356.95</v>
      </c>
      <c r="I19" s="194">
        <v>69997.214999999997</v>
      </c>
      <c r="J19" s="194">
        <v>1544.674</v>
      </c>
      <c r="K19" s="194">
        <v>8892.6329999999998</v>
      </c>
      <c r="L19" s="194">
        <v>0</v>
      </c>
      <c r="M19" s="194">
        <v>155.2414499999997</v>
      </c>
      <c r="N19" s="194">
        <v>1419454.4721343401</v>
      </c>
      <c r="P19" s="194">
        <f t="shared" si="0"/>
        <v>1371144.23491309</v>
      </c>
      <c r="Q19" s="194">
        <f>M19+'APPENDIX 25 iii'!F19+'APPENDIX 25 ii'!I19+'APPENDIX 25 ii'!C19+'APPENDIX 25 i'!I19</f>
        <v>48310.237221249998</v>
      </c>
    </row>
    <row r="20" spans="2:17" ht="24" customHeight="1" x14ac:dyDescent="0.3">
      <c r="B20" s="153" t="s">
        <v>204</v>
      </c>
      <c r="C20" s="221">
        <v>112085.94</v>
      </c>
      <c r="D20" s="221">
        <v>0</v>
      </c>
      <c r="E20" s="221">
        <v>0</v>
      </c>
      <c r="F20" s="221">
        <v>0</v>
      </c>
      <c r="G20" s="221">
        <v>0</v>
      </c>
      <c r="H20" s="221">
        <v>304819.00799999997</v>
      </c>
      <c r="I20" s="194">
        <v>0</v>
      </c>
      <c r="J20" s="194">
        <v>218800</v>
      </c>
      <c r="K20" s="194">
        <v>0</v>
      </c>
      <c r="L20" s="194">
        <v>0</v>
      </c>
      <c r="M20" s="194">
        <v>0</v>
      </c>
      <c r="N20" s="194">
        <v>5676164.1326200012</v>
      </c>
      <c r="P20" s="194">
        <f t="shared" si="0"/>
        <v>5268787.1530000009</v>
      </c>
      <c r="Q20" s="194">
        <f>M20+'APPENDIX 25 iii'!F20+'APPENDIX 25 ii'!I20+'APPENDIX 25 ii'!C20+'APPENDIX 25 i'!I20</f>
        <v>407376.97962</v>
      </c>
    </row>
    <row r="21" spans="2:17" ht="24" customHeight="1" x14ac:dyDescent="0.3">
      <c r="B21" s="153" t="s">
        <v>205</v>
      </c>
      <c r="C21" s="221">
        <v>752167.804</v>
      </c>
      <c r="D21" s="221">
        <v>446000</v>
      </c>
      <c r="E21" s="221">
        <v>47000</v>
      </c>
      <c r="F21" s="221">
        <v>0</v>
      </c>
      <c r="G21" s="221">
        <v>30000</v>
      </c>
      <c r="H21" s="221">
        <v>0</v>
      </c>
      <c r="I21" s="194">
        <v>0</v>
      </c>
      <c r="J21" s="194">
        <v>461400</v>
      </c>
      <c r="K21" s="194">
        <v>753279.47826999996</v>
      </c>
      <c r="L21" s="194">
        <v>0</v>
      </c>
      <c r="M21" s="194">
        <v>0</v>
      </c>
      <c r="N21" s="194">
        <v>35112036.634370007</v>
      </c>
      <c r="P21" s="194">
        <f t="shared" si="0"/>
        <v>23206661.913370006</v>
      </c>
      <c r="Q21" s="194">
        <f>M21+'APPENDIX 25 iii'!F21+'APPENDIX 25 ii'!I21+'APPENDIX 25 ii'!C21+'APPENDIX 25 i'!I21</f>
        <v>11905374.720999999</v>
      </c>
    </row>
    <row r="22" spans="2:17" ht="24" customHeight="1" x14ac:dyDescent="0.3">
      <c r="B22" s="153" t="s">
        <v>206</v>
      </c>
      <c r="C22" s="221">
        <v>22446.550999999999</v>
      </c>
      <c r="D22" s="221">
        <v>22263.298999999999</v>
      </c>
      <c r="E22" s="221">
        <v>27415.003453966841</v>
      </c>
      <c r="F22" s="221">
        <v>3142.6141299999999</v>
      </c>
      <c r="G22" s="221">
        <v>22112.75146106771</v>
      </c>
      <c r="H22" s="221">
        <v>37503.203000000001</v>
      </c>
      <c r="I22" s="194">
        <v>62680.887999999999</v>
      </c>
      <c r="J22" s="194">
        <v>107938.402</v>
      </c>
      <c r="K22" s="194">
        <v>38590.654170000002</v>
      </c>
      <c r="L22" s="194">
        <v>0</v>
      </c>
      <c r="M22" s="194">
        <v>40577.01081</v>
      </c>
      <c r="N22" s="194">
        <v>1830870.089244701</v>
      </c>
      <c r="P22" s="194">
        <f t="shared" si="0"/>
        <v>1692791.0042360728</v>
      </c>
      <c r="Q22" s="194">
        <f>M22+'APPENDIX 25 iii'!F22+'APPENDIX 25 ii'!I22+'APPENDIX 25 ii'!C22+'APPENDIX 25 i'!I22</f>
        <v>138079.08500862808</v>
      </c>
    </row>
    <row r="23" spans="2:17" ht="24" customHeight="1" x14ac:dyDescent="0.3">
      <c r="B23" s="153" t="s">
        <v>207</v>
      </c>
      <c r="C23" s="221">
        <v>201495.041</v>
      </c>
      <c r="D23" s="221">
        <v>1108902.953</v>
      </c>
      <c r="E23" s="221">
        <v>2764600.7045010799</v>
      </c>
      <c r="F23" s="221">
        <v>817160.24800000002</v>
      </c>
      <c r="G23" s="221">
        <v>51014</v>
      </c>
      <c r="H23" s="221">
        <v>2422020.2840900002</v>
      </c>
      <c r="I23" s="194">
        <v>6421880.8870000001</v>
      </c>
      <c r="J23" s="194">
        <v>333209</v>
      </c>
      <c r="K23" s="194">
        <v>95887.37794801846</v>
      </c>
      <c r="L23" s="194">
        <v>0</v>
      </c>
      <c r="M23" s="194">
        <v>1169702.8912981839</v>
      </c>
      <c r="N23" s="194">
        <v>130376257.32556809</v>
      </c>
      <c r="P23" s="194">
        <f t="shared" si="0"/>
        <v>103530275.00834513</v>
      </c>
      <c r="Q23" s="194">
        <f>M23+'APPENDIX 25 iii'!F23+'APPENDIX 25 ii'!I23+'APPENDIX 25 ii'!C23+'APPENDIX 25 i'!I23</f>
        <v>26845982.317222964</v>
      </c>
    </row>
    <row r="24" spans="2:17" ht="24" customHeight="1" x14ac:dyDescent="0.3">
      <c r="B24" s="153" t="s">
        <v>208</v>
      </c>
      <c r="C24" s="221">
        <v>0</v>
      </c>
      <c r="D24" s="221">
        <v>0</v>
      </c>
      <c r="E24" s="221">
        <v>0</v>
      </c>
      <c r="F24" s="221">
        <v>0</v>
      </c>
      <c r="G24" s="221">
        <v>0</v>
      </c>
      <c r="H24" s="221">
        <v>5386.7509</v>
      </c>
      <c r="I24" s="194">
        <v>0</v>
      </c>
      <c r="J24" s="194">
        <v>0</v>
      </c>
      <c r="K24" s="194">
        <v>6067.2344999999996</v>
      </c>
      <c r="L24" s="194">
        <v>0</v>
      </c>
      <c r="M24" s="194">
        <v>529960.66836505791</v>
      </c>
      <c r="N24" s="194">
        <v>1213497.101123923</v>
      </c>
      <c r="P24" s="194">
        <f t="shared" si="0"/>
        <v>495552.54285886511</v>
      </c>
      <c r="Q24" s="194">
        <f>M24+'APPENDIX 25 iii'!F24+'APPENDIX 25 ii'!I24+'APPENDIX 25 ii'!C24+'APPENDIX 25 i'!I24</f>
        <v>717944.55826505786</v>
      </c>
    </row>
    <row r="25" spans="2:17" ht="24" customHeight="1" x14ac:dyDescent="0.3">
      <c r="B25" s="153" t="s">
        <v>209</v>
      </c>
      <c r="C25" s="221">
        <v>0</v>
      </c>
      <c r="D25" s="221">
        <v>0</v>
      </c>
      <c r="E25" s="221">
        <v>0</v>
      </c>
      <c r="F25" s="221">
        <v>0</v>
      </c>
      <c r="G25" s="221">
        <v>0</v>
      </c>
      <c r="H25" s="221">
        <v>0</v>
      </c>
      <c r="I25" s="194">
        <v>146556.571</v>
      </c>
      <c r="J25" s="194">
        <v>150000</v>
      </c>
      <c r="K25" s="194">
        <v>0</v>
      </c>
      <c r="L25" s="194">
        <v>0</v>
      </c>
      <c r="M25" s="194">
        <v>0</v>
      </c>
      <c r="N25" s="194">
        <v>19270700.083719991</v>
      </c>
      <c r="P25" s="194">
        <f t="shared" si="0"/>
        <v>6702916.00895999</v>
      </c>
      <c r="Q25" s="194">
        <f>M25+'APPENDIX 25 iii'!F25+'APPENDIX 25 ii'!I25+'APPENDIX 25 ii'!C25+'APPENDIX 25 i'!I25</f>
        <v>12567784.074760001</v>
      </c>
    </row>
    <row r="26" spans="2:17" ht="24" customHeight="1" x14ac:dyDescent="0.3">
      <c r="B26" s="153" t="s">
        <v>210</v>
      </c>
      <c r="C26" s="221">
        <v>0</v>
      </c>
      <c r="D26" s="221">
        <v>0</v>
      </c>
      <c r="E26" s="221">
        <v>0</v>
      </c>
      <c r="F26" s="221">
        <v>0</v>
      </c>
      <c r="G26" s="221">
        <v>0</v>
      </c>
      <c r="H26" s="221">
        <v>0</v>
      </c>
      <c r="I26" s="194">
        <v>0</v>
      </c>
      <c r="J26" s="194">
        <v>0</v>
      </c>
      <c r="K26" s="194">
        <v>0</v>
      </c>
      <c r="L26" s="194">
        <v>0</v>
      </c>
      <c r="M26" s="194">
        <v>0</v>
      </c>
      <c r="N26" s="194">
        <v>216372.79341996941</v>
      </c>
      <c r="P26" s="194">
        <f t="shared" si="0"/>
        <v>170104.28941996943</v>
      </c>
      <c r="Q26" s="194">
        <f>M26+'APPENDIX 25 iii'!F26+'APPENDIX 25 ii'!I26+'APPENDIX 25 ii'!C26+'APPENDIX 25 i'!I26</f>
        <v>46268.504000000001</v>
      </c>
    </row>
    <row r="27" spans="2:17" ht="24" customHeight="1" x14ac:dyDescent="0.3">
      <c r="B27" s="153" t="s">
        <v>211</v>
      </c>
      <c r="C27" s="221">
        <v>0</v>
      </c>
      <c r="D27" s="221">
        <v>0</v>
      </c>
      <c r="E27" s="221">
        <v>0</v>
      </c>
      <c r="F27" s="221">
        <v>0</v>
      </c>
      <c r="G27" s="221">
        <v>0</v>
      </c>
      <c r="H27" s="221">
        <v>0</v>
      </c>
      <c r="I27" s="194">
        <v>0</v>
      </c>
      <c r="J27" s="194">
        <v>0</v>
      </c>
      <c r="K27" s="194">
        <v>0</v>
      </c>
      <c r="L27" s="194">
        <v>0</v>
      </c>
      <c r="M27" s="194">
        <v>0</v>
      </c>
      <c r="N27" s="194">
        <v>1472.7439999999999</v>
      </c>
      <c r="P27" s="194">
        <f t="shared" si="0"/>
        <v>1472.7439999999999</v>
      </c>
      <c r="Q27" s="194">
        <f>M27+'APPENDIX 25 iii'!F27+'APPENDIX 25 ii'!I27+'APPENDIX 25 ii'!C27+'APPENDIX 25 i'!I27</f>
        <v>0</v>
      </c>
    </row>
    <row r="28" spans="2:17" ht="24" customHeight="1" x14ac:dyDescent="0.3">
      <c r="B28" s="153" t="s">
        <v>212</v>
      </c>
      <c r="C28" s="221">
        <v>0</v>
      </c>
      <c r="D28" s="221">
        <v>0</v>
      </c>
      <c r="E28" s="221">
        <v>0</v>
      </c>
      <c r="F28" s="221">
        <v>0</v>
      </c>
      <c r="G28" s="221">
        <v>0</v>
      </c>
      <c r="H28" s="221">
        <v>0</v>
      </c>
      <c r="I28" s="194">
        <v>0</v>
      </c>
      <c r="J28" s="194">
        <v>357021.46899999998</v>
      </c>
      <c r="K28" s="194">
        <v>0</v>
      </c>
      <c r="L28" s="194">
        <v>0</v>
      </c>
      <c r="M28" s="194">
        <v>0</v>
      </c>
      <c r="N28" s="194">
        <v>357021.46899999998</v>
      </c>
      <c r="P28" s="194">
        <f t="shared" si="0"/>
        <v>357021.46899999998</v>
      </c>
      <c r="Q28" s="194">
        <f>M28+'APPENDIX 25 iii'!F28+'APPENDIX 25 ii'!I28+'APPENDIX 25 ii'!C28+'APPENDIX 25 i'!I28</f>
        <v>0</v>
      </c>
    </row>
    <row r="29" spans="2:17" ht="24" customHeight="1" x14ac:dyDescent="0.3">
      <c r="B29" s="153" t="s">
        <v>213</v>
      </c>
      <c r="C29" s="221">
        <v>0</v>
      </c>
      <c r="D29" s="221">
        <v>0</v>
      </c>
      <c r="E29" s="221">
        <v>0</v>
      </c>
      <c r="F29" s="221">
        <v>0</v>
      </c>
      <c r="G29" s="221">
        <v>0</v>
      </c>
      <c r="H29" s="221">
        <v>204426.47398000001</v>
      </c>
      <c r="I29" s="194">
        <v>0</v>
      </c>
      <c r="J29" s="194">
        <v>8179.17</v>
      </c>
      <c r="K29" s="194">
        <v>0</v>
      </c>
      <c r="L29" s="194">
        <v>0</v>
      </c>
      <c r="M29" s="194">
        <v>0</v>
      </c>
      <c r="N29" s="194">
        <v>4579600.5516976863</v>
      </c>
      <c r="P29" s="194">
        <f t="shared" si="0"/>
        <v>3305999.9656976862</v>
      </c>
      <c r="Q29" s="194">
        <f>M29+'APPENDIX 25 iii'!F29+'APPENDIX 25 ii'!I29+'APPENDIX 25 ii'!C29+'APPENDIX 25 i'!I29</f>
        <v>1273600.5860000001</v>
      </c>
    </row>
    <row r="30" spans="2:17" ht="24" customHeight="1" x14ac:dyDescent="0.3">
      <c r="B30" s="153" t="s">
        <v>214</v>
      </c>
      <c r="C30" s="221">
        <v>0</v>
      </c>
      <c r="D30" s="221">
        <v>1249906.3130000001</v>
      </c>
      <c r="E30" s="221">
        <v>0</v>
      </c>
      <c r="F30" s="221">
        <v>0</v>
      </c>
      <c r="G30" s="221">
        <v>0</v>
      </c>
      <c r="H30" s="221">
        <v>1835.603362825361</v>
      </c>
      <c r="I30" s="194">
        <v>0</v>
      </c>
      <c r="J30" s="194">
        <v>0</v>
      </c>
      <c r="K30" s="194">
        <v>0</v>
      </c>
      <c r="L30" s="194">
        <v>0</v>
      </c>
      <c r="M30" s="194">
        <v>0</v>
      </c>
      <c r="N30" s="194">
        <v>4790783.3993112352</v>
      </c>
      <c r="P30" s="194">
        <f t="shared" si="0"/>
        <v>4187670.2500879019</v>
      </c>
      <c r="Q30" s="194">
        <f>M30+'APPENDIX 25 iii'!F30+'APPENDIX 25 ii'!I30+'APPENDIX 25 ii'!C30+'APPENDIX 25 i'!I30</f>
        <v>603113.14922333299</v>
      </c>
    </row>
    <row r="31" spans="2:17" ht="24" customHeight="1" x14ac:dyDescent="0.3">
      <c r="B31" s="153" t="s">
        <v>215</v>
      </c>
      <c r="C31" s="221">
        <v>0</v>
      </c>
      <c r="D31" s="221">
        <v>0</v>
      </c>
      <c r="E31" s="221">
        <v>0</v>
      </c>
      <c r="F31" s="221">
        <v>0</v>
      </c>
      <c r="G31" s="221">
        <v>0</v>
      </c>
      <c r="H31" s="221">
        <v>0</v>
      </c>
      <c r="I31" s="194">
        <v>0</v>
      </c>
      <c r="J31" s="194">
        <v>0</v>
      </c>
      <c r="K31" s="194">
        <v>0</v>
      </c>
      <c r="L31" s="194">
        <v>0</v>
      </c>
      <c r="M31" s="194">
        <v>0</v>
      </c>
      <c r="N31" s="194">
        <v>466.72399999999999</v>
      </c>
      <c r="P31" s="194">
        <f t="shared" si="0"/>
        <v>402.1</v>
      </c>
      <c r="Q31" s="194">
        <f>M31+'APPENDIX 25 iii'!F31+'APPENDIX 25 ii'!I31+'APPENDIX 25 ii'!C31+'APPENDIX 25 i'!I31</f>
        <v>64.623999999999995</v>
      </c>
    </row>
    <row r="32" spans="2:17" ht="24" customHeight="1" x14ac:dyDescent="0.3">
      <c r="B32" s="153" t="s">
        <v>216</v>
      </c>
      <c r="C32" s="221">
        <v>0</v>
      </c>
      <c r="D32" s="221">
        <v>0</v>
      </c>
      <c r="E32" s="221">
        <v>0</v>
      </c>
      <c r="F32" s="221">
        <v>0</v>
      </c>
      <c r="G32" s="221">
        <v>0</v>
      </c>
      <c r="H32" s="221">
        <v>0</v>
      </c>
      <c r="I32" s="194">
        <v>0</v>
      </c>
      <c r="J32" s="194">
        <v>0</v>
      </c>
      <c r="K32" s="194">
        <v>59</v>
      </c>
      <c r="L32" s="194">
        <v>0</v>
      </c>
      <c r="M32" s="194">
        <v>0</v>
      </c>
      <c r="N32" s="194">
        <v>59</v>
      </c>
      <c r="P32" s="194">
        <f t="shared" si="0"/>
        <v>59</v>
      </c>
      <c r="Q32" s="194">
        <f>M32+'APPENDIX 25 iii'!F32+'APPENDIX 25 ii'!I32+'APPENDIX 25 ii'!C32+'APPENDIX 25 i'!I32</f>
        <v>0</v>
      </c>
    </row>
    <row r="33" spans="2:18" ht="24" customHeight="1" x14ac:dyDescent="0.3">
      <c r="B33" s="153" t="s">
        <v>217</v>
      </c>
      <c r="C33" s="221">
        <v>0</v>
      </c>
      <c r="D33" s="221">
        <v>133269.63500000001</v>
      </c>
      <c r="E33" s="221">
        <v>0</v>
      </c>
      <c r="F33" s="221">
        <v>0</v>
      </c>
      <c r="G33" s="221">
        <v>0</v>
      </c>
      <c r="H33" s="221">
        <v>1368.404</v>
      </c>
      <c r="I33" s="194">
        <v>11834.137000000001</v>
      </c>
      <c r="J33" s="194">
        <v>26433.120999999999</v>
      </c>
      <c r="K33" s="194">
        <v>0</v>
      </c>
      <c r="L33" s="194">
        <v>0</v>
      </c>
      <c r="M33" s="194">
        <v>17622.999</v>
      </c>
      <c r="N33" s="194">
        <v>2722482.161928399</v>
      </c>
      <c r="P33" s="194">
        <f t="shared" si="0"/>
        <v>2685221.6519483989</v>
      </c>
      <c r="Q33" s="194">
        <f>M33+'APPENDIX 25 iii'!F33+'APPENDIX 25 ii'!I33+'APPENDIX 25 ii'!C33+'APPENDIX 25 i'!I33</f>
        <v>37260.509979999988</v>
      </c>
      <c r="R33" s="11">
        <f>SUM(C33:M34,'APPENDIX 25 iii'!C33:L34,'APPENDIX 25 ii'!C33:L34,'APPENDIX 25 i'!C33:L34)</f>
        <v>3989378.2562815123</v>
      </c>
    </row>
    <row r="34" spans="2:18" ht="24" customHeight="1" x14ac:dyDescent="0.3">
      <c r="B34" s="153" t="s">
        <v>218</v>
      </c>
      <c r="C34" s="221">
        <v>0</v>
      </c>
      <c r="D34" s="221">
        <v>0</v>
      </c>
      <c r="E34" s="221">
        <v>0</v>
      </c>
      <c r="F34" s="221">
        <v>0</v>
      </c>
      <c r="G34" s="221">
        <v>0</v>
      </c>
      <c r="H34" s="221">
        <v>19671.873797812801</v>
      </c>
      <c r="I34" s="194">
        <v>113093.649</v>
      </c>
      <c r="J34" s="194">
        <v>0</v>
      </c>
      <c r="K34" s="194">
        <v>0</v>
      </c>
      <c r="L34" s="194">
        <v>0</v>
      </c>
      <c r="M34" s="194">
        <v>0</v>
      </c>
      <c r="N34" s="194">
        <v>1266896.0943531131</v>
      </c>
      <c r="P34" s="194">
        <f t="shared" si="0"/>
        <v>335278.25573781319</v>
      </c>
      <c r="Q34" s="194">
        <f>M34+'APPENDIX 25 iii'!F34+'APPENDIX 25 ii'!I34+'APPENDIX 25 ii'!C34+'APPENDIX 25 i'!I34</f>
        <v>931617.8386152999</v>
      </c>
    </row>
    <row r="35" spans="2:18" ht="24" customHeight="1" x14ac:dyDescent="0.3">
      <c r="B35" s="153" t="s">
        <v>219</v>
      </c>
      <c r="C35" s="221">
        <v>857869.29639999999</v>
      </c>
      <c r="D35" s="221">
        <v>540868.29700000002</v>
      </c>
      <c r="E35" s="221">
        <v>339206.12404087558</v>
      </c>
      <c r="F35" s="221">
        <v>183100.07006999999</v>
      </c>
      <c r="G35" s="221">
        <v>429550.8229143878</v>
      </c>
      <c r="H35" s="221">
        <v>534747.7980930137</v>
      </c>
      <c r="I35" s="194">
        <v>4642021.8190000001</v>
      </c>
      <c r="J35" s="194">
        <v>0</v>
      </c>
      <c r="K35" s="194">
        <v>0</v>
      </c>
      <c r="L35" s="194">
        <v>0</v>
      </c>
      <c r="M35" s="194">
        <v>2743537.543319962</v>
      </c>
      <c r="N35" s="194">
        <v>42951480.180544689</v>
      </c>
      <c r="P35" s="194">
        <f t="shared" si="0"/>
        <v>31326029.401219409</v>
      </c>
      <c r="Q35" s="194">
        <f>M35+'APPENDIX 25 iii'!F35+'APPENDIX 25 ii'!I35+'APPENDIX 25 ii'!C35+'APPENDIX 25 i'!I35</f>
        <v>11625450.77932528</v>
      </c>
    </row>
    <row r="36" spans="2:18" ht="24" customHeight="1" x14ac:dyDescent="0.3">
      <c r="B36" s="153" t="s">
        <v>220</v>
      </c>
      <c r="C36" s="221">
        <v>46208.123</v>
      </c>
      <c r="D36" s="221">
        <v>38543.417000000009</v>
      </c>
      <c r="E36" s="221">
        <v>34077.792689999987</v>
      </c>
      <c r="F36" s="221">
        <v>12773.214</v>
      </c>
      <c r="G36" s="221">
        <v>62042</v>
      </c>
      <c r="H36" s="221">
        <v>-16030.333000000001</v>
      </c>
      <c r="I36" s="194">
        <v>188885.58600000001</v>
      </c>
      <c r="J36" s="194">
        <v>147982.39600000001</v>
      </c>
      <c r="K36" s="194">
        <v>56182.188000000002</v>
      </c>
      <c r="L36" s="194">
        <v>0</v>
      </c>
      <c r="M36" s="194">
        <v>136614.03740999999</v>
      </c>
      <c r="N36" s="194">
        <v>10625912.848610191</v>
      </c>
      <c r="P36" s="194">
        <f t="shared" si="0"/>
        <v>9146929.2056686878</v>
      </c>
      <c r="Q36" s="194">
        <f>M36+'APPENDIX 25 iii'!F36+'APPENDIX 25 ii'!I36+'APPENDIX 25 ii'!C36+'APPENDIX 25 i'!I36</f>
        <v>1478983.6429415038</v>
      </c>
    </row>
    <row r="37" spans="2:18" ht="24" customHeight="1" x14ac:dyDescent="0.3">
      <c r="B37" s="153" t="s">
        <v>221</v>
      </c>
      <c r="C37" s="221">
        <v>0</v>
      </c>
      <c r="D37" s="221">
        <v>0</v>
      </c>
      <c r="E37" s="221">
        <v>0</v>
      </c>
      <c r="F37" s="221">
        <v>0</v>
      </c>
      <c r="G37" s="221">
        <v>5473.2992951850001</v>
      </c>
      <c r="H37" s="221">
        <v>0</v>
      </c>
      <c r="I37" s="194">
        <v>0</v>
      </c>
      <c r="J37" s="194">
        <v>0</v>
      </c>
      <c r="K37" s="194">
        <v>0</v>
      </c>
      <c r="L37" s="194">
        <v>0</v>
      </c>
      <c r="M37" s="194">
        <v>409506.37594374368</v>
      </c>
      <c r="N37" s="194">
        <v>8730521.2114416454</v>
      </c>
      <c r="P37" s="194">
        <f t="shared" si="0"/>
        <v>6652184.0734979017</v>
      </c>
      <c r="Q37" s="194">
        <f>M37+'APPENDIX 25 iii'!F37+'APPENDIX 25 ii'!I37+'APPENDIX 25 ii'!C37+'APPENDIX 25 i'!I37</f>
        <v>2078337.1379437437</v>
      </c>
    </row>
    <row r="38" spans="2:18" ht="24" customHeight="1" x14ac:dyDescent="0.3">
      <c r="B38" s="153" t="s">
        <v>222</v>
      </c>
      <c r="C38" s="221">
        <v>1293554.812222111</v>
      </c>
      <c r="D38" s="221">
        <v>194258.8267751204</v>
      </c>
      <c r="E38" s="221">
        <v>930148.0592065953</v>
      </c>
      <c r="F38" s="221">
        <v>282688.77100000001</v>
      </c>
      <c r="G38" s="221">
        <v>420219.81326924742</v>
      </c>
      <c r="H38" s="221">
        <v>510183.87634201272</v>
      </c>
      <c r="I38" s="194">
        <v>1722869.9310000001</v>
      </c>
      <c r="J38" s="194">
        <v>358671.90399999998</v>
      </c>
      <c r="K38" s="194">
        <v>713146.58799999999</v>
      </c>
      <c r="L38" s="194">
        <v>0</v>
      </c>
      <c r="M38" s="194">
        <v>261868.56723232099</v>
      </c>
      <c r="N38" s="194">
        <v>60032650.915231258</v>
      </c>
      <c r="P38" s="194">
        <f t="shared" si="0"/>
        <v>55789192.155668251</v>
      </c>
      <c r="Q38" s="194">
        <f>M38+'APPENDIX 25 iii'!F38+'APPENDIX 25 ii'!I38+'APPENDIX 25 ii'!C38+'APPENDIX 25 i'!I38</f>
        <v>4243458.7595630083</v>
      </c>
    </row>
    <row r="39" spans="2:18" ht="24" customHeight="1" x14ac:dyDescent="0.3">
      <c r="B39" s="153" t="s">
        <v>223</v>
      </c>
      <c r="C39" s="221">
        <v>115818.61516</v>
      </c>
      <c r="D39" s="221">
        <v>50119.377</v>
      </c>
      <c r="E39" s="221">
        <v>269445.43472000002</v>
      </c>
      <c r="F39" s="221">
        <v>67181.869874133918</v>
      </c>
      <c r="G39" s="221">
        <v>106772.89719772281</v>
      </c>
      <c r="H39" s="221">
        <v>0</v>
      </c>
      <c r="I39" s="194">
        <v>528368.47600000002</v>
      </c>
      <c r="J39" s="194">
        <v>15776.786</v>
      </c>
      <c r="K39" s="194">
        <v>0</v>
      </c>
      <c r="L39" s="194">
        <v>0</v>
      </c>
      <c r="M39" s="194">
        <v>153232.2887</v>
      </c>
      <c r="N39" s="194">
        <v>6604933.2867657756</v>
      </c>
      <c r="P39" s="194">
        <f t="shared" si="0"/>
        <v>4311151.2872857749</v>
      </c>
      <c r="Q39" s="194">
        <f>M39+'APPENDIX 25 iii'!F39+'APPENDIX 25 ii'!I39+'APPENDIX 25 ii'!C39+'APPENDIX 25 i'!I39</f>
        <v>2293781.9994800002</v>
      </c>
    </row>
    <row r="40" spans="2:18" ht="24" customHeight="1" x14ac:dyDescent="0.3">
      <c r="B40" s="153" t="s">
        <v>224</v>
      </c>
      <c r="C40" s="221">
        <v>898680.58799999999</v>
      </c>
      <c r="D40" s="221">
        <v>148505.44399999999</v>
      </c>
      <c r="E40" s="221">
        <v>205390.29449236821</v>
      </c>
      <c r="F40" s="221">
        <v>6419.0640000000003</v>
      </c>
      <c r="G40" s="221">
        <v>152760.60685565919</v>
      </c>
      <c r="H40" s="221">
        <v>134708.73804</v>
      </c>
      <c r="I40" s="194">
        <v>245519.68299999999</v>
      </c>
      <c r="J40" s="194">
        <v>368830.93099999998</v>
      </c>
      <c r="K40" s="194">
        <v>764954.41099999996</v>
      </c>
      <c r="L40" s="194">
        <v>0</v>
      </c>
      <c r="M40" s="194">
        <v>203516.87299999999</v>
      </c>
      <c r="N40" s="194">
        <v>21421970.121240672</v>
      </c>
      <c r="P40" s="194">
        <f t="shared" si="0"/>
        <v>20070841.009861074</v>
      </c>
      <c r="Q40" s="194">
        <f>M40+'APPENDIX 25 iii'!F40+'APPENDIX 25 ii'!I40+'APPENDIX 25 ii'!C40+'APPENDIX 25 i'!I40</f>
        <v>1351129.1113795964</v>
      </c>
    </row>
    <row r="41" spans="2:18" ht="24" customHeight="1" thickBot="1" x14ac:dyDescent="0.35">
      <c r="B41" s="196" t="s">
        <v>225</v>
      </c>
      <c r="C41" s="220">
        <v>4300619.0637821099</v>
      </c>
      <c r="D41" s="220">
        <v>3943524.7287751208</v>
      </c>
      <c r="E41" s="220">
        <v>4618280.7307348866</v>
      </c>
      <c r="F41" s="220">
        <v>1406046.912074134</v>
      </c>
      <c r="G41" s="220">
        <v>1298419.1909932699</v>
      </c>
      <c r="H41" s="220">
        <v>4185998.630605665</v>
      </c>
      <c r="I41" s="197">
        <v>14153708.842</v>
      </c>
      <c r="J41" s="197">
        <v>2555787.8530000001</v>
      </c>
      <c r="K41" s="197">
        <v>2437059.5648880191</v>
      </c>
      <c r="L41" s="197">
        <v>0</v>
      </c>
      <c r="M41" s="197">
        <v>5666294.4965292672</v>
      </c>
      <c r="N41" s="197">
        <v>359201603.34032577</v>
      </c>
      <c r="P41" s="197">
        <f t="shared" si="0"/>
        <v>280607684.72477609</v>
      </c>
      <c r="Q41" s="197">
        <f>M41+'APPENDIX 25 iii'!F41+'APPENDIX 25 ii'!I41+'APPENDIX 25 ii'!C41+'APPENDIX 25 i'!I41</f>
        <v>78593918.615549669</v>
      </c>
    </row>
    <row r="42" spans="2:18" ht="24" customHeight="1" thickTop="1" x14ac:dyDescent="0.3">
      <c r="B42" s="201" t="s">
        <v>235</v>
      </c>
      <c r="C42" s="201"/>
      <c r="D42" s="201"/>
      <c r="E42" s="201"/>
      <c r="F42" s="201"/>
      <c r="G42" s="201"/>
      <c r="H42" s="201"/>
    </row>
    <row r="43" spans="2:18" ht="14" customHeight="1" x14ac:dyDescent="0.3">
      <c r="I43" s="206"/>
      <c r="J43" s="206"/>
      <c r="K43" s="206"/>
      <c r="L43" s="206"/>
      <c r="M43" s="206"/>
      <c r="N43" s="206"/>
      <c r="P43" s="206"/>
      <c r="Q43" s="206"/>
    </row>
  </sheetData>
  <sheetProtection algorithmName="SHA-512" hashValue="cHLgFiKXtKZ3Mi//2gUlj0YW96vDOL0JxTpgNjrRhjvYyBbj1c5LGvlQDuoNZ6dLm/OxC3Q9MLU/bZRBaHFJqg==" saltValue="JpiQLFBTG7+R1hJydVlngA==" spinCount="100000" sheet="1" objects="1" scenarios="1"/>
  <mergeCells count="2">
    <mergeCell ref="B3:N3"/>
    <mergeCell ref="B4:N4"/>
  </mergeCells>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4">
    <tabColor rgb="FF92D050"/>
    <pageSetUpPr fitToPage="1"/>
  </sheetPr>
  <dimension ref="B4:I44"/>
  <sheetViews>
    <sheetView topLeftCell="A28" zoomScale="70" zoomScaleNormal="70" workbookViewId="0">
      <selection activeCell="M44" sqref="M44"/>
    </sheetView>
  </sheetViews>
  <sheetFormatPr defaultColWidth="9.453125" defaultRowHeight="14" x14ac:dyDescent="0.3"/>
  <cols>
    <col min="1" max="1" width="16.453125" style="2" customWidth="1"/>
    <col min="2" max="2" width="36.54296875" style="2" customWidth="1"/>
    <col min="3" max="4" width="23.54296875" style="2" hidden="1" customWidth="1"/>
    <col min="5" max="5" width="23.54296875" style="2" customWidth="1"/>
    <col min="6" max="6" width="23.54296875" style="2" hidden="1" customWidth="1"/>
    <col min="7" max="8" width="23.54296875" style="2" customWidth="1"/>
    <col min="9" max="9" width="18.36328125" style="2" customWidth="1"/>
    <col min="10" max="60" width="9.453125" style="2" customWidth="1"/>
    <col min="61" max="16384" width="9.453125" style="2"/>
  </cols>
  <sheetData>
    <row r="4" spans="2:9" ht="24" customHeight="1" x14ac:dyDescent="0.35">
      <c r="B4" s="264" t="str">
        <f>_xlfn.CONCAT('Table of Contents'!B43,": ",'Table of Contents'!C43)</f>
        <v>APPENDIX 26 i: SUMMARY OF MICRO INSURANCE BUSINESS BALANCE SHEETS AS AT 31.03.2025</v>
      </c>
      <c r="C4" s="252"/>
      <c r="D4" s="252"/>
      <c r="E4" s="252"/>
      <c r="F4" s="252"/>
      <c r="G4" s="252"/>
      <c r="H4" s="252"/>
      <c r="I4" s="253"/>
    </row>
    <row r="5" spans="2:9" ht="57.75" customHeight="1" x14ac:dyDescent="0.3">
      <c r="B5" s="195" t="s">
        <v>232</v>
      </c>
      <c r="C5" s="199" t="s">
        <v>122</v>
      </c>
      <c r="D5" s="199" t="s">
        <v>123</v>
      </c>
      <c r="E5" s="199" t="s">
        <v>124</v>
      </c>
      <c r="F5" s="199" t="s">
        <v>125</v>
      </c>
      <c r="G5" s="199" t="s">
        <v>126</v>
      </c>
      <c r="H5" s="199" t="s">
        <v>127</v>
      </c>
      <c r="I5" s="199" t="s">
        <v>90</v>
      </c>
    </row>
    <row r="6" spans="2:9" ht="24" customHeight="1" x14ac:dyDescent="0.3">
      <c r="B6" s="153" t="s">
        <v>188</v>
      </c>
      <c r="C6" s="192">
        <v>0</v>
      </c>
      <c r="D6" s="192">
        <v>0</v>
      </c>
      <c r="E6" s="192">
        <v>100000</v>
      </c>
      <c r="F6" s="192">
        <v>0</v>
      </c>
      <c r="G6" s="192">
        <v>100000</v>
      </c>
      <c r="H6" s="192">
        <v>50000</v>
      </c>
      <c r="I6" s="192">
        <v>250000</v>
      </c>
    </row>
    <row r="7" spans="2:9" ht="24" customHeight="1" x14ac:dyDescent="0.3">
      <c r="B7" s="153" t="s">
        <v>233</v>
      </c>
      <c r="C7" s="192">
        <v>0</v>
      </c>
      <c r="D7" s="192">
        <v>0</v>
      </c>
      <c r="E7" s="192">
        <v>0</v>
      </c>
      <c r="F7" s="192">
        <v>0</v>
      </c>
      <c r="G7" s="192">
        <v>0</v>
      </c>
      <c r="H7" s="192">
        <v>0</v>
      </c>
      <c r="I7" s="192">
        <v>0</v>
      </c>
    </row>
    <row r="8" spans="2:9" ht="24" customHeight="1" x14ac:dyDescent="0.3">
      <c r="B8" s="153" t="s">
        <v>234</v>
      </c>
      <c r="C8" s="192">
        <v>0</v>
      </c>
      <c r="D8" s="192">
        <v>0</v>
      </c>
      <c r="E8" s="192">
        <v>0</v>
      </c>
      <c r="F8" s="192">
        <v>0</v>
      </c>
      <c r="G8" s="192">
        <v>0</v>
      </c>
      <c r="H8" s="192">
        <v>0</v>
      </c>
      <c r="I8" s="192">
        <v>0</v>
      </c>
    </row>
    <row r="9" spans="2:9" ht="24" customHeight="1" x14ac:dyDescent="0.3">
      <c r="B9" s="153" t="s">
        <v>192</v>
      </c>
      <c r="C9" s="192">
        <v>0</v>
      </c>
      <c r="D9" s="192">
        <v>0</v>
      </c>
      <c r="E9" s="192">
        <v>0</v>
      </c>
      <c r="F9" s="192">
        <v>0</v>
      </c>
      <c r="G9" s="192">
        <v>0</v>
      </c>
      <c r="H9" s="192">
        <v>0</v>
      </c>
      <c r="I9" s="192">
        <v>0</v>
      </c>
    </row>
    <row r="10" spans="2:9" ht="24" customHeight="1" x14ac:dyDescent="0.3">
      <c r="B10" s="153" t="s">
        <v>193</v>
      </c>
      <c r="C10" s="192">
        <v>0</v>
      </c>
      <c r="D10" s="192">
        <v>0</v>
      </c>
      <c r="E10" s="192">
        <v>18246.08203420027</v>
      </c>
      <c r="F10" s="192">
        <v>0</v>
      </c>
      <c r="G10" s="192">
        <v>-54705.942100399749</v>
      </c>
      <c r="H10" s="192">
        <v>5732.3040349156727</v>
      </c>
      <c r="I10" s="192">
        <v>-30727.55603128381</v>
      </c>
    </row>
    <row r="11" spans="2:9" ht="24" customHeight="1" x14ac:dyDescent="0.3">
      <c r="B11" s="153" t="s">
        <v>194</v>
      </c>
      <c r="C11" s="192">
        <v>0</v>
      </c>
      <c r="D11" s="192">
        <v>0</v>
      </c>
      <c r="E11" s="192">
        <v>0</v>
      </c>
      <c r="F11" s="192">
        <v>0</v>
      </c>
      <c r="G11" s="192">
        <v>0</v>
      </c>
      <c r="H11" s="192">
        <v>0</v>
      </c>
      <c r="I11" s="192">
        <v>0</v>
      </c>
    </row>
    <row r="12" spans="2:9" s="113" customFormat="1" ht="24" customHeight="1" thickBot="1" x14ac:dyDescent="0.4">
      <c r="B12" s="188" t="s">
        <v>195</v>
      </c>
      <c r="C12" s="193">
        <v>0</v>
      </c>
      <c r="D12" s="193">
        <v>0</v>
      </c>
      <c r="E12" s="193">
        <v>118246.0820342003</v>
      </c>
      <c r="F12" s="193">
        <v>0</v>
      </c>
      <c r="G12" s="193">
        <v>45294.057899600251</v>
      </c>
      <c r="H12" s="193">
        <v>55732.304034915673</v>
      </c>
      <c r="I12" s="193">
        <v>219272.44396871619</v>
      </c>
    </row>
    <row r="13" spans="2:9" ht="24" customHeight="1" thickTop="1" x14ac:dyDescent="0.3">
      <c r="B13" s="153" t="s">
        <v>197</v>
      </c>
      <c r="C13" s="192">
        <v>0</v>
      </c>
      <c r="D13" s="192">
        <v>0</v>
      </c>
      <c r="E13" s="192">
        <v>94207.573874934897</v>
      </c>
      <c r="F13" s="192">
        <v>0</v>
      </c>
      <c r="G13" s="192">
        <v>8212.029097171624</v>
      </c>
      <c r="H13" s="192">
        <v>37743.695960351994</v>
      </c>
      <c r="I13" s="192">
        <v>140163.29893245851</v>
      </c>
    </row>
    <row r="14" spans="2:9" ht="24" customHeight="1" x14ac:dyDescent="0.3">
      <c r="B14" s="153" t="s">
        <v>198</v>
      </c>
      <c r="C14" s="192">
        <v>0</v>
      </c>
      <c r="D14" s="192">
        <v>0</v>
      </c>
      <c r="E14" s="192">
        <v>17554.11963402995</v>
      </c>
      <c r="F14" s="192">
        <v>0</v>
      </c>
      <c r="G14" s="192">
        <v>0</v>
      </c>
      <c r="H14" s="192">
        <v>0</v>
      </c>
      <c r="I14" s="192">
        <v>17554.11963402995</v>
      </c>
    </row>
    <row r="15" spans="2:9" ht="24" customHeight="1" x14ac:dyDescent="0.3">
      <c r="B15" s="153" t="s">
        <v>199</v>
      </c>
      <c r="C15" s="192">
        <v>0</v>
      </c>
      <c r="D15" s="192">
        <v>0</v>
      </c>
      <c r="E15" s="192">
        <v>1821.45</v>
      </c>
      <c r="F15" s="192">
        <v>0</v>
      </c>
      <c r="G15" s="192">
        <v>0</v>
      </c>
      <c r="H15" s="192">
        <v>3246.7559999999999</v>
      </c>
      <c r="I15" s="192">
        <v>5068.2060000000001</v>
      </c>
    </row>
    <row r="16" spans="2:9" ht="24" customHeight="1" x14ac:dyDescent="0.3">
      <c r="B16" s="153" t="s">
        <v>200</v>
      </c>
      <c r="C16" s="192">
        <v>0</v>
      </c>
      <c r="D16" s="192">
        <v>0</v>
      </c>
      <c r="E16" s="192">
        <v>17460.551336945759</v>
      </c>
      <c r="F16" s="192">
        <v>0</v>
      </c>
      <c r="G16" s="192">
        <v>43749.01</v>
      </c>
      <c r="H16" s="192">
        <v>31281.776999999998</v>
      </c>
      <c r="I16" s="192">
        <v>92491.338336945759</v>
      </c>
    </row>
    <row r="17" spans="2:9" ht="24" customHeight="1" x14ac:dyDescent="0.3">
      <c r="B17" s="153" t="s">
        <v>201</v>
      </c>
      <c r="C17" s="192">
        <v>0</v>
      </c>
      <c r="D17" s="192">
        <v>0</v>
      </c>
      <c r="E17" s="192">
        <v>39788.307924960172</v>
      </c>
      <c r="F17" s="192">
        <v>0</v>
      </c>
      <c r="G17" s="192">
        <v>31337.523000000001</v>
      </c>
      <c r="H17" s="192">
        <v>193384.8591995067</v>
      </c>
      <c r="I17" s="192">
        <v>264510.6901244669</v>
      </c>
    </row>
    <row r="18" spans="2:9" ht="24" customHeight="1" thickBot="1" x14ac:dyDescent="0.35">
      <c r="B18" s="196" t="s">
        <v>202</v>
      </c>
      <c r="C18" s="197">
        <v>0</v>
      </c>
      <c r="D18" s="197">
        <v>0</v>
      </c>
      <c r="E18" s="197">
        <v>289078.08480507112</v>
      </c>
      <c r="F18" s="197">
        <v>0</v>
      </c>
      <c r="G18" s="197">
        <v>128592.6199967719</v>
      </c>
      <c r="H18" s="197">
        <v>321389.39219477441</v>
      </c>
      <c r="I18" s="197">
        <v>739060.09699661727</v>
      </c>
    </row>
    <row r="19" spans="2:9" ht="24" customHeight="1" thickTop="1" x14ac:dyDescent="0.3">
      <c r="B19" s="153" t="s">
        <v>203</v>
      </c>
      <c r="C19" s="194">
        <v>0</v>
      </c>
      <c r="D19" s="194">
        <v>0</v>
      </c>
      <c r="E19" s="194">
        <v>0</v>
      </c>
      <c r="F19" s="194">
        <v>0</v>
      </c>
      <c r="G19" s="194">
        <v>11931.749</v>
      </c>
      <c r="H19" s="194">
        <v>0</v>
      </c>
      <c r="I19" s="194">
        <v>11931.749</v>
      </c>
    </row>
    <row r="20" spans="2:9" ht="24" customHeight="1" x14ac:dyDescent="0.3">
      <c r="B20" s="153" t="s">
        <v>204</v>
      </c>
      <c r="C20" s="194">
        <v>0</v>
      </c>
      <c r="D20" s="194">
        <v>0</v>
      </c>
      <c r="E20" s="194">
        <v>0</v>
      </c>
      <c r="F20" s="194">
        <v>0</v>
      </c>
      <c r="G20" s="194">
        <v>0</v>
      </c>
      <c r="H20" s="194">
        <v>0</v>
      </c>
      <c r="I20" s="194">
        <v>0</v>
      </c>
    </row>
    <row r="21" spans="2:9" ht="24" customHeight="1" x14ac:dyDescent="0.3">
      <c r="B21" s="153" t="s">
        <v>205</v>
      </c>
      <c r="C21" s="194">
        <v>0</v>
      </c>
      <c r="D21" s="194">
        <v>0</v>
      </c>
      <c r="E21" s="194">
        <v>0</v>
      </c>
      <c r="F21" s="194">
        <v>0</v>
      </c>
      <c r="G21" s="194">
        <v>0</v>
      </c>
      <c r="H21" s="194">
        <v>0</v>
      </c>
      <c r="I21" s="194">
        <v>0</v>
      </c>
    </row>
    <row r="22" spans="2:9" ht="24" customHeight="1" x14ac:dyDescent="0.3">
      <c r="B22" s="153" t="s">
        <v>206</v>
      </c>
      <c r="C22" s="194">
        <v>0</v>
      </c>
      <c r="D22" s="194">
        <v>0</v>
      </c>
      <c r="E22" s="194">
        <v>0</v>
      </c>
      <c r="F22" s="194">
        <v>0</v>
      </c>
      <c r="G22" s="194">
        <v>1897.1990000000001</v>
      </c>
      <c r="H22" s="194">
        <v>0</v>
      </c>
      <c r="I22" s="194">
        <v>1897.1990000000001</v>
      </c>
    </row>
    <row r="23" spans="2:9" ht="24" customHeight="1" x14ac:dyDescent="0.3">
      <c r="B23" s="153" t="s">
        <v>207</v>
      </c>
      <c r="C23" s="194">
        <v>0</v>
      </c>
      <c r="D23" s="194">
        <v>0</v>
      </c>
      <c r="E23" s="194">
        <v>115626.22682</v>
      </c>
      <c r="F23" s="194">
        <v>0</v>
      </c>
      <c r="G23" s="194">
        <v>56869.108</v>
      </c>
      <c r="H23" s="194">
        <v>49139.711000000003</v>
      </c>
      <c r="I23" s="194">
        <v>221635.04582</v>
      </c>
    </row>
    <row r="24" spans="2:9" ht="24" customHeight="1" x14ac:dyDescent="0.3">
      <c r="B24" s="153" t="s">
        <v>208</v>
      </c>
      <c r="C24" s="194">
        <v>0</v>
      </c>
      <c r="D24" s="194">
        <v>0</v>
      </c>
      <c r="E24" s="194">
        <v>0</v>
      </c>
      <c r="F24" s="194">
        <v>0</v>
      </c>
      <c r="G24" s="194">
        <v>0</v>
      </c>
      <c r="H24" s="194">
        <v>0</v>
      </c>
      <c r="I24" s="194">
        <v>0</v>
      </c>
    </row>
    <row r="25" spans="2:9" ht="24" customHeight="1" x14ac:dyDescent="0.3">
      <c r="B25" s="153" t="s">
        <v>209</v>
      </c>
      <c r="C25" s="194">
        <v>0</v>
      </c>
      <c r="D25" s="194">
        <v>0</v>
      </c>
      <c r="E25" s="194">
        <v>0</v>
      </c>
      <c r="F25" s="194">
        <v>0</v>
      </c>
      <c r="G25" s="194">
        <v>0</v>
      </c>
      <c r="H25" s="194">
        <v>0</v>
      </c>
      <c r="I25" s="194">
        <v>0</v>
      </c>
    </row>
    <row r="26" spans="2:9" ht="24" customHeight="1" x14ac:dyDescent="0.3">
      <c r="B26" s="153" t="s">
        <v>210</v>
      </c>
      <c r="C26" s="194">
        <v>0</v>
      </c>
      <c r="D26" s="194">
        <v>0</v>
      </c>
      <c r="E26" s="194">
        <v>0</v>
      </c>
      <c r="F26" s="194">
        <v>0</v>
      </c>
      <c r="G26" s="194">
        <v>0</v>
      </c>
      <c r="H26" s="194">
        <v>0</v>
      </c>
      <c r="I26" s="194">
        <v>0</v>
      </c>
    </row>
    <row r="27" spans="2:9" ht="24" customHeight="1" x14ac:dyDescent="0.3">
      <c r="B27" s="153" t="s">
        <v>211</v>
      </c>
      <c r="C27" s="194">
        <v>0</v>
      </c>
      <c r="D27" s="194">
        <v>0</v>
      </c>
      <c r="E27" s="194">
        <v>0</v>
      </c>
      <c r="F27" s="194">
        <v>0</v>
      </c>
      <c r="G27" s="194">
        <v>0</v>
      </c>
      <c r="H27" s="194">
        <v>0</v>
      </c>
      <c r="I27" s="194">
        <v>0</v>
      </c>
    </row>
    <row r="28" spans="2:9" ht="24" customHeight="1" x14ac:dyDescent="0.3">
      <c r="B28" s="153" t="s">
        <v>212</v>
      </c>
      <c r="C28" s="194">
        <v>0</v>
      </c>
      <c r="D28" s="194">
        <v>0</v>
      </c>
      <c r="E28" s="194">
        <v>0</v>
      </c>
      <c r="F28" s="194">
        <v>0</v>
      </c>
      <c r="G28" s="194">
        <v>0</v>
      </c>
      <c r="H28" s="194">
        <v>0</v>
      </c>
      <c r="I28" s="194">
        <v>0</v>
      </c>
    </row>
    <row r="29" spans="2:9" ht="24" customHeight="1" x14ac:dyDescent="0.3">
      <c r="B29" s="153" t="s">
        <v>213</v>
      </c>
      <c r="C29" s="194">
        <v>0</v>
      </c>
      <c r="D29" s="194">
        <v>0</v>
      </c>
      <c r="E29" s="194">
        <v>0</v>
      </c>
      <c r="F29" s="194">
        <v>0</v>
      </c>
      <c r="G29" s="194">
        <v>0</v>
      </c>
      <c r="H29" s="194">
        <v>0</v>
      </c>
      <c r="I29" s="194">
        <v>0</v>
      </c>
    </row>
    <row r="30" spans="2:9" ht="24" customHeight="1" x14ac:dyDescent="0.3">
      <c r="B30" s="153" t="s">
        <v>214</v>
      </c>
      <c r="C30" s="194">
        <v>0</v>
      </c>
      <c r="D30" s="194">
        <v>0</v>
      </c>
      <c r="E30" s="194">
        <v>0</v>
      </c>
      <c r="F30" s="194">
        <v>0</v>
      </c>
      <c r="G30" s="194">
        <v>0</v>
      </c>
      <c r="H30" s="194">
        <v>0</v>
      </c>
      <c r="I30" s="194">
        <v>0</v>
      </c>
    </row>
    <row r="31" spans="2:9" ht="24" customHeight="1" x14ac:dyDescent="0.3">
      <c r="B31" s="153" t="s">
        <v>215</v>
      </c>
      <c r="C31" s="194">
        <v>0</v>
      </c>
      <c r="D31" s="194">
        <v>0</v>
      </c>
      <c r="E31" s="194">
        <v>0</v>
      </c>
      <c r="F31" s="194">
        <v>0</v>
      </c>
      <c r="G31" s="194">
        <v>0</v>
      </c>
      <c r="H31" s="194">
        <v>0</v>
      </c>
      <c r="I31" s="194">
        <v>0</v>
      </c>
    </row>
    <row r="32" spans="2:9" ht="24" customHeight="1" x14ac:dyDescent="0.3">
      <c r="B32" s="153" t="s">
        <v>216</v>
      </c>
      <c r="C32" s="194">
        <v>0</v>
      </c>
      <c r="D32" s="194">
        <v>0</v>
      </c>
      <c r="E32" s="194">
        <v>0</v>
      </c>
      <c r="F32" s="194">
        <v>0</v>
      </c>
      <c r="G32" s="194">
        <v>0</v>
      </c>
      <c r="H32" s="194">
        <v>0</v>
      </c>
      <c r="I32" s="194">
        <v>0</v>
      </c>
    </row>
    <row r="33" spans="2:9" ht="24" customHeight="1" x14ac:dyDescent="0.3">
      <c r="B33" s="153" t="s">
        <v>217</v>
      </c>
      <c r="C33" s="194">
        <v>0</v>
      </c>
      <c r="D33" s="194">
        <v>0</v>
      </c>
      <c r="E33" s="194">
        <v>0</v>
      </c>
      <c r="F33" s="194">
        <v>0</v>
      </c>
      <c r="G33" s="194">
        <v>0</v>
      </c>
      <c r="H33" s="194">
        <v>0</v>
      </c>
      <c r="I33" s="194">
        <v>0</v>
      </c>
    </row>
    <row r="34" spans="2:9" ht="24" customHeight="1" x14ac:dyDescent="0.3">
      <c r="B34" s="153" t="s">
        <v>218</v>
      </c>
      <c r="C34" s="194">
        <v>0</v>
      </c>
      <c r="D34" s="194">
        <v>0</v>
      </c>
      <c r="E34" s="194">
        <v>0</v>
      </c>
      <c r="F34" s="194">
        <v>0</v>
      </c>
      <c r="G34" s="194">
        <v>0</v>
      </c>
      <c r="H34" s="194">
        <v>0</v>
      </c>
      <c r="I34" s="194">
        <v>0</v>
      </c>
    </row>
    <row r="35" spans="2:9" ht="24" customHeight="1" x14ac:dyDescent="0.3">
      <c r="B35" s="153" t="s">
        <v>219</v>
      </c>
      <c r="C35" s="194">
        <v>0</v>
      </c>
      <c r="D35" s="194">
        <v>0</v>
      </c>
      <c r="E35" s="194">
        <v>20622.85959</v>
      </c>
      <c r="F35" s="194">
        <v>0</v>
      </c>
      <c r="G35" s="194">
        <v>0</v>
      </c>
      <c r="H35" s="194">
        <v>31653.698</v>
      </c>
      <c r="I35" s="194">
        <v>52276.557589999997</v>
      </c>
    </row>
    <row r="36" spans="2:9" ht="24" customHeight="1" x14ac:dyDescent="0.3">
      <c r="B36" s="153" t="s">
        <v>220</v>
      </c>
      <c r="C36" s="194">
        <v>0</v>
      </c>
      <c r="D36" s="194">
        <v>0</v>
      </c>
      <c r="E36" s="194">
        <v>20748.127840000001</v>
      </c>
      <c r="F36" s="194">
        <v>0</v>
      </c>
      <c r="G36" s="194">
        <v>5283.3180000000002</v>
      </c>
      <c r="H36" s="194">
        <v>32086.238000000001</v>
      </c>
      <c r="I36" s="194">
        <v>58117.683839999998</v>
      </c>
    </row>
    <row r="37" spans="2:9" ht="24" customHeight="1" x14ac:dyDescent="0.3">
      <c r="B37" s="153" t="s">
        <v>221</v>
      </c>
      <c r="C37" s="194">
        <v>0</v>
      </c>
      <c r="D37" s="194">
        <v>0</v>
      </c>
      <c r="E37" s="194">
        <v>0</v>
      </c>
      <c r="F37" s="194">
        <v>0</v>
      </c>
      <c r="G37" s="194">
        <v>0</v>
      </c>
      <c r="H37" s="194">
        <v>0</v>
      </c>
      <c r="I37" s="194">
        <v>0</v>
      </c>
    </row>
    <row r="38" spans="2:9" ht="24" customHeight="1" x14ac:dyDescent="0.3">
      <c r="B38" s="153" t="s">
        <v>222</v>
      </c>
      <c r="C38" s="194">
        <v>0</v>
      </c>
      <c r="D38" s="194">
        <v>0</v>
      </c>
      <c r="E38" s="194">
        <v>1.219252575641554</v>
      </c>
      <c r="F38" s="194">
        <v>0</v>
      </c>
      <c r="G38" s="194">
        <v>20015.718347312111</v>
      </c>
      <c r="H38" s="194">
        <v>7016.4284770943987</v>
      </c>
      <c r="I38" s="194">
        <v>27033.366076982151</v>
      </c>
    </row>
    <row r="39" spans="2:9" ht="24" customHeight="1" x14ac:dyDescent="0.3">
      <c r="B39" s="153" t="s">
        <v>223</v>
      </c>
      <c r="C39" s="194">
        <v>0</v>
      </c>
      <c r="D39" s="194">
        <v>0</v>
      </c>
      <c r="E39" s="194">
        <v>22981.57127</v>
      </c>
      <c r="F39" s="194">
        <v>0</v>
      </c>
      <c r="G39" s="194">
        <v>10044.415000000001</v>
      </c>
      <c r="H39" s="194">
        <v>195266.177</v>
      </c>
      <c r="I39" s="194">
        <v>228292.16326999999</v>
      </c>
    </row>
    <row r="40" spans="2:9" ht="24" customHeight="1" x14ac:dyDescent="0.3">
      <c r="B40" s="153" t="s">
        <v>224</v>
      </c>
      <c r="C40" s="194">
        <v>0</v>
      </c>
      <c r="D40" s="194">
        <v>0</v>
      </c>
      <c r="E40" s="194">
        <v>109098.0800324954</v>
      </c>
      <c r="F40" s="194">
        <v>0</v>
      </c>
      <c r="G40" s="194">
        <v>22551.113000000001</v>
      </c>
      <c r="H40" s="194">
        <v>6227.14</v>
      </c>
      <c r="I40" s="194">
        <v>137876.3330324954</v>
      </c>
    </row>
    <row r="41" spans="2:9" ht="24" customHeight="1" thickBot="1" x14ac:dyDescent="0.35">
      <c r="B41" s="196" t="s">
        <v>225</v>
      </c>
      <c r="C41" s="197">
        <v>0</v>
      </c>
      <c r="D41" s="197">
        <v>0</v>
      </c>
      <c r="E41" s="197">
        <v>289078.08480507112</v>
      </c>
      <c r="F41" s="197">
        <v>0</v>
      </c>
      <c r="G41" s="197">
        <v>128592.6203473121</v>
      </c>
      <c r="H41" s="197">
        <v>321389.39247709443</v>
      </c>
      <c r="I41" s="197">
        <v>739060.09762947762</v>
      </c>
    </row>
    <row r="42" spans="2:9" ht="18" customHeight="1" thickTop="1" x14ac:dyDescent="0.3">
      <c r="B42" s="201" t="s">
        <v>235</v>
      </c>
      <c r="I42" s="208"/>
    </row>
    <row r="44" spans="2:9" x14ac:dyDescent="0.3">
      <c r="C44" s="206"/>
      <c r="D44" s="206"/>
      <c r="E44" s="206"/>
      <c r="F44" s="206"/>
      <c r="G44" s="206"/>
      <c r="H44" s="206"/>
      <c r="I44" s="206"/>
    </row>
  </sheetData>
  <sheetProtection algorithmName="SHA-512" hashValue="XAAoKjhr86l2mLBOuexgLpMCbF+jBVSuXoMgqt+ru0oxAIxCd54rH1p7PioTugCyZv8wsWGbFksBvov0knsJhw==" saltValue="qHHMjNBYNdTPKMQjt4RM7g==" spinCount="100000" sheet="1" objects="1" scenarios="1"/>
  <mergeCells count="1">
    <mergeCell ref="B4:I4"/>
  </mergeCells>
  <pageMargins left="0.7" right="0.7" top="0.75" bottom="0.75" header="0.3" footer="0.3"/>
  <pageSetup paperSize="9" scale="43" orientation="landscape"/>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5"/>
  <dimension ref="A1:B37"/>
  <sheetViews>
    <sheetView topLeftCell="A9" zoomScale="70" zoomScaleNormal="70" workbookViewId="0">
      <selection activeCell="E23" sqref="E23"/>
    </sheetView>
  </sheetViews>
  <sheetFormatPr defaultRowHeight="14.5" x14ac:dyDescent="0.35"/>
  <sheetData>
    <row r="1" spans="1:2" x14ac:dyDescent="0.35">
      <c r="A1" s="2" t="s">
        <v>236</v>
      </c>
      <c r="B1" s="2"/>
    </row>
    <row r="2" spans="1:2" x14ac:dyDescent="0.35">
      <c r="A2" s="2" t="s">
        <v>237</v>
      </c>
      <c r="B2" s="2"/>
    </row>
    <row r="3" spans="1:2" x14ac:dyDescent="0.35">
      <c r="A3" s="2" t="s">
        <v>238</v>
      </c>
      <c r="B3" s="2"/>
    </row>
    <row r="4" spans="1:2" x14ac:dyDescent="0.35">
      <c r="A4" s="2" t="s">
        <v>239</v>
      </c>
      <c r="B4" s="2"/>
    </row>
    <row r="5" spans="1:2" x14ac:dyDescent="0.35">
      <c r="A5" s="2" t="s">
        <v>240</v>
      </c>
      <c r="B5" s="2"/>
    </row>
    <row r="6" spans="1:2" x14ac:dyDescent="0.35">
      <c r="A6" s="2" t="s">
        <v>241</v>
      </c>
      <c r="B6" s="2"/>
    </row>
    <row r="7" spans="1:2" x14ac:dyDescent="0.35">
      <c r="A7" s="2" t="s">
        <v>242</v>
      </c>
      <c r="B7" s="2"/>
    </row>
    <row r="8" spans="1:2" x14ac:dyDescent="0.35">
      <c r="A8" s="2" t="s">
        <v>243</v>
      </c>
      <c r="B8" s="2"/>
    </row>
    <row r="9" spans="1:2" x14ac:dyDescent="0.35">
      <c r="A9" s="2" t="s">
        <v>244</v>
      </c>
      <c r="B9" s="2"/>
    </row>
    <row r="10" spans="1:2" x14ac:dyDescent="0.35">
      <c r="A10" s="2" t="s">
        <v>245</v>
      </c>
      <c r="B10" s="2"/>
    </row>
    <row r="11" spans="1:2" x14ac:dyDescent="0.35">
      <c r="A11" s="2" t="s">
        <v>246</v>
      </c>
      <c r="B11" s="2"/>
    </row>
    <row r="12" spans="1:2" x14ac:dyDescent="0.35">
      <c r="A12" s="2" t="s">
        <v>247</v>
      </c>
      <c r="B12" s="2"/>
    </row>
    <row r="13" spans="1:2" x14ac:dyDescent="0.35">
      <c r="A13" s="2" t="s">
        <v>248</v>
      </c>
      <c r="B13" s="2"/>
    </row>
    <row r="14" spans="1:2" x14ac:dyDescent="0.35">
      <c r="A14" s="2" t="s">
        <v>249</v>
      </c>
      <c r="B14" s="2"/>
    </row>
    <row r="15" spans="1:2" x14ac:dyDescent="0.35">
      <c r="A15" s="2" t="s">
        <v>250</v>
      </c>
      <c r="B15" s="2"/>
    </row>
    <row r="16" spans="1:2" ht="15.5" customHeight="1" x14ac:dyDescent="0.35">
      <c r="A16" s="2" t="s">
        <v>251</v>
      </c>
      <c r="B16" s="113"/>
    </row>
    <row r="17" spans="1:2" x14ac:dyDescent="0.35">
      <c r="A17" s="2" t="s">
        <v>252</v>
      </c>
      <c r="B17" s="2"/>
    </row>
    <row r="18" spans="1:2" x14ac:dyDescent="0.35">
      <c r="A18" s="2" t="s">
        <v>253</v>
      </c>
      <c r="B18" s="2"/>
    </row>
    <row r="19" spans="1:2" x14ac:dyDescent="0.35">
      <c r="A19" s="2" t="s">
        <v>254</v>
      </c>
      <c r="B19" s="2"/>
    </row>
    <row r="20" spans="1:2" x14ac:dyDescent="0.35">
      <c r="A20" s="2" t="s">
        <v>255</v>
      </c>
      <c r="B20" s="2"/>
    </row>
    <row r="21" spans="1:2" x14ac:dyDescent="0.35">
      <c r="A21" s="2" t="s">
        <v>256</v>
      </c>
      <c r="B21" s="2"/>
    </row>
    <row r="22" spans="1:2" x14ac:dyDescent="0.35">
      <c r="A22" s="2" t="s">
        <v>257</v>
      </c>
      <c r="B22" s="2"/>
    </row>
    <row r="23" spans="1:2" x14ac:dyDescent="0.35">
      <c r="A23" s="2" t="s">
        <v>258</v>
      </c>
      <c r="B23" s="2"/>
    </row>
    <row r="24" spans="1:2" x14ac:dyDescent="0.35">
      <c r="A24" s="2" t="s">
        <v>259</v>
      </c>
      <c r="B24" s="2"/>
    </row>
    <row r="25" spans="1:2" x14ac:dyDescent="0.35">
      <c r="A25" s="2" t="s">
        <v>260</v>
      </c>
      <c r="B25" s="2"/>
    </row>
    <row r="26" spans="1:2" x14ac:dyDescent="0.35">
      <c r="A26" s="2" t="s">
        <v>261</v>
      </c>
      <c r="B26" s="2"/>
    </row>
    <row r="27" spans="1:2" x14ac:dyDescent="0.35">
      <c r="A27" s="2" t="s">
        <v>262</v>
      </c>
      <c r="B27" s="2"/>
    </row>
    <row r="28" spans="1:2" x14ac:dyDescent="0.35">
      <c r="A28" s="2" t="s">
        <v>263</v>
      </c>
      <c r="B28" s="2"/>
    </row>
    <row r="29" spans="1:2" x14ac:dyDescent="0.35">
      <c r="A29" s="2" t="s">
        <v>264</v>
      </c>
      <c r="B29" s="2"/>
    </row>
    <row r="30" spans="1:2" x14ac:dyDescent="0.35">
      <c r="A30" s="2" t="s">
        <v>265</v>
      </c>
      <c r="B30" s="2"/>
    </row>
    <row r="31" spans="1:2" x14ac:dyDescent="0.35">
      <c r="A31" s="2" t="s">
        <v>266</v>
      </c>
      <c r="B31" s="2"/>
    </row>
    <row r="32" spans="1:2" x14ac:dyDescent="0.35">
      <c r="A32" s="2" t="s">
        <v>267</v>
      </c>
      <c r="B32" s="2"/>
    </row>
    <row r="33" spans="1:2" x14ac:dyDescent="0.35">
      <c r="A33" s="2" t="s">
        <v>268</v>
      </c>
      <c r="B33" s="2"/>
    </row>
    <row r="34" spans="1:2" x14ac:dyDescent="0.35">
      <c r="A34" s="2" t="s">
        <v>269</v>
      </c>
      <c r="B34" s="2"/>
    </row>
    <row r="35" spans="1:2" x14ac:dyDescent="0.35">
      <c r="A35" s="2" t="s">
        <v>270</v>
      </c>
      <c r="B35" s="2"/>
    </row>
    <row r="36" spans="1:2" x14ac:dyDescent="0.35">
      <c r="A36" s="2" t="s">
        <v>271</v>
      </c>
      <c r="B36" s="2"/>
    </row>
    <row r="37" spans="1:2" x14ac:dyDescent="0.35">
      <c r="A37" s="2" t="s">
        <v>272</v>
      </c>
      <c r="B37" s="2"/>
    </row>
  </sheetData>
  <sheetProtection algorithmName="SHA-512" hashValue="QvEkGDDCDl9jKWnsnpP9yqY6Rl4ArzYezHqTx7c+kfsYZ4Bd1VnXJIIQ6DCIKEwJKcSSb+nz/kMUSCzINTTWmg==" saltValue="oE7NjqFLhQ1lgHAL5FNadQ==" spinCount="100000" sheet="1" objects="1" scenarios="1"/>
  <autoFilter ref="A1:A37" xr:uid="{00000000-0009-0000-0000-000036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44</vt:i4>
      </vt:variant>
    </vt:vector>
  </HeadingPairs>
  <TitlesOfParts>
    <vt:vector size="99" baseType="lpstr">
      <vt:lpstr>Details</vt:lpstr>
      <vt:lpstr>Reliance &amp; Limitations</vt:lpstr>
      <vt:lpstr>Table of Contents</vt:lpstr>
      <vt:lpstr>APPENDIX 1</vt:lpstr>
      <vt:lpstr>APPENDIX 2</vt:lpstr>
      <vt:lpstr>APPENDIX 3</vt:lpstr>
      <vt:lpstr>APPENDIX 4</vt:lpstr>
      <vt:lpstr>APPENDIX 5</vt:lpstr>
      <vt:lpstr>APPENDIX 6</vt:lpstr>
      <vt:lpstr>APPENDIX 7</vt:lpstr>
      <vt:lpstr>APPENDIX 8</vt:lpstr>
      <vt:lpstr>APPENDIX 9</vt:lpstr>
      <vt:lpstr>APPENDIX 10</vt:lpstr>
      <vt:lpstr>LINKED</vt:lpstr>
      <vt:lpstr>NON-LINKED</vt:lpstr>
      <vt:lpstr>APPENDIX 11</vt:lpstr>
      <vt:lpstr>PENSIONS</vt:lpstr>
      <vt:lpstr>APPENDIX 12</vt:lpstr>
      <vt:lpstr>APPENDIX 13</vt:lpstr>
      <vt:lpstr>APPENDIX 14</vt:lpstr>
      <vt:lpstr>APPENDIX 15</vt:lpstr>
      <vt:lpstr>GDP</vt:lpstr>
      <vt:lpstr>INWARD</vt:lpstr>
      <vt:lpstr>APPENDIX 16</vt:lpstr>
      <vt:lpstr>APPENDIX 17</vt:lpstr>
      <vt:lpstr>APPENDIX 18</vt:lpstr>
      <vt:lpstr>APPENDIX 19</vt:lpstr>
      <vt:lpstr>NPI</vt:lpstr>
      <vt:lpstr>NEPI</vt:lpstr>
      <vt:lpstr>COM</vt:lpstr>
      <vt:lpstr>MGT</vt:lpstr>
      <vt:lpstr>APPENDIX 20</vt:lpstr>
      <vt:lpstr>APPENDIX 21</vt:lpstr>
      <vt:lpstr>APPENDIX 22</vt:lpstr>
      <vt:lpstr>GDP (Micro)</vt:lpstr>
      <vt:lpstr>INWARD (Micro)</vt:lpstr>
      <vt:lpstr>APPENDIX 23Micro</vt:lpstr>
      <vt:lpstr>APPENDIX 24Micro</vt:lpstr>
      <vt:lpstr>APPENDIX 25Micro</vt:lpstr>
      <vt:lpstr>APPENDIX 26Micro</vt:lpstr>
      <vt:lpstr>NPI (Micro)</vt:lpstr>
      <vt:lpstr>NEPI (Micro)</vt:lpstr>
      <vt:lpstr>COM (Micro)</vt:lpstr>
      <vt:lpstr>MGT (Micro)</vt:lpstr>
      <vt:lpstr>APPENDIX 27Micro</vt:lpstr>
      <vt:lpstr>APPENDIX 23</vt:lpstr>
      <vt:lpstr>APPENDIX 24 i</vt:lpstr>
      <vt:lpstr>APPENDIX 24 ii</vt:lpstr>
      <vt:lpstr>APPENDIX 24 iii</vt:lpstr>
      <vt:lpstr>APPENDIX 25 i</vt:lpstr>
      <vt:lpstr>APPENDIX 25 ii</vt:lpstr>
      <vt:lpstr>APPENDIX 25 iii</vt:lpstr>
      <vt:lpstr>APPENDIX  25 iv</vt:lpstr>
      <vt:lpstr>APPENDIX 26 i</vt:lpstr>
      <vt:lpstr>Sheet1</vt:lpstr>
      <vt:lpstr>Appendix_1_Range</vt:lpstr>
      <vt:lpstr>Appendix_10_Range</vt:lpstr>
      <vt:lpstr>Appendix_11_Range</vt:lpstr>
      <vt:lpstr>Appendix_12_Range</vt:lpstr>
      <vt:lpstr>Appendix_13_Range</vt:lpstr>
      <vt:lpstr>Appendix_14_Range</vt:lpstr>
      <vt:lpstr>Appendix_15_Range</vt:lpstr>
      <vt:lpstr>Appendix_16_Range</vt:lpstr>
      <vt:lpstr>Appendix_17_Range</vt:lpstr>
      <vt:lpstr>Appendix_18_Range</vt:lpstr>
      <vt:lpstr>Appendix_19_Range</vt:lpstr>
      <vt:lpstr>Appendix_2_Range</vt:lpstr>
      <vt:lpstr>Appendix_20_Range</vt:lpstr>
      <vt:lpstr>Appendix_21_Range</vt:lpstr>
      <vt:lpstr>Appendix_22_Range</vt:lpstr>
      <vt:lpstr>Appendix_23_Range</vt:lpstr>
      <vt:lpstr>Appendix_24_Range</vt:lpstr>
      <vt:lpstr>Appendix_25_Range</vt:lpstr>
      <vt:lpstr>Appendix_26_Range</vt:lpstr>
      <vt:lpstr>Appendix_27_Range</vt:lpstr>
      <vt:lpstr>Appendix_28_Range</vt:lpstr>
      <vt:lpstr>Appendix_29i_Range</vt:lpstr>
      <vt:lpstr>Appendix_29ii_Range</vt:lpstr>
      <vt:lpstr>Appendix_29iii_Range</vt:lpstr>
      <vt:lpstr>Appendix_3_Range</vt:lpstr>
      <vt:lpstr>Appendix_30i_Range</vt:lpstr>
      <vt:lpstr>Appendix_30ii_Range</vt:lpstr>
      <vt:lpstr>Appendix_30iii_Range</vt:lpstr>
      <vt:lpstr>Appendix_30iv_Range</vt:lpstr>
      <vt:lpstr>Appendix_31i_Range</vt:lpstr>
      <vt:lpstr>Appendix_4_Range</vt:lpstr>
      <vt:lpstr>Appendix_5_Range</vt:lpstr>
      <vt:lpstr>Appendix_6_Range</vt:lpstr>
      <vt:lpstr>Appendix_7_Range</vt:lpstr>
      <vt:lpstr>Appendix_8_Range</vt:lpstr>
      <vt:lpstr>Appendix_9_Range</vt:lpstr>
      <vt:lpstr>Details_Range</vt:lpstr>
      <vt:lpstr>'APPENDIX  25 iv'!Print_Area</vt:lpstr>
      <vt:lpstr>'APPENDIX 1'!Print_Area</vt:lpstr>
      <vt:lpstr>'APPENDIX 24 iii'!Print_Area</vt:lpstr>
      <vt:lpstr>'APPENDIX 5'!Print_Area</vt:lpstr>
      <vt:lpstr>Details!Print_Area</vt:lpstr>
      <vt:lpstr>'Reliance &amp; Limitations'!Print_Area</vt:lpstr>
      <vt:lpstr>'Table of Contents'!Print_Area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lnjue</dc:creator>
  <cp:lastModifiedBy>Peter M. Kinoti</cp:lastModifiedBy>
  <cp:lastPrinted>2025-07-03T11:33:28Z</cp:lastPrinted>
  <dcterms:created xsi:type="dcterms:W3CDTF">2014-08-15T11:20:55Z</dcterms:created>
  <dcterms:modified xsi:type="dcterms:W3CDTF">2025-09-22T11:31:53Z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Restricted</vt:lpwstr>
  </property>
  <property fmtid="{D5CDD505-2E9C-101B-9397-08002B2CF9AE}" pid="3" name="ClassifiedBy">
    <vt:lpwstr>System</vt:lpwstr>
  </property>
  <property fmtid="{D5CDD505-2E9C-101B-9397-08002B2CF9AE}" pid="4" name="ClassificationHost">
    <vt:lpwstr>DMBURIA2020.ira.go.ke</vt:lpwstr>
  </property>
  <property fmtid="{D5CDD505-2E9C-101B-9397-08002B2CF9AE}" pid="5" name="ClassificationDate">
    <vt:lpwstr> 5/12/2022 11:08:05 AM</vt:lpwstr>
  </property>
  <property fmtid="{D5CDD505-2E9C-101B-9397-08002B2CF9AE}" pid="6" name="ClassificationGUID">
    <vt:lpwstr>{1527e4dc-add4-49cc-9728-d0b02d635621}</vt:lpwstr>
  </property>
</Properties>
</file>