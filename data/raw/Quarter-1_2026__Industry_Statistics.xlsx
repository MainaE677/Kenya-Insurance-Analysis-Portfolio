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irake-my.sharepoint.com/personal/jnyukuri_ira_go_ke/Documents/Desktop/Returns Report/Actual Report/Post-review/"/>
    </mc:Choice>
  </mc:AlternateContent>
  <xr:revisionPtr revIDLastSave="160" documentId="11_4F511E8B03551957DE5062C5E1571FED33A11EE3" xr6:coauthVersionLast="47" xr6:coauthVersionMax="47" xr10:uidLastSave="{346106FC-0A54-42D0-9FF7-485BCC0EDC9C}"/>
  <workbookProtection workbookAlgorithmName="SHA-512" workbookHashValue="cfhXGrW//FXXiTO7SUUwEvr/dY/4ikCGHXFWtf3oGe7fvZPqOA0HcN6KVBLJDa9tqK+BC29j2orBE09hCphkZw==" workbookSaltValue="LyUSv3desVLf9tBurDCwfg==" workbookSpinCount="100000" lockStructure="1"/>
  <bookViews>
    <workbookView xWindow="-110" yWindow="-110" windowWidth="19420" windowHeight="11500" tabRatio="929" firstSheet="17" activeTab="27" xr2:uid="{00000000-000D-0000-FFFF-FFFF00000000}"/>
  </bookViews>
  <sheets>
    <sheet name="Details" sheetId="1" r:id="rId1"/>
    <sheet name="Reliance &amp; Limitations" sheetId="2" r:id="rId2"/>
    <sheet name="Table of Contents" sheetId="3" r:id="rId3"/>
    <sheet name="APPENDIX 1" sheetId="4" r:id="rId4"/>
    <sheet name="APPENDIX 2" sheetId="5" r:id="rId5"/>
    <sheet name="APPENDIX 3" sheetId="6" r:id="rId6"/>
    <sheet name="APPENDIX 4 i" sheetId="7" r:id="rId7"/>
    <sheet name="APPENDIX 4 ii" sheetId="8" r:id="rId8"/>
    <sheet name="APPENDIX 4 iii" sheetId="9" r:id="rId9"/>
    <sheet name="APPENDIX 5 i" sheetId="10" r:id="rId10"/>
    <sheet name="APPENDIX 5 ii" sheetId="11" r:id="rId11"/>
    <sheet name="APPENDIX 5 iii" sheetId="12" r:id="rId12"/>
    <sheet name="APPENDIX  5 iv" sheetId="13" r:id="rId13"/>
    <sheet name="APPENDIX 6" sheetId="14" r:id="rId14"/>
    <sheet name="APPENDIX 7" sheetId="15" r:id="rId15"/>
    <sheet name="APPENDIX 8" sheetId="16" r:id="rId16"/>
    <sheet name="APPENDIX 9" sheetId="17" r:id="rId17"/>
    <sheet name="APPENDIX 10" sheetId="18" r:id="rId18"/>
    <sheet name="APPENDIX 11" sheetId="19" r:id="rId19"/>
    <sheet name="APPENDIX 12" sheetId="20" r:id="rId20"/>
    <sheet name="APPENDIX 13" sheetId="21" r:id="rId21"/>
    <sheet name="LINKED" sheetId="22" state="hidden" r:id="rId22"/>
    <sheet name="NON-LINKED" sheetId="23" state="hidden" r:id="rId23"/>
    <sheet name="APPENDIX 14" sheetId="24" r:id="rId24"/>
    <sheet name="PENSIONS" sheetId="25" state="hidden" r:id="rId25"/>
    <sheet name="APPENDIX 15" sheetId="26" r:id="rId26"/>
    <sheet name="APPENDIX 16" sheetId="27" r:id="rId27"/>
    <sheet name="APPENDIX 17" sheetId="28" r:id="rId28"/>
    <sheet name="APPENDIX 18" sheetId="29" r:id="rId29"/>
    <sheet name="GDP" sheetId="30" state="hidden" r:id="rId30"/>
    <sheet name="INWARD" sheetId="31" state="hidden" r:id="rId31"/>
    <sheet name="APPENDIX 19" sheetId="32" r:id="rId32"/>
    <sheet name="APPENDIX 20" sheetId="33" r:id="rId33"/>
    <sheet name="APPENDIX 21" sheetId="34" r:id="rId34"/>
    <sheet name="APPENDIX 22" sheetId="35" r:id="rId35"/>
    <sheet name="NPI" sheetId="36" state="hidden" r:id="rId36"/>
    <sheet name="NEPI" sheetId="37" state="hidden" r:id="rId37"/>
    <sheet name="COM" sheetId="38" state="hidden" r:id="rId38"/>
    <sheet name="MGT" sheetId="39" state="hidden" r:id="rId39"/>
    <sheet name="UWProfit" sheetId="40" state="hidden" r:id="rId40"/>
    <sheet name="APPENDIX 23" sheetId="41" r:id="rId41"/>
    <sheet name="APPENDIX 24" sheetId="42" r:id="rId42"/>
    <sheet name="APPENDIX 22_M" sheetId="43" state="hidden" r:id="rId43"/>
    <sheet name="GDP (Micro)" sheetId="44" state="hidden" r:id="rId44"/>
    <sheet name="INWARD (Micro)" sheetId="45" state="hidden" r:id="rId45"/>
    <sheet name="APPENDIX 23_M" sheetId="46" state="hidden" r:id="rId46"/>
    <sheet name="APPENDIX 24_M" sheetId="47" state="hidden" r:id="rId47"/>
    <sheet name="APPENDIX 25_M" sheetId="48" state="hidden" r:id="rId48"/>
    <sheet name="APPENDIX 26_M" sheetId="49" state="hidden" r:id="rId49"/>
    <sheet name="NPI (Micro)" sheetId="50" state="hidden" r:id="rId50"/>
    <sheet name="NEPI (Micro)" sheetId="51" state="hidden" r:id="rId51"/>
    <sheet name="COM (Micro)" sheetId="52" state="hidden" r:id="rId52"/>
    <sheet name="MGT (Micro)" sheetId="53" state="hidden" r:id="rId53"/>
    <sheet name="APPENDIX 27_M" sheetId="54" state="hidden" r:id="rId54"/>
    <sheet name="APPENDIX 25" sheetId="55" r:id="rId55"/>
    <sheet name="Sheet1" sheetId="56" state="hidden" r:id="rId56"/>
  </sheets>
  <definedNames>
    <definedName name="_xlnm._FilterDatabase" localSheetId="55" hidden="1">Sheet1!$A$1:$A$37</definedName>
    <definedName name="Appendix_1_Range">'APPENDIX 1'!$B$3:$T$50</definedName>
    <definedName name="Appendix_10_Range">'APPENDIX 10'!$B$3:$Q$34</definedName>
    <definedName name="Appendix_11_Range">'APPENDIX 11'!$B$3:$Q$34</definedName>
    <definedName name="Appendix_12_Range">'APPENDIX 12'!$B$3:$Q$34</definedName>
    <definedName name="Appendix_13_Range">'APPENDIX 13'!$B$3:$Q$34</definedName>
    <definedName name="Appendix_14_Range">'APPENDIX 14'!$B$3:$Q$34</definedName>
    <definedName name="Appendix_15_Range">'APPENDIX 15'!$B$3:$Q$34</definedName>
    <definedName name="Appendix_16_Range">'APPENDIX 16'!$B$3:$Q$34</definedName>
    <definedName name="Appendix_17_Range">'APPENDIX 17'!$B$3:$Q$33</definedName>
    <definedName name="Appendix_18_Range">'APPENDIX 18'!$B$3:$R$49</definedName>
    <definedName name="Appendix_19_Range">'APPENDIX 19'!$B$3:$Q$49</definedName>
    <definedName name="Appendix_2_Range">'APPENDIX 2'!$B$3:$T$35</definedName>
    <definedName name="Appendix_20_Range">'APPENDIX 20'!$B$3:$Q$49</definedName>
    <definedName name="Appendix_21_Range">'APPENDIX 21'!$B$3:$Q$49</definedName>
    <definedName name="Appendix_22_Range">'APPENDIX 22'!$B$3:$Q$49</definedName>
    <definedName name="Appendix_23_Range">'APPENDIX 23'!$B$3:$Q$49</definedName>
    <definedName name="Appendix_24_Range" localSheetId="41">'APPENDIX 24'!$B$3:$L$35</definedName>
    <definedName name="Appendix_25_Range">'APPENDIX 25'!$B$3:$Q$13</definedName>
    <definedName name="Appendix_3_Range">'APPENDIX 3'!$B$3:$T$13</definedName>
    <definedName name="Appendix_4i_Range">'APPENDIX 4 i'!$B$4:$K$46</definedName>
    <definedName name="Appendix_4ii_Range">'APPENDIX 4 ii'!$B$3:$K$46</definedName>
    <definedName name="Appendix_4iii_Range">'APPENDIX 4 iii'!$B$3:$L$46</definedName>
    <definedName name="Appendix_5i_Range">'APPENDIX 5 i'!$B$4:$L$44</definedName>
    <definedName name="Appendix_5ii_Range">'APPENDIX 5 ii'!$B$3:$L$44</definedName>
    <definedName name="Appendix_5iii_Range">'APPENDIX 5 iii'!$B$3:$M$44</definedName>
    <definedName name="Appendix_5iv_Range">'APPENDIX  5 iv'!$B$3:$N$44</definedName>
    <definedName name="Appendix_6i_Range">'APPENDIX 6'!$B$4:$I$44</definedName>
    <definedName name="Appendix_7_Range">'APPENDIX 7'!$B$3:$L$34</definedName>
    <definedName name="Appendix_8_Range">'APPENDIX 8'!$B$3:$K$34</definedName>
    <definedName name="Appendix_9_Range">'APPENDIX 9'!$B$3:$Q$34</definedName>
    <definedName name="Details_Range">Details!$C$2:$J$21</definedName>
    <definedName name="Reliances_and_Limitations" localSheetId="1">'Reliance &amp; Limitations'!$A$2:$G$8</definedName>
    <definedName name="Table_of_Contents" localSheetId="2">'Table of Contents'!$A$1:$D$37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1" i="34" l="1"/>
  <c r="Q12" i="55"/>
  <c r="P12" i="55"/>
  <c r="O12" i="55"/>
  <c r="N12" i="55"/>
  <c r="M12" i="55"/>
  <c r="L12" i="55"/>
  <c r="K12" i="55"/>
  <c r="J12" i="55"/>
  <c r="I12" i="55"/>
  <c r="H12" i="55"/>
  <c r="G12" i="55"/>
  <c r="F12" i="55"/>
  <c r="E12" i="55"/>
  <c r="D12" i="55"/>
  <c r="C12" i="55"/>
  <c r="F12" i="54"/>
  <c r="E12" i="54"/>
  <c r="D12" i="54"/>
  <c r="C12" i="54"/>
  <c r="B3" i="54"/>
  <c r="F12" i="53"/>
  <c r="E12" i="53"/>
  <c r="D12" i="53"/>
  <c r="C12" i="53"/>
  <c r="E4" i="53"/>
  <c r="D4" i="53"/>
  <c r="C4" i="53"/>
  <c r="B3" i="53"/>
  <c r="F12" i="52"/>
  <c r="E12" i="52"/>
  <c r="D12" i="52"/>
  <c r="C12" i="52"/>
  <c r="B3" i="52"/>
  <c r="F12" i="51"/>
  <c r="E12" i="51"/>
  <c r="D12" i="51"/>
  <c r="C12" i="51"/>
  <c r="B3" i="51"/>
  <c r="F12" i="50"/>
  <c r="E12" i="50"/>
  <c r="D12" i="50"/>
  <c r="C12" i="50"/>
  <c r="B3" i="50"/>
  <c r="F11" i="49"/>
  <c r="E11" i="49"/>
  <c r="D11" i="49"/>
  <c r="C11" i="49"/>
  <c r="B11" i="49"/>
  <c r="F10" i="49"/>
  <c r="E10" i="49"/>
  <c r="D10" i="49"/>
  <c r="J32" i="42" s="1"/>
  <c r="C10" i="49"/>
  <c r="B10" i="49"/>
  <c r="F9" i="49"/>
  <c r="L31" i="42" s="1"/>
  <c r="E9" i="49"/>
  <c r="K31" i="42" s="1"/>
  <c r="D9" i="49"/>
  <c r="J31" i="42" s="1"/>
  <c r="C9" i="49"/>
  <c r="B9" i="49"/>
  <c r="F8" i="49"/>
  <c r="E8" i="49"/>
  <c r="K30" i="42" s="1"/>
  <c r="D8" i="49"/>
  <c r="J30" i="42" s="1"/>
  <c r="C8" i="49"/>
  <c r="B8" i="49"/>
  <c r="F7" i="49"/>
  <c r="L29" i="42" s="1"/>
  <c r="E7" i="49"/>
  <c r="D7" i="49"/>
  <c r="C7" i="49"/>
  <c r="B7" i="49"/>
  <c r="F6" i="49"/>
  <c r="L28" i="42" s="1"/>
  <c r="E6" i="49"/>
  <c r="D6" i="49"/>
  <c r="J28" i="42" s="1"/>
  <c r="C6" i="49"/>
  <c r="B6" i="49"/>
  <c r="B3" i="49"/>
  <c r="F12" i="48"/>
  <c r="F12" i="49" s="1"/>
  <c r="L34" i="42" s="1"/>
  <c r="E12" i="48"/>
  <c r="E12" i="49" s="1"/>
  <c r="K34" i="42" s="1"/>
  <c r="D12" i="48"/>
  <c r="D12" i="49" s="1"/>
  <c r="J34" i="42" s="1"/>
  <c r="C12" i="48"/>
  <c r="B3" i="48"/>
  <c r="F12" i="47"/>
  <c r="E12" i="47"/>
  <c r="D12" i="47"/>
  <c r="C12" i="47"/>
  <c r="B3" i="47"/>
  <c r="E11" i="46"/>
  <c r="E23" i="42" s="1"/>
  <c r="E10" i="46"/>
  <c r="E22" i="42" s="1"/>
  <c r="B6" i="46"/>
  <c r="B3" i="46"/>
  <c r="F12" i="45"/>
  <c r="E12" i="45"/>
  <c r="D12" i="45"/>
  <c r="C12" i="45"/>
  <c r="B3" i="45"/>
  <c r="F12" i="44"/>
  <c r="E12" i="44"/>
  <c r="D12" i="44"/>
  <c r="C12" i="44"/>
  <c r="B3" i="44"/>
  <c r="E11" i="43"/>
  <c r="D11" i="43"/>
  <c r="C11" i="43"/>
  <c r="B11" i="43"/>
  <c r="B11" i="46" s="1"/>
  <c r="E10" i="43"/>
  <c r="E11" i="42" s="1"/>
  <c r="D10" i="43"/>
  <c r="D11" i="42" s="1"/>
  <c r="C10" i="43"/>
  <c r="C11" i="42" s="1"/>
  <c r="F11" i="42" s="1"/>
  <c r="B10" i="43"/>
  <c r="B10" i="46" s="1"/>
  <c r="F9" i="43"/>
  <c r="E9" i="43"/>
  <c r="D9" i="43"/>
  <c r="C9" i="43"/>
  <c r="B9" i="43"/>
  <c r="B9" i="46" s="1"/>
  <c r="E8" i="43"/>
  <c r="D8" i="43"/>
  <c r="C8" i="43"/>
  <c r="B8" i="43"/>
  <c r="B8" i="46" s="1"/>
  <c r="E7" i="43"/>
  <c r="D7" i="43"/>
  <c r="C7" i="43"/>
  <c r="B7" i="43"/>
  <c r="B7" i="46" s="1"/>
  <c r="F6" i="43"/>
  <c r="E6" i="43"/>
  <c r="E12" i="43" s="1"/>
  <c r="E8" i="46" s="1"/>
  <c r="E20" i="42" s="1"/>
  <c r="D6" i="43"/>
  <c r="C6" i="43"/>
  <c r="B6" i="43"/>
  <c r="E4" i="43"/>
  <c r="B3" i="43"/>
  <c r="L33" i="42"/>
  <c r="K33" i="42"/>
  <c r="J33" i="42"/>
  <c r="I33" i="42"/>
  <c r="E33" i="42"/>
  <c r="D33" i="42"/>
  <c r="C33" i="42"/>
  <c r="F33" i="42" s="1"/>
  <c r="L32" i="42"/>
  <c r="K32" i="42"/>
  <c r="I32" i="42"/>
  <c r="F32" i="42"/>
  <c r="E32" i="42"/>
  <c r="D32" i="42"/>
  <c r="C32" i="42"/>
  <c r="I31" i="42"/>
  <c r="E31" i="42"/>
  <c r="D31" i="42"/>
  <c r="F31" i="42" s="1"/>
  <c r="C31" i="42"/>
  <c r="L30" i="42"/>
  <c r="I30" i="42"/>
  <c r="E30" i="42"/>
  <c r="E34" i="42" s="1"/>
  <c r="D30" i="42"/>
  <c r="C30" i="42"/>
  <c r="K29" i="42"/>
  <c r="J29" i="42"/>
  <c r="I29" i="42"/>
  <c r="F29" i="42"/>
  <c r="E29" i="42"/>
  <c r="D29" i="42"/>
  <c r="C29" i="42"/>
  <c r="K28" i="42"/>
  <c r="I28" i="42"/>
  <c r="E28" i="42"/>
  <c r="D28" i="42"/>
  <c r="C28" i="42"/>
  <c r="K22" i="42"/>
  <c r="J22" i="42"/>
  <c r="I22" i="42"/>
  <c r="L22" i="42" s="1"/>
  <c r="K21" i="42"/>
  <c r="J21" i="42"/>
  <c r="L21" i="42" s="1"/>
  <c r="I21" i="42"/>
  <c r="K20" i="42"/>
  <c r="J20" i="42"/>
  <c r="I20" i="42"/>
  <c r="L20" i="42" s="1"/>
  <c r="K19" i="42"/>
  <c r="J19" i="42"/>
  <c r="I19" i="42"/>
  <c r="K18" i="42"/>
  <c r="J18" i="42"/>
  <c r="I18" i="42"/>
  <c r="K17" i="42"/>
  <c r="J17" i="42"/>
  <c r="I17" i="42"/>
  <c r="I13" i="42"/>
  <c r="K12" i="42"/>
  <c r="J12" i="42"/>
  <c r="L12" i="42" s="1"/>
  <c r="I12" i="42"/>
  <c r="E12" i="42"/>
  <c r="D12" i="42"/>
  <c r="K11" i="42"/>
  <c r="J11" i="42"/>
  <c r="I11" i="42"/>
  <c r="L11" i="42" s="1"/>
  <c r="K10" i="42"/>
  <c r="J10" i="42"/>
  <c r="I10" i="42"/>
  <c r="L10" i="42" s="1"/>
  <c r="D10" i="42"/>
  <c r="C10" i="42"/>
  <c r="K9" i="42"/>
  <c r="J9" i="42"/>
  <c r="L9" i="42" s="1"/>
  <c r="I9" i="42"/>
  <c r="E9" i="42"/>
  <c r="C9" i="42"/>
  <c r="K8" i="42"/>
  <c r="L8" i="42" s="1"/>
  <c r="J8" i="42"/>
  <c r="I8" i="42"/>
  <c r="K7" i="42"/>
  <c r="J7" i="42"/>
  <c r="I7" i="42"/>
  <c r="E7" i="42"/>
  <c r="D7" i="42"/>
  <c r="C7" i="42"/>
  <c r="Q48" i="41"/>
  <c r="P48" i="41"/>
  <c r="O48" i="41"/>
  <c r="N48" i="41"/>
  <c r="M48" i="41"/>
  <c r="L48" i="41"/>
  <c r="K48" i="41"/>
  <c r="J48" i="41"/>
  <c r="I48" i="41"/>
  <c r="H48" i="41"/>
  <c r="G48" i="41"/>
  <c r="F48" i="41"/>
  <c r="E48" i="41"/>
  <c r="D48" i="41"/>
  <c r="C48" i="41"/>
  <c r="Q41" i="41"/>
  <c r="P41" i="41"/>
  <c r="O41" i="41"/>
  <c r="N41" i="41"/>
  <c r="M41" i="41"/>
  <c r="L41" i="41"/>
  <c r="K41" i="41"/>
  <c r="J41" i="41"/>
  <c r="I41" i="41"/>
  <c r="H41" i="41"/>
  <c r="G41" i="41"/>
  <c r="F41" i="41"/>
  <c r="E41" i="41"/>
  <c r="D41" i="41"/>
  <c r="C41" i="41"/>
  <c r="Q48" i="40"/>
  <c r="P48" i="40"/>
  <c r="O48" i="40"/>
  <c r="N48" i="40"/>
  <c r="M48" i="40"/>
  <c r="L48" i="40"/>
  <c r="K48" i="40"/>
  <c r="J48" i="40"/>
  <c r="I48" i="40"/>
  <c r="H48" i="40"/>
  <c r="G48" i="40"/>
  <c r="F48" i="40"/>
  <c r="E48" i="40"/>
  <c r="D48" i="40"/>
  <c r="C48" i="40"/>
  <c r="Q41" i="40"/>
  <c r="P41" i="40"/>
  <c r="O41" i="40"/>
  <c r="N41" i="40"/>
  <c r="M41" i="40"/>
  <c r="L41" i="40"/>
  <c r="K41" i="40"/>
  <c r="J41" i="40"/>
  <c r="I41" i="40"/>
  <c r="H41" i="40"/>
  <c r="G41" i="40"/>
  <c r="F41" i="40"/>
  <c r="E41" i="40"/>
  <c r="D41" i="40"/>
  <c r="C41" i="40"/>
  <c r="B3" i="40"/>
  <c r="Q48" i="39"/>
  <c r="P48" i="39"/>
  <c r="O48" i="39"/>
  <c r="N48" i="39"/>
  <c r="M48" i="39"/>
  <c r="L48" i="39"/>
  <c r="K48" i="39"/>
  <c r="J48" i="39"/>
  <c r="I48" i="39"/>
  <c r="H48" i="39"/>
  <c r="G48" i="39"/>
  <c r="F48" i="39"/>
  <c r="E48" i="39"/>
  <c r="D48" i="39"/>
  <c r="C48" i="39"/>
  <c r="Q41" i="39"/>
  <c r="P41" i="39"/>
  <c r="O41" i="39"/>
  <c r="N41" i="39"/>
  <c r="M41" i="39"/>
  <c r="L41" i="39"/>
  <c r="K41" i="39"/>
  <c r="J41" i="39"/>
  <c r="I41" i="39"/>
  <c r="H41" i="39"/>
  <c r="G41" i="39"/>
  <c r="F41" i="39"/>
  <c r="E41" i="39"/>
  <c r="D41" i="39"/>
  <c r="C41" i="39"/>
  <c r="B3" i="39"/>
  <c r="Q48" i="38"/>
  <c r="P48" i="38"/>
  <c r="O48" i="38"/>
  <c r="N48" i="38"/>
  <c r="M48" i="38"/>
  <c r="L48" i="38"/>
  <c r="K48" i="38"/>
  <c r="J48" i="38"/>
  <c r="I48" i="38"/>
  <c r="H48" i="38"/>
  <c r="G48" i="38"/>
  <c r="F48" i="38"/>
  <c r="E48" i="38"/>
  <c r="D48" i="38"/>
  <c r="C48" i="38"/>
  <c r="Q41" i="38"/>
  <c r="P41" i="38"/>
  <c r="O41" i="38"/>
  <c r="N41" i="38"/>
  <c r="M41" i="38"/>
  <c r="L41" i="38"/>
  <c r="K41" i="38"/>
  <c r="J41" i="38"/>
  <c r="I41" i="38"/>
  <c r="H41" i="38"/>
  <c r="G41" i="38"/>
  <c r="F41" i="38"/>
  <c r="E41" i="38"/>
  <c r="D41" i="38"/>
  <c r="C41" i="38"/>
  <c r="B3" i="38"/>
  <c r="Q48" i="37"/>
  <c r="P48" i="37"/>
  <c r="O48" i="37"/>
  <c r="N48" i="37"/>
  <c r="M48" i="37"/>
  <c r="L48" i="37"/>
  <c r="K48" i="37"/>
  <c r="J48" i="37"/>
  <c r="I48" i="37"/>
  <c r="H48" i="37"/>
  <c r="G48" i="37"/>
  <c r="G48" i="35" s="1"/>
  <c r="F48" i="37"/>
  <c r="E48" i="37"/>
  <c r="E48" i="35" s="1"/>
  <c r="D48" i="37"/>
  <c r="C48" i="37"/>
  <c r="C48" i="35" s="1"/>
  <c r="Q41" i="37"/>
  <c r="P41" i="37"/>
  <c r="P41" i="35" s="1"/>
  <c r="O41" i="37"/>
  <c r="N41" i="37"/>
  <c r="M41" i="37"/>
  <c r="L41" i="37"/>
  <c r="L41" i="35" s="1"/>
  <c r="K41" i="37"/>
  <c r="J41" i="37"/>
  <c r="I41" i="37"/>
  <c r="H41" i="37"/>
  <c r="G41" i="37"/>
  <c r="F41" i="37"/>
  <c r="E41" i="37"/>
  <c r="D41" i="37"/>
  <c r="C41" i="37"/>
  <c r="B3" i="37"/>
  <c r="Q48" i="36"/>
  <c r="P48" i="36"/>
  <c r="O48" i="36"/>
  <c r="N48" i="36"/>
  <c r="M48" i="36"/>
  <c r="L48" i="36"/>
  <c r="K48" i="36"/>
  <c r="J48" i="36"/>
  <c r="I48" i="36"/>
  <c r="H48" i="36"/>
  <c r="G48" i="36"/>
  <c r="F48" i="36"/>
  <c r="E48" i="36"/>
  <c r="D48" i="36"/>
  <c r="C48" i="36"/>
  <c r="Q41" i="36"/>
  <c r="P41" i="36"/>
  <c r="O41" i="36"/>
  <c r="N41" i="36"/>
  <c r="M41" i="36"/>
  <c r="L41" i="36"/>
  <c r="K41" i="36"/>
  <c r="J41" i="36"/>
  <c r="I41" i="36"/>
  <c r="H41" i="36"/>
  <c r="G41" i="36"/>
  <c r="F41" i="36"/>
  <c r="E41" i="36"/>
  <c r="D41" i="36"/>
  <c r="C41" i="36"/>
  <c r="B3" i="36"/>
  <c r="N48" i="35"/>
  <c r="J48" i="35"/>
  <c r="I48" i="35"/>
  <c r="H48" i="35"/>
  <c r="F48" i="35"/>
  <c r="Q47" i="35"/>
  <c r="P47" i="35"/>
  <c r="O47" i="35"/>
  <c r="N47" i="35"/>
  <c r="M47" i="35"/>
  <c r="L47" i="35"/>
  <c r="K47" i="35"/>
  <c r="J47" i="35"/>
  <c r="I47" i="35"/>
  <c r="H47" i="35"/>
  <c r="G47" i="35"/>
  <c r="F47" i="35"/>
  <c r="E47" i="35"/>
  <c r="D47" i="35"/>
  <c r="C47" i="35"/>
  <c r="B47" i="35"/>
  <c r="Q46" i="35"/>
  <c r="P46" i="35"/>
  <c r="O46" i="35"/>
  <c r="N46" i="35"/>
  <c r="M46" i="35"/>
  <c r="L46" i="35"/>
  <c r="K46" i="35"/>
  <c r="J46" i="35"/>
  <c r="I46" i="35"/>
  <c r="H46" i="35"/>
  <c r="G46" i="35"/>
  <c r="F46" i="35"/>
  <c r="E46" i="35"/>
  <c r="D46" i="35"/>
  <c r="C46" i="35"/>
  <c r="B46" i="35"/>
  <c r="Q45" i="35"/>
  <c r="P45" i="35"/>
  <c r="O45" i="35"/>
  <c r="N45" i="35"/>
  <c r="M45" i="35"/>
  <c r="L45" i="35"/>
  <c r="K45" i="35"/>
  <c r="J45" i="35"/>
  <c r="I45" i="35"/>
  <c r="H45" i="35"/>
  <c r="G45" i="35"/>
  <c r="F45" i="35"/>
  <c r="E45" i="35"/>
  <c r="D45" i="35"/>
  <c r="C45" i="35"/>
  <c r="B45" i="35"/>
  <c r="Q44" i="35"/>
  <c r="P44" i="35"/>
  <c r="O44" i="35"/>
  <c r="N44" i="35"/>
  <c r="M44" i="35"/>
  <c r="L44" i="35"/>
  <c r="K44" i="35"/>
  <c r="J44" i="35"/>
  <c r="I44" i="35"/>
  <c r="H44" i="35"/>
  <c r="G44" i="35"/>
  <c r="F44" i="35"/>
  <c r="E44" i="35"/>
  <c r="D44" i="35"/>
  <c r="C44" i="35"/>
  <c r="B44" i="35"/>
  <c r="Q43" i="35"/>
  <c r="P43" i="35"/>
  <c r="O43" i="35"/>
  <c r="N43" i="35"/>
  <c r="M43" i="35"/>
  <c r="L43" i="35"/>
  <c r="K43" i="35"/>
  <c r="J43" i="35"/>
  <c r="I43" i="35"/>
  <c r="H43" i="35"/>
  <c r="G43" i="35"/>
  <c r="F43" i="35"/>
  <c r="E43" i="35"/>
  <c r="D43" i="35"/>
  <c r="C43" i="35"/>
  <c r="B43" i="35"/>
  <c r="B42" i="35"/>
  <c r="Q41" i="35"/>
  <c r="N41" i="35"/>
  <c r="M41" i="35"/>
  <c r="K41" i="35"/>
  <c r="I41" i="35"/>
  <c r="G41" i="35"/>
  <c r="Q40" i="35"/>
  <c r="P40" i="35"/>
  <c r="O40" i="35"/>
  <c r="N40" i="35"/>
  <c r="M40" i="35"/>
  <c r="L40" i="35"/>
  <c r="K40" i="35"/>
  <c r="J40" i="35"/>
  <c r="I40" i="35"/>
  <c r="H40" i="35"/>
  <c r="G40" i="35"/>
  <c r="F40" i="35"/>
  <c r="E40" i="35"/>
  <c r="D40" i="35"/>
  <c r="C40" i="35"/>
  <c r="B40" i="35"/>
  <c r="Q39" i="35"/>
  <c r="P39" i="35"/>
  <c r="O39" i="35"/>
  <c r="N39" i="35"/>
  <c r="M39" i="35"/>
  <c r="L39" i="35"/>
  <c r="K39" i="35"/>
  <c r="J39" i="35"/>
  <c r="I39" i="35"/>
  <c r="H39" i="35"/>
  <c r="G39" i="35"/>
  <c r="F39" i="35"/>
  <c r="E39" i="35"/>
  <c r="D39" i="35"/>
  <c r="C39" i="35"/>
  <c r="B39" i="35"/>
  <c r="Q38" i="35"/>
  <c r="P38" i="35"/>
  <c r="O38" i="35"/>
  <c r="N38" i="35"/>
  <c r="M38" i="35"/>
  <c r="L38" i="35"/>
  <c r="K38" i="35"/>
  <c r="J38" i="35"/>
  <c r="I38" i="35"/>
  <c r="H38" i="35"/>
  <c r="G38" i="35"/>
  <c r="F38" i="35"/>
  <c r="E38" i="35"/>
  <c r="D38" i="35"/>
  <c r="C38" i="35"/>
  <c r="B38" i="35"/>
  <c r="Q37" i="35"/>
  <c r="P37" i="35"/>
  <c r="O37" i="35"/>
  <c r="N37" i="35"/>
  <c r="M37" i="35"/>
  <c r="L37" i="35"/>
  <c r="K37" i="35"/>
  <c r="J37" i="35"/>
  <c r="I37" i="35"/>
  <c r="H37" i="35"/>
  <c r="G37" i="35"/>
  <c r="F37" i="35"/>
  <c r="E37" i="35"/>
  <c r="D37" i="35"/>
  <c r="C37" i="35"/>
  <c r="B37" i="35"/>
  <c r="Q36" i="35"/>
  <c r="P36" i="35"/>
  <c r="O36" i="35"/>
  <c r="N36" i="35"/>
  <c r="M36" i="35"/>
  <c r="L36" i="35"/>
  <c r="K36" i="35"/>
  <c r="J36" i="35"/>
  <c r="I36" i="35"/>
  <c r="H36" i="35"/>
  <c r="G36" i="35"/>
  <c r="F36" i="35"/>
  <c r="E36" i="35"/>
  <c r="D36" i="35"/>
  <c r="C36" i="35"/>
  <c r="B36" i="35"/>
  <c r="Q35" i="35"/>
  <c r="P35" i="35"/>
  <c r="O35" i="35"/>
  <c r="N35" i="35"/>
  <c r="M35" i="35"/>
  <c r="L35" i="35"/>
  <c r="K35" i="35"/>
  <c r="J35" i="35"/>
  <c r="I35" i="35"/>
  <c r="H35" i="35"/>
  <c r="G35" i="35"/>
  <c r="F35" i="35"/>
  <c r="E35" i="35"/>
  <c r="D35" i="35"/>
  <c r="C35" i="35"/>
  <c r="B35" i="35"/>
  <c r="Q34" i="35"/>
  <c r="P34" i="35"/>
  <c r="O34" i="35"/>
  <c r="N34" i="35"/>
  <c r="M34" i="35"/>
  <c r="L34" i="35"/>
  <c r="K34" i="35"/>
  <c r="J34" i="35"/>
  <c r="I34" i="35"/>
  <c r="H34" i="35"/>
  <c r="G34" i="35"/>
  <c r="F34" i="35"/>
  <c r="E34" i="35"/>
  <c r="D34" i="35"/>
  <c r="C34" i="35"/>
  <c r="B34" i="35"/>
  <c r="Q33" i="35"/>
  <c r="P33" i="35"/>
  <c r="O33" i="35"/>
  <c r="N33" i="35"/>
  <c r="M33" i="35"/>
  <c r="L33" i="35"/>
  <c r="K33" i="35"/>
  <c r="J33" i="35"/>
  <c r="I33" i="35"/>
  <c r="H33" i="35"/>
  <c r="G33" i="35"/>
  <c r="F33" i="35"/>
  <c r="E33" i="35"/>
  <c r="D33" i="35"/>
  <c r="C33" i="35"/>
  <c r="B33" i="35"/>
  <c r="Q32" i="35"/>
  <c r="P32" i="35"/>
  <c r="O32" i="35"/>
  <c r="N32" i="35"/>
  <c r="M32" i="35"/>
  <c r="L32" i="35"/>
  <c r="K32" i="35"/>
  <c r="J32" i="35"/>
  <c r="I32" i="35"/>
  <c r="H32" i="35"/>
  <c r="G32" i="35"/>
  <c r="F32" i="35"/>
  <c r="E32" i="35"/>
  <c r="D32" i="35"/>
  <c r="C32" i="35"/>
  <c r="B32" i="35"/>
  <c r="Q31" i="35"/>
  <c r="P31" i="35"/>
  <c r="O31" i="35"/>
  <c r="N31" i="35"/>
  <c r="M31" i="35"/>
  <c r="L31" i="35"/>
  <c r="K31" i="35"/>
  <c r="J31" i="35"/>
  <c r="I31" i="35"/>
  <c r="H31" i="35"/>
  <c r="G31" i="35"/>
  <c r="F31" i="35"/>
  <c r="E31" i="35"/>
  <c r="D31" i="35"/>
  <c r="C31" i="35"/>
  <c r="B31" i="35"/>
  <c r="Q30" i="35"/>
  <c r="P30" i="35"/>
  <c r="O30" i="35"/>
  <c r="N30" i="35"/>
  <c r="M30" i="35"/>
  <c r="L30" i="35"/>
  <c r="K30" i="35"/>
  <c r="J30" i="35"/>
  <c r="I30" i="35"/>
  <c r="H30" i="35"/>
  <c r="G30" i="35"/>
  <c r="F30" i="35"/>
  <c r="E30" i="35"/>
  <c r="D30" i="35"/>
  <c r="C30" i="35"/>
  <c r="B30" i="35"/>
  <c r="Q29" i="35"/>
  <c r="P29" i="35"/>
  <c r="O29" i="35"/>
  <c r="N29" i="35"/>
  <c r="M29" i="35"/>
  <c r="L29" i="35"/>
  <c r="K29" i="35"/>
  <c r="J29" i="35"/>
  <c r="I29" i="35"/>
  <c r="H29" i="35"/>
  <c r="G29" i="35"/>
  <c r="F29" i="35"/>
  <c r="E29" i="35"/>
  <c r="D29" i="35"/>
  <c r="C29" i="35"/>
  <c r="B29" i="35"/>
  <c r="Q28" i="35"/>
  <c r="P28" i="35"/>
  <c r="O28" i="35"/>
  <c r="N28" i="35"/>
  <c r="M28" i="35"/>
  <c r="L28" i="35"/>
  <c r="K28" i="35"/>
  <c r="J28" i="35"/>
  <c r="I28" i="35"/>
  <c r="H28" i="35"/>
  <c r="G28" i="35"/>
  <c r="F28" i="35"/>
  <c r="E28" i="35"/>
  <c r="D28" i="35"/>
  <c r="C28" i="35"/>
  <c r="B28" i="35"/>
  <c r="Q27" i="35"/>
  <c r="P27" i="35"/>
  <c r="O27" i="35"/>
  <c r="N27" i="35"/>
  <c r="M27" i="35"/>
  <c r="L27" i="35"/>
  <c r="K27" i="35"/>
  <c r="J27" i="35"/>
  <c r="I27" i="35"/>
  <c r="H27" i="35"/>
  <c r="G27" i="35"/>
  <c r="F27" i="35"/>
  <c r="E27" i="35"/>
  <c r="D27" i="35"/>
  <c r="C27" i="35"/>
  <c r="B27" i="35"/>
  <c r="Q26" i="35"/>
  <c r="P26" i="35"/>
  <c r="O26" i="35"/>
  <c r="N26" i="35"/>
  <c r="M26" i="35"/>
  <c r="L26" i="35"/>
  <c r="K26" i="35"/>
  <c r="J26" i="35"/>
  <c r="I26" i="35"/>
  <c r="H26" i="35"/>
  <c r="G26" i="35"/>
  <c r="F26" i="35"/>
  <c r="E26" i="35"/>
  <c r="D26" i="35"/>
  <c r="C26" i="35"/>
  <c r="B26" i="35"/>
  <c r="Q25" i="35"/>
  <c r="P25" i="35"/>
  <c r="O25" i="35"/>
  <c r="N25" i="35"/>
  <c r="M25" i="35"/>
  <c r="L25" i="35"/>
  <c r="K25" i="35"/>
  <c r="J25" i="35"/>
  <c r="I25" i="35"/>
  <c r="H25" i="35"/>
  <c r="G25" i="35"/>
  <c r="F25" i="35"/>
  <c r="E25" i="35"/>
  <c r="D25" i="35"/>
  <c r="C25" i="35"/>
  <c r="B25" i="35"/>
  <c r="Q24" i="35"/>
  <c r="P24" i="35"/>
  <c r="O24" i="35"/>
  <c r="N24" i="35"/>
  <c r="M24" i="35"/>
  <c r="L24" i="35"/>
  <c r="K24" i="35"/>
  <c r="J24" i="35"/>
  <c r="I24" i="35"/>
  <c r="H24" i="35"/>
  <c r="G24" i="35"/>
  <c r="F24" i="35"/>
  <c r="E24" i="35"/>
  <c r="D24" i="35"/>
  <c r="C24" i="35"/>
  <c r="B24" i="35"/>
  <c r="Q23" i="35"/>
  <c r="P23" i="35"/>
  <c r="O23" i="35"/>
  <c r="N23" i="35"/>
  <c r="M23" i="35"/>
  <c r="L23" i="35"/>
  <c r="K23" i="35"/>
  <c r="J23" i="35"/>
  <c r="I23" i="35"/>
  <c r="H23" i="35"/>
  <c r="G23" i="35"/>
  <c r="F23" i="35"/>
  <c r="E23" i="35"/>
  <c r="D23" i="35"/>
  <c r="C23" i="35"/>
  <c r="B23" i="35"/>
  <c r="Q22" i="35"/>
  <c r="P22" i="35"/>
  <c r="O22" i="35"/>
  <c r="N22" i="35"/>
  <c r="M22" i="35"/>
  <c r="L22" i="35"/>
  <c r="K22" i="35"/>
  <c r="J22" i="35"/>
  <c r="I22" i="35"/>
  <c r="H22" i="35"/>
  <c r="G22" i="35"/>
  <c r="F22" i="35"/>
  <c r="E22" i="35"/>
  <c r="D22" i="35"/>
  <c r="C22" i="35"/>
  <c r="B22" i="35"/>
  <c r="Q21" i="35"/>
  <c r="P21" i="35"/>
  <c r="O21" i="35"/>
  <c r="N21" i="35"/>
  <c r="M21" i="35"/>
  <c r="L21" i="35"/>
  <c r="K21" i="35"/>
  <c r="J21" i="35"/>
  <c r="I21" i="35"/>
  <c r="H21" i="35"/>
  <c r="G21" i="35"/>
  <c r="F21" i="35"/>
  <c r="E21" i="35"/>
  <c r="D21" i="35"/>
  <c r="C21" i="35"/>
  <c r="B21" i="35"/>
  <c r="Q20" i="35"/>
  <c r="P20" i="35"/>
  <c r="O20" i="35"/>
  <c r="N20" i="35"/>
  <c r="M20" i="35"/>
  <c r="L20" i="35"/>
  <c r="K20" i="35"/>
  <c r="J20" i="35"/>
  <c r="I20" i="35"/>
  <c r="H20" i="35"/>
  <c r="G20" i="35"/>
  <c r="F20" i="35"/>
  <c r="E20" i="35"/>
  <c r="D20" i="35"/>
  <c r="C20" i="35"/>
  <c r="B20" i="35"/>
  <c r="Q19" i="35"/>
  <c r="P19" i="35"/>
  <c r="O19" i="35"/>
  <c r="N19" i="35"/>
  <c r="M19" i="35"/>
  <c r="L19" i="35"/>
  <c r="K19" i="35"/>
  <c r="J19" i="35"/>
  <c r="I19" i="35"/>
  <c r="H19" i="35"/>
  <c r="G19" i="35"/>
  <c r="F19" i="35"/>
  <c r="E19" i="35"/>
  <c r="D19" i="35"/>
  <c r="C19" i="35"/>
  <c r="B19" i="35"/>
  <c r="Q18" i="35"/>
  <c r="P18" i="35"/>
  <c r="O18" i="35"/>
  <c r="N18" i="35"/>
  <c r="M18" i="35"/>
  <c r="L18" i="35"/>
  <c r="K18" i="35"/>
  <c r="J18" i="35"/>
  <c r="I18" i="35"/>
  <c r="H18" i="35"/>
  <c r="G18" i="35"/>
  <c r="F18" i="35"/>
  <c r="E18" i="35"/>
  <c r="D18" i="35"/>
  <c r="C18" i="35"/>
  <c r="B18" i="35"/>
  <c r="Q17" i="35"/>
  <c r="P17" i="35"/>
  <c r="O17" i="35"/>
  <c r="N17" i="35"/>
  <c r="M17" i="35"/>
  <c r="L17" i="35"/>
  <c r="K17" i="35"/>
  <c r="J17" i="35"/>
  <c r="I17" i="35"/>
  <c r="H17" i="35"/>
  <c r="G17" i="35"/>
  <c r="F17" i="35"/>
  <c r="E17" i="35"/>
  <c r="D17" i="35"/>
  <c r="C17" i="35"/>
  <c r="B17" i="35"/>
  <c r="Q16" i="35"/>
  <c r="P16" i="35"/>
  <c r="O16" i="35"/>
  <c r="N16" i="35"/>
  <c r="M16" i="35"/>
  <c r="L16" i="35"/>
  <c r="K16" i="35"/>
  <c r="J16" i="35"/>
  <c r="I16" i="35"/>
  <c r="H16" i="35"/>
  <c r="G16" i="35"/>
  <c r="F16" i="35"/>
  <c r="E16" i="35"/>
  <c r="D16" i="35"/>
  <c r="C16" i="35"/>
  <c r="B16" i="35"/>
  <c r="Q15" i="35"/>
  <c r="P15" i="35"/>
  <c r="O15" i="35"/>
  <c r="N15" i="35"/>
  <c r="M15" i="35"/>
  <c r="L15" i="35"/>
  <c r="K15" i="35"/>
  <c r="J15" i="35"/>
  <c r="I15" i="35"/>
  <c r="H15" i="35"/>
  <c r="G15" i="35"/>
  <c r="F15" i="35"/>
  <c r="E15" i="35"/>
  <c r="D15" i="35"/>
  <c r="C15" i="35"/>
  <c r="B15" i="35"/>
  <c r="Q14" i="35"/>
  <c r="P14" i="35"/>
  <c r="O14" i="35"/>
  <c r="N14" i="35"/>
  <c r="M14" i="35"/>
  <c r="L14" i="35"/>
  <c r="K14" i="35"/>
  <c r="J14" i="35"/>
  <c r="I14" i="35"/>
  <c r="H14" i="35"/>
  <c r="G14" i="35"/>
  <c r="F14" i="35"/>
  <c r="E14" i="35"/>
  <c r="D14" i="35"/>
  <c r="C14" i="35"/>
  <c r="B14" i="35"/>
  <c r="Q13" i="35"/>
  <c r="P13" i="35"/>
  <c r="O13" i="35"/>
  <c r="N13" i="35"/>
  <c r="M13" i="35"/>
  <c r="L13" i="35"/>
  <c r="K13" i="35"/>
  <c r="J13" i="35"/>
  <c r="I13" i="35"/>
  <c r="H13" i="35"/>
  <c r="G13" i="35"/>
  <c r="F13" i="35"/>
  <c r="E13" i="35"/>
  <c r="D13" i="35"/>
  <c r="C13" i="35"/>
  <c r="B13" i="35"/>
  <c r="Q12" i="35"/>
  <c r="P12" i="35"/>
  <c r="O12" i="35"/>
  <c r="N12" i="35"/>
  <c r="M12" i="35"/>
  <c r="L12" i="35"/>
  <c r="K12" i="35"/>
  <c r="J12" i="35"/>
  <c r="I12" i="35"/>
  <c r="H12" i="35"/>
  <c r="G12" i="35"/>
  <c r="F12" i="35"/>
  <c r="E12" i="35"/>
  <c r="D12" i="35"/>
  <c r="C12" i="35"/>
  <c r="B12" i="35"/>
  <c r="Q11" i="35"/>
  <c r="P11" i="35"/>
  <c r="O11" i="35"/>
  <c r="N11" i="35"/>
  <c r="M11" i="35"/>
  <c r="L11" i="35"/>
  <c r="K11" i="35"/>
  <c r="J11" i="35"/>
  <c r="I11" i="35"/>
  <c r="H11" i="35"/>
  <c r="G11" i="35"/>
  <c r="F11" i="35"/>
  <c r="E11" i="35"/>
  <c r="D11" i="35"/>
  <c r="C11" i="35"/>
  <c r="B11" i="35"/>
  <c r="Q10" i="35"/>
  <c r="P10" i="35"/>
  <c r="O10" i="35"/>
  <c r="N10" i="35"/>
  <c r="M10" i="35"/>
  <c r="L10" i="35"/>
  <c r="K10" i="35"/>
  <c r="J10" i="35"/>
  <c r="I10" i="35"/>
  <c r="H10" i="35"/>
  <c r="G10" i="35"/>
  <c r="F10" i="35"/>
  <c r="E10" i="35"/>
  <c r="D10" i="35"/>
  <c r="C10" i="35"/>
  <c r="B10" i="35"/>
  <c r="Q9" i="35"/>
  <c r="P9" i="35"/>
  <c r="O9" i="35"/>
  <c r="N9" i="35"/>
  <c r="M9" i="35"/>
  <c r="L9" i="35"/>
  <c r="K9" i="35"/>
  <c r="J9" i="35"/>
  <c r="I9" i="35"/>
  <c r="H9" i="35"/>
  <c r="G9" i="35"/>
  <c r="F9" i="35"/>
  <c r="E9" i="35"/>
  <c r="D9" i="35"/>
  <c r="C9" i="35"/>
  <c r="B9" i="35"/>
  <c r="Q8" i="35"/>
  <c r="P8" i="35"/>
  <c r="O8" i="35"/>
  <c r="N8" i="35"/>
  <c r="M8" i="35"/>
  <c r="L8" i="35"/>
  <c r="K8" i="35"/>
  <c r="J8" i="35"/>
  <c r="I8" i="35"/>
  <c r="H8" i="35"/>
  <c r="G8" i="35"/>
  <c r="F8" i="35"/>
  <c r="E8" i="35"/>
  <c r="D8" i="35"/>
  <c r="C8" i="35"/>
  <c r="B8" i="35"/>
  <c r="Q7" i="35"/>
  <c r="P7" i="35"/>
  <c r="O7" i="35"/>
  <c r="N7" i="35"/>
  <c r="M7" i="35"/>
  <c r="L7" i="35"/>
  <c r="K7" i="35"/>
  <c r="J7" i="35"/>
  <c r="I7" i="35"/>
  <c r="H7" i="35"/>
  <c r="G7" i="35"/>
  <c r="F7" i="35"/>
  <c r="E7" i="35"/>
  <c r="D7" i="35"/>
  <c r="C7" i="35"/>
  <c r="B7" i="35"/>
  <c r="Q6" i="35"/>
  <c r="P6" i="35"/>
  <c r="O6" i="35"/>
  <c r="N6" i="35"/>
  <c r="M6" i="35"/>
  <c r="L6" i="35"/>
  <c r="K6" i="35"/>
  <c r="J6" i="35"/>
  <c r="I6" i="35"/>
  <c r="H6" i="35"/>
  <c r="G6" i="35"/>
  <c r="F6" i="35"/>
  <c r="E6" i="35"/>
  <c r="D6" i="35"/>
  <c r="C6" i="35"/>
  <c r="B6" i="35"/>
  <c r="Q48" i="34"/>
  <c r="Q48" i="35" s="1"/>
  <c r="P48" i="34"/>
  <c r="P48" i="35" s="1"/>
  <c r="O48" i="34"/>
  <c r="O48" i="35" s="1"/>
  <c r="N48" i="34"/>
  <c r="M48" i="34"/>
  <c r="M48" i="35" s="1"/>
  <c r="L48" i="34"/>
  <c r="L48" i="35" s="1"/>
  <c r="K48" i="34"/>
  <c r="K48" i="35" s="1"/>
  <c r="J48" i="34"/>
  <c r="I48" i="34"/>
  <c r="H48" i="34"/>
  <c r="G48" i="34"/>
  <c r="F48" i="34"/>
  <c r="E48" i="34"/>
  <c r="D48" i="34"/>
  <c r="C48" i="34"/>
  <c r="P41" i="34"/>
  <c r="O41" i="34"/>
  <c r="O41" i="35" s="1"/>
  <c r="N41" i="34"/>
  <c r="M41" i="34"/>
  <c r="L41" i="34"/>
  <c r="K41" i="34"/>
  <c r="J41" i="34"/>
  <c r="J41" i="35" s="1"/>
  <c r="I41" i="34"/>
  <c r="H41" i="34"/>
  <c r="H41" i="35" s="1"/>
  <c r="G41" i="34"/>
  <c r="F41" i="34"/>
  <c r="F41" i="35" s="1"/>
  <c r="E41" i="34"/>
  <c r="E41" i="35" s="1"/>
  <c r="D41" i="34"/>
  <c r="D41" i="35" s="1"/>
  <c r="C41" i="34"/>
  <c r="Q48" i="33"/>
  <c r="P48" i="33"/>
  <c r="O48" i="33"/>
  <c r="N48" i="33"/>
  <c r="M48" i="33"/>
  <c r="L48" i="33"/>
  <c r="K48" i="33"/>
  <c r="J48" i="33"/>
  <c r="I48" i="33"/>
  <c r="H48" i="33"/>
  <c r="G48" i="33"/>
  <c r="F48" i="33"/>
  <c r="E48" i="33"/>
  <c r="D48" i="33"/>
  <c r="C48" i="33"/>
  <c r="Q41" i="33"/>
  <c r="P41" i="33"/>
  <c r="O41" i="33"/>
  <c r="N41" i="33"/>
  <c r="M41" i="33"/>
  <c r="L41" i="33"/>
  <c r="K41" i="33"/>
  <c r="J41" i="33"/>
  <c r="I41" i="33"/>
  <c r="H41" i="33"/>
  <c r="G41" i="33"/>
  <c r="F41" i="33"/>
  <c r="E41" i="33"/>
  <c r="D41" i="33"/>
  <c r="C41" i="33"/>
  <c r="B3" i="33"/>
  <c r="B47" i="32"/>
  <c r="N44" i="32"/>
  <c r="H44" i="32"/>
  <c r="B44" i="32"/>
  <c r="B43" i="32"/>
  <c r="B36" i="32"/>
  <c r="B33" i="32"/>
  <c r="B28" i="32"/>
  <c r="B27" i="32"/>
  <c r="B22" i="32"/>
  <c r="B21" i="32"/>
  <c r="B20" i="32"/>
  <c r="B19" i="32"/>
  <c r="B17" i="32"/>
  <c r="B16" i="32"/>
  <c r="N14" i="32"/>
  <c r="B14" i="32"/>
  <c r="N13" i="32"/>
  <c r="B11" i="32"/>
  <c r="B8" i="32"/>
  <c r="B6" i="32"/>
  <c r="Q48" i="31"/>
  <c r="P48" i="31"/>
  <c r="O48" i="31"/>
  <c r="N48" i="31"/>
  <c r="M48" i="31"/>
  <c r="L48" i="31"/>
  <c r="K48" i="31"/>
  <c r="J48" i="31"/>
  <c r="I48" i="31"/>
  <c r="H48" i="31"/>
  <c r="G48" i="31"/>
  <c r="F48" i="31"/>
  <c r="E48" i="31"/>
  <c r="D48" i="31"/>
  <c r="C48" i="31"/>
  <c r="Q41" i="31"/>
  <c r="P41" i="31"/>
  <c r="O41" i="31"/>
  <c r="N41" i="31"/>
  <c r="M41" i="31"/>
  <c r="L41" i="31"/>
  <c r="K41" i="31"/>
  <c r="J41" i="31"/>
  <c r="I41" i="31"/>
  <c r="H41" i="31"/>
  <c r="G41" i="31"/>
  <c r="F41" i="31"/>
  <c r="E41" i="31"/>
  <c r="D41" i="31"/>
  <c r="C41" i="31"/>
  <c r="B3" i="31"/>
  <c r="Q48" i="30"/>
  <c r="P48" i="30"/>
  <c r="O48" i="30"/>
  <c r="N48" i="30"/>
  <c r="M48" i="30"/>
  <c r="L48" i="30"/>
  <c r="K48" i="30"/>
  <c r="J48" i="30"/>
  <c r="I48" i="30"/>
  <c r="H48" i="30"/>
  <c r="G48" i="30"/>
  <c r="F48" i="30"/>
  <c r="E48" i="30"/>
  <c r="D48" i="30"/>
  <c r="C48" i="30"/>
  <c r="Q41" i="30"/>
  <c r="P41" i="30"/>
  <c r="O41" i="30"/>
  <c r="N41" i="30"/>
  <c r="M41" i="30"/>
  <c r="L41" i="30"/>
  <c r="K41" i="30"/>
  <c r="J41" i="30"/>
  <c r="I41" i="30"/>
  <c r="H41" i="30"/>
  <c r="G41" i="30"/>
  <c r="F41" i="30"/>
  <c r="E41" i="30"/>
  <c r="D41" i="30"/>
  <c r="C41" i="30"/>
  <c r="B3" i="30"/>
  <c r="Q48" i="29"/>
  <c r="P48" i="29"/>
  <c r="P47" i="32" s="1"/>
  <c r="N48" i="29"/>
  <c r="M48" i="29"/>
  <c r="M44" i="32" s="1"/>
  <c r="J48" i="29"/>
  <c r="J46" i="32" s="1"/>
  <c r="Q47" i="29"/>
  <c r="P47" i="29"/>
  <c r="O47" i="29"/>
  <c r="N47" i="29"/>
  <c r="M47" i="29"/>
  <c r="L47" i="29"/>
  <c r="K47" i="29"/>
  <c r="J47" i="29"/>
  <c r="I47" i="29"/>
  <c r="H47" i="29"/>
  <c r="G47" i="29"/>
  <c r="F47" i="29"/>
  <c r="E47" i="29"/>
  <c r="D47" i="29"/>
  <c r="C47" i="29"/>
  <c r="B47" i="29"/>
  <c r="Q46" i="29"/>
  <c r="P46" i="29"/>
  <c r="O46" i="29"/>
  <c r="N46" i="29"/>
  <c r="M46" i="29"/>
  <c r="L46" i="29"/>
  <c r="K46" i="29"/>
  <c r="J46" i="29"/>
  <c r="I46" i="29"/>
  <c r="H46" i="29"/>
  <c r="G46" i="29"/>
  <c r="F46" i="29"/>
  <c r="E46" i="29"/>
  <c r="D46" i="29"/>
  <c r="C46" i="29"/>
  <c r="B46" i="29"/>
  <c r="B46" i="32" s="1"/>
  <c r="Q45" i="29"/>
  <c r="P45" i="29"/>
  <c r="P45" i="32" s="1"/>
  <c r="O45" i="29"/>
  <c r="N45" i="29"/>
  <c r="M45" i="29"/>
  <c r="L45" i="29"/>
  <c r="K45" i="29"/>
  <c r="J45" i="29"/>
  <c r="I45" i="29"/>
  <c r="H45" i="29"/>
  <c r="H48" i="29" s="1"/>
  <c r="G45" i="29"/>
  <c r="F45" i="29"/>
  <c r="E45" i="29"/>
  <c r="D45" i="29"/>
  <c r="C45" i="29"/>
  <c r="B45" i="29"/>
  <c r="B45" i="32" s="1"/>
  <c r="Q44" i="29"/>
  <c r="P44" i="29"/>
  <c r="O44" i="29"/>
  <c r="N44" i="29"/>
  <c r="M44" i="29"/>
  <c r="L44" i="29"/>
  <c r="K44" i="29"/>
  <c r="J44" i="29"/>
  <c r="I44" i="29"/>
  <c r="H44" i="29"/>
  <c r="G44" i="29"/>
  <c r="G48" i="29" s="1"/>
  <c r="G43" i="32" s="1"/>
  <c r="F44" i="29"/>
  <c r="E44" i="29"/>
  <c r="D44" i="29"/>
  <c r="C44" i="29"/>
  <c r="B44" i="29"/>
  <c r="Q43" i="29"/>
  <c r="P43" i="29"/>
  <c r="O43" i="29"/>
  <c r="N43" i="29"/>
  <c r="M43" i="29"/>
  <c r="L43" i="29"/>
  <c r="K43" i="29"/>
  <c r="J43" i="29"/>
  <c r="I43" i="29"/>
  <c r="H43" i="29"/>
  <c r="G43" i="29"/>
  <c r="F43" i="29"/>
  <c r="E43" i="29"/>
  <c r="D43" i="29"/>
  <c r="C43" i="29"/>
  <c r="B43" i="29"/>
  <c r="Q41" i="29"/>
  <c r="N41" i="29"/>
  <c r="Q40" i="29"/>
  <c r="P40" i="29"/>
  <c r="O40" i="29"/>
  <c r="N40" i="29"/>
  <c r="M40" i="29"/>
  <c r="L40" i="29"/>
  <c r="K40" i="29"/>
  <c r="J40" i="29"/>
  <c r="I40" i="29"/>
  <c r="H40" i="29"/>
  <c r="G40" i="29"/>
  <c r="F40" i="29"/>
  <c r="E40" i="29"/>
  <c r="D40" i="29"/>
  <c r="C40" i="29"/>
  <c r="B40" i="29"/>
  <c r="B40" i="32" s="1"/>
  <c r="Q39" i="29"/>
  <c r="P39" i="29"/>
  <c r="O39" i="29"/>
  <c r="N39" i="29"/>
  <c r="M39" i="29"/>
  <c r="L39" i="29"/>
  <c r="K39" i="29"/>
  <c r="J39" i="29"/>
  <c r="I39" i="29"/>
  <c r="H39" i="29"/>
  <c r="G39" i="29"/>
  <c r="F39" i="29"/>
  <c r="E39" i="29"/>
  <c r="D39" i="29"/>
  <c r="C39" i="29"/>
  <c r="B39" i="29"/>
  <c r="B39" i="32" s="1"/>
  <c r="Q38" i="29"/>
  <c r="P38" i="29"/>
  <c r="O38" i="29"/>
  <c r="N38" i="29"/>
  <c r="N38" i="32" s="1"/>
  <c r="M38" i="29"/>
  <c r="L38" i="29"/>
  <c r="K38" i="29"/>
  <c r="J38" i="29"/>
  <c r="I38" i="29"/>
  <c r="H38" i="29"/>
  <c r="G38" i="29"/>
  <c r="F38" i="29"/>
  <c r="E38" i="29"/>
  <c r="D38" i="29"/>
  <c r="C38" i="29"/>
  <c r="B38" i="29"/>
  <c r="B38" i="32" s="1"/>
  <c r="Q37" i="29"/>
  <c r="P37" i="29"/>
  <c r="O37" i="29"/>
  <c r="N37" i="29"/>
  <c r="M37" i="29"/>
  <c r="L37" i="29"/>
  <c r="K37" i="29"/>
  <c r="J37" i="29"/>
  <c r="I37" i="29"/>
  <c r="H37" i="29"/>
  <c r="G37" i="29"/>
  <c r="F37" i="29"/>
  <c r="E37" i="29"/>
  <c r="D37" i="29"/>
  <c r="C37" i="29"/>
  <c r="B37" i="29"/>
  <c r="B37" i="32" s="1"/>
  <c r="Q36" i="29"/>
  <c r="P36" i="29"/>
  <c r="O36" i="29"/>
  <c r="N36" i="29"/>
  <c r="M36" i="29"/>
  <c r="L36" i="29"/>
  <c r="K36" i="29"/>
  <c r="J36" i="29"/>
  <c r="I36" i="29"/>
  <c r="H36" i="29"/>
  <c r="G36" i="29"/>
  <c r="F36" i="29"/>
  <c r="E36" i="29"/>
  <c r="D36" i="29"/>
  <c r="C36" i="29"/>
  <c r="B36" i="29"/>
  <c r="Q35" i="29"/>
  <c r="P35" i="29"/>
  <c r="O35" i="29"/>
  <c r="N35" i="29"/>
  <c r="M35" i="29"/>
  <c r="L35" i="29"/>
  <c r="K35" i="29"/>
  <c r="J35" i="29"/>
  <c r="I35" i="29"/>
  <c r="H35" i="29"/>
  <c r="G35" i="29"/>
  <c r="F35" i="29"/>
  <c r="E35" i="29"/>
  <c r="D35" i="29"/>
  <c r="C35" i="29"/>
  <c r="B35" i="29"/>
  <c r="B35" i="32" s="1"/>
  <c r="Q34" i="29"/>
  <c r="P34" i="29"/>
  <c r="O34" i="29"/>
  <c r="N34" i="29"/>
  <c r="M34" i="29"/>
  <c r="L34" i="29"/>
  <c r="K34" i="29"/>
  <c r="J34" i="29"/>
  <c r="I34" i="29"/>
  <c r="H34" i="29"/>
  <c r="G34" i="29"/>
  <c r="F34" i="29"/>
  <c r="E34" i="29"/>
  <c r="D34" i="29"/>
  <c r="C34" i="29"/>
  <c r="B34" i="29"/>
  <c r="B34" i="32" s="1"/>
  <c r="Q33" i="29"/>
  <c r="P33" i="29"/>
  <c r="O33" i="29"/>
  <c r="N33" i="29"/>
  <c r="M33" i="29"/>
  <c r="L33" i="29"/>
  <c r="K33" i="29"/>
  <c r="J33" i="29"/>
  <c r="I33" i="29"/>
  <c r="H33" i="29"/>
  <c r="G33" i="29"/>
  <c r="F33" i="29"/>
  <c r="E33" i="29"/>
  <c r="D33" i="29"/>
  <c r="C33" i="29"/>
  <c r="B33" i="29"/>
  <c r="Q32" i="29"/>
  <c r="P32" i="29"/>
  <c r="O32" i="29"/>
  <c r="N32" i="29"/>
  <c r="M32" i="29"/>
  <c r="L32" i="29"/>
  <c r="K32" i="29"/>
  <c r="J32" i="29"/>
  <c r="I32" i="29"/>
  <c r="H32" i="29"/>
  <c r="G32" i="29"/>
  <c r="F32" i="29"/>
  <c r="E32" i="29"/>
  <c r="D32" i="29"/>
  <c r="C32" i="29"/>
  <c r="B32" i="29"/>
  <c r="B32" i="32" s="1"/>
  <c r="Q31" i="29"/>
  <c r="P31" i="29"/>
  <c r="O31" i="29"/>
  <c r="N31" i="29"/>
  <c r="M31" i="29"/>
  <c r="L31" i="29"/>
  <c r="K31" i="29"/>
  <c r="J31" i="29"/>
  <c r="I31" i="29"/>
  <c r="H31" i="29"/>
  <c r="G31" i="29"/>
  <c r="F31" i="29"/>
  <c r="E31" i="29"/>
  <c r="D31" i="29"/>
  <c r="C31" i="29"/>
  <c r="B31" i="29"/>
  <c r="B31" i="32" s="1"/>
  <c r="Q30" i="29"/>
  <c r="P30" i="29"/>
  <c r="O30" i="29"/>
  <c r="N30" i="29"/>
  <c r="M30" i="29"/>
  <c r="L30" i="29"/>
  <c r="K30" i="29"/>
  <c r="J30" i="29"/>
  <c r="I30" i="29"/>
  <c r="H30" i="29"/>
  <c r="G30" i="29"/>
  <c r="F30" i="29"/>
  <c r="E30" i="29"/>
  <c r="D30" i="29"/>
  <c r="C30" i="29"/>
  <c r="B30" i="29"/>
  <c r="B30" i="32" s="1"/>
  <c r="Q29" i="29"/>
  <c r="P29" i="29"/>
  <c r="O29" i="29"/>
  <c r="N29" i="29"/>
  <c r="M29" i="29"/>
  <c r="L29" i="29"/>
  <c r="K29" i="29"/>
  <c r="J29" i="29"/>
  <c r="I29" i="29"/>
  <c r="H29" i="29"/>
  <c r="G29" i="29"/>
  <c r="F29" i="29"/>
  <c r="E29" i="29"/>
  <c r="D29" i="29"/>
  <c r="C29" i="29"/>
  <c r="B29" i="29"/>
  <c r="B29" i="32" s="1"/>
  <c r="Q28" i="29"/>
  <c r="P28" i="29"/>
  <c r="O28" i="29"/>
  <c r="N28" i="29"/>
  <c r="M28" i="29"/>
  <c r="L28" i="29"/>
  <c r="K28" i="29"/>
  <c r="J28" i="29"/>
  <c r="I28" i="29"/>
  <c r="H28" i="29"/>
  <c r="G28" i="29"/>
  <c r="F28" i="29"/>
  <c r="E28" i="29"/>
  <c r="D28" i="29"/>
  <c r="C28" i="29"/>
  <c r="B28" i="29"/>
  <c r="Q27" i="29"/>
  <c r="P27" i="29"/>
  <c r="O27" i="29"/>
  <c r="N27" i="29"/>
  <c r="M27" i="29"/>
  <c r="L27" i="29"/>
  <c r="K27" i="29"/>
  <c r="J27" i="29"/>
  <c r="I27" i="29"/>
  <c r="H27" i="29"/>
  <c r="G27" i="29"/>
  <c r="F27" i="29"/>
  <c r="E27" i="29"/>
  <c r="D27" i="29"/>
  <c r="C27" i="29"/>
  <c r="B27" i="29"/>
  <c r="Q26" i="29"/>
  <c r="P26" i="29"/>
  <c r="O26" i="29"/>
  <c r="N26" i="29"/>
  <c r="M26" i="29"/>
  <c r="L26" i="29"/>
  <c r="K26" i="29"/>
  <c r="J26" i="29"/>
  <c r="I26" i="29"/>
  <c r="H26" i="29"/>
  <c r="G26" i="29"/>
  <c r="F26" i="29"/>
  <c r="E26" i="29"/>
  <c r="D26" i="29"/>
  <c r="C26" i="29"/>
  <c r="B26" i="29"/>
  <c r="B26" i="32" s="1"/>
  <c r="Q25" i="29"/>
  <c r="P25" i="29"/>
  <c r="O25" i="29"/>
  <c r="N25" i="29"/>
  <c r="M25" i="29"/>
  <c r="L25" i="29"/>
  <c r="K25" i="29"/>
  <c r="J25" i="29"/>
  <c r="I25" i="29"/>
  <c r="H25" i="29"/>
  <c r="G25" i="29"/>
  <c r="F25" i="29"/>
  <c r="E25" i="29"/>
  <c r="D25" i="29"/>
  <c r="C25" i="29"/>
  <c r="B25" i="29"/>
  <c r="B25" i="32" s="1"/>
  <c r="Q24" i="29"/>
  <c r="P24" i="29"/>
  <c r="O24" i="29"/>
  <c r="N24" i="29"/>
  <c r="M24" i="29"/>
  <c r="L24" i="29"/>
  <c r="K24" i="29"/>
  <c r="J24" i="29"/>
  <c r="I24" i="29"/>
  <c r="H24" i="29"/>
  <c r="G24" i="29"/>
  <c r="F24" i="29"/>
  <c r="E24" i="29"/>
  <c r="D24" i="29"/>
  <c r="C24" i="29"/>
  <c r="B24" i="29"/>
  <c r="B24" i="32" s="1"/>
  <c r="Q23" i="29"/>
  <c r="P23" i="29"/>
  <c r="O23" i="29"/>
  <c r="N23" i="29"/>
  <c r="M23" i="29"/>
  <c r="L23" i="29"/>
  <c r="K23" i="29"/>
  <c r="J23" i="29"/>
  <c r="I23" i="29"/>
  <c r="H23" i="29"/>
  <c r="G23" i="29"/>
  <c r="F23" i="29"/>
  <c r="E23" i="29"/>
  <c r="D23" i="29"/>
  <c r="C23" i="29"/>
  <c r="B23" i="29"/>
  <c r="B23" i="32" s="1"/>
  <c r="Q22" i="29"/>
  <c r="P22" i="29"/>
  <c r="O22" i="29"/>
  <c r="N22" i="29"/>
  <c r="M22" i="29"/>
  <c r="L22" i="29"/>
  <c r="K22" i="29"/>
  <c r="J22" i="29"/>
  <c r="I22" i="29"/>
  <c r="H22" i="29"/>
  <c r="G22" i="29"/>
  <c r="F22" i="29"/>
  <c r="E22" i="29"/>
  <c r="D22" i="29"/>
  <c r="C22" i="29"/>
  <c r="B22" i="29"/>
  <c r="Q21" i="29"/>
  <c r="P21" i="29"/>
  <c r="O21" i="29"/>
  <c r="N21" i="29"/>
  <c r="M21" i="29"/>
  <c r="L21" i="29"/>
  <c r="K21" i="29"/>
  <c r="J21" i="29"/>
  <c r="I21" i="29"/>
  <c r="H21" i="29"/>
  <c r="G21" i="29"/>
  <c r="F21" i="29"/>
  <c r="E21" i="29"/>
  <c r="D21" i="29"/>
  <c r="C21" i="29"/>
  <c r="B21" i="29"/>
  <c r="Q20" i="29"/>
  <c r="P20" i="29"/>
  <c r="O20" i="29"/>
  <c r="N20" i="29"/>
  <c r="M20" i="29"/>
  <c r="L20" i="29"/>
  <c r="K20" i="29"/>
  <c r="J20" i="29"/>
  <c r="I20" i="29"/>
  <c r="H20" i="29"/>
  <c r="G20" i="29"/>
  <c r="F20" i="29"/>
  <c r="E20" i="29"/>
  <c r="D20" i="29"/>
  <c r="C20" i="29"/>
  <c r="B20" i="29"/>
  <c r="Q19" i="29"/>
  <c r="P19" i="29"/>
  <c r="O19" i="29"/>
  <c r="N19" i="29"/>
  <c r="M19" i="29"/>
  <c r="L19" i="29"/>
  <c r="K19" i="29"/>
  <c r="J19" i="29"/>
  <c r="I19" i="29"/>
  <c r="H19" i="29"/>
  <c r="G19" i="29"/>
  <c r="F19" i="29"/>
  <c r="E19" i="29"/>
  <c r="D19" i="29"/>
  <c r="C19" i="29"/>
  <c r="B19" i="29"/>
  <c r="Q18" i="29"/>
  <c r="P18" i="29"/>
  <c r="O18" i="29"/>
  <c r="N18" i="29"/>
  <c r="M18" i="29"/>
  <c r="L18" i="29"/>
  <c r="K18" i="29"/>
  <c r="J18" i="29"/>
  <c r="I18" i="29"/>
  <c r="H18" i="29"/>
  <c r="G18" i="29"/>
  <c r="F18" i="29"/>
  <c r="E18" i="29"/>
  <c r="D18" i="29"/>
  <c r="C18" i="29"/>
  <c r="B18" i="29"/>
  <c r="B18" i="32" s="1"/>
  <c r="Q17" i="29"/>
  <c r="P17" i="29"/>
  <c r="O17" i="29"/>
  <c r="N17" i="29"/>
  <c r="M17" i="29"/>
  <c r="L17" i="29"/>
  <c r="K17" i="29"/>
  <c r="J17" i="29"/>
  <c r="I17" i="29"/>
  <c r="H17" i="29"/>
  <c r="G17" i="29"/>
  <c r="F17" i="29"/>
  <c r="E17" i="29"/>
  <c r="D17" i="29"/>
  <c r="C17" i="29"/>
  <c r="B17" i="29"/>
  <c r="Q16" i="29"/>
  <c r="P16" i="29"/>
  <c r="O16" i="29"/>
  <c r="N16" i="29"/>
  <c r="M16" i="29"/>
  <c r="L16" i="29"/>
  <c r="K16" i="29"/>
  <c r="J16" i="29"/>
  <c r="I16" i="29"/>
  <c r="H16" i="29"/>
  <c r="G16" i="29"/>
  <c r="F16" i="29"/>
  <c r="E16" i="29"/>
  <c r="D16" i="29"/>
  <c r="C16" i="29"/>
  <c r="B16" i="29"/>
  <c r="Q15" i="29"/>
  <c r="P15" i="29"/>
  <c r="O15" i="29"/>
  <c r="N15" i="29"/>
  <c r="M15" i="29"/>
  <c r="L15" i="29"/>
  <c r="K15" i="29"/>
  <c r="J15" i="29"/>
  <c r="I15" i="29"/>
  <c r="H15" i="29"/>
  <c r="G15" i="29"/>
  <c r="F15" i="29"/>
  <c r="E15" i="29"/>
  <c r="D15" i="29"/>
  <c r="C15" i="29"/>
  <c r="B15" i="29"/>
  <c r="B15" i="32" s="1"/>
  <c r="Q14" i="29"/>
  <c r="P14" i="29"/>
  <c r="O14" i="29"/>
  <c r="N14" i="29"/>
  <c r="M14" i="29"/>
  <c r="L14" i="29"/>
  <c r="K14" i="29"/>
  <c r="J14" i="29"/>
  <c r="I14" i="29"/>
  <c r="H14" i="29"/>
  <c r="G14" i="29"/>
  <c r="F14" i="29"/>
  <c r="E14" i="29"/>
  <c r="D14" i="29"/>
  <c r="C14" i="29"/>
  <c r="B14" i="29"/>
  <c r="Q13" i="29"/>
  <c r="P13" i="29"/>
  <c r="O13" i="29"/>
  <c r="N13" i="29"/>
  <c r="M13" i="29"/>
  <c r="L13" i="29"/>
  <c r="K13" i="29"/>
  <c r="J13" i="29"/>
  <c r="I13" i="29"/>
  <c r="H13" i="29"/>
  <c r="G13" i="29"/>
  <c r="F13" i="29"/>
  <c r="E13" i="29"/>
  <c r="D13" i="29"/>
  <c r="C13" i="29"/>
  <c r="B13" i="29"/>
  <c r="B13" i="32" s="1"/>
  <c r="Q12" i="29"/>
  <c r="P12" i="29"/>
  <c r="O12" i="29"/>
  <c r="N12" i="29"/>
  <c r="M12" i="29"/>
  <c r="L12" i="29"/>
  <c r="K12" i="29"/>
  <c r="J12" i="29"/>
  <c r="I12" i="29"/>
  <c r="H12" i="29"/>
  <c r="G12" i="29"/>
  <c r="F12" i="29"/>
  <c r="E12" i="29"/>
  <c r="D12" i="29"/>
  <c r="C12" i="29"/>
  <c r="B12" i="29"/>
  <c r="B12" i="32" s="1"/>
  <c r="Q11" i="29"/>
  <c r="P11" i="29"/>
  <c r="O11" i="29"/>
  <c r="N11" i="29"/>
  <c r="M11" i="29"/>
  <c r="L11" i="29"/>
  <c r="K11" i="29"/>
  <c r="J11" i="29"/>
  <c r="I11" i="29"/>
  <c r="H11" i="29"/>
  <c r="G11" i="29"/>
  <c r="F11" i="29"/>
  <c r="E11" i="29"/>
  <c r="D11" i="29"/>
  <c r="C11" i="29"/>
  <c r="B11" i="29"/>
  <c r="Q10" i="29"/>
  <c r="P10" i="29"/>
  <c r="O10" i="29"/>
  <c r="N10" i="29"/>
  <c r="M10" i="29"/>
  <c r="L10" i="29"/>
  <c r="K10" i="29"/>
  <c r="J10" i="29"/>
  <c r="I10" i="29"/>
  <c r="H10" i="29"/>
  <c r="G10" i="29"/>
  <c r="F10" i="29"/>
  <c r="E10" i="29"/>
  <c r="D10" i="29"/>
  <c r="C10" i="29"/>
  <c r="B10" i="29"/>
  <c r="B10" i="32" s="1"/>
  <c r="Q9" i="29"/>
  <c r="P9" i="29"/>
  <c r="O9" i="29"/>
  <c r="N9" i="29"/>
  <c r="M9" i="29"/>
  <c r="L9" i="29"/>
  <c r="K9" i="29"/>
  <c r="J9" i="29"/>
  <c r="I9" i="29"/>
  <c r="H9" i="29"/>
  <c r="G9" i="29"/>
  <c r="F9" i="29"/>
  <c r="E9" i="29"/>
  <c r="D9" i="29"/>
  <c r="C9" i="29"/>
  <c r="B9" i="29"/>
  <c r="B9" i="32" s="1"/>
  <c r="Q8" i="29"/>
  <c r="P8" i="29"/>
  <c r="O8" i="29"/>
  <c r="N8" i="29"/>
  <c r="M8" i="29"/>
  <c r="L8" i="29"/>
  <c r="K8" i="29"/>
  <c r="J8" i="29"/>
  <c r="I8" i="29"/>
  <c r="H8" i="29"/>
  <c r="G8" i="29"/>
  <c r="F8" i="29"/>
  <c r="E8" i="29"/>
  <c r="D8" i="29"/>
  <c r="C8" i="29"/>
  <c r="B8" i="29"/>
  <c r="Q7" i="29"/>
  <c r="P7" i="29"/>
  <c r="O7" i="29"/>
  <c r="N7" i="29"/>
  <c r="M7" i="29"/>
  <c r="L7" i="29"/>
  <c r="K7" i="29"/>
  <c r="J7" i="29"/>
  <c r="I7" i="29"/>
  <c r="H7" i="29"/>
  <c r="G7" i="29"/>
  <c r="F7" i="29"/>
  <c r="E7" i="29"/>
  <c r="D7" i="29"/>
  <c r="C7" i="29"/>
  <c r="B7" i="29"/>
  <c r="B7" i="32" s="1"/>
  <c r="Q6" i="29"/>
  <c r="P6" i="29"/>
  <c r="O6" i="29"/>
  <c r="N6" i="29"/>
  <c r="M6" i="29"/>
  <c r="L6" i="29"/>
  <c r="K6" i="29"/>
  <c r="J6" i="29"/>
  <c r="I6" i="29"/>
  <c r="H6" i="29"/>
  <c r="G6" i="29"/>
  <c r="F6" i="29"/>
  <c r="E6" i="29"/>
  <c r="D6" i="29"/>
  <c r="C6" i="29"/>
  <c r="B6" i="29"/>
  <c r="B3" i="29"/>
  <c r="Q33" i="28"/>
  <c r="P33" i="28"/>
  <c r="O33" i="28"/>
  <c r="N33" i="28"/>
  <c r="M33" i="28"/>
  <c r="L33" i="28"/>
  <c r="K33" i="28"/>
  <c r="J33" i="28"/>
  <c r="I33" i="28"/>
  <c r="H33" i="28"/>
  <c r="G33" i="28"/>
  <c r="F33" i="28"/>
  <c r="E33" i="28"/>
  <c r="D33" i="28"/>
  <c r="C33" i="28"/>
  <c r="Q28" i="28"/>
  <c r="P28" i="28"/>
  <c r="O28" i="28"/>
  <c r="N28" i="28"/>
  <c r="M28" i="28"/>
  <c r="L28" i="28"/>
  <c r="K28" i="28"/>
  <c r="J28" i="28"/>
  <c r="I28" i="28"/>
  <c r="H28" i="28"/>
  <c r="G28" i="28"/>
  <c r="F28" i="28"/>
  <c r="E28" i="28"/>
  <c r="D28" i="28"/>
  <c r="C28" i="28"/>
  <c r="Q33" i="27"/>
  <c r="P33" i="27"/>
  <c r="O33" i="27"/>
  <c r="N33" i="27"/>
  <c r="M33" i="27"/>
  <c r="L33" i="27"/>
  <c r="K33" i="27"/>
  <c r="J33" i="27"/>
  <c r="I33" i="27"/>
  <c r="H33" i="27"/>
  <c r="G33" i="27"/>
  <c r="F33" i="27"/>
  <c r="E33" i="27"/>
  <c r="D33" i="27"/>
  <c r="C33" i="27"/>
  <c r="Q28" i="27"/>
  <c r="P28" i="27"/>
  <c r="O28" i="27"/>
  <c r="N28" i="27"/>
  <c r="M28" i="27"/>
  <c r="L28" i="27"/>
  <c r="K28" i="27"/>
  <c r="J28" i="27"/>
  <c r="I28" i="27"/>
  <c r="H28" i="27"/>
  <c r="G28" i="27"/>
  <c r="F28" i="27"/>
  <c r="E28" i="27"/>
  <c r="D28" i="27"/>
  <c r="C28" i="27"/>
  <c r="B3" i="27"/>
  <c r="Q33" i="26"/>
  <c r="P33" i="26"/>
  <c r="O33" i="26"/>
  <c r="N33" i="26"/>
  <c r="M33" i="26"/>
  <c r="L33" i="26"/>
  <c r="K33" i="26"/>
  <c r="J33" i="26"/>
  <c r="I33" i="26"/>
  <c r="H33" i="26"/>
  <c r="G33" i="26"/>
  <c r="F33" i="26"/>
  <c r="E33" i="26"/>
  <c r="D33" i="26"/>
  <c r="C33" i="26"/>
  <c r="Q28" i="26"/>
  <c r="P28" i="26"/>
  <c r="O28" i="26"/>
  <c r="N28" i="26"/>
  <c r="M28" i="26"/>
  <c r="L28" i="26"/>
  <c r="K28" i="26"/>
  <c r="J28" i="26"/>
  <c r="I28" i="26"/>
  <c r="H28" i="26"/>
  <c r="G28" i="26"/>
  <c r="F28" i="26"/>
  <c r="E28" i="26"/>
  <c r="D28" i="26"/>
  <c r="C28" i="26"/>
  <c r="B3" i="26"/>
  <c r="E33" i="25"/>
  <c r="Q32" i="25"/>
  <c r="P32" i="25"/>
  <c r="O32" i="25"/>
  <c r="N32" i="25"/>
  <c r="M32" i="25"/>
  <c r="L32" i="25"/>
  <c r="K32" i="25"/>
  <c r="J32" i="25"/>
  <c r="I32" i="25"/>
  <c r="H32" i="25"/>
  <c r="G32" i="25"/>
  <c r="F32" i="25"/>
  <c r="E32" i="25"/>
  <c r="D32" i="25"/>
  <c r="C32" i="25"/>
  <c r="B32" i="25"/>
  <c r="Q31" i="25"/>
  <c r="P31" i="25"/>
  <c r="O31" i="25"/>
  <c r="N31" i="25"/>
  <c r="M31" i="25"/>
  <c r="M33" i="25" s="1"/>
  <c r="L31" i="25"/>
  <c r="K31" i="25"/>
  <c r="J31" i="25"/>
  <c r="I31" i="25"/>
  <c r="I33" i="25" s="1"/>
  <c r="H31" i="25"/>
  <c r="G31" i="25"/>
  <c r="F31" i="25"/>
  <c r="F33" i="25" s="1"/>
  <c r="E31" i="25"/>
  <c r="D31" i="25"/>
  <c r="C31" i="25"/>
  <c r="B31" i="25"/>
  <c r="Q30" i="25"/>
  <c r="Q33" i="25" s="1"/>
  <c r="P30" i="25"/>
  <c r="O30" i="25"/>
  <c r="N30" i="25"/>
  <c r="M30" i="25"/>
  <c r="L30" i="25"/>
  <c r="L33" i="25" s="1"/>
  <c r="K30" i="25"/>
  <c r="K33" i="25" s="1"/>
  <c r="J30" i="25"/>
  <c r="J33" i="25" s="1"/>
  <c r="I30" i="25"/>
  <c r="H30" i="25"/>
  <c r="H33" i="25" s="1"/>
  <c r="G30" i="25"/>
  <c r="G33" i="25" s="1"/>
  <c r="F30" i="25"/>
  <c r="E30" i="25"/>
  <c r="D30" i="25"/>
  <c r="D33" i="25" s="1"/>
  <c r="C30" i="25"/>
  <c r="C33" i="25" s="1"/>
  <c r="B30" i="25"/>
  <c r="P28" i="25"/>
  <c r="J28" i="25"/>
  <c r="I28" i="25"/>
  <c r="Q27" i="25"/>
  <c r="P27" i="25"/>
  <c r="O27" i="25"/>
  <c r="N27" i="25"/>
  <c r="M27" i="25"/>
  <c r="L27" i="25"/>
  <c r="K27" i="25"/>
  <c r="J27" i="25"/>
  <c r="I27" i="25"/>
  <c r="H27" i="25"/>
  <c r="G27" i="25"/>
  <c r="F27" i="25"/>
  <c r="E27" i="25"/>
  <c r="D27" i="25"/>
  <c r="C27" i="25"/>
  <c r="B27" i="25"/>
  <c r="Q26" i="25"/>
  <c r="P26" i="25"/>
  <c r="O26" i="25"/>
  <c r="N26" i="25"/>
  <c r="M26" i="25"/>
  <c r="L26" i="25"/>
  <c r="K26" i="25"/>
  <c r="J26" i="25"/>
  <c r="I26" i="25"/>
  <c r="H26" i="25"/>
  <c r="G26" i="25"/>
  <c r="F26" i="25"/>
  <c r="E26" i="25"/>
  <c r="D26" i="25"/>
  <c r="C26" i="25"/>
  <c r="B26" i="25"/>
  <c r="Q25" i="25"/>
  <c r="P25" i="25"/>
  <c r="O25" i="25"/>
  <c r="N25" i="25"/>
  <c r="M25" i="25"/>
  <c r="L25" i="25"/>
  <c r="K25" i="25"/>
  <c r="J25" i="25"/>
  <c r="I25" i="25"/>
  <c r="H25" i="25"/>
  <c r="G25" i="25"/>
  <c r="F25" i="25"/>
  <c r="E25" i="25"/>
  <c r="D25" i="25"/>
  <c r="C25" i="25"/>
  <c r="B25" i="25"/>
  <c r="Q24" i="25"/>
  <c r="P24" i="25"/>
  <c r="O24" i="25"/>
  <c r="N24" i="25"/>
  <c r="M24" i="25"/>
  <c r="L24" i="25"/>
  <c r="K24" i="25"/>
  <c r="J24" i="25"/>
  <c r="I24" i="25"/>
  <c r="H24" i="25"/>
  <c r="G24" i="25"/>
  <c r="F24" i="25"/>
  <c r="E24" i="25"/>
  <c r="D24" i="25"/>
  <c r="C24" i="25"/>
  <c r="B24" i="25"/>
  <c r="Q23" i="25"/>
  <c r="P23" i="25"/>
  <c r="O23" i="25"/>
  <c r="N23" i="25"/>
  <c r="M23" i="25"/>
  <c r="L23" i="25"/>
  <c r="K23" i="25"/>
  <c r="J23" i="25"/>
  <c r="I23" i="25"/>
  <c r="H23" i="25"/>
  <c r="G23" i="25"/>
  <c r="F23" i="25"/>
  <c r="E23" i="25"/>
  <c r="D23" i="25"/>
  <c r="C23" i="25"/>
  <c r="B23" i="25"/>
  <c r="Q22" i="25"/>
  <c r="P22" i="25"/>
  <c r="O22" i="25"/>
  <c r="N22" i="25"/>
  <c r="M22" i="25"/>
  <c r="L22" i="25"/>
  <c r="K22" i="25"/>
  <c r="J22" i="25"/>
  <c r="I22" i="25"/>
  <c r="H22" i="25"/>
  <c r="G22" i="25"/>
  <c r="F22" i="25"/>
  <c r="E22" i="25"/>
  <c r="D22" i="25"/>
  <c r="C22" i="25"/>
  <c r="B22" i="25"/>
  <c r="Q21" i="25"/>
  <c r="P21" i="25"/>
  <c r="O21" i="25"/>
  <c r="N21" i="25"/>
  <c r="M21" i="25"/>
  <c r="L21" i="25"/>
  <c r="K21" i="25"/>
  <c r="J21" i="25"/>
  <c r="I21" i="25"/>
  <c r="H21" i="25"/>
  <c r="G21" i="25"/>
  <c r="F21" i="25"/>
  <c r="E21" i="25"/>
  <c r="D21" i="25"/>
  <c r="C21" i="25"/>
  <c r="B21" i="25"/>
  <c r="Q20" i="25"/>
  <c r="P20" i="25"/>
  <c r="O20" i="25"/>
  <c r="N20" i="25"/>
  <c r="M20" i="25"/>
  <c r="L20" i="25"/>
  <c r="K20" i="25"/>
  <c r="J20" i="25"/>
  <c r="I20" i="25"/>
  <c r="H20" i="25"/>
  <c r="G20" i="25"/>
  <c r="F20" i="25"/>
  <c r="E20" i="25"/>
  <c r="D20" i="25"/>
  <c r="C20" i="25"/>
  <c r="B20" i="25"/>
  <c r="Q19" i="25"/>
  <c r="P19" i="25"/>
  <c r="O19" i="25"/>
  <c r="N19" i="25"/>
  <c r="M19" i="25"/>
  <c r="L19" i="25"/>
  <c r="K19" i="25"/>
  <c r="J19" i="25"/>
  <c r="I19" i="25"/>
  <c r="H19" i="25"/>
  <c r="G19" i="25"/>
  <c r="F19" i="25"/>
  <c r="E19" i="25"/>
  <c r="D19" i="25"/>
  <c r="C19" i="25"/>
  <c r="B19" i="25"/>
  <c r="Q18" i="25"/>
  <c r="P18" i="25"/>
  <c r="O18" i="25"/>
  <c r="N18" i="25"/>
  <c r="M18" i="25"/>
  <c r="L18" i="25"/>
  <c r="K18" i="25"/>
  <c r="J18" i="25"/>
  <c r="I18" i="25"/>
  <c r="H18" i="25"/>
  <c r="G18" i="25"/>
  <c r="F18" i="25"/>
  <c r="E18" i="25"/>
  <c r="D18" i="25"/>
  <c r="C18" i="25"/>
  <c r="B18" i="25"/>
  <c r="Q17" i="25"/>
  <c r="P17" i="25"/>
  <c r="O17" i="25"/>
  <c r="N17" i="25"/>
  <c r="M17" i="25"/>
  <c r="L17" i="25"/>
  <c r="K17" i="25"/>
  <c r="J17" i="25"/>
  <c r="I17" i="25"/>
  <c r="H17" i="25"/>
  <c r="G17" i="25"/>
  <c r="F17" i="25"/>
  <c r="E17" i="25"/>
  <c r="D17" i="25"/>
  <c r="C17" i="25"/>
  <c r="B17" i="25"/>
  <c r="Q16" i="25"/>
  <c r="P16" i="25"/>
  <c r="O16" i="25"/>
  <c r="N16" i="25"/>
  <c r="M16" i="25"/>
  <c r="L16" i="25"/>
  <c r="K16" i="25"/>
  <c r="J16" i="25"/>
  <c r="I16" i="25"/>
  <c r="H16" i="25"/>
  <c r="G16" i="25"/>
  <c r="F16" i="25"/>
  <c r="E16" i="25"/>
  <c r="D16" i="25"/>
  <c r="C16" i="25"/>
  <c r="B16" i="25"/>
  <c r="Q15" i="25"/>
  <c r="P15" i="25"/>
  <c r="O15" i="25"/>
  <c r="N15" i="25"/>
  <c r="M15" i="25"/>
  <c r="L15" i="25"/>
  <c r="K15" i="25"/>
  <c r="J15" i="25"/>
  <c r="I15" i="25"/>
  <c r="H15" i="25"/>
  <c r="G15" i="25"/>
  <c r="F15" i="25"/>
  <c r="E15" i="25"/>
  <c r="D15" i="25"/>
  <c r="C15" i="25"/>
  <c r="B15" i="25"/>
  <c r="Q14" i="25"/>
  <c r="P14" i="25"/>
  <c r="O14" i="25"/>
  <c r="N14" i="25"/>
  <c r="M14" i="25"/>
  <c r="L14" i="25"/>
  <c r="K14" i="25"/>
  <c r="J14" i="25"/>
  <c r="I14" i="25"/>
  <c r="H14" i="25"/>
  <c r="G14" i="25"/>
  <c r="F14" i="25"/>
  <c r="E14" i="25"/>
  <c r="D14" i="25"/>
  <c r="C14" i="25"/>
  <c r="B14" i="25"/>
  <c r="Q13" i="25"/>
  <c r="P13" i="25"/>
  <c r="O13" i="25"/>
  <c r="N13" i="25"/>
  <c r="M13" i="25"/>
  <c r="L13" i="25"/>
  <c r="K13" i="25"/>
  <c r="J13" i="25"/>
  <c r="I13" i="25"/>
  <c r="H13" i="25"/>
  <c r="G13" i="25"/>
  <c r="F13" i="25"/>
  <c r="E13" i="25"/>
  <c r="D13" i="25"/>
  <c r="C13" i="25"/>
  <c r="B13" i="25"/>
  <c r="Q12" i="25"/>
  <c r="P12" i="25"/>
  <c r="O12" i="25"/>
  <c r="N12" i="25"/>
  <c r="M12" i="25"/>
  <c r="L12" i="25"/>
  <c r="K12" i="25"/>
  <c r="J12" i="25"/>
  <c r="I12" i="25"/>
  <c r="H12" i="25"/>
  <c r="G12" i="25"/>
  <c r="F12" i="25"/>
  <c r="E12" i="25"/>
  <c r="D12" i="25"/>
  <c r="C12" i="25"/>
  <c r="B12" i="25"/>
  <c r="Q11" i="25"/>
  <c r="P11" i="25"/>
  <c r="O11" i="25"/>
  <c r="N11" i="25"/>
  <c r="M11" i="25"/>
  <c r="L11" i="25"/>
  <c r="K11" i="25"/>
  <c r="J11" i="25"/>
  <c r="I11" i="25"/>
  <c r="H11" i="25"/>
  <c r="G11" i="25"/>
  <c r="F11" i="25"/>
  <c r="E11" i="25"/>
  <c r="D11" i="25"/>
  <c r="C11" i="25"/>
  <c r="B11" i="25"/>
  <c r="Q10" i="25"/>
  <c r="P10" i="25"/>
  <c r="O10" i="25"/>
  <c r="N10" i="25"/>
  <c r="M10" i="25"/>
  <c r="L10" i="25"/>
  <c r="K10" i="25"/>
  <c r="J10" i="25"/>
  <c r="I10" i="25"/>
  <c r="H10" i="25"/>
  <c r="G10" i="25"/>
  <c r="F10" i="25"/>
  <c r="E10" i="25"/>
  <c r="D10" i="25"/>
  <c r="C10" i="25"/>
  <c r="B10" i="25"/>
  <c r="Q9" i="25"/>
  <c r="P9" i="25"/>
  <c r="O9" i="25"/>
  <c r="N9" i="25"/>
  <c r="M9" i="25"/>
  <c r="L9" i="25"/>
  <c r="K9" i="25"/>
  <c r="J9" i="25"/>
  <c r="I9" i="25"/>
  <c r="H9" i="25"/>
  <c r="G9" i="25"/>
  <c r="F9" i="25"/>
  <c r="E9" i="25"/>
  <c r="D9" i="25"/>
  <c r="C9" i="25"/>
  <c r="B9" i="25"/>
  <c r="Q8" i="25"/>
  <c r="P8" i="25"/>
  <c r="O8" i="25"/>
  <c r="N8" i="25"/>
  <c r="M8" i="25"/>
  <c r="L8" i="25"/>
  <c r="K8" i="25"/>
  <c r="J8" i="25"/>
  <c r="I8" i="25"/>
  <c r="H8" i="25"/>
  <c r="G8" i="25"/>
  <c r="F8" i="25"/>
  <c r="E8" i="25"/>
  <c r="D8" i="25"/>
  <c r="C8" i="25"/>
  <c r="B8" i="25"/>
  <c r="Q7" i="25"/>
  <c r="P7" i="25"/>
  <c r="O7" i="25"/>
  <c r="N7" i="25"/>
  <c r="M7" i="25"/>
  <c r="L7" i="25"/>
  <c r="K7" i="25"/>
  <c r="J7" i="25"/>
  <c r="I7" i="25"/>
  <c r="H7" i="25"/>
  <c r="G7" i="25"/>
  <c r="F7" i="25"/>
  <c r="E7" i="25"/>
  <c r="D7" i="25"/>
  <c r="C7" i="25"/>
  <c r="B7" i="25"/>
  <c r="Q6" i="25"/>
  <c r="P6" i="25"/>
  <c r="O6" i="25"/>
  <c r="N6" i="25"/>
  <c r="M6" i="25"/>
  <c r="M28" i="25" s="1"/>
  <c r="L6" i="25"/>
  <c r="K6" i="25"/>
  <c r="J6" i="25"/>
  <c r="I6" i="25"/>
  <c r="H6" i="25"/>
  <c r="G6" i="25"/>
  <c r="F6" i="25"/>
  <c r="E6" i="25"/>
  <c r="D6" i="25"/>
  <c r="C6" i="25"/>
  <c r="B6" i="25"/>
  <c r="B3" i="25"/>
  <c r="Q33" i="24"/>
  <c r="P33" i="24"/>
  <c r="O33" i="24"/>
  <c r="N33" i="24"/>
  <c r="M33" i="24"/>
  <c r="L33" i="24"/>
  <c r="K33" i="24"/>
  <c r="J33" i="24"/>
  <c r="I33" i="24"/>
  <c r="H33" i="24"/>
  <c r="G33" i="24"/>
  <c r="F33" i="24"/>
  <c r="E33" i="24"/>
  <c r="D33" i="24"/>
  <c r="C33" i="24"/>
  <c r="Q28" i="24"/>
  <c r="P28" i="24"/>
  <c r="O28" i="24"/>
  <c r="N28" i="24"/>
  <c r="M28" i="24"/>
  <c r="L28" i="24"/>
  <c r="K28" i="24"/>
  <c r="J28" i="24"/>
  <c r="I28" i="24"/>
  <c r="H28" i="24"/>
  <c r="G28" i="24"/>
  <c r="F28" i="24"/>
  <c r="E28" i="24"/>
  <c r="D28" i="24"/>
  <c r="C28" i="24"/>
  <c r="B3" i="24"/>
  <c r="Q33" i="23"/>
  <c r="P33" i="23"/>
  <c r="O33" i="23"/>
  <c r="N33" i="23"/>
  <c r="M33" i="23"/>
  <c r="L33" i="23"/>
  <c r="K33" i="23"/>
  <c r="J33" i="23"/>
  <c r="I33" i="23"/>
  <c r="H33" i="23"/>
  <c r="G33" i="23"/>
  <c r="F33" i="23"/>
  <c r="E33" i="23"/>
  <c r="D33" i="23"/>
  <c r="C33" i="23"/>
  <c r="Q28" i="23"/>
  <c r="P28" i="23"/>
  <c r="O28" i="23"/>
  <c r="N28" i="23"/>
  <c r="M28" i="23"/>
  <c r="L28" i="23"/>
  <c r="K28" i="23"/>
  <c r="J28" i="23"/>
  <c r="I28" i="23"/>
  <c r="H28" i="23"/>
  <c r="G28" i="23"/>
  <c r="F28" i="23"/>
  <c r="E28" i="23"/>
  <c r="D28" i="23"/>
  <c r="C28" i="23"/>
  <c r="B3" i="23"/>
  <c r="Q28" i="22"/>
  <c r="P28" i="22"/>
  <c r="O28" i="22"/>
  <c r="N28" i="22"/>
  <c r="M28" i="22"/>
  <c r="L28" i="22"/>
  <c r="K28" i="22"/>
  <c r="J28" i="22"/>
  <c r="I28" i="22"/>
  <c r="H28" i="22"/>
  <c r="G28" i="22"/>
  <c r="F28" i="22"/>
  <c r="E28" i="22"/>
  <c r="D28" i="22"/>
  <c r="C28" i="22"/>
  <c r="B3" i="22"/>
  <c r="Q33" i="21"/>
  <c r="P33" i="21"/>
  <c r="Q32" i="21"/>
  <c r="P32" i="21"/>
  <c r="O32" i="21"/>
  <c r="O33" i="21" s="1"/>
  <c r="N32" i="21"/>
  <c r="M32" i="21"/>
  <c r="L32" i="21"/>
  <c r="K32" i="21"/>
  <c r="J32" i="21"/>
  <c r="I32" i="21"/>
  <c r="H32" i="21"/>
  <c r="G32" i="21"/>
  <c r="F32" i="21"/>
  <c r="E32" i="21"/>
  <c r="D32" i="21"/>
  <c r="J32" i="15" s="1"/>
  <c r="C32" i="21"/>
  <c r="B32" i="21"/>
  <c r="Q31" i="21"/>
  <c r="P31" i="21"/>
  <c r="O31" i="21"/>
  <c r="N31" i="21"/>
  <c r="M31" i="21"/>
  <c r="L31" i="21"/>
  <c r="K31" i="21"/>
  <c r="J31" i="21"/>
  <c r="I31" i="21"/>
  <c r="I33" i="21" s="1"/>
  <c r="H31" i="21"/>
  <c r="H33" i="21" s="1"/>
  <c r="G31" i="21"/>
  <c r="F31" i="21"/>
  <c r="E31" i="21"/>
  <c r="D31" i="21"/>
  <c r="D33" i="21" s="1"/>
  <c r="C31" i="21"/>
  <c r="B31" i="21"/>
  <c r="Q30" i="21"/>
  <c r="P30" i="21"/>
  <c r="O30" i="21"/>
  <c r="N30" i="21"/>
  <c r="M30" i="21"/>
  <c r="L30" i="21"/>
  <c r="K30" i="21"/>
  <c r="J30" i="21"/>
  <c r="J33" i="21" s="1"/>
  <c r="I30" i="21"/>
  <c r="H30" i="21"/>
  <c r="G30" i="21"/>
  <c r="F30" i="21"/>
  <c r="E30" i="21"/>
  <c r="D30" i="21"/>
  <c r="C30" i="21"/>
  <c r="C33" i="21" s="1"/>
  <c r="B30" i="21"/>
  <c r="Q27" i="21"/>
  <c r="P27" i="21"/>
  <c r="O27" i="21"/>
  <c r="N27" i="21"/>
  <c r="M27" i="21"/>
  <c r="L27" i="21"/>
  <c r="K27" i="21"/>
  <c r="J27" i="21"/>
  <c r="I27" i="21"/>
  <c r="H27" i="21"/>
  <c r="G27" i="21"/>
  <c r="F27" i="21"/>
  <c r="E27" i="21"/>
  <c r="D27" i="21"/>
  <c r="J27" i="15" s="1"/>
  <c r="C27" i="21"/>
  <c r="B27" i="21"/>
  <c r="Q26" i="21"/>
  <c r="P26" i="21"/>
  <c r="O26" i="21"/>
  <c r="N26" i="21"/>
  <c r="M26" i="21"/>
  <c r="L26" i="21"/>
  <c r="K26" i="21"/>
  <c r="J26" i="21"/>
  <c r="I26" i="21"/>
  <c r="H26" i="21"/>
  <c r="G26" i="21"/>
  <c r="F26" i="21"/>
  <c r="E26" i="21"/>
  <c r="D26" i="21"/>
  <c r="J26" i="15" s="1"/>
  <c r="C26" i="21"/>
  <c r="B26" i="21"/>
  <c r="Q25" i="21"/>
  <c r="P25" i="21"/>
  <c r="O25" i="21"/>
  <c r="N25" i="21"/>
  <c r="M25" i="21"/>
  <c r="L25" i="21"/>
  <c r="K25" i="21"/>
  <c r="J25" i="21"/>
  <c r="I25" i="21"/>
  <c r="H25" i="21"/>
  <c r="G25" i="21"/>
  <c r="F25" i="21"/>
  <c r="E25" i="21"/>
  <c r="D25" i="21"/>
  <c r="C25" i="21"/>
  <c r="B25" i="21"/>
  <c r="Q24" i="21"/>
  <c r="P24" i="21"/>
  <c r="O24" i="21"/>
  <c r="N24" i="21"/>
  <c r="M24" i="21"/>
  <c r="L24" i="21"/>
  <c r="K24" i="21"/>
  <c r="J24" i="21"/>
  <c r="I24" i="21"/>
  <c r="H24" i="21"/>
  <c r="G24" i="21"/>
  <c r="F24" i="21"/>
  <c r="E24" i="21"/>
  <c r="D24" i="21"/>
  <c r="J24" i="15" s="1"/>
  <c r="C24" i="21"/>
  <c r="B24" i="21"/>
  <c r="Q23" i="21"/>
  <c r="P23" i="21"/>
  <c r="O23" i="21"/>
  <c r="N23" i="21"/>
  <c r="M23" i="21"/>
  <c r="L23" i="21"/>
  <c r="K23" i="21"/>
  <c r="J23" i="21"/>
  <c r="I23" i="21"/>
  <c r="H23" i="21"/>
  <c r="G23" i="21"/>
  <c r="F23" i="21"/>
  <c r="E23" i="21"/>
  <c r="D23" i="21"/>
  <c r="C23" i="21"/>
  <c r="B23" i="21"/>
  <c r="Q22" i="21"/>
  <c r="P22" i="21"/>
  <c r="O22" i="21"/>
  <c r="N22" i="21"/>
  <c r="M22" i="21"/>
  <c r="L22" i="21"/>
  <c r="K22" i="21"/>
  <c r="J22" i="21"/>
  <c r="I22" i="21"/>
  <c r="H22" i="21"/>
  <c r="G22" i="21"/>
  <c r="F22" i="21"/>
  <c r="E22" i="21"/>
  <c r="D22" i="21"/>
  <c r="J22" i="15" s="1"/>
  <c r="C22" i="21"/>
  <c r="B22" i="21"/>
  <c r="Q21" i="21"/>
  <c r="P21" i="21"/>
  <c r="O21" i="21"/>
  <c r="N21" i="21"/>
  <c r="M21" i="21"/>
  <c r="L21" i="21"/>
  <c r="K21" i="21"/>
  <c r="J21" i="21"/>
  <c r="I21" i="21"/>
  <c r="H21" i="21"/>
  <c r="G21" i="21"/>
  <c r="F21" i="21"/>
  <c r="E21" i="21"/>
  <c r="D21" i="21"/>
  <c r="C21" i="21"/>
  <c r="B21" i="21"/>
  <c r="Q20" i="21"/>
  <c r="P20" i="21"/>
  <c r="O20" i="21"/>
  <c r="N20" i="21"/>
  <c r="M20" i="21"/>
  <c r="L20" i="21"/>
  <c r="K20" i="21"/>
  <c r="J20" i="21"/>
  <c r="I20" i="21"/>
  <c r="H20" i="21"/>
  <c r="G20" i="21"/>
  <c r="F20" i="21"/>
  <c r="E20" i="21"/>
  <c r="D20" i="21"/>
  <c r="J20" i="15" s="1"/>
  <c r="C20" i="21"/>
  <c r="B20" i="21"/>
  <c r="Q19" i="21"/>
  <c r="P19" i="21"/>
  <c r="O19" i="21"/>
  <c r="N19" i="21"/>
  <c r="M19" i="21"/>
  <c r="L19" i="21"/>
  <c r="K19" i="21"/>
  <c r="J19" i="21"/>
  <c r="I19" i="21"/>
  <c r="H19" i="21"/>
  <c r="G19" i="21"/>
  <c r="F19" i="21"/>
  <c r="E19" i="21"/>
  <c r="D19" i="21"/>
  <c r="C19" i="21"/>
  <c r="B19" i="21"/>
  <c r="Q18" i="21"/>
  <c r="P18" i="21"/>
  <c r="O18" i="21"/>
  <c r="N18" i="21"/>
  <c r="M18" i="21"/>
  <c r="L18" i="21"/>
  <c r="K18" i="21"/>
  <c r="J18" i="21"/>
  <c r="I18" i="21"/>
  <c r="H18" i="21"/>
  <c r="G18" i="21"/>
  <c r="F18" i="21"/>
  <c r="E18" i="21"/>
  <c r="D18" i="21"/>
  <c r="J18" i="15" s="1"/>
  <c r="C18" i="21"/>
  <c r="B18" i="21"/>
  <c r="Q17" i="21"/>
  <c r="P17" i="21"/>
  <c r="O17" i="21"/>
  <c r="N17" i="21"/>
  <c r="M17" i="21"/>
  <c r="L17" i="21"/>
  <c r="K17" i="21"/>
  <c r="J17" i="21"/>
  <c r="I17" i="21"/>
  <c r="H17" i="21"/>
  <c r="G17" i="21"/>
  <c r="F17" i="21"/>
  <c r="E17" i="21"/>
  <c r="D17" i="21"/>
  <c r="C17" i="21"/>
  <c r="B17" i="21"/>
  <c r="Q16" i="21"/>
  <c r="P16" i="21"/>
  <c r="O16" i="21"/>
  <c r="N16" i="21"/>
  <c r="M16" i="21"/>
  <c r="L16" i="21"/>
  <c r="K16" i="21"/>
  <c r="J16" i="21"/>
  <c r="I16" i="21"/>
  <c r="H16" i="21"/>
  <c r="G16" i="21"/>
  <c r="F16" i="21"/>
  <c r="E16" i="21"/>
  <c r="D16" i="21"/>
  <c r="J16" i="15" s="1"/>
  <c r="C16" i="21"/>
  <c r="B16" i="21"/>
  <c r="Q15" i="21"/>
  <c r="P15" i="21"/>
  <c r="O15" i="21"/>
  <c r="N15" i="21"/>
  <c r="M15" i="21"/>
  <c r="L15" i="21"/>
  <c r="K15" i="21"/>
  <c r="J15" i="21"/>
  <c r="I15" i="21"/>
  <c r="H15" i="21"/>
  <c r="G15" i="21"/>
  <c r="F15" i="21"/>
  <c r="E15" i="21"/>
  <c r="D15" i="21"/>
  <c r="C15" i="21"/>
  <c r="B15" i="21"/>
  <c r="Q14" i="21"/>
  <c r="P14" i="21"/>
  <c r="O14" i="21"/>
  <c r="N14" i="21"/>
  <c r="M14" i="21"/>
  <c r="L14" i="21"/>
  <c r="K14" i="21"/>
  <c r="J14" i="21"/>
  <c r="I14" i="21"/>
  <c r="H14" i="21"/>
  <c r="G14" i="21"/>
  <c r="F14" i="21"/>
  <c r="E14" i="21"/>
  <c r="D14" i="21"/>
  <c r="J14" i="15" s="1"/>
  <c r="C14" i="21"/>
  <c r="B14" i="21"/>
  <c r="Q13" i="21"/>
  <c r="P13" i="21"/>
  <c r="O13" i="21"/>
  <c r="N13" i="21"/>
  <c r="M13" i="21"/>
  <c r="L13" i="21"/>
  <c r="K13" i="21"/>
  <c r="J13" i="21"/>
  <c r="I13" i="21"/>
  <c r="H13" i="21"/>
  <c r="G13" i="21"/>
  <c r="F13" i="21"/>
  <c r="E13" i="21"/>
  <c r="D13" i="21"/>
  <c r="J13" i="15" s="1"/>
  <c r="C13" i="21"/>
  <c r="B13" i="21"/>
  <c r="Q12" i="21"/>
  <c r="P12" i="21"/>
  <c r="O12" i="21"/>
  <c r="N12" i="21"/>
  <c r="M12" i="21"/>
  <c r="L12" i="21"/>
  <c r="K12" i="21"/>
  <c r="J12" i="21"/>
  <c r="I12" i="21"/>
  <c r="H12" i="21"/>
  <c r="G12" i="21"/>
  <c r="F12" i="21"/>
  <c r="E12" i="21"/>
  <c r="D12" i="21"/>
  <c r="J12" i="15" s="1"/>
  <c r="C12" i="21"/>
  <c r="B12" i="21"/>
  <c r="Q11" i="21"/>
  <c r="Q28" i="21" s="1"/>
  <c r="P11" i="21"/>
  <c r="O11" i="21"/>
  <c r="N11" i="21"/>
  <c r="M11" i="21"/>
  <c r="L11" i="21"/>
  <c r="K11" i="21"/>
  <c r="J11" i="21"/>
  <c r="I11" i="21"/>
  <c r="H11" i="21"/>
  <c r="G11" i="21"/>
  <c r="F11" i="21"/>
  <c r="E11" i="21"/>
  <c r="D11" i="21"/>
  <c r="C11" i="21"/>
  <c r="B11" i="21"/>
  <c r="Q10" i="21"/>
  <c r="P10" i="21"/>
  <c r="O10" i="21"/>
  <c r="N10" i="21"/>
  <c r="M10" i="21"/>
  <c r="L10" i="21"/>
  <c r="K10" i="21"/>
  <c r="J10" i="21"/>
  <c r="I10" i="21"/>
  <c r="H10" i="21"/>
  <c r="G10" i="21"/>
  <c r="F10" i="21"/>
  <c r="E10" i="21"/>
  <c r="D10" i="21"/>
  <c r="C10" i="21"/>
  <c r="B10" i="21"/>
  <c r="Q9" i="21"/>
  <c r="P9" i="21"/>
  <c r="O9" i="21"/>
  <c r="N9" i="21"/>
  <c r="M9" i="21"/>
  <c r="L9" i="21"/>
  <c r="K9" i="21"/>
  <c r="J9" i="21"/>
  <c r="I9" i="21"/>
  <c r="H9" i="21"/>
  <c r="G9" i="21"/>
  <c r="F9" i="21"/>
  <c r="E9" i="21"/>
  <c r="D9" i="21"/>
  <c r="C9" i="21"/>
  <c r="B9" i="21"/>
  <c r="Q8" i="21"/>
  <c r="P8" i="21"/>
  <c r="O8" i="21"/>
  <c r="N8" i="21"/>
  <c r="M8" i="21"/>
  <c r="L8" i="21"/>
  <c r="K8" i="21"/>
  <c r="J8" i="21"/>
  <c r="I8" i="21"/>
  <c r="H8" i="21"/>
  <c r="G8" i="21"/>
  <c r="F8" i="21"/>
  <c r="E8" i="21"/>
  <c r="D8" i="21"/>
  <c r="C8" i="21"/>
  <c r="B8" i="21"/>
  <c r="Q7" i="21"/>
  <c r="P7" i="21"/>
  <c r="P28" i="21" s="1"/>
  <c r="O7" i="21"/>
  <c r="O28" i="21" s="1"/>
  <c r="N7" i="21"/>
  <c r="M7" i="21"/>
  <c r="M28" i="21" s="1"/>
  <c r="L7" i="21"/>
  <c r="K7" i="21"/>
  <c r="J7" i="21"/>
  <c r="I7" i="21"/>
  <c r="H7" i="21"/>
  <c r="G7" i="21"/>
  <c r="F7" i="21"/>
  <c r="E7" i="21"/>
  <c r="D7" i="21"/>
  <c r="C7" i="21"/>
  <c r="B7" i="21"/>
  <c r="Q6" i="21"/>
  <c r="P6" i="21"/>
  <c r="O6" i="21"/>
  <c r="N6" i="21"/>
  <c r="M6" i="21"/>
  <c r="L6" i="21"/>
  <c r="K6" i="21"/>
  <c r="J6" i="21"/>
  <c r="J28" i="21" s="1"/>
  <c r="I6" i="21"/>
  <c r="I28" i="21" s="1"/>
  <c r="H6" i="21"/>
  <c r="G6" i="21"/>
  <c r="F6" i="21"/>
  <c r="F28" i="21" s="1"/>
  <c r="E6" i="21"/>
  <c r="D6" i="21"/>
  <c r="J6" i="15" s="1"/>
  <c r="C6" i="21"/>
  <c r="B6" i="21"/>
  <c r="B3" i="21"/>
  <c r="Q33" i="20"/>
  <c r="P33" i="20"/>
  <c r="O33" i="20"/>
  <c r="N33" i="20"/>
  <c r="M33" i="20"/>
  <c r="L33" i="20"/>
  <c r="K33" i="20"/>
  <c r="J33" i="20"/>
  <c r="I33" i="20"/>
  <c r="H33" i="20"/>
  <c r="G33" i="20"/>
  <c r="F33" i="20"/>
  <c r="E33" i="20"/>
  <c r="D33" i="20"/>
  <c r="C33" i="20"/>
  <c r="Q28" i="20"/>
  <c r="P28" i="20"/>
  <c r="O28" i="20"/>
  <c r="N28" i="20"/>
  <c r="M28" i="20"/>
  <c r="L28" i="20"/>
  <c r="K28" i="20"/>
  <c r="J28" i="20"/>
  <c r="I28" i="20"/>
  <c r="H28" i="20"/>
  <c r="G28" i="20"/>
  <c r="F28" i="20"/>
  <c r="E28" i="20"/>
  <c r="D28" i="20"/>
  <c r="C28" i="20"/>
  <c r="B3" i="20"/>
  <c r="Q33" i="19"/>
  <c r="P33" i="19"/>
  <c r="O33" i="19"/>
  <c r="N33" i="19"/>
  <c r="M33" i="19"/>
  <c r="L33" i="19"/>
  <c r="K33" i="19"/>
  <c r="J33" i="19"/>
  <c r="I33" i="19"/>
  <c r="H33" i="19"/>
  <c r="G33" i="19"/>
  <c r="F33" i="19"/>
  <c r="E33" i="19"/>
  <c r="D33" i="19"/>
  <c r="C33" i="19"/>
  <c r="Q28" i="19"/>
  <c r="P28" i="19"/>
  <c r="O28" i="19"/>
  <c r="N28" i="19"/>
  <c r="M28" i="19"/>
  <c r="L28" i="19"/>
  <c r="K28" i="19"/>
  <c r="J28" i="19"/>
  <c r="I28" i="19"/>
  <c r="H28" i="19"/>
  <c r="G28" i="19"/>
  <c r="F28" i="19"/>
  <c r="E28" i="19"/>
  <c r="D28" i="19"/>
  <c r="C28" i="19"/>
  <c r="Q33" i="18"/>
  <c r="P33" i="18"/>
  <c r="O33" i="18"/>
  <c r="N33" i="18"/>
  <c r="M33" i="18"/>
  <c r="L33" i="18"/>
  <c r="K33" i="18"/>
  <c r="J33" i="18"/>
  <c r="I33" i="18"/>
  <c r="H33" i="18"/>
  <c r="G33" i="18"/>
  <c r="F33" i="18"/>
  <c r="E33" i="18"/>
  <c r="D33" i="18"/>
  <c r="C33" i="18"/>
  <c r="Q28" i="18"/>
  <c r="P28" i="18"/>
  <c r="O28" i="18"/>
  <c r="N28" i="18"/>
  <c r="M28" i="18"/>
  <c r="L28" i="18"/>
  <c r="K28" i="18"/>
  <c r="J28" i="18"/>
  <c r="I28" i="18"/>
  <c r="H28" i="18"/>
  <c r="G28" i="18"/>
  <c r="F28" i="18"/>
  <c r="E28" i="18"/>
  <c r="D28" i="18"/>
  <c r="C28" i="18"/>
  <c r="B3" i="18"/>
  <c r="Q33" i="17"/>
  <c r="P33" i="17"/>
  <c r="O33" i="17"/>
  <c r="N33" i="17"/>
  <c r="M33" i="17"/>
  <c r="L33" i="17"/>
  <c r="K33" i="17"/>
  <c r="J33" i="17"/>
  <c r="I33" i="17"/>
  <c r="H33" i="17"/>
  <c r="G33" i="17"/>
  <c r="F33" i="17"/>
  <c r="E33" i="17"/>
  <c r="D33" i="17"/>
  <c r="C33" i="17"/>
  <c r="Q28" i="17"/>
  <c r="P28" i="17"/>
  <c r="O28" i="17"/>
  <c r="N28" i="17"/>
  <c r="M28" i="17"/>
  <c r="L28" i="17"/>
  <c r="K28" i="17"/>
  <c r="J28" i="17"/>
  <c r="I28" i="17"/>
  <c r="H28" i="17"/>
  <c r="G28" i="17"/>
  <c r="F28" i="17"/>
  <c r="E28" i="17"/>
  <c r="D28" i="17"/>
  <c r="C28" i="17"/>
  <c r="B3" i="17"/>
  <c r="F32" i="16"/>
  <c r="B32" i="16"/>
  <c r="B31" i="16"/>
  <c r="B30" i="16"/>
  <c r="B27" i="16"/>
  <c r="B26" i="16"/>
  <c r="B25" i="16"/>
  <c r="B24" i="16"/>
  <c r="B23" i="16"/>
  <c r="B22" i="16"/>
  <c r="B21" i="16"/>
  <c r="B20" i="16"/>
  <c r="B19" i="16"/>
  <c r="B18" i="16"/>
  <c r="B17" i="16"/>
  <c r="B16" i="16"/>
  <c r="B15" i="16"/>
  <c r="B14" i="16"/>
  <c r="B13" i="16"/>
  <c r="B12" i="16"/>
  <c r="B11" i="16"/>
  <c r="B10" i="16"/>
  <c r="B9" i="16"/>
  <c r="B8" i="16"/>
  <c r="B7" i="16"/>
  <c r="B6" i="16"/>
  <c r="F33" i="15"/>
  <c r="F31" i="16" s="1"/>
  <c r="E33" i="15"/>
  <c r="D33" i="15"/>
  <c r="I32" i="15"/>
  <c r="H32" i="15"/>
  <c r="G32" i="15"/>
  <c r="K32" i="15" s="1"/>
  <c r="F32" i="15"/>
  <c r="E32" i="15"/>
  <c r="D32" i="15"/>
  <c r="C32" i="15"/>
  <c r="B32" i="15"/>
  <c r="J31" i="15"/>
  <c r="I31" i="15"/>
  <c r="H31" i="15"/>
  <c r="G31" i="15"/>
  <c r="F31" i="15"/>
  <c r="E31" i="15"/>
  <c r="D31" i="15"/>
  <c r="C31" i="15"/>
  <c r="B31" i="15"/>
  <c r="K30" i="15"/>
  <c r="J30" i="15"/>
  <c r="I30" i="15"/>
  <c r="H30" i="15"/>
  <c r="G30" i="15"/>
  <c r="F30" i="15"/>
  <c r="E30" i="15"/>
  <c r="D30" i="15"/>
  <c r="C30" i="15"/>
  <c r="B30" i="15"/>
  <c r="I27" i="15"/>
  <c r="H27" i="15"/>
  <c r="G27" i="15"/>
  <c r="F27" i="15"/>
  <c r="E27" i="15"/>
  <c r="D27" i="15"/>
  <c r="C27" i="15"/>
  <c r="B27" i="15"/>
  <c r="I26" i="15"/>
  <c r="H26" i="15"/>
  <c r="G26" i="15"/>
  <c r="F26" i="15"/>
  <c r="E26" i="15"/>
  <c r="D26" i="15"/>
  <c r="C26" i="15"/>
  <c r="K26" i="15" s="1"/>
  <c r="B26" i="15"/>
  <c r="K25" i="15"/>
  <c r="J25" i="15"/>
  <c r="I25" i="15"/>
  <c r="H25" i="15"/>
  <c r="G25" i="15"/>
  <c r="F25" i="15"/>
  <c r="E25" i="15"/>
  <c r="D25" i="15"/>
  <c r="C25" i="15"/>
  <c r="B25" i="15"/>
  <c r="I24" i="15"/>
  <c r="H24" i="15"/>
  <c r="G24" i="15"/>
  <c r="F24" i="15"/>
  <c r="E24" i="15"/>
  <c r="D24" i="15"/>
  <c r="C24" i="15"/>
  <c r="B24" i="15"/>
  <c r="J23" i="15"/>
  <c r="I23" i="15"/>
  <c r="H23" i="15"/>
  <c r="G23" i="15"/>
  <c r="F23" i="15"/>
  <c r="E23" i="15"/>
  <c r="D23" i="15"/>
  <c r="C23" i="15"/>
  <c r="B23" i="15"/>
  <c r="K22" i="15"/>
  <c r="I22" i="15"/>
  <c r="H22" i="15"/>
  <c r="G22" i="15"/>
  <c r="F22" i="15"/>
  <c r="E22" i="15"/>
  <c r="D22" i="15"/>
  <c r="C22" i="15"/>
  <c r="B22" i="15"/>
  <c r="J21" i="15"/>
  <c r="I21" i="15"/>
  <c r="H21" i="15"/>
  <c r="K21" i="15" s="1"/>
  <c r="G21" i="15"/>
  <c r="F21" i="15"/>
  <c r="E21" i="15"/>
  <c r="D21" i="15"/>
  <c r="C21" i="15"/>
  <c r="B21" i="15"/>
  <c r="K20" i="15"/>
  <c r="I20" i="15"/>
  <c r="H20" i="15"/>
  <c r="G20" i="15"/>
  <c r="F20" i="15"/>
  <c r="E20" i="15"/>
  <c r="D20" i="15"/>
  <c r="C20" i="15"/>
  <c r="B20" i="15"/>
  <c r="J19" i="15"/>
  <c r="I19" i="15"/>
  <c r="H19" i="15"/>
  <c r="G19" i="15"/>
  <c r="F19" i="15"/>
  <c r="E19" i="15"/>
  <c r="D19" i="15"/>
  <c r="C19" i="15"/>
  <c r="B19" i="15"/>
  <c r="K18" i="15"/>
  <c r="I18" i="15"/>
  <c r="H18" i="15"/>
  <c r="G18" i="15"/>
  <c r="F18" i="15"/>
  <c r="E18" i="15"/>
  <c r="D18" i="15"/>
  <c r="C18" i="15"/>
  <c r="B18" i="15"/>
  <c r="J17" i="15"/>
  <c r="I17" i="15"/>
  <c r="H17" i="15"/>
  <c r="G17" i="15"/>
  <c r="F17" i="15"/>
  <c r="E17" i="15"/>
  <c r="D17" i="15"/>
  <c r="C17" i="15"/>
  <c r="B17" i="15"/>
  <c r="I16" i="15"/>
  <c r="K16" i="15" s="1"/>
  <c r="H16" i="15"/>
  <c r="G16" i="15"/>
  <c r="F16" i="15"/>
  <c r="E16" i="15"/>
  <c r="D16" i="15"/>
  <c r="C16" i="15"/>
  <c r="B16" i="15"/>
  <c r="J15" i="15"/>
  <c r="I15" i="15"/>
  <c r="H15" i="15"/>
  <c r="G15" i="15"/>
  <c r="F15" i="15"/>
  <c r="E15" i="15"/>
  <c r="D15" i="15"/>
  <c r="C15" i="15"/>
  <c r="B15" i="15"/>
  <c r="I14" i="15"/>
  <c r="H14" i="15"/>
  <c r="G14" i="15"/>
  <c r="F14" i="15"/>
  <c r="E14" i="15"/>
  <c r="D14" i="15"/>
  <c r="C14" i="15"/>
  <c r="B14" i="15"/>
  <c r="I13" i="15"/>
  <c r="H13" i="15"/>
  <c r="G13" i="15"/>
  <c r="F13" i="15"/>
  <c r="E13" i="15"/>
  <c r="D13" i="15"/>
  <c r="C13" i="15"/>
  <c r="B13" i="15"/>
  <c r="I12" i="15"/>
  <c r="H12" i="15"/>
  <c r="G12" i="15"/>
  <c r="F12" i="15"/>
  <c r="E12" i="15"/>
  <c r="D12" i="15"/>
  <c r="C12" i="15"/>
  <c r="B12" i="15"/>
  <c r="J11" i="15"/>
  <c r="I11" i="15"/>
  <c r="H11" i="15"/>
  <c r="G11" i="15"/>
  <c r="F11" i="15"/>
  <c r="E11" i="15"/>
  <c r="D11" i="15"/>
  <c r="C11" i="15"/>
  <c r="B11" i="15"/>
  <c r="K10" i="15"/>
  <c r="J10" i="15"/>
  <c r="I10" i="15"/>
  <c r="H10" i="15"/>
  <c r="G10" i="15"/>
  <c r="F10" i="15"/>
  <c r="E10" i="15"/>
  <c r="D10" i="15"/>
  <c r="C10" i="15"/>
  <c r="B10" i="15"/>
  <c r="J9" i="15"/>
  <c r="I9" i="15"/>
  <c r="H9" i="15"/>
  <c r="G9" i="15"/>
  <c r="F9" i="15"/>
  <c r="E9" i="15"/>
  <c r="D9" i="15"/>
  <c r="C9" i="15"/>
  <c r="B9" i="15"/>
  <c r="I8" i="15"/>
  <c r="H8" i="15"/>
  <c r="G8" i="15"/>
  <c r="F8" i="15"/>
  <c r="E8" i="15"/>
  <c r="D8" i="15"/>
  <c r="C8" i="15"/>
  <c r="B8" i="15"/>
  <c r="J7" i="15"/>
  <c r="I7" i="15"/>
  <c r="H7" i="15"/>
  <c r="G7" i="15"/>
  <c r="F7" i="15"/>
  <c r="E7" i="15"/>
  <c r="D7" i="15"/>
  <c r="C7" i="15"/>
  <c r="B7" i="15"/>
  <c r="K6" i="15"/>
  <c r="I6" i="15"/>
  <c r="H6" i="15"/>
  <c r="G6" i="15"/>
  <c r="F6" i="15"/>
  <c r="E6" i="15"/>
  <c r="D6" i="15"/>
  <c r="C6" i="15"/>
  <c r="B6" i="15"/>
  <c r="Q43" i="13"/>
  <c r="P43" i="13" s="1"/>
  <c r="P53" i="9" s="1"/>
  <c r="Q42" i="13"/>
  <c r="P42" i="13"/>
  <c r="Q41" i="13"/>
  <c r="P41" i="13" s="1"/>
  <c r="Q40" i="13"/>
  <c r="P40" i="13"/>
  <c r="Q39" i="13"/>
  <c r="P39" i="13" s="1"/>
  <c r="Q38" i="13"/>
  <c r="P38" i="13" s="1"/>
  <c r="Q37" i="13"/>
  <c r="P37" i="13"/>
  <c r="Q36" i="13"/>
  <c r="P36" i="13"/>
  <c r="Q35" i="13"/>
  <c r="P35" i="13" s="1"/>
  <c r="Q34" i="13"/>
  <c r="P34" i="13" s="1"/>
  <c r="Q33" i="13"/>
  <c r="P33" i="13" s="1"/>
  <c r="Q32" i="13"/>
  <c r="P32" i="13"/>
  <c r="Q31" i="13"/>
  <c r="P31" i="13"/>
  <c r="Q30" i="13"/>
  <c r="P30" i="13"/>
  <c r="Q29" i="13"/>
  <c r="P29" i="13"/>
  <c r="Q28" i="13"/>
  <c r="P28" i="13"/>
  <c r="Q27" i="13"/>
  <c r="P27" i="13" s="1"/>
  <c r="Q26" i="13"/>
  <c r="P26" i="13"/>
  <c r="Q25" i="13"/>
  <c r="P25" i="13" s="1"/>
  <c r="Q24" i="13"/>
  <c r="P24" i="13" s="1"/>
  <c r="Q23" i="13"/>
  <c r="P23" i="13"/>
  <c r="Q22" i="13"/>
  <c r="P22" i="13"/>
  <c r="Q21" i="13"/>
  <c r="P21" i="13" s="1"/>
  <c r="Q20" i="13"/>
  <c r="P20" i="13" s="1"/>
  <c r="Q19" i="13"/>
  <c r="P19" i="13"/>
  <c r="Q18" i="13"/>
  <c r="P18" i="13"/>
  <c r="Q17" i="13"/>
  <c r="P17" i="13"/>
  <c r="Q16" i="13"/>
  <c r="P16" i="13"/>
  <c r="Q15" i="13"/>
  <c r="P15" i="13"/>
  <c r="Q14" i="13"/>
  <c r="P14" i="13"/>
  <c r="Q13" i="13"/>
  <c r="P13" i="13" s="1"/>
  <c r="Q12" i="13"/>
  <c r="Q52" i="9" s="1"/>
  <c r="Q11" i="13"/>
  <c r="P11" i="13"/>
  <c r="Q10" i="13"/>
  <c r="P10" i="13" s="1"/>
  <c r="Q9" i="13"/>
  <c r="P9" i="13"/>
  <c r="Q8" i="13"/>
  <c r="P8" i="13"/>
  <c r="Q7" i="13"/>
  <c r="P7" i="13" s="1"/>
  <c r="Q6" i="13"/>
  <c r="P6" i="13"/>
  <c r="B4" i="13"/>
  <c r="B4" i="12"/>
  <c r="B4" i="10"/>
  <c r="R54" i="9"/>
  <c r="R53" i="9"/>
  <c r="Q53" i="9"/>
  <c r="N53" i="9"/>
  <c r="R52" i="9"/>
  <c r="O45" i="9"/>
  <c r="N45" i="9"/>
  <c r="O44" i="9"/>
  <c r="N44" i="9"/>
  <c r="O43" i="9"/>
  <c r="N43" i="9" s="1"/>
  <c r="O42" i="9"/>
  <c r="O41" i="9"/>
  <c r="N41" i="9"/>
  <c r="O40" i="9"/>
  <c r="N40" i="9" s="1"/>
  <c r="O39" i="9"/>
  <c r="O38" i="9"/>
  <c r="N38" i="9"/>
  <c r="O37" i="9"/>
  <c r="N37" i="9"/>
  <c r="O36" i="9"/>
  <c r="N36" i="9" s="1"/>
  <c r="O35" i="9"/>
  <c r="O34" i="9"/>
  <c r="N34" i="9" s="1"/>
  <c r="O33" i="9"/>
  <c r="O32" i="9"/>
  <c r="N32" i="9"/>
  <c r="O31" i="9"/>
  <c r="N31" i="9"/>
  <c r="O30" i="9"/>
  <c r="N30" i="9"/>
  <c r="O29" i="9"/>
  <c r="N29" i="9"/>
  <c r="O28" i="9"/>
  <c r="N28" i="9"/>
  <c r="O27" i="9"/>
  <c r="N27" i="9"/>
  <c r="O26" i="9"/>
  <c r="N26" i="9"/>
  <c r="O25" i="9"/>
  <c r="N25" i="9"/>
  <c r="O24" i="9"/>
  <c r="N24" i="9"/>
  <c r="O23" i="9"/>
  <c r="N23" i="9"/>
  <c r="O22" i="9"/>
  <c r="N22" i="9"/>
  <c r="O21" i="9"/>
  <c r="N21" i="9" s="1"/>
  <c r="O20" i="9"/>
  <c r="N20" i="9"/>
  <c r="O19" i="9"/>
  <c r="N19" i="9"/>
  <c r="O18" i="9"/>
  <c r="N18" i="9"/>
  <c r="O17" i="9"/>
  <c r="N17" i="9"/>
  <c r="O16" i="9"/>
  <c r="O15" i="9"/>
  <c r="N15" i="9" s="1"/>
  <c r="O14" i="9"/>
  <c r="N14" i="9"/>
  <c r="O13" i="9"/>
  <c r="O12" i="9"/>
  <c r="N12" i="9" s="1"/>
  <c r="O11" i="9"/>
  <c r="N11" i="9"/>
  <c r="O10" i="9"/>
  <c r="O9" i="9"/>
  <c r="N9" i="9"/>
  <c r="O8" i="9"/>
  <c r="N8" i="9"/>
  <c r="O7" i="9"/>
  <c r="N7" i="9"/>
  <c r="O6" i="9"/>
  <c r="N6" i="9"/>
  <c r="T12" i="6"/>
  <c r="S12" i="6"/>
  <c r="R12" i="6"/>
  <c r="Q12" i="6"/>
  <c r="P12" i="6"/>
  <c r="O12" i="6"/>
  <c r="N12" i="6"/>
  <c r="M12" i="6"/>
  <c r="L12" i="6"/>
  <c r="K12" i="6"/>
  <c r="J12" i="6"/>
  <c r="I12" i="6"/>
  <c r="H12" i="6"/>
  <c r="G12" i="6"/>
  <c r="F12" i="6"/>
  <c r="E12" i="6"/>
  <c r="D12" i="6"/>
  <c r="C12" i="6"/>
  <c r="B3" i="6"/>
  <c r="J34" i="5"/>
  <c r="I34" i="5"/>
  <c r="F34" i="5"/>
  <c r="D34" i="5"/>
  <c r="C34" i="5"/>
  <c r="T33" i="5"/>
  <c r="S33" i="5"/>
  <c r="S34" i="5" s="1"/>
  <c r="R33" i="5"/>
  <c r="R34" i="5" s="1"/>
  <c r="Q33" i="5"/>
  <c r="Q34" i="5" s="1"/>
  <c r="P33" i="5"/>
  <c r="P34" i="5" s="1"/>
  <c r="O33" i="5"/>
  <c r="O34" i="5" s="1"/>
  <c r="N33" i="5"/>
  <c r="M33" i="5"/>
  <c r="L33" i="5"/>
  <c r="K33" i="5"/>
  <c r="J33" i="5"/>
  <c r="I33" i="5"/>
  <c r="H33" i="5"/>
  <c r="G33" i="5"/>
  <c r="F33" i="5"/>
  <c r="E33" i="5"/>
  <c r="E34" i="5" s="1"/>
  <c r="D33" i="5"/>
  <c r="C33" i="5"/>
  <c r="T28" i="5"/>
  <c r="S28" i="5"/>
  <c r="R28" i="5"/>
  <c r="Q28" i="5"/>
  <c r="P28" i="5"/>
  <c r="O28" i="5"/>
  <c r="N28" i="5"/>
  <c r="M28" i="5"/>
  <c r="L28" i="5"/>
  <c r="K28" i="5"/>
  <c r="K34" i="5" s="1"/>
  <c r="J28" i="5"/>
  <c r="I28" i="5"/>
  <c r="H28" i="5"/>
  <c r="G28" i="5"/>
  <c r="F28" i="5"/>
  <c r="E28" i="5"/>
  <c r="D28" i="5"/>
  <c r="C28" i="5"/>
  <c r="Q49" i="4"/>
  <c r="P49" i="4"/>
  <c r="O49" i="4"/>
  <c r="N49" i="4"/>
  <c r="L49" i="4"/>
  <c r="J49" i="4"/>
  <c r="I49" i="4"/>
  <c r="H49" i="4"/>
  <c r="G49" i="4"/>
  <c r="F49" i="4"/>
  <c r="T48" i="4"/>
  <c r="S48" i="4"/>
  <c r="R48" i="4"/>
  <c r="Q48" i="4"/>
  <c r="P48" i="4"/>
  <c r="O48" i="4"/>
  <c r="N48" i="4"/>
  <c r="M48" i="4"/>
  <c r="M49" i="4" s="1"/>
  <c r="L48" i="4"/>
  <c r="K48" i="4"/>
  <c r="K49" i="4" s="1"/>
  <c r="J48" i="4"/>
  <c r="I48" i="4"/>
  <c r="H48" i="4"/>
  <c r="G48" i="4"/>
  <c r="F48" i="4"/>
  <c r="E48" i="4"/>
  <c r="D48" i="4"/>
  <c r="C48" i="4"/>
  <c r="T41" i="4"/>
  <c r="T49" i="4" s="1"/>
  <c r="S41" i="4"/>
  <c r="S49" i="4" s="1"/>
  <c r="R41" i="4"/>
  <c r="R49" i="4" s="1"/>
  <c r="Q41" i="4"/>
  <c r="P41" i="4"/>
  <c r="O41" i="4"/>
  <c r="N41" i="4"/>
  <c r="M41" i="4"/>
  <c r="L41" i="4"/>
  <c r="K41" i="4"/>
  <c r="J41" i="4"/>
  <c r="I41" i="4"/>
  <c r="H41" i="4"/>
  <c r="G41" i="4"/>
  <c r="F41" i="4"/>
  <c r="E41" i="4"/>
  <c r="E49" i="4" s="1"/>
  <c r="D41" i="4"/>
  <c r="D49" i="4" s="1"/>
  <c r="C41" i="4"/>
  <c r="B3" i="4"/>
  <c r="C37" i="3"/>
  <c r="B3" i="55" s="1"/>
  <c r="C36" i="3"/>
  <c r="B3" i="42" s="1"/>
  <c r="C35" i="3"/>
  <c r="B3" i="41" s="1"/>
  <c r="C34" i="3"/>
  <c r="B3" i="35" s="1"/>
  <c r="C33" i="3"/>
  <c r="B3" i="34" s="1"/>
  <c r="C32" i="3"/>
  <c r="C31" i="3"/>
  <c r="B3" i="32" s="1"/>
  <c r="C30" i="3"/>
  <c r="C29" i="3"/>
  <c r="B3" i="28" s="1"/>
  <c r="C28" i="3"/>
  <c r="C27" i="3"/>
  <c r="C26" i="3"/>
  <c r="C25" i="3"/>
  <c r="C24" i="3"/>
  <c r="C23" i="3"/>
  <c r="B3" i="19" s="1"/>
  <c r="C22" i="3"/>
  <c r="C21" i="3"/>
  <c r="C20" i="3"/>
  <c r="B3" i="16" s="1"/>
  <c r="C19" i="3"/>
  <c r="B3" i="15" s="1"/>
  <c r="C18" i="3"/>
  <c r="B4" i="14" s="1"/>
  <c r="Q43" i="9" s="1"/>
  <c r="C17" i="3"/>
  <c r="C16" i="3"/>
  <c r="C15" i="3"/>
  <c r="B4" i="11" s="1"/>
  <c r="C14" i="3"/>
  <c r="C13" i="3"/>
  <c r="B4" i="9" s="1"/>
  <c r="C12" i="3"/>
  <c r="B4" i="8" s="1"/>
  <c r="C11" i="3"/>
  <c r="B4" i="7" s="1"/>
  <c r="C10" i="3"/>
  <c r="C9" i="3"/>
  <c r="B3" i="5" s="1"/>
  <c r="C8" i="3"/>
  <c r="B5" i="3"/>
  <c r="Q15" i="9" l="1"/>
  <c r="Q45" i="9"/>
  <c r="Q7" i="9"/>
  <c r="R7" i="9"/>
  <c r="Q22" i="9"/>
  <c r="Q34" i="9"/>
  <c r="Q28" i="9"/>
  <c r="R17" i="9"/>
  <c r="S15" i="9"/>
  <c r="K13" i="15"/>
  <c r="C21" i="16"/>
  <c r="D32" i="16"/>
  <c r="D31" i="16"/>
  <c r="D30" i="16"/>
  <c r="R16" i="9"/>
  <c r="N16" i="9"/>
  <c r="Q16" i="9" s="1"/>
  <c r="S16" i="9" s="1"/>
  <c r="G11" i="16"/>
  <c r="G16" i="16"/>
  <c r="H23" i="16"/>
  <c r="G28" i="21"/>
  <c r="K9" i="15"/>
  <c r="C9" i="16"/>
  <c r="R23" i="29"/>
  <c r="Q22" i="32"/>
  <c r="Q41" i="32"/>
  <c r="R36" i="29"/>
  <c r="R15" i="29"/>
  <c r="R7" i="29"/>
  <c r="Q29" i="32"/>
  <c r="R24" i="29"/>
  <c r="Q7" i="32"/>
  <c r="Q15" i="32"/>
  <c r="Q40" i="32"/>
  <c r="Q12" i="32"/>
  <c r="Q8" i="32"/>
  <c r="Q16" i="32"/>
  <c r="Q28" i="32"/>
  <c r="R17" i="29"/>
  <c r="R29" i="29"/>
  <c r="R14" i="29"/>
  <c r="R22" i="29"/>
  <c r="Q19" i="32"/>
  <c r="Q31" i="32"/>
  <c r="Q23" i="32"/>
  <c r="Q39" i="32"/>
  <c r="Q9" i="32"/>
  <c r="Q30" i="32"/>
  <c r="Q17" i="32"/>
  <c r="R39" i="29"/>
  <c r="Q26" i="32"/>
  <c r="R41" i="29"/>
  <c r="O54" i="9"/>
  <c r="E28" i="15"/>
  <c r="E13" i="16" s="1"/>
  <c r="H11" i="16"/>
  <c r="H16" i="16"/>
  <c r="I23" i="16"/>
  <c r="I11" i="16"/>
  <c r="K28" i="21"/>
  <c r="F30" i="42"/>
  <c r="I9" i="16"/>
  <c r="I21" i="16"/>
  <c r="L28" i="21"/>
  <c r="D40" i="32"/>
  <c r="O38" i="32"/>
  <c r="R36" i="9"/>
  <c r="R22" i="9"/>
  <c r="S22" i="9" s="1"/>
  <c r="R37" i="9"/>
  <c r="Q37" i="9"/>
  <c r="S37" i="9" s="1"/>
  <c r="Q8" i="9"/>
  <c r="S8" i="9" s="1"/>
  <c r="R43" i="9"/>
  <c r="S43" i="9" s="1"/>
  <c r="G7" i="16"/>
  <c r="J44" i="32"/>
  <c r="Q21" i="9"/>
  <c r="N35" i="9"/>
  <c r="Q35" i="9" s="1"/>
  <c r="R35" i="9"/>
  <c r="M46" i="32"/>
  <c r="M43" i="32"/>
  <c r="I16" i="16"/>
  <c r="R33" i="9"/>
  <c r="N33" i="9"/>
  <c r="Q33" i="9" s="1"/>
  <c r="S33" i="9" s="1"/>
  <c r="S53" i="9"/>
  <c r="S45" i="9"/>
  <c r="I41" i="29"/>
  <c r="I6" i="32"/>
  <c r="N43" i="32"/>
  <c r="N45" i="32"/>
  <c r="Q36" i="9"/>
  <c r="S36" i="9" s="1"/>
  <c r="I45" i="32"/>
  <c r="K32" i="16"/>
  <c r="L32" i="15"/>
  <c r="O25" i="32"/>
  <c r="D48" i="29"/>
  <c r="J45" i="32"/>
  <c r="P46" i="32"/>
  <c r="R43" i="29"/>
  <c r="Q43" i="32"/>
  <c r="Q46" i="32"/>
  <c r="Q45" i="32"/>
  <c r="Q26" i="9"/>
  <c r="S26" i="9" s="1"/>
  <c r="N39" i="32"/>
  <c r="N17" i="32"/>
  <c r="N18" i="32"/>
  <c r="N41" i="32"/>
  <c r="N27" i="32"/>
  <c r="N10" i="32"/>
  <c r="N24" i="32"/>
  <c r="N32" i="32"/>
  <c r="N40" i="32"/>
  <c r="N19" i="32"/>
  <c r="N36" i="32"/>
  <c r="N21" i="32"/>
  <c r="N35" i="32"/>
  <c r="N7" i="32"/>
  <c r="K45" i="32"/>
  <c r="R46" i="29"/>
  <c r="Q25" i="9"/>
  <c r="R15" i="9"/>
  <c r="P41" i="29"/>
  <c r="P34" i="32" s="1"/>
  <c r="Q18" i="9"/>
  <c r="Q27" i="9"/>
  <c r="S27" i="9" s="1"/>
  <c r="K7" i="15"/>
  <c r="K28" i="15" s="1"/>
  <c r="C28" i="15"/>
  <c r="E30" i="16"/>
  <c r="E31" i="16"/>
  <c r="E32" i="16"/>
  <c r="P17" i="32"/>
  <c r="M45" i="32"/>
  <c r="C11" i="46"/>
  <c r="C23" i="42" s="1"/>
  <c r="F11" i="43"/>
  <c r="C12" i="42"/>
  <c r="F12" i="42" s="1"/>
  <c r="C12" i="43"/>
  <c r="C6" i="46" s="1"/>
  <c r="R8" i="9"/>
  <c r="P54" i="9"/>
  <c r="D28" i="15"/>
  <c r="K14" i="15"/>
  <c r="G14" i="16"/>
  <c r="H28" i="21"/>
  <c r="R28" i="29"/>
  <c r="D47" i="32"/>
  <c r="R27" i="9"/>
  <c r="P12" i="13"/>
  <c r="P52" i="9" s="1"/>
  <c r="K19" i="15"/>
  <c r="K33" i="15"/>
  <c r="L30" i="15" s="1"/>
  <c r="Q14" i="9"/>
  <c r="N42" i="9"/>
  <c r="O49" i="9"/>
  <c r="G27" i="16"/>
  <c r="R8" i="29"/>
  <c r="I14" i="32"/>
  <c r="E39" i="32"/>
  <c r="J40" i="32"/>
  <c r="F44" i="32"/>
  <c r="F7" i="16"/>
  <c r="H19" i="16"/>
  <c r="R13" i="29"/>
  <c r="G26" i="32"/>
  <c r="G37" i="32"/>
  <c r="Q20" i="9"/>
  <c r="C40" i="32"/>
  <c r="R20" i="9"/>
  <c r="K41" i="29"/>
  <c r="C36" i="32"/>
  <c r="J37" i="32"/>
  <c r="D8" i="42"/>
  <c r="Q29" i="9"/>
  <c r="R11" i="9"/>
  <c r="R21" i="9"/>
  <c r="K47" i="32"/>
  <c r="Q41" i="9"/>
  <c r="S41" i="9" s="1"/>
  <c r="E27" i="16"/>
  <c r="H21" i="16"/>
  <c r="C41" i="29"/>
  <c r="J43" i="32"/>
  <c r="F27" i="16"/>
  <c r="N15" i="32"/>
  <c r="Q31" i="9"/>
  <c r="R31" i="9"/>
  <c r="E25" i="16"/>
  <c r="H27" i="16"/>
  <c r="H10" i="32"/>
  <c r="N11" i="32"/>
  <c r="D13" i="32"/>
  <c r="N33" i="32"/>
  <c r="R14" i="9"/>
  <c r="Q32" i="9"/>
  <c r="S32" i="9" s="1"/>
  <c r="R42" i="9"/>
  <c r="M41" i="29"/>
  <c r="M21" i="32" s="1"/>
  <c r="C9" i="32"/>
  <c r="R26" i="29"/>
  <c r="Q37" i="32"/>
  <c r="Q9" i="9"/>
  <c r="F17" i="16"/>
  <c r="K17" i="15"/>
  <c r="C22" i="16"/>
  <c r="J30" i="32"/>
  <c r="H37" i="32"/>
  <c r="E48" i="29"/>
  <c r="E43" i="32" s="1"/>
  <c r="R28" i="9"/>
  <c r="S28" i="9" s="1"/>
  <c r="H28" i="15"/>
  <c r="K31" i="15"/>
  <c r="C33" i="15"/>
  <c r="I37" i="32"/>
  <c r="D15" i="16"/>
  <c r="K15" i="15"/>
  <c r="N34" i="32"/>
  <c r="Q11" i="9"/>
  <c r="E15" i="16"/>
  <c r="C27" i="16"/>
  <c r="K27" i="15"/>
  <c r="C10" i="32"/>
  <c r="O12" i="32"/>
  <c r="C21" i="32"/>
  <c r="R27" i="29"/>
  <c r="E36" i="32"/>
  <c r="Q40" i="9"/>
  <c r="S40" i="9" s="1"/>
  <c r="D27" i="16"/>
  <c r="N8" i="32"/>
  <c r="D21" i="32"/>
  <c r="N30" i="32"/>
  <c r="R12" i="29"/>
  <c r="C17" i="32"/>
  <c r="R41" i="9"/>
  <c r="I22" i="16"/>
  <c r="T34" i="5"/>
  <c r="Q23" i="9"/>
  <c r="R32" i="9"/>
  <c r="K23" i="15"/>
  <c r="I28" i="15"/>
  <c r="F28" i="25"/>
  <c r="H41" i="29"/>
  <c r="H22" i="32" s="1"/>
  <c r="D9" i="32"/>
  <c r="P11" i="32"/>
  <c r="J21" i="32"/>
  <c r="N29" i="32"/>
  <c r="J41" i="29"/>
  <c r="J33" i="32" s="1"/>
  <c r="R38" i="29"/>
  <c r="Q38" i="32"/>
  <c r="I7" i="16"/>
  <c r="N26" i="32"/>
  <c r="J29" i="32"/>
  <c r="Q34" i="32"/>
  <c r="R34" i="29"/>
  <c r="F9" i="42"/>
  <c r="J23" i="42"/>
  <c r="R9" i="9"/>
  <c r="Q44" i="9"/>
  <c r="H14" i="16"/>
  <c r="O7" i="32"/>
  <c r="I29" i="32"/>
  <c r="N10" i="9"/>
  <c r="Q10" i="9" s="1"/>
  <c r="R10" i="9"/>
  <c r="Q17" i="9"/>
  <c r="S17" i="9" s="1"/>
  <c r="R23" i="9"/>
  <c r="Q30" i="9"/>
  <c r="S30" i="9" s="1"/>
  <c r="R44" i="9"/>
  <c r="I14" i="16"/>
  <c r="N28" i="21"/>
  <c r="J8" i="15"/>
  <c r="D28" i="21"/>
  <c r="H28" i="25"/>
  <c r="G9" i="32"/>
  <c r="P30" i="32"/>
  <c r="C39" i="32"/>
  <c r="C48" i="29"/>
  <c r="K23" i="42"/>
  <c r="C49" i="4"/>
  <c r="O53" i="9"/>
  <c r="R45" i="9"/>
  <c r="K12" i="15"/>
  <c r="F19" i="16"/>
  <c r="E20" i="32"/>
  <c r="P26" i="32"/>
  <c r="R30" i="29"/>
  <c r="J47" i="32"/>
  <c r="L17" i="42"/>
  <c r="Q14" i="32"/>
  <c r="R18" i="29"/>
  <c r="Q18" i="32"/>
  <c r="R18" i="9"/>
  <c r="R34" i="9"/>
  <c r="S34" i="9" s="1"/>
  <c r="R12" i="9"/>
  <c r="F15" i="16"/>
  <c r="I19" i="16"/>
  <c r="L28" i="25"/>
  <c r="G39" i="32"/>
  <c r="R25" i="9"/>
  <c r="K33" i="21"/>
  <c r="Q6" i="32"/>
  <c r="G35" i="32"/>
  <c r="Q19" i="9"/>
  <c r="H15" i="16"/>
  <c r="L33" i="21"/>
  <c r="R6" i="29"/>
  <c r="C11" i="32"/>
  <c r="P21" i="32"/>
  <c r="L32" i="32"/>
  <c r="H8" i="16"/>
  <c r="K28" i="25"/>
  <c r="N9" i="32"/>
  <c r="G28" i="15"/>
  <c r="G19" i="16" s="1"/>
  <c r="G6" i="16"/>
  <c r="K8" i="15"/>
  <c r="G13" i="16"/>
  <c r="C20" i="16"/>
  <c r="Q28" i="25"/>
  <c r="N33" i="25"/>
  <c r="G23" i="32"/>
  <c r="N28" i="32"/>
  <c r="P10" i="32"/>
  <c r="F12" i="32"/>
  <c r="L13" i="32"/>
  <c r="G24" i="32"/>
  <c r="I32" i="32"/>
  <c r="E7" i="46"/>
  <c r="E19" i="42" s="1"/>
  <c r="E8" i="42"/>
  <c r="H17" i="16"/>
  <c r="Q10" i="32"/>
  <c r="G12" i="32"/>
  <c r="N25" i="32"/>
  <c r="I28" i="32"/>
  <c r="R37" i="29"/>
  <c r="L40" i="32"/>
  <c r="Q38" i="9"/>
  <c r="S38" i="9" s="1"/>
  <c r="C13" i="16"/>
  <c r="G15" i="16"/>
  <c r="I17" i="16"/>
  <c r="P29" i="32"/>
  <c r="E31" i="32"/>
  <c r="Q33" i="32"/>
  <c r="R33" i="29"/>
  <c r="R38" i="9"/>
  <c r="E28" i="21"/>
  <c r="N28" i="25"/>
  <c r="O17" i="32"/>
  <c r="D19" i="32"/>
  <c r="J20" i="32"/>
  <c r="C38" i="32"/>
  <c r="D9" i="42"/>
  <c r="Q12" i="9"/>
  <c r="R19" i="9"/>
  <c r="R39" i="9"/>
  <c r="I15" i="16"/>
  <c r="K24" i="15"/>
  <c r="C24" i="16"/>
  <c r="F30" i="16"/>
  <c r="F33" i="16" s="1"/>
  <c r="M33" i="21"/>
  <c r="E28" i="25"/>
  <c r="E19" i="32"/>
  <c r="E23" i="32"/>
  <c r="F28" i="15"/>
  <c r="F9" i="16" s="1"/>
  <c r="F13" i="16"/>
  <c r="I32" i="16"/>
  <c r="N33" i="21"/>
  <c r="C7" i="32"/>
  <c r="I8" i="32"/>
  <c r="E11" i="32"/>
  <c r="Q6" i="9"/>
  <c r="R26" i="9"/>
  <c r="R40" i="9"/>
  <c r="H13" i="16"/>
  <c r="D20" i="16"/>
  <c r="I33" i="15"/>
  <c r="I31" i="16" s="1"/>
  <c r="G12" i="16"/>
  <c r="E7" i="32"/>
  <c r="R9" i="29"/>
  <c r="N20" i="32"/>
  <c r="C22" i="32"/>
  <c r="H23" i="32"/>
  <c r="G45" i="32"/>
  <c r="G48" i="32" s="1"/>
  <c r="O28" i="25"/>
  <c r="Q21" i="32"/>
  <c r="Q25" i="32"/>
  <c r="N13" i="9"/>
  <c r="O52" i="9"/>
  <c r="I8" i="16"/>
  <c r="D24" i="16"/>
  <c r="G33" i="15"/>
  <c r="Q13" i="32"/>
  <c r="R21" i="29"/>
  <c r="L24" i="32"/>
  <c r="R25" i="29"/>
  <c r="G27" i="32"/>
  <c r="R13" i="9"/>
  <c r="T52" i="9" s="1"/>
  <c r="C11" i="16"/>
  <c r="K11" i="15"/>
  <c r="R6" i="9"/>
  <c r="Q54" i="9"/>
  <c r="I6" i="16"/>
  <c r="D18" i="16"/>
  <c r="J33" i="15"/>
  <c r="J31" i="16" s="1"/>
  <c r="P33" i="25"/>
  <c r="N12" i="32"/>
  <c r="N16" i="32"/>
  <c r="C18" i="32"/>
  <c r="I19" i="32"/>
  <c r="O20" i="32"/>
  <c r="H45" i="32"/>
  <c r="H43" i="32"/>
  <c r="H48" i="32" s="1"/>
  <c r="N46" i="32"/>
  <c r="I48" i="29"/>
  <c r="F48" i="29"/>
  <c r="F47" i="32" s="1"/>
  <c r="F43" i="32"/>
  <c r="R45" i="29"/>
  <c r="G47" i="32"/>
  <c r="F10" i="42"/>
  <c r="I23" i="42"/>
  <c r="L18" i="42"/>
  <c r="D34" i="42"/>
  <c r="C12" i="49"/>
  <c r="I34" i="42" s="1"/>
  <c r="G22" i="16"/>
  <c r="H33" i="15"/>
  <c r="H32" i="16" s="1"/>
  <c r="H8" i="32"/>
  <c r="C19" i="32"/>
  <c r="I20" i="32"/>
  <c r="G32" i="32"/>
  <c r="H36" i="32"/>
  <c r="N37" i="32"/>
  <c r="H47" i="32"/>
  <c r="F7" i="43"/>
  <c r="C7" i="46"/>
  <c r="C19" i="42" s="1"/>
  <c r="F25" i="16"/>
  <c r="D28" i="25"/>
  <c r="D41" i="29"/>
  <c r="C30" i="32"/>
  <c r="E23" i="16"/>
  <c r="F33" i="21"/>
  <c r="E41" i="29"/>
  <c r="E14" i="32"/>
  <c r="J15" i="32"/>
  <c r="P16" i="32"/>
  <c r="Q20" i="32"/>
  <c r="E22" i="32"/>
  <c r="P24" i="32"/>
  <c r="I31" i="32"/>
  <c r="E34" i="32"/>
  <c r="J13" i="42"/>
  <c r="C9" i="46"/>
  <c r="C21" i="42" s="1"/>
  <c r="E33" i="21"/>
  <c r="I27" i="32"/>
  <c r="M34" i="5"/>
  <c r="Q24" i="9"/>
  <c r="R30" i="9"/>
  <c r="G33" i="21"/>
  <c r="F41" i="29"/>
  <c r="F37" i="32" s="1"/>
  <c r="F10" i="32"/>
  <c r="L11" i="32"/>
  <c r="F14" i="32"/>
  <c r="R16" i="29"/>
  <c r="R20" i="29"/>
  <c r="Q24" i="32"/>
  <c r="E30" i="32"/>
  <c r="J31" i="32"/>
  <c r="P32" i="32"/>
  <c r="K35" i="32"/>
  <c r="Q36" i="32"/>
  <c r="K46" i="32"/>
  <c r="Q47" i="32"/>
  <c r="R47" i="29"/>
  <c r="K13" i="42"/>
  <c r="J11" i="32"/>
  <c r="D14" i="32"/>
  <c r="C26" i="32"/>
  <c r="O28" i="32"/>
  <c r="D48" i="35"/>
  <c r="L34" i="5"/>
  <c r="N34" i="5"/>
  <c r="R24" i="9"/>
  <c r="I10" i="16"/>
  <c r="E19" i="16"/>
  <c r="F21" i="16"/>
  <c r="G28" i="25"/>
  <c r="G6" i="32"/>
  <c r="G41" i="29"/>
  <c r="G14" i="32"/>
  <c r="L27" i="32"/>
  <c r="F30" i="32"/>
  <c r="K31" i="32"/>
  <c r="Q32" i="32"/>
  <c r="G34" i="32"/>
  <c r="F45" i="32"/>
  <c r="C8" i="42"/>
  <c r="E10" i="42"/>
  <c r="E9" i="46"/>
  <c r="E21" i="42" s="1"/>
  <c r="L41" i="29"/>
  <c r="L25" i="32" s="1"/>
  <c r="E9" i="32"/>
  <c r="K10" i="32"/>
  <c r="Q11" i="32"/>
  <c r="R11" i="29"/>
  <c r="C29" i="32"/>
  <c r="H30" i="32"/>
  <c r="G38" i="32"/>
  <c r="L48" i="29"/>
  <c r="L47" i="32" s="1"/>
  <c r="L43" i="32"/>
  <c r="Q44" i="32"/>
  <c r="F46" i="32"/>
  <c r="P44" i="32"/>
  <c r="G34" i="5"/>
  <c r="N39" i="9"/>
  <c r="Q39" i="9" s="1"/>
  <c r="C28" i="25"/>
  <c r="G13" i="32"/>
  <c r="R19" i="29"/>
  <c r="I30" i="32"/>
  <c r="N31" i="32"/>
  <c r="R44" i="29"/>
  <c r="G46" i="32"/>
  <c r="M47" i="32"/>
  <c r="D13" i="42"/>
  <c r="N23" i="32"/>
  <c r="C28" i="21"/>
  <c r="N6" i="32"/>
  <c r="E33" i="32"/>
  <c r="O39" i="32"/>
  <c r="H46" i="32"/>
  <c r="N47" i="32"/>
  <c r="Q27" i="32"/>
  <c r="E13" i="42"/>
  <c r="R40" i="29"/>
  <c r="H34" i="5"/>
  <c r="R29" i="9"/>
  <c r="O33" i="25"/>
  <c r="C8" i="32"/>
  <c r="F29" i="32"/>
  <c r="Q35" i="32"/>
  <c r="O48" i="29"/>
  <c r="O47" i="32" s="1"/>
  <c r="F7" i="42"/>
  <c r="L19" i="42"/>
  <c r="K48" i="29"/>
  <c r="K44" i="32" s="1"/>
  <c r="I9" i="32"/>
  <c r="O10" i="32"/>
  <c r="E12" i="32"/>
  <c r="C16" i="32"/>
  <c r="N22" i="32"/>
  <c r="H25" i="32"/>
  <c r="R31" i="29"/>
  <c r="R35" i="29"/>
  <c r="P43" i="32"/>
  <c r="C41" i="35"/>
  <c r="C34" i="42"/>
  <c r="F28" i="42"/>
  <c r="F34" i="42" s="1"/>
  <c r="D12" i="43"/>
  <c r="D7" i="46" s="1"/>
  <c r="D19" i="42" s="1"/>
  <c r="D6" i="46"/>
  <c r="G44" i="32"/>
  <c r="O41" i="29"/>
  <c r="F10" i="43"/>
  <c r="R10" i="29"/>
  <c r="R32" i="29"/>
  <c r="K43" i="32"/>
  <c r="E6" i="46"/>
  <c r="L7" i="42"/>
  <c r="L13" i="42" s="1"/>
  <c r="F8" i="43"/>
  <c r="S25" i="9" l="1"/>
  <c r="S23" i="9"/>
  <c r="S19" i="9"/>
  <c r="S44" i="9"/>
  <c r="S7" i="9"/>
  <c r="L20" i="15"/>
  <c r="L6" i="15"/>
  <c r="K18" i="16"/>
  <c r="L25" i="15"/>
  <c r="K22" i="16"/>
  <c r="K21" i="16"/>
  <c r="K26" i="16"/>
  <c r="L18" i="15"/>
  <c r="L16" i="15"/>
  <c r="K20" i="16"/>
  <c r="K10" i="16"/>
  <c r="K6" i="16"/>
  <c r="K25" i="16"/>
  <c r="L10" i="15"/>
  <c r="L21" i="15"/>
  <c r="L22" i="15"/>
  <c r="L26" i="15"/>
  <c r="K16" i="16"/>
  <c r="M35" i="32"/>
  <c r="M36" i="32"/>
  <c r="M13" i="32"/>
  <c r="F21" i="32"/>
  <c r="F28" i="32"/>
  <c r="K21" i="32"/>
  <c r="K18" i="32"/>
  <c r="K29" i="32"/>
  <c r="K14" i="32"/>
  <c r="K26" i="32"/>
  <c r="K19" i="32"/>
  <c r="K6" i="32"/>
  <c r="K38" i="32"/>
  <c r="K8" i="32"/>
  <c r="K33" i="32"/>
  <c r="K41" i="32"/>
  <c r="K30" i="32"/>
  <c r="K15" i="32"/>
  <c r="K36" i="32"/>
  <c r="K7" i="32"/>
  <c r="K22" i="32"/>
  <c r="F17" i="32"/>
  <c r="J30" i="16"/>
  <c r="J33" i="16" s="1"/>
  <c r="E12" i="46"/>
  <c r="E18" i="42"/>
  <c r="E24" i="42" s="1"/>
  <c r="K39" i="32"/>
  <c r="S20" i="9"/>
  <c r="S10" i="9"/>
  <c r="S14" i="9"/>
  <c r="D41" i="32"/>
  <c r="D24" i="32"/>
  <c r="D16" i="32"/>
  <c r="D37" i="32"/>
  <c r="D7" i="32"/>
  <c r="D20" i="32"/>
  <c r="D38" i="32"/>
  <c r="D10" i="32"/>
  <c r="D34" i="32"/>
  <c r="D26" i="32"/>
  <c r="D29" i="32"/>
  <c r="D32" i="32"/>
  <c r="D31" i="32"/>
  <c r="D12" i="32"/>
  <c r="D27" i="32"/>
  <c r="D18" i="32"/>
  <c r="D6" i="32"/>
  <c r="D15" i="32"/>
  <c r="K24" i="16"/>
  <c r="L24" i="15"/>
  <c r="K32" i="32"/>
  <c r="K9" i="32"/>
  <c r="K25" i="32"/>
  <c r="Q48" i="32"/>
  <c r="I30" i="16"/>
  <c r="I33" i="16" s="1"/>
  <c r="L27" i="15"/>
  <c r="K27" i="16"/>
  <c r="E44" i="32"/>
  <c r="E48" i="32" s="1"/>
  <c r="I28" i="16"/>
  <c r="K30" i="16"/>
  <c r="K33" i="16" s="1"/>
  <c r="L13" i="15"/>
  <c r="K13" i="16"/>
  <c r="L13" i="16" s="1"/>
  <c r="K48" i="32"/>
  <c r="D8" i="32"/>
  <c r="K34" i="32"/>
  <c r="T54" i="9"/>
  <c r="K27" i="32"/>
  <c r="F48" i="32"/>
  <c r="J6" i="32"/>
  <c r="L18" i="32"/>
  <c r="L19" i="32"/>
  <c r="S6" i="9"/>
  <c r="F36" i="32"/>
  <c r="L37" i="32"/>
  <c r="F13" i="42"/>
  <c r="J16" i="32"/>
  <c r="K28" i="32"/>
  <c r="H33" i="32"/>
  <c r="J48" i="32"/>
  <c r="C12" i="16"/>
  <c r="C8" i="16"/>
  <c r="C19" i="16"/>
  <c r="C15" i="16"/>
  <c r="C16" i="16"/>
  <c r="C14" i="16"/>
  <c r="C6" i="16"/>
  <c r="C26" i="16"/>
  <c r="C17" i="16"/>
  <c r="C25" i="16"/>
  <c r="C10" i="16"/>
  <c r="S35" i="9"/>
  <c r="L9" i="15"/>
  <c r="K9" i="16"/>
  <c r="M41" i="32"/>
  <c r="M39" i="32"/>
  <c r="M17" i="32"/>
  <c r="M32" i="32"/>
  <c r="M9" i="32"/>
  <c r="M18" i="32"/>
  <c r="M34" i="32"/>
  <c r="M26" i="32"/>
  <c r="M8" i="32"/>
  <c r="M30" i="32"/>
  <c r="M33" i="32"/>
  <c r="M12" i="32"/>
  <c r="M37" i="32"/>
  <c r="M15" i="32"/>
  <c r="M40" i="32"/>
  <c r="M19" i="32"/>
  <c r="M6" i="32"/>
  <c r="M10" i="32"/>
  <c r="M31" i="32"/>
  <c r="M22" i="32"/>
  <c r="K14" i="16"/>
  <c r="L14" i="15"/>
  <c r="G31" i="16"/>
  <c r="G32" i="16"/>
  <c r="F15" i="32"/>
  <c r="N49" i="9"/>
  <c r="Q42" i="9"/>
  <c r="O46" i="32"/>
  <c r="S6" i="32"/>
  <c r="O45" i="32"/>
  <c r="L30" i="32"/>
  <c r="L8" i="32"/>
  <c r="L41" i="32"/>
  <c r="L9" i="32"/>
  <c r="L34" i="32"/>
  <c r="L14" i="32"/>
  <c r="L23" i="32"/>
  <c r="L26" i="32"/>
  <c r="L31" i="32"/>
  <c r="L21" i="32"/>
  <c r="L12" i="32"/>
  <c r="L20" i="32"/>
  <c r="L28" i="32"/>
  <c r="L10" i="32"/>
  <c r="L15" i="32"/>
  <c r="L6" i="32"/>
  <c r="L38" i="32"/>
  <c r="R48" i="29"/>
  <c r="D17" i="32"/>
  <c r="K8" i="16"/>
  <c r="L8" i="15"/>
  <c r="J26" i="32"/>
  <c r="J41" i="32"/>
  <c r="J25" i="32"/>
  <c r="J39" i="32"/>
  <c r="J32" i="32"/>
  <c r="J17" i="32"/>
  <c r="J19" i="32"/>
  <c r="J38" i="32"/>
  <c r="J8" i="32"/>
  <c r="J24" i="32"/>
  <c r="J13" i="32"/>
  <c r="J10" i="32"/>
  <c r="J27" i="32"/>
  <c r="J35" i="32"/>
  <c r="J22" i="32"/>
  <c r="S39" i="9"/>
  <c r="N52" i="9"/>
  <c r="Q13" i="9"/>
  <c r="J28" i="32"/>
  <c r="L29" i="32"/>
  <c r="K20" i="32"/>
  <c r="O40" i="32"/>
  <c r="O18" i="32"/>
  <c r="O13" i="32"/>
  <c r="O11" i="32"/>
  <c r="O41" i="32"/>
  <c r="O27" i="32"/>
  <c r="O36" i="32"/>
  <c r="O26" i="32"/>
  <c r="O23" i="32"/>
  <c r="O15" i="32"/>
  <c r="O33" i="32"/>
  <c r="O37" i="32"/>
  <c r="O24" i="32"/>
  <c r="O16" i="32"/>
  <c r="O8" i="32"/>
  <c r="O19" i="32"/>
  <c r="O30" i="32"/>
  <c r="O35" i="32"/>
  <c r="O22" i="32"/>
  <c r="O14" i="32"/>
  <c r="M14" i="32"/>
  <c r="L35" i="32"/>
  <c r="F18" i="32"/>
  <c r="J23" i="32"/>
  <c r="I44" i="32"/>
  <c r="I47" i="32"/>
  <c r="I46" i="32"/>
  <c r="O43" i="32"/>
  <c r="D22" i="32"/>
  <c r="M25" i="32"/>
  <c r="M28" i="32"/>
  <c r="D11" i="32"/>
  <c r="D23" i="32"/>
  <c r="F16" i="32"/>
  <c r="F24" i="32"/>
  <c r="M7" i="32"/>
  <c r="C37" i="32"/>
  <c r="C15" i="32"/>
  <c r="C35" i="32"/>
  <c r="C28" i="32"/>
  <c r="C23" i="32"/>
  <c r="C33" i="32"/>
  <c r="C41" i="32"/>
  <c r="C13" i="32"/>
  <c r="C25" i="32"/>
  <c r="C20" i="32"/>
  <c r="C12" i="32"/>
  <c r="C24" i="32"/>
  <c r="C31" i="32"/>
  <c r="C6" i="32"/>
  <c r="C7" i="16"/>
  <c r="K17" i="32"/>
  <c r="S21" i="9"/>
  <c r="G9" i="16"/>
  <c r="H38" i="32"/>
  <c r="H16" i="32"/>
  <c r="H21" i="32"/>
  <c r="H7" i="32"/>
  <c r="H9" i="32"/>
  <c r="H39" i="32"/>
  <c r="H29" i="32"/>
  <c r="H17" i="32"/>
  <c r="H31" i="32"/>
  <c r="H13" i="32"/>
  <c r="H41" i="32"/>
  <c r="H12" i="32"/>
  <c r="H28" i="32"/>
  <c r="H15" i="32"/>
  <c r="H18" i="32"/>
  <c r="H26" i="32"/>
  <c r="H6" i="32"/>
  <c r="H40" i="32"/>
  <c r="H24" i="32"/>
  <c r="H35" i="32"/>
  <c r="H34" i="32"/>
  <c r="N54" i="9"/>
  <c r="M23" i="32"/>
  <c r="O6" i="32"/>
  <c r="D8" i="16"/>
  <c r="D23" i="16"/>
  <c r="D16" i="16"/>
  <c r="D12" i="16"/>
  <c r="D19" i="16"/>
  <c r="D26" i="16"/>
  <c r="D14" i="16"/>
  <c r="D21" i="16"/>
  <c r="D22" i="16"/>
  <c r="D25" i="16"/>
  <c r="D11" i="16"/>
  <c r="D10" i="16"/>
  <c r="D17" i="16"/>
  <c r="P27" i="32"/>
  <c r="P35" i="32"/>
  <c r="P13" i="32"/>
  <c r="P37" i="32"/>
  <c r="P15" i="32"/>
  <c r="P41" i="32"/>
  <c r="P36" i="32"/>
  <c r="P20" i="32"/>
  <c r="P22" i="32"/>
  <c r="P39" i="32"/>
  <c r="P23" i="32"/>
  <c r="P7" i="32"/>
  <c r="P12" i="32"/>
  <c r="P28" i="32"/>
  <c r="P40" i="32"/>
  <c r="P9" i="32"/>
  <c r="P14" i="32"/>
  <c r="P31" i="32"/>
  <c r="P18" i="32"/>
  <c r="E20" i="16"/>
  <c r="E22" i="16"/>
  <c r="E6" i="16"/>
  <c r="E18" i="16"/>
  <c r="E16" i="16"/>
  <c r="E12" i="16"/>
  <c r="E8" i="16"/>
  <c r="E26" i="16"/>
  <c r="E14" i="16"/>
  <c r="E10" i="16"/>
  <c r="E24" i="16"/>
  <c r="F26" i="32"/>
  <c r="K11" i="32"/>
  <c r="H30" i="16"/>
  <c r="F20" i="16"/>
  <c r="F6" i="16"/>
  <c r="F22" i="16"/>
  <c r="F18" i="16"/>
  <c r="F8" i="16"/>
  <c r="F26" i="16"/>
  <c r="F16" i="16"/>
  <c r="F12" i="16"/>
  <c r="F14" i="16"/>
  <c r="F10" i="16"/>
  <c r="F24" i="16"/>
  <c r="H27" i="32"/>
  <c r="C32" i="16"/>
  <c r="C30" i="16"/>
  <c r="C33" i="16" s="1"/>
  <c r="K40" i="32"/>
  <c r="D7" i="16"/>
  <c r="K13" i="32"/>
  <c r="E9" i="16"/>
  <c r="P48" i="32"/>
  <c r="D25" i="32"/>
  <c r="F23" i="16"/>
  <c r="P8" i="32"/>
  <c r="K16" i="32"/>
  <c r="C27" i="32"/>
  <c r="M24" i="32"/>
  <c r="L23" i="42"/>
  <c r="D28" i="32"/>
  <c r="C31" i="16"/>
  <c r="K37" i="32"/>
  <c r="L31" i="15"/>
  <c r="L33" i="15" s="1"/>
  <c r="K31" i="16"/>
  <c r="J36" i="32"/>
  <c r="D9" i="16"/>
  <c r="J34" i="32"/>
  <c r="P19" i="32"/>
  <c r="M11" i="32"/>
  <c r="E21" i="16"/>
  <c r="J7" i="32"/>
  <c r="C14" i="32"/>
  <c r="H19" i="32"/>
  <c r="D13" i="16"/>
  <c r="I24" i="16"/>
  <c r="I26" i="16"/>
  <c r="I27" i="16"/>
  <c r="I25" i="16"/>
  <c r="I13" i="16"/>
  <c r="I20" i="16"/>
  <c r="I12" i="16"/>
  <c r="H24" i="16"/>
  <c r="H22" i="16"/>
  <c r="H12" i="16"/>
  <c r="H26" i="16"/>
  <c r="H10" i="16"/>
  <c r="H25" i="16"/>
  <c r="H7" i="16"/>
  <c r="H9" i="16"/>
  <c r="H20" i="16"/>
  <c r="D35" i="32"/>
  <c r="S29" i="9"/>
  <c r="I18" i="16"/>
  <c r="P25" i="32"/>
  <c r="N48" i="32"/>
  <c r="D33" i="32"/>
  <c r="J18" i="32"/>
  <c r="L7" i="32"/>
  <c r="E45" i="32"/>
  <c r="E41" i="32"/>
  <c r="E37" i="32"/>
  <c r="E16" i="32"/>
  <c r="E25" i="32"/>
  <c r="E26" i="32"/>
  <c r="E38" i="32"/>
  <c r="E29" i="32"/>
  <c r="E21" i="32"/>
  <c r="E17" i="32"/>
  <c r="E13" i="32"/>
  <c r="E24" i="32"/>
  <c r="E15" i="32"/>
  <c r="E28" i="32"/>
  <c r="E10" i="32"/>
  <c r="E27" i="32"/>
  <c r="E18" i="32"/>
  <c r="E7" i="16"/>
  <c r="O9" i="32"/>
  <c r="M16" i="32"/>
  <c r="J12" i="32"/>
  <c r="H20" i="32"/>
  <c r="M20" i="32"/>
  <c r="G8" i="16"/>
  <c r="G28" i="16" s="1"/>
  <c r="I43" i="32"/>
  <c r="J28" i="15"/>
  <c r="J8" i="16"/>
  <c r="C23" i="16"/>
  <c r="O34" i="32"/>
  <c r="G20" i="16"/>
  <c r="C18" i="42"/>
  <c r="E11" i="16"/>
  <c r="L17" i="32"/>
  <c r="G30" i="32"/>
  <c r="G7" i="32"/>
  <c r="G25" i="32"/>
  <c r="G33" i="32"/>
  <c r="G20" i="32"/>
  <c r="G17" i="32"/>
  <c r="G29" i="32"/>
  <c r="G21" i="32"/>
  <c r="G8" i="32"/>
  <c r="G36" i="32"/>
  <c r="G11" i="32"/>
  <c r="G31" i="32"/>
  <c r="G22" i="32"/>
  <c r="G10" i="32"/>
  <c r="G18" i="32"/>
  <c r="G41" i="32"/>
  <c r="G40" i="32"/>
  <c r="G19" i="32"/>
  <c r="L39" i="32"/>
  <c r="S54" i="9"/>
  <c r="S24" i="9"/>
  <c r="E6" i="32"/>
  <c r="H11" i="32"/>
  <c r="J32" i="16"/>
  <c r="G15" i="32"/>
  <c r="C8" i="46"/>
  <c r="C20" i="42" s="1"/>
  <c r="G16" i="32"/>
  <c r="L16" i="32"/>
  <c r="D6" i="16"/>
  <c r="D39" i="32"/>
  <c r="E32" i="32"/>
  <c r="K23" i="16"/>
  <c r="L23" i="15"/>
  <c r="C32" i="32"/>
  <c r="H32" i="32"/>
  <c r="H18" i="16"/>
  <c r="I41" i="32"/>
  <c r="I38" i="32"/>
  <c r="I16" i="32"/>
  <c r="I39" i="32"/>
  <c r="I17" i="32"/>
  <c r="I23" i="32"/>
  <c r="I25" i="32"/>
  <c r="I18" i="32"/>
  <c r="I34" i="32"/>
  <c r="I21" i="32"/>
  <c r="I33" i="32"/>
  <c r="I24" i="32"/>
  <c r="I12" i="32"/>
  <c r="I15" i="32"/>
  <c r="I11" i="32"/>
  <c r="I36" i="32"/>
  <c r="I7" i="32"/>
  <c r="I13" i="32"/>
  <c r="I40" i="32"/>
  <c r="I10" i="32"/>
  <c r="I35" i="32"/>
  <c r="I26" i="32"/>
  <c r="I22" i="32"/>
  <c r="E40" i="32"/>
  <c r="D33" i="16"/>
  <c r="D12" i="46"/>
  <c r="D18" i="42"/>
  <c r="D24" i="42" s="1"/>
  <c r="L48" i="32"/>
  <c r="C44" i="32"/>
  <c r="C43" i="32"/>
  <c r="C45" i="32"/>
  <c r="C46" i="32"/>
  <c r="K15" i="16"/>
  <c r="L15" i="15"/>
  <c r="L7" i="15"/>
  <c r="K7" i="16"/>
  <c r="D11" i="46"/>
  <c r="D23" i="42" s="1"/>
  <c r="D10" i="46"/>
  <c r="D22" i="42" s="1"/>
  <c r="L44" i="32"/>
  <c r="L45" i="32"/>
  <c r="D9" i="46"/>
  <c r="D21" i="42" s="1"/>
  <c r="S18" i="9"/>
  <c r="F41" i="32"/>
  <c r="F25" i="32"/>
  <c r="F9" i="32"/>
  <c r="F11" i="32"/>
  <c r="F33" i="32"/>
  <c r="F20" i="32"/>
  <c r="F22" i="32"/>
  <c r="F13" i="32"/>
  <c r="F38" i="32"/>
  <c r="F19" i="32"/>
  <c r="F31" i="32"/>
  <c r="F27" i="32"/>
  <c r="F6" i="32"/>
  <c r="F35" i="32"/>
  <c r="F23" i="32"/>
  <c r="F7" i="32"/>
  <c r="E47" i="32"/>
  <c r="E46" i="32"/>
  <c r="U53" i="9"/>
  <c r="V53" i="9" s="1"/>
  <c r="G30" i="16"/>
  <c r="F34" i="32"/>
  <c r="C47" i="32"/>
  <c r="K17" i="16"/>
  <c r="L17" i="15"/>
  <c r="S9" i="9"/>
  <c r="L19" i="15"/>
  <c r="K19" i="16"/>
  <c r="P6" i="32"/>
  <c r="O32" i="32"/>
  <c r="F7" i="46"/>
  <c r="F19" i="42" s="1"/>
  <c r="G7" i="43"/>
  <c r="H6" i="16"/>
  <c r="H28" i="16" s="1"/>
  <c r="J9" i="32"/>
  <c r="S12" i="9"/>
  <c r="O21" i="32"/>
  <c r="G10" i="16"/>
  <c r="G23" i="16"/>
  <c r="G26" i="16"/>
  <c r="G18" i="16"/>
  <c r="G21" i="16"/>
  <c r="G25" i="16"/>
  <c r="G24" i="16"/>
  <c r="G17" i="16"/>
  <c r="O29" i="32"/>
  <c r="E17" i="16"/>
  <c r="H31" i="16"/>
  <c r="S11" i="9"/>
  <c r="S31" i="9"/>
  <c r="M38" i="32"/>
  <c r="D43" i="32"/>
  <c r="D45" i="32"/>
  <c r="D46" i="32"/>
  <c r="M48" i="32"/>
  <c r="O31" i="32"/>
  <c r="F8" i="42"/>
  <c r="K23" i="32"/>
  <c r="L33" i="32"/>
  <c r="C18" i="16"/>
  <c r="K24" i="32"/>
  <c r="D8" i="46"/>
  <c r="D20" i="42" s="1"/>
  <c r="F8" i="32"/>
  <c r="F39" i="32"/>
  <c r="K12" i="32"/>
  <c r="E8" i="32"/>
  <c r="L12" i="15"/>
  <c r="K12" i="16"/>
  <c r="F12" i="43"/>
  <c r="L36" i="32"/>
  <c r="P38" i="32"/>
  <c r="M29" i="32"/>
  <c r="E33" i="16"/>
  <c r="D44" i="32"/>
  <c r="C10" i="46"/>
  <c r="C22" i="42" s="1"/>
  <c r="J14" i="32"/>
  <c r="L22" i="32"/>
  <c r="C13" i="42"/>
  <c r="L46" i="32"/>
  <c r="D30" i="32"/>
  <c r="F32" i="32"/>
  <c r="L11" i="15"/>
  <c r="K11" i="16"/>
  <c r="E35" i="32"/>
  <c r="R49" i="9"/>
  <c r="T53" i="9"/>
  <c r="F40" i="32"/>
  <c r="P33" i="32"/>
  <c r="O44" i="32"/>
  <c r="D36" i="32"/>
  <c r="G28" i="32"/>
  <c r="H14" i="32"/>
  <c r="M27" i="32"/>
  <c r="C34" i="32"/>
  <c r="F11" i="16"/>
  <c r="U54" i="9" l="1"/>
  <c r="V54" i="9" s="1"/>
  <c r="L15" i="16"/>
  <c r="O48" i="32"/>
  <c r="C24" i="42"/>
  <c r="C12" i="46"/>
  <c r="S42" i="9"/>
  <c r="S49" i="9" s="1"/>
  <c r="Q49" i="9"/>
  <c r="L25" i="16"/>
  <c r="L27" i="16"/>
  <c r="K28" i="16"/>
  <c r="M6" i="16"/>
  <c r="L6" i="16"/>
  <c r="F9" i="46"/>
  <c r="F21" i="42" s="1"/>
  <c r="F6" i="46"/>
  <c r="G6" i="43"/>
  <c r="G9" i="43"/>
  <c r="G33" i="16"/>
  <c r="E28" i="16"/>
  <c r="L8" i="16"/>
  <c r="L20" i="16"/>
  <c r="L12" i="16"/>
  <c r="I48" i="32"/>
  <c r="L14" i="16"/>
  <c r="G10" i="43"/>
  <c r="G8" i="43"/>
  <c r="L22" i="16"/>
  <c r="L28" i="15"/>
  <c r="L16" i="16"/>
  <c r="C48" i="32"/>
  <c r="L19" i="16"/>
  <c r="L10" i="16"/>
  <c r="L17" i="16"/>
  <c r="J10" i="16"/>
  <c r="J14" i="16"/>
  <c r="J26" i="16"/>
  <c r="J20" i="16"/>
  <c r="J6" i="16"/>
  <c r="J12" i="16"/>
  <c r="J23" i="16"/>
  <c r="J15" i="16"/>
  <c r="J24" i="16"/>
  <c r="J16" i="16"/>
  <c r="J9" i="16"/>
  <c r="J18" i="16"/>
  <c r="J27" i="16"/>
  <c r="J13" i="16"/>
  <c r="J21" i="16"/>
  <c r="J22" i="16"/>
  <c r="J11" i="16"/>
  <c r="J17" i="16"/>
  <c r="J19" i="16"/>
  <c r="J25" i="16"/>
  <c r="J7" i="16"/>
  <c r="L9" i="16"/>
  <c r="F8" i="46"/>
  <c r="F20" i="42" s="1"/>
  <c r="F10" i="46"/>
  <c r="F22" i="42" s="1"/>
  <c r="L18" i="16"/>
  <c r="D28" i="16"/>
  <c r="L7" i="16"/>
  <c r="C28" i="16"/>
  <c r="G11" i="43"/>
  <c r="D48" i="32"/>
  <c r="S52" i="9"/>
  <c r="S13" i="9"/>
  <c r="U52" i="9" s="1"/>
  <c r="V52" i="9" s="1"/>
  <c r="F28" i="16"/>
  <c r="L26" i="16"/>
  <c r="H33" i="16"/>
  <c r="L21" i="16"/>
  <c r="L23" i="16"/>
  <c r="L24" i="16"/>
  <c r="L11" i="16"/>
  <c r="F11" i="46"/>
  <c r="F23" i="42" s="1"/>
  <c r="J28" i="16" l="1"/>
  <c r="G12" i="43"/>
  <c r="F12" i="46"/>
  <c r="F18" i="42"/>
  <c r="F24" i="42" s="1"/>
</calcChain>
</file>

<file path=xl/sharedStrings.xml><?xml version="1.0" encoding="utf-8"?>
<sst xmlns="http://schemas.openxmlformats.org/spreadsheetml/2006/main" count="2115" uniqueCount="288">
  <si>
    <t>COMPANY</t>
  </si>
  <si>
    <t>APA MICRO INSURANCE</t>
  </si>
  <si>
    <t>BIRDVIEW MICRO INSURANCE</t>
  </si>
  <si>
    <t>BRITAM MICRO INSURANCE</t>
  </si>
  <si>
    <t>CIC MICRO INSURANCE</t>
  </si>
  <si>
    <t>STAR DISCOVER MICRO INSURANCE</t>
  </si>
  <si>
    <t>TURACO MICRO INSURANCE</t>
  </si>
  <si>
    <t>TOTAL</t>
  </si>
  <si>
    <t>Share Capital</t>
  </si>
  <si>
    <t xml:space="preserve">Share Premium_x000D_
</t>
  </si>
  <si>
    <t>Revaluation Reserves</t>
  </si>
  <si>
    <t>Other Equity</t>
  </si>
  <si>
    <t>Retained Earnings</t>
  </si>
  <si>
    <t>Other Reserves</t>
  </si>
  <si>
    <t xml:space="preserve">Total Equity_x000D_
</t>
  </si>
  <si>
    <t>Insurance Contract Liabilites</t>
  </si>
  <si>
    <t>Reinsurance Contract Liabilites</t>
  </si>
  <si>
    <t>Long-Term Liabilites</t>
  </si>
  <si>
    <t>Deferred tax liability</t>
  </si>
  <si>
    <t>Short-Term Liabilites</t>
  </si>
  <si>
    <t>Other Liabilites</t>
  </si>
  <si>
    <t>Total Equity And Liabilities</t>
  </si>
  <si>
    <t>Intangible Assets</t>
  </si>
  <si>
    <t>Land and Buildings</t>
  </si>
  <si>
    <t>Investment Property</t>
  </si>
  <si>
    <t>Fixed Assets</t>
  </si>
  <si>
    <t>Government Securites</t>
  </si>
  <si>
    <t>Investment In Unit Trusts</t>
  </si>
  <si>
    <t>Other Securites</t>
  </si>
  <si>
    <t>Investment in Related Parties</t>
  </si>
  <si>
    <t>Corporate Bonds</t>
  </si>
  <si>
    <t>Commercial Papers</t>
  </si>
  <si>
    <t>Debentures</t>
  </si>
  <si>
    <t>Ordinary Shares Quoted</t>
  </si>
  <si>
    <t>Ordinary Shares Unquoted</t>
  </si>
  <si>
    <t>Preference Shares Quoted</t>
  </si>
  <si>
    <t>Preference Shares Unquoted</t>
  </si>
  <si>
    <t>Loans Secured and Unsecured</t>
  </si>
  <si>
    <t>Mortgages</t>
  </si>
  <si>
    <t>Term Deposits</t>
  </si>
  <si>
    <t>Cash and Cash Balances</t>
  </si>
  <si>
    <t>Insurance Contract Assets</t>
  </si>
  <si>
    <t>Reinsurance Contract Assets</t>
  </si>
  <si>
    <t>Other Receivables</t>
  </si>
  <si>
    <t>Other Assets</t>
  </si>
  <si>
    <t>Total Assets</t>
  </si>
  <si>
    <t xml:space="preserve">Amounts in thousand Shillings                                                                                                                                                                                               </t>
  </si>
  <si>
    <t>INSURANCE REGULATORY AUTHORITY</t>
  </si>
  <si>
    <t>TYPE OF INDUSTRY STATISTICS</t>
  </si>
  <si>
    <t>Quarterly (Unaudited)</t>
  </si>
  <si>
    <t>QUARTER</t>
  </si>
  <si>
    <t xml:space="preserve"> YEAR</t>
  </si>
  <si>
    <t>PERIOD ENDED</t>
  </si>
  <si>
    <t>31.03.2026</t>
  </si>
  <si>
    <t>RELIANCE AND LIMITATIONS</t>
  </si>
  <si>
    <t>TABLE OF CONTENTS</t>
  </si>
  <si>
    <t>Link</t>
  </si>
  <si>
    <t>Description</t>
  </si>
  <si>
    <t>APPENDIX 1</t>
  </si>
  <si>
    <t>APPENDIX 2</t>
  </si>
  <si>
    <t>APPENDIX 3</t>
  </si>
  <si>
    <t>APPENDIX 4 i</t>
  </si>
  <si>
    <t>APPENDIX 4 ii</t>
  </si>
  <si>
    <t>APPENDIX 4 iii</t>
  </si>
  <si>
    <t>APPENDIX 5 i</t>
  </si>
  <si>
    <t>APPENDIX 5 ii</t>
  </si>
  <si>
    <t>APPENDIX 5 iii</t>
  </si>
  <si>
    <t>APPENDIX 5 iv</t>
  </si>
  <si>
    <t>APPENDIX 7</t>
  </si>
  <si>
    <t>APPENDIX 8</t>
  </si>
  <si>
    <t>APPENDIX 9</t>
  </si>
  <si>
    <t>APPENDIX 10</t>
  </si>
  <si>
    <t>APPENDIX 11</t>
  </si>
  <si>
    <t>APPENDIX 12</t>
  </si>
  <si>
    <t>APPENDIX 13</t>
  </si>
  <si>
    <t>APPENDIX 14</t>
  </si>
  <si>
    <t>APPENDIX 15</t>
  </si>
  <si>
    <t>APPENDIX 16</t>
  </si>
  <si>
    <t>APPENDIX 17</t>
  </si>
  <si>
    <t>APPENDIX 18</t>
  </si>
  <si>
    <t>APPENDIX 19</t>
  </si>
  <si>
    <t>APPENDIX 20</t>
  </si>
  <si>
    <t>APPENDIX 21</t>
  </si>
  <si>
    <t>APPENDIX 22</t>
  </si>
  <si>
    <t>APPENDIX 23</t>
  </si>
  <si>
    <t>APPENDIX 24</t>
  </si>
  <si>
    <t>APPENDIX 25</t>
  </si>
  <si>
    <t>Company</t>
  </si>
  <si>
    <t>Insurance Revenue</t>
  </si>
  <si>
    <t>Insurance Service Expense</t>
  </si>
  <si>
    <t>Expenses from reinsurance contracts held</t>
  </si>
  <si>
    <t>Income from reinsurance contracts held</t>
  </si>
  <si>
    <t>Net expenses from reinsurance contracts held</t>
  </si>
  <si>
    <t>Insurance Service Result</t>
  </si>
  <si>
    <t>Net Investment Income</t>
  </si>
  <si>
    <t>Finance expenses from insurance contracts</t>
  </si>
  <si>
    <t>Finance income from reinsurance contracts</t>
  </si>
  <si>
    <t xml:space="preserve">Net Financial Result </t>
  </si>
  <si>
    <t>Asset management services revenue</t>
  </si>
  <si>
    <t>Other Income</t>
  </si>
  <si>
    <t>Other finance costs</t>
  </si>
  <si>
    <t>Other operating expenses</t>
  </si>
  <si>
    <t>Share of profit of associates and joint ventures accounted for using the equity method</t>
  </si>
  <si>
    <t>Profit before income tax</t>
  </si>
  <si>
    <t>Income tax expense</t>
  </si>
  <si>
    <t>Profit for the year</t>
  </si>
  <si>
    <t>INSURERS</t>
  </si>
  <si>
    <t>AAR INSURANCE KENYA</t>
  </si>
  <si>
    <t xml:space="preserve">AFRICAN MERCHANT ASSURANCE </t>
  </si>
  <si>
    <t>APA INSURANCE LIMITED</t>
  </si>
  <si>
    <t>BRITAM GENERAL INSURANCE</t>
  </si>
  <si>
    <t>BUPA GLOBAL INSURANCE</t>
  </si>
  <si>
    <t>CANNON GENERAL INSURANCE</t>
  </si>
  <si>
    <t>CIC GENERAL INSURANCE COMPANY</t>
  </si>
  <si>
    <t>DEFINITE ASSURANCE COMPANY</t>
  </si>
  <si>
    <t>DIRECTLINE ASSURANCE COMPANY</t>
  </si>
  <si>
    <t>EQUITY GENERAL INSURANCE LIMITED</t>
  </si>
  <si>
    <t>EQUITY HEALTH INSURANCE LIMITED</t>
  </si>
  <si>
    <t xml:space="preserve">FIDELITY SHIELD INSURANCE  </t>
  </si>
  <si>
    <t>FIRST ASSURANCE COMPANY</t>
  </si>
  <si>
    <t>GA INSURANCE COMPANY</t>
  </si>
  <si>
    <t xml:space="preserve">GEMINIA INSURANCE COMPANY </t>
  </si>
  <si>
    <t>ICEA LION GENERAL INSURANCE</t>
  </si>
  <si>
    <t xml:space="preserve">INTRA-AFRICA ASSURANCE </t>
  </si>
  <si>
    <t>JUBILEE HEALTH INSURANCE</t>
  </si>
  <si>
    <t xml:space="preserve">KENINDIA ASSURANCE COMPANY </t>
  </si>
  <si>
    <t>KENYA ORIENT INSURANCE</t>
  </si>
  <si>
    <t>MADISON INSURANCE COMPANY</t>
  </si>
  <si>
    <t>MAYFAIR INSURANCE COMPANY</t>
  </si>
  <si>
    <t>MUA INSURANCE COMPANY</t>
  </si>
  <si>
    <t>NCBA INSURANCE COMPANY</t>
  </si>
  <si>
    <t xml:space="preserve">OCCIDENTAL INSURANCE COMPANY </t>
  </si>
  <si>
    <t xml:space="preserve">OLD MUTUAL GENERAL INSURANCE </t>
  </si>
  <si>
    <t>PACIS INSURANCE COMPANY</t>
  </si>
  <si>
    <t>PIONEER INSURANCE COMPANY</t>
  </si>
  <si>
    <t>SANLAM ALLIANZ GENERAL INSURANCE</t>
  </si>
  <si>
    <t>STAR DISCOVER INSURANCE</t>
  </si>
  <si>
    <t>TAKAFUL INSURANCE OF AFRICA</t>
  </si>
  <si>
    <t>TAUSI ASSURANCE COMPANY</t>
  </si>
  <si>
    <t>THE HERITAGE INSURANCE COMPANY</t>
  </si>
  <si>
    <t xml:space="preserve">THE KENYAN ALLIANCE INSURANCE </t>
  </si>
  <si>
    <t xml:space="preserve">THE MONARCH INSURANCE </t>
  </si>
  <si>
    <t>REINSURERS</t>
  </si>
  <si>
    <t>CONTINENTAL REINSURANCE</t>
  </si>
  <si>
    <t xml:space="preserve">EAST AFRICA REINSURANCE </t>
  </si>
  <si>
    <t>GHANA REINSURANCE COMPANY</t>
  </si>
  <si>
    <t>KENYA REINSURANCE CORPORATION</t>
  </si>
  <si>
    <t>WAICA REINSURANCE KENYA LIMITED</t>
  </si>
  <si>
    <t>GRAND TOTAL</t>
  </si>
  <si>
    <t>Amounts in Thousand Shillings</t>
  </si>
  <si>
    <t>ABSA LIFE ASSURANCE</t>
  </si>
  <si>
    <t xml:space="preserve">APA LIFE ASSURANCE COMPANY </t>
  </si>
  <si>
    <t>BRITAM LIFE ASSURANCE</t>
  </si>
  <si>
    <t>CANNON LIFE ASSURANCE (K) LIMITED</t>
  </si>
  <si>
    <t>CAPEX LIFE ASSURANCE COMPANY</t>
  </si>
  <si>
    <t>CIC LIFE ASSURANCE COMPANY</t>
  </si>
  <si>
    <t xml:space="preserve">EQUITY LIFE ASSURANCE </t>
  </si>
  <si>
    <t xml:space="preserve">GA LIFE ASSURANCE COMPANY </t>
  </si>
  <si>
    <t>GEMINIA LIFE INSURANCE COMPANY</t>
  </si>
  <si>
    <t xml:space="preserve">ICEA LION LIFE ASSURANCE </t>
  </si>
  <si>
    <t>JUBILEE LIFE INSURANCE</t>
  </si>
  <si>
    <t>KENINDIA ASSURANCE COMPANY</t>
  </si>
  <si>
    <t>KENYA ORIENT LIFE ASSURANCE</t>
  </si>
  <si>
    <t>LIBERTY LIFE ASSURANCE COMPANY</t>
  </si>
  <si>
    <t>OLD MUTUAL LIFE ASSURANCE KENYA</t>
  </si>
  <si>
    <t xml:space="preserve">PIONEER ASSURANCE COMPANY </t>
  </si>
  <si>
    <t>PRUDENTIAL LIFE ASSURANCE</t>
  </si>
  <si>
    <t>SANLAM LIFE ASSURANCE</t>
  </si>
  <si>
    <t>STAR DISCOVER LIFE INSURANCE</t>
  </si>
  <si>
    <t>THE KENYAN ALLIANCE INSURANCE</t>
  </si>
  <si>
    <t>THE MONARCH INSURANCE</t>
  </si>
  <si>
    <t>Statutory Reserves</t>
  </si>
  <si>
    <t>Investment Contract Liabilites</t>
  </si>
  <si>
    <t>Investment in Unit Trust</t>
  </si>
  <si>
    <t xml:space="preserve">Amounts in Thousand Shillings                                                                                                                                                                                         </t>
  </si>
  <si>
    <t>Continued next page</t>
  </si>
  <si>
    <t>Continued from previous page</t>
  </si>
  <si>
    <t>Industry</t>
  </si>
  <si>
    <t>Insurers</t>
  </si>
  <si>
    <t>Reinsurers</t>
  </si>
  <si>
    <t>Total</t>
  </si>
  <si>
    <t>Life</t>
  </si>
  <si>
    <t>General</t>
  </si>
  <si>
    <t>Micro</t>
  </si>
  <si>
    <t>Microinsurers</t>
  </si>
  <si>
    <t>Equity</t>
  </si>
  <si>
    <t>Assets</t>
  </si>
  <si>
    <t>Investments</t>
  </si>
  <si>
    <t>Share Premium</t>
  </si>
  <si>
    <t>Revaluation Reserve</t>
  </si>
  <si>
    <t xml:space="preserve">Amounts in Thousand Shillings                                                                                                                                                                                               </t>
  </si>
  <si>
    <t>Life Assurances</t>
  </si>
  <si>
    <t>Annuities</t>
  </si>
  <si>
    <t>Personal Pensions</t>
  </si>
  <si>
    <t>Deposit Administration</t>
  </si>
  <si>
    <t>Group Life</t>
  </si>
  <si>
    <t>Group Credit</t>
  </si>
  <si>
    <t xml:space="preserve">Permanent Health </t>
  </si>
  <si>
    <t>Market Share (%)</t>
  </si>
  <si>
    <t>Pensions</t>
  </si>
  <si>
    <t>Figures in %</t>
  </si>
  <si>
    <t>Life Fund BF</t>
  </si>
  <si>
    <t>Gross Premium</t>
  </si>
  <si>
    <t xml:space="preserve">Net Premium </t>
  </si>
  <si>
    <t>Other (Fee) Income</t>
  </si>
  <si>
    <t>Total Benefits</t>
  </si>
  <si>
    <t>Claims</t>
  </si>
  <si>
    <t>Surrenders_x000D_</t>
  </si>
  <si>
    <t>Bonuses Paid</t>
  </si>
  <si>
    <t>Annuities Paid</t>
  </si>
  <si>
    <t>Net Commisions</t>
  </si>
  <si>
    <t xml:space="preserve">Expense of Management </t>
  </si>
  <si>
    <t>Investment Income</t>
  </si>
  <si>
    <t>Investment Expenses</t>
  </si>
  <si>
    <t>Transfer To (From) P &amp; L</t>
  </si>
  <si>
    <t>Life Fund CF</t>
  </si>
  <si>
    <t xml:space="preserve">Aviation </t>
  </si>
  <si>
    <t>Engineering</t>
  </si>
  <si>
    <t>Fire Domestic</t>
  </si>
  <si>
    <t>Fire Industrial</t>
  </si>
  <si>
    <t>Liability</t>
  </si>
  <si>
    <t>Marine</t>
  </si>
  <si>
    <t>Motor Private</t>
  </si>
  <si>
    <t>Motor Commercial</t>
  </si>
  <si>
    <t>Motor Commercial PSV</t>
  </si>
  <si>
    <t>Personal Accident</t>
  </si>
  <si>
    <t>Theft</t>
  </si>
  <si>
    <t>Workmens' Compensation</t>
  </si>
  <si>
    <t>Medical</t>
  </si>
  <si>
    <t>Miscellaneous</t>
  </si>
  <si>
    <t xml:space="preserve">Total_x000D_
</t>
  </si>
  <si>
    <t xml:space="preserve">TOTAL </t>
  </si>
  <si>
    <t>figures in %</t>
  </si>
  <si>
    <t>Ratios</t>
  </si>
  <si>
    <t xml:space="preserve">Gross Direct Premium </t>
  </si>
  <si>
    <t>Inward Reinsurance</t>
  </si>
  <si>
    <t xml:space="preserve">Outward Reinsurance </t>
  </si>
  <si>
    <t>Net Premium Written</t>
  </si>
  <si>
    <t>UPR B/F</t>
  </si>
  <si>
    <t xml:space="preserve"> Unexpired Risk Reserve (B/F) </t>
  </si>
  <si>
    <t xml:space="preserve">UPR C/F_x000D_
</t>
  </si>
  <si>
    <t>Net Earned Premium Income</t>
  </si>
  <si>
    <t>Incurred Claims</t>
  </si>
  <si>
    <t>Underwriting Profit /(Loss)</t>
  </si>
  <si>
    <t xml:space="preserve">Operating Profit_x000D_
</t>
  </si>
  <si>
    <t>SUMMARY OF GROSS PREMIUM INCOME</t>
  </si>
  <si>
    <t>SUMMARY OF CLAIMS PAID</t>
  </si>
  <si>
    <t>Bundled</t>
  </si>
  <si>
    <t>SUMMARY OF MARKET SHARE PER CLASS OF BUSINESS</t>
  </si>
  <si>
    <t>SUMMARY OF UNDERWRITING PROFITS</t>
  </si>
  <si>
    <t>(%)</t>
  </si>
  <si>
    <t>SUMMARY OF INCURRED CLAIMS RATIOS</t>
  </si>
  <si>
    <t>SUMMARY OF INCURRED CLAIMS</t>
  </si>
  <si>
    <t xml:space="preserve">Average
</t>
  </si>
  <si>
    <t xml:space="preserve">Amounts in Thousand Shillings unless otherwise stated </t>
  </si>
  <si>
    <t>Details_Range</t>
  </si>
  <si>
    <t>Appendix_1_Range</t>
  </si>
  <si>
    <t>Appendix_2_Range</t>
  </si>
  <si>
    <t>Appendix_3_Range</t>
  </si>
  <si>
    <t>Appendix_4_Range</t>
  </si>
  <si>
    <t>Appendix_5_Range</t>
  </si>
  <si>
    <t>Appendix_6_Range</t>
  </si>
  <si>
    <t>Appendix_7_Range</t>
  </si>
  <si>
    <t>Appendix_8_Range</t>
  </si>
  <si>
    <t>Appendix_9_Range</t>
  </si>
  <si>
    <t>Appendix_10_Range</t>
  </si>
  <si>
    <t>Appendix_11_Range</t>
  </si>
  <si>
    <t>Appendix_12_Range</t>
  </si>
  <si>
    <t>Appendix_13_Range</t>
  </si>
  <si>
    <t>Appendix_14_Range</t>
  </si>
  <si>
    <t>Appendix_15_Range</t>
  </si>
  <si>
    <t>Appendix_16_Range</t>
  </si>
  <si>
    <t>Appendix_17_Range</t>
  </si>
  <si>
    <t>Appendix_18_Range</t>
  </si>
  <si>
    <t>Appendix_19_Range</t>
  </si>
  <si>
    <t>Appendix_20_Range</t>
  </si>
  <si>
    <t>Appendix_21_Range</t>
  </si>
  <si>
    <t>Appendix_22_Range</t>
  </si>
  <si>
    <t>Appendix_23i_Range</t>
  </si>
  <si>
    <t>Appendix_23ii_Range</t>
  </si>
  <si>
    <t>Appendix_23iii_Range</t>
  </si>
  <si>
    <t>Appendix_24i_Range</t>
  </si>
  <si>
    <t>Appendix_24ii_Range</t>
  </si>
  <si>
    <t>Appendix_24iii_Range</t>
  </si>
  <si>
    <t>Appendix_24iv_Range</t>
  </si>
  <si>
    <t>Appendix_25i_Range</t>
  </si>
  <si>
    <t>The insurance information contained in this workbook has been extracted from the quarterly unaudited returns submitted to the Authority in line with Section 54 of the Insurance Act. No adjustments have been made to the returns’ data except where necessary in consultation with the affected insurer(s) or reinsurer(s).
The publication of any summary of the returns in this report does not necessarily mean that the returns so summarized have satisfied all the requirements of the Insurance Act, or that the Commissioner of Insurance approves the accuracy or the contents of the returns
Where necessary, figures have been adjusted to eliminate errors in totals due to rounding off, and are given in thousands Kenya Shillings (‘000’ KES) except where otherwise stated. The report incorporates data from all insurers and reinsurers except for, Definite Assurance Company, The Kenyan Alliance Insurance Company Limited- General, The Monarch Insurance Company Limited- General,  The Kenyan Alliance Insurance Company Limited- Life, The Monarch Insurance Company Limited-Life, Star Discover Micro Insurance Limited and Birdview Micro Insurance  due to non-compliance with the submission requirements</t>
  </si>
  <si>
    <t>APPENDIX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</si>
</sst>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_);_(* \(\ #,##0\ \);_(* &quot;-&quot;??_);_(\ @_ \)"/>
    <numFmt numFmtId="165" formatCode="_(* #,##0_);_(* \(#,##0\);_(* &quot;-&quot;??_);_(@_)"/>
    <numFmt numFmtId="166" formatCode="_(* #,##0.00_);_(* \(\ #,##0.00\ \);_(* &quot;-&quot;??_);_(\ @_ \)"/>
    <numFmt numFmtId="167" formatCode="_-* #,##0_-;\-* #,##0_-;_-* &quot;-&quot;??_-;_-@_-"/>
    <numFmt numFmtId="168" formatCode="0.0"/>
  </numFmts>
  <fonts count="60" x14ac:knownFonts="1">
    <font>
      <sz val="11"/>
      <color theme="1"/>
      <name val="Calibri"/>
      <family val="2"/>
      <scheme val="minor"/>
    </font>
    <font>
      <sz val="11"/>
      <color theme="1"/>
      <name val="Calibri"/>
      <family val="2"/>
      <scheme val="minor"/>
    </font>
    <font>
      <b/>
      <sz val="11"/>
      <color theme="1"/>
      <name val="Calibri"/>
      <family val="2"/>
      <scheme val="minor"/>
    </font>
    <font>
      <b/>
      <sz val="11"/>
      <name val="Bookman Old Style"/>
      <family val="1"/>
    </font>
    <font>
      <b/>
      <sz val="10"/>
      <name val="Bookman Old Style"/>
      <family val="1"/>
    </font>
    <font>
      <b/>
      <sz val="9"/>
      <name val="Bookman Old Style"/>
      <family val="1"/>
    </font>
    <font>
      <sz val="10"/>
      <color indexed="8"/>
      <name val="Bookman Old Style"/>
      <family val="1"/>
    </font>
    <font>
      <b/>
      <sz val="10"/>
      <color indexed="8"/>
      <name val="Bookman Old Style"/>
      <family val="1"/>
    </font>
    <font>
      <sz val="11"/>
      <color theme="1"/>
      <name val="Bookman Old Style"/>
      <family val="1"/>
    </font>
    <font>
      <b/>
      <sz val="11"/>
      <color theme="1"/>
      <name val="Bookman Old Style"/>
      <family val="1"/>
    </font>
    <font>
      <i/>
      <sz val="11"/>
      <color theme="1"/>
      <name val="Bookman Old Style"/>
      <family val="1"/>
    </font>
    <font>
      <sz val="10"/>
      <color theme="1"/>
      <name val="Bookman Old Style"/>
      <family val="1"/>
    </font>
    <font>
      <sz val="11"/>
      <name val="Bookman Old Style"/>
      <family val="1"/>
    </font>
    <font>
      <u/>
      <sz val="11"/>
      <color theme="10"/>
      <name val="Calibri"/>
      <family val="2"/>
      <scheme val="minor"/>
    </font>
    <font>
      <b/>
      <i/>
      <sz val="24"/>
      <color theme="4"/>
      <name val="Bookman Old Style"/>
      <family val="1"/>
    </font>
    <font>
      <b/>
      <i/>
      <sz val="24"/>
      <color rgb="FF996633"/>
      <name val="Bookman Old Style"/>
      <family val="1"/>
    </font>
    <font>
      <b/>
      <sz val="12"/>
      <color theme="1"/>
      <name val="Bookman Old Style"/>
      <family val="1"/>
    </font>
    <font>
      <b/>
      <sz val="18"/>
      <color theme="1"/>
      <name val="Bookman Old Style"/>
      <family val="1"/>
    </font>
    <font>
      <sz val="11"/>
      <color indexed="8"/>
      <name val="Bookman Old Style"/>
      <family val="1"/>
    </font>
    <font>
      <b/>
      <sz val="11"/>
      <color indexed="8"/>
      <name val="Bookman Old Style"/>
      <family val="1"/>
    </font>
    <font>
      <b/>
      <sz val="20"/>
      <color theme="1"/>
      <name val="Bookman Old Style"/>
      <family val="1"/>
    </font>
    <font>
      <b/>
      <sz val="14"/>
      <color rgb="FF76B531"/>
      <name val="Bookman Old Style"/>
      <family val="1"/>
    </font>
    <font>
      <b/>
      <i/>
      <sz val="16"/>
      <color rgb="FF946D20"/>
      <name val="Bookman Old Style"/>
      <family val="1"/>
    </font>
    <font>
      <u/>
      <sz val="11"/>
      <color theme="1"/>
      <name val="Bookman Old Style"/>
      <family val="1"/>
    </font>
    <font>
      <i/>
      <sz val="11"/>
      <color theme="1"/>
      <name val="Calibri"/>
      <family val="2"/>
      <scheme val="minor"/>
    </font>
    <font>
      <i/>
      <sz val="11"/>
      <color indexed="8"/>
      <name val="Bookman Old Style"/>
      <family val="1"/>
    </font>
    <font>
      <sz val="10"/>
      <name val="Tahoma"/>
      <family val="2"/>
    </font>
    <font>
      <sz val="11"/>
      <color theme="1" tint="0.14999847407452621"/>
      <name val="Calibri"/>
      <family val="2"/>
      <scheme val="minor"/>
    </font>
    <font>
      <b/>
      <sz val="12"/>
      <name val="Bookman Old Style"/>
      <family val="1"/>
    </font>
    <font>
      <sz val="12"/>
      <color indexed="8"/>
      <name val="Bookman Old Style"/>
      <family val="1"/>
    </font>
    <font>
      <b/>
      <sz val="12"/>
      <color indexed="8"/>
      <name val="Bookman Old Style"/>
      <family val="1"/>
    </font>
    <font>
      <i/>
      <sz val="12"/>
      <color indexed="8"/>
      <name val="Bookman Old Style"/>
      <family val="1"/>
    </font>
    <font>
      <i/>
      <sz val="12"/>
      <color theme="1"/>
      <name val="Bookman Old Style"/>
      <family val="1"/>
    </font>
    <font>
      <sz val="12"/>
      <color theme="1"/>
      <name val="Bookman Old Style"/>
      <family val="1"/>
    </font>
    <font>
      <b/>
      <sz val="16"/>
      <name val="Bookman Old Style"/>
      <family val="1"/>
    </font>
    <font>
      <sz val="12"/>
      <name val="Bookman Old Style"/>
      <family val="1"/>
    </font>
    <font>
      <sz val="12"/>
      <color theme="1"/>
      <name val="Calibri"/>
      <family val="2"/>
      <scheme val="minor"/>
    </font>
    <font>
      <b/>
      <sz val="12"/>
      <color indexed="63"/>
      <name val="Bookman Old Style"/>
      <family val="1"/>
    </font>
    <font>
      <sz val="12"/>
      <color theme="1"/>
      <name val="Arial"/>
      <family val="2"/>
    </font>
    <font>
      <b/>
      <sz val="12"/>
      <color theme="1"/>
      <name val="Arial"/>
      <family val="2"/>
    </font>
    <font>
      <b/>
      <sz val="12"/>
      <color theme="1"/>
      <name val="Calibri"/>
      <family val="2"/>
      <scheme val="minor"/>
    </font>
    <font>
      <sz val="12"/>
      <color indexed="63"/>
      <name val="Bookman Old Style"/>
      <family val="1"/>
    </font>
    <font>
      <b/>
      <sz val="10"/>
      <color theme="1"/>
      <name val="Arial"/>
      <family val="2"/>
    </font>
    <font>
      <sz val="15"/>
      <color theme="1"/>
      <name val="Calibri"/>
      <family val="2"/>
      <scheme val="minor"/>
    </font>
    <font>
      <b/>
      <sz val="15"/>
      <color indexed="8"/>
      <name val="Bookman Old Style"/>
      <family val="1"/>
    </font>
    <font>
      <sz val="15"/>
      <color indexed="8"/>
      <name val="Bookman Old Style"/>
      <family val="1"/>
    </font>
    <font>
      <i/>
      <sz val="15"/>
      <color indexed="8"/>
      <name val="Bookman Old Style"/>
      <family val="1"/>
    </font>
    <font>
      <b/>
      <sz val="17"/>
      <color indexed="63"/>
      <name val="Bookman Old Style"/>
      <family val="1"/>
    </font>
    <font>
      <sz val="17"/>
      <color theme="1"/>
      <name val="Calibri"/>
      <family val="2"/>
      <scheme val="minor"/>
    </font>
    <font>
      <sz val="17"/>
      <color theme="1"/>
      <name val="Bookman Old Style"/>
      <family val="1"/>
    </font>
    <font>
      <b/>
      <sz val="17"/>
      <name val="Bookman Old Style"/>
      <family val="1"/>
    </font>
    <font>
      <b/>
      <sz val="17"/>
      <color theme="1"/>
      <name val="Bookman Old Style"/>
      <family val="1"/>
    </font>
    <font>
      <i/>
      <sz val="17"/>
      <color theme="1"/>
      <name val="Bookman Old Style"/>
      <family val="1"/>
    </font>
    <font>
      <b/>
      <i/>
      <sz val="17"/>
      <color theme="1"/>
      <name val="Bookman Old Style"/>
      <family val="1"/>
    </font>
    <font>
      <sz val="17"/>
      <color theme="1"/>
      <name val="Arial"/>
      <family val="2"/>
    </font>
    <font>
      <i/>
      <sz val="17"/>
      <color indexed="8"/>
      <name val="Bookman Old Style"/>
      <family val="1"/>
    </font>
    <font>
      <i/>
      <sz val="17"/>
      <color theme="1"/>
      <name val="Calibri"/>
      <family val="2"/>
      <scheme val="minor"/>
    </font>
    <font>
      <b/>
      <sz val="17"/>
      <color theme="1"/>
      <name val="Calibri"/>
      <family val="2"/>
      <scheme val="minor"/>
    </font>
    <font>
      <b/>
      <sz val="14"/>
      <name val="Bookman Old Style"/>
      <family val="1"/>
    </font>
    <font>
      <b/>
      <sz val="14"/>
      <color indexed="8"/>
      <name val="Bookman Old Style"/>
      <family val="1"/>
    </font>
  </fonts>
  <fills count="15">
    <fill>
      <patternFill patternType="none"/>
    </fill>
    <fill>
      <patternFill patternType="gray125"/>
    </fill>
    <fill>
      <patternFill patternType="solid">
        <fgColor indexed="1"/>
        <bgColor indexed="1"/>
      </patternFill>
    </fill>
    <fill>
      <patternFill patternType="solid">
        <fgColor indexed="9"/>
        <bgColor indexed="9"/>
      </patternFill>
    </fill>
    <fill>
      <patternFill patternType="solid">
        <fgColor theme="0"/>
        <bgColor indexed="64"/>
      </patternFill>
    </fill>
    <fill>
      <patternFill patternType="solid">
        <fgColor rgb="FFA2D668"/>
        <bgColor indexed="64"/>
      </patternFill>
    </fill>
    <fill>
      <patternFill patternType="solid">
        <fgColor rgb="FFF0A73C"/>
        <bgColor indexed="64"/>
      </patternFill>
    </fill>
    <fill>
      <patternFill patternType="solid">
        <fgColor rgb="FFABDB77"/>
        <bgColor indexed="64"/>
      </patternFill>
    </fill>
    <fill>
      <patternFill patternType="solid">
        <fgColor rgb="FFF0A73C"/>
        <bgColor indexed="1"/>
      </patternFill>
    </fill>
    <fill>
      <patternFill patternType="solid">
        <fgColor rgb="FFABDB77"/>
        <bgColor indexed="1"/>
      </patternFill>
    </fill>
    <fill>
      <patternFill patternType="solid">
        <fgColor theme="0"/>
        <bgColor indexed="1"/>
      </patternFill>
    </fill>
    <fill>
      <patternFill patternType="solid">
        <fgColor rgb="FFFFC000"/>
        <bgColor indexed="64"/>
      </patternFill>
    </fill>
    <fill>
      <patternFill patternType="solid">
        <fgColor rgb="FFFFC000"/>
        <bgColor indexed="9"/>
      </patternFill>
    </fill>
    <fill>
      <patternFill patternType="solid">
        <fgColor rgb="FFFFC000"/>
        <bgColor indexed="1"/>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rgb="FFA87C24"/>
      </left>
      <right/>
      <top style="double">
        <color rgb="FFA87C24"/>
      </top>
      <bottom/>
      <diagonal/>
    </border>
    <border>
      <left/>
      <right style="double">
        <color rgb="FFA87C24"/>
      </right>
      <top style="double">
        <color rgb="FFA87C24"/>
      </top>
      <bottom/>
      <diagonal/>
    </border>
    <border>
      <left style="double">
        <color rgb="FFA87C24"/>
      </left>
      <right/>
      <top/>
      <bottom/>
      <diagonal/>
    </border>
    <border>
      <left/>
      <right style="double">
        <color rgb="FFA87C24"/>
      </right>
      <top/>
      <bottom/>
      <diagonal/>
    </border>
    <border>
      <left style="double">
        <color rgb="FFA87C24"/>
      </left>
      <right/>
      <top style="thick">
        <color rgb="FFA87C24"/>
      </top>
      <bottom style="thick">
        <color rgb="FFA87C24"/>
      </bottom>
      <diagonal/>
    </border>
    <border>
      <left style="medium">
        <color rgb="FFA87C24"/>
      </left>
      <right style="double">
        <color rgb="FFA87C24"/>
      </right>
      <top style="thick">
        <color rgb="FFA87C24"/>
      </top>
      <bottom style="thick">
        <color rgb="FFA87C24"/>
      </bottom>
      <diagonal/>
    </border>
    <border>
      <left style="thick">
        <color rgb="FFA87C24"/>
      </left>
      <right style="double">
        <color rgb="FFA87C24"/>
      </right>
      <top style="thick">
        <color rgb="FFA87C24"/>
      </top>
      <bottom/>
      <diagonal/>
    </border>
    <border>
      <left style="thick">
        <color rgb="FFA87C24"/>
      </left>
      <right style="double">
        <color rgb="FFA87C24"/>
      </right>
      <top/>
      <bottom/>
      <diagonal/>
    </border>
    <border>
      <left style="thick">
        <color rgb="FFA87C24"/>
      </left>
      <right style="double">
        <color rgb="FFA87C24"/>
      </right>
      <top/>
      <bottom style="double">
        <color rgb="FFA87C24"/>
      </bottom>
      <diagonal/>
    </border>
    <border>
      <left style="thick">
        <color rgb="FFA87C24"/>
      </left>
      <right style="thick">
        <color rgb="FFA87C24"/>
      </right>
      <top/>
      <bottom/>
      <diagonal/>
    </border>
    <border>
      <left/>
      <right/>
      <top style="double">
        <color rgb="FFC7932B"/>
      </top>
      <bottom/>
      <diagonal/>
    </border>
    <border>
      <left/>
      <right/>
      <top style="medium">
        <color rgb="FFC7932B"/>
      </top>
      <bottom style="double">
        <color rgb="FFC7932B"/>
      </bottom>
      <diagonal/>
    </border>
    <border>
      <left/>
      <right style="medium">
        <color rgb="FFC7932B"/>
      </right>
      <top style="medium">
        <color rgb="FFC7932B"/>
      </top>
      <bottom style="double">
        <color rgb="FFC7932B"/>
      </bottom>
      <diagonal/>
    </border>
    <border>
      <left/>
      <right style="medium">
        <color rgb="FFC7932B"/>
      </right>
      <top style="double">
        <color rgb="FFC7932B"/>
      </top>
      <bottom/>
      <diagonal/>
    </border>
    <border>
      <left style="medium">
        <color rgb="FFC7932B"/>
      </left>
      <right/>
      <top/>
      <bottom/>
      <diagonal/>
    </border>
    <border>
      <left/>
      <right style="medium">
        <color rgb="FFC7932B"/>
      </right>
      <top/>
      <bottom/>
      <diagonal/>
    </border>
    <border>
      <left style="medium">
        <color rgb="FFC7932B"/>
      </left>
      <right/>
      <top/>
      <bottom style="medium">
        <color rgb="FFC7932B"/>
      </bottom>
      <diagonal/>
    </border>
    <border>
      <left/>
      <right/>
      <top/>
      <bottom style="medium">
        <color rgb="FFC7932B"/>
      </bottom>
      <diagonal/>
    </border>
    <border>
      <left/>
      <right style="medium">
        <color rgb="FFC7932B"/>
      </right>
      <top/>
      <bottom style="medium">
        <color rgb="FFC7932B"/>
      </bottom>
      <diagonal/>
    </border>
    <border>
      <left/>
      <right/>
      <top style="double">
        <color indexed="64"/>
      </top>
      <bottom/>
      <diagonal/>
    </border>
    <border>
      <left/>
      <right/>
      <top style="thick">
        <color rgb="FFA87C24"/>
      </top>
      <bottom/>
      <diagonal/>
    </border>
    <border>
      <left style="medium">
        <color rgb="FFC7932B"/>
      </left>
      <right style="medium">
        <color rgb="FFC7932B"/>
      </right>
      <top style="medium">
        <color rgb="FFC7932B"/>
      </top>
      <bottom style="double">
        <color rgb="FFC7932B"/>
      </bottom>
      <diagonal/>
    </border>
    <border>
      <left style="medium">
        <color rgb="FFC7932B"/>
      </left>
      <right style="medium">
        <color rgb="FFC7932B"/>
      </right>
      <top style="double">
        <color rgb="FFC7932B"/>
      </top>
      <bottom style="medium">
        <color rgb="FFC7932B"/>
      </bottom>
      <diagonal/>
    </border>
    <border>
      <left style="double">
        <color rgb="FFA87C24"/>
      </left>
      <right style="double">
        <color rgb="FFA87C2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9">
    <xf numFmtId="0" fontId="0" fillId="0" borderId="0"/>
    <xf numFmtId="43" fontId="1" fillId="0" borderId="0"/>
    <xf numFmtId="0" fontId="26" fillId="0" borderId="0"/>
    <xf numFmtId="43" fontId="1" fillId="0" borderId="0"/>
    <xf numFmtId="0" fontId="13" fillId="0" borderId="0"/>
    <xf numFmtId="41" fontId="1" fillId="0" borderId="0"/>
    <xf numFmtId="0" fontId="26" fillId="0" borderId="0"/>
    <xf numFmtId="166" fontId="26" fillId="0" borderId="0"/>
    <xf numFmtId="43" fontId="1" fillId="0" borderId="0"/>
  </cellStyleXfs>
  <cellXfs count="385">
    <xf numFmtId="0" fontId="0" fillId="0" borderId="0" xfId="0"/>
    <xf numFmtId="0" fontId="2" fillId="0" borderId="0" xfId="0" applyFont="1"/>
    <xf numFmtId="0" fontId="8" fillId="0" borderId="0" xfId="0" applyFont="1"/>
    <xf numFmtId="0" fontId="8" fillId="0" borderId="1" xfId="0" applyFont="1" applyBorder="1"/>
    <xf numFmtId="0" fontId="6" fillId="2" borderId="1" xfId="0" applyFont="1" applyFill="1" applyBorder="1"/>
    <xf numFmtId="0" fontId="9" fillId="0" borderId="0" xfId="0" applyFont="1"/>
    <xf numFmtId="0" fontId="6" fillId="0" borderId="1" xfId="0" applyFont="1" applyBorder="1" applyAlignment="1">
      <alignment wrapText="1"/>
    </xf>
    <xf numFmtId="0" fontId="0" fillId="4" borderId="0" xfId="0" applyFill="1"/>
    <xf numFmtId="0" fontId="0" fillId="4" borderId="8" xfId="0" applyFill="1" applyBorder="1"/>
    <xf numFmtId="0" fontId="0" fillId="4" borderId="10" xfId="0" applyFill="1" applyBorder="1"/>
    <xf numFmtId="0" fontId="0" fillId="4" borderId="11" xfId="0" applyFill="1" applyBorder="1"/>
    <xf numFmtId="0" fontId="0" fillId="4" borderId="9" xfId="0" applyFill="1" applyBorder="1"/>
    <xf numFmtId="0" fontId="0" fillId="4" borderId="12" xfId="0" applyFill="1" applyBorder="1"/>
    <xf numFmtId="0" fontId="14" fillId="4" borderId="0" xfId="0" applyFont="1" applyFill="1"/>
    <xf numFmtId="0" fontId="15" fillId="4" borderId="0" xfId="0" applyFont="1" applyFill="1"/>
    <xf numFmtId="0" fontId="9" fillId="4" borderId="0" xfId="0" applyFont="1" applyFill="1"/>
    <xf numFmtId="0" fontId="0" fillId="4" borderId="14" xfId="0" applyFill="1" applyBorder="1"/>
    <xf numFmtId="0" fontId="0" fillId="4" borderId="15" xfId="0" applyFill="1" applyBorder="1"/>
    <xf numFmtId="0" fontId="0" fillId="4" borderId="16" xfId="0" applyFill="1" applyBorder="1"/>
    <xf numFmtId="0" fontId="17" fillId="4" borderId="0" xfId="0" applyFont="1" applyFill="1" applyAlignment="1">
      <alignment horizontal="left" indent="17"/>
    </xf>
    <xf numFmtId="0" fontId="0" fillId="4" borderId="0" xfId="0" applyFill="1" applyAlignment="1">
      <alignment horizontal="left" indent="17"/>
    </xf>
    <xf numFmtId="0" fontId="9" fillId="4" borderId="0" xfId="0" applyFont="1" applyFill="1" applyAlignment="1">
      <alignment horizontal="left"/>
    </xf>
    <xf numFmtId="0" fontId="16" fillId="5" borderId="13" xfId="0" applyFont="1" applyFill="1" applyBorder="1" applyAlignment="1">
      <alignment horizontal="center" vertical="center"/>
    </xf>
    <xf numFmtId="0" fontId="9" fillId="0" borderId="21" xfId="0" applyFont="1" applyBorder="1"/>
    <xf numFmtId="0" fontId="9" fillId="0" borderId="22" xfId="0" applyFont="1" applyBorder="1"/>
    <xf numFmtId="0" fontId="9" fillId="6" borderId="1" xfId="0" applyFont="1" applyFill="1" applyBorder="1"/>
    <xf numFmtId="0" fontId="3" fillId="0" borderId="1" xfId="0" applyFont="1" applyBorder="1" applyAlignment="1">
      <alignment wrapText="1"/>
    </xf>
    <xf numFmtId="0" fontId="3" fillId="0" borderId="1" xfId="0" applyFont="1" applyBorder="1" applyAlignment="1">
      <alignment horizontal="center" wrapText="1"/>
    </xf>
    <xf numFmtId="164" fontId="18" fillId="0" borderId="1" xfId="1" applyNumberFormat="1" applyFont="1" applyBorder="1" applyAlignment="1">
      <alignment horizontal="right" wrapText="1"/>
    </xf>
    <xf numFmtId="0" fontId="11" fillId="0" borderId="23" xfId="0" applyFont="1" applyBorder="1" applyAlignment="1">
      <alignment horizontal="left"/>
    </xf>
    <xf numFmtId="0" fontId="11" fillId="0" borderId="24" xfId="0" applyFont="1" applyBorder="1" applyAlignment="1">
      <alignment horizontal="left"/>
    </xf>
    <xf numFmtId="0" fontId="11" fillId="0" borderId="25" xfId="0" applyFont="1" applyBorder="1" applyAlignment="1">
      <alignment horizontal="left"/>
    </xf>
    <xf numFmtId="0" fontId="8" fillId="0" borderId="9" xfId="0" applyFont="1" applyBorder="1"/>
    <xf numFmtId="0" fontId="8" fillId="0" borderId="17" xfId="0" applyFont="1" applyBorder="1"/>
    <xf numFmtId="0" fontId="8" fillId="0" borderId="18" xfId="0" applyFont="1" applyBorder="1"/>
    <xf numFmtId="0" fontId="2" fillId="0" borderId="0" xfId="0" applyFont="1" applyAlignment="1">
      <alignment wrapText="1"/>
    </xf>
    <xf numFmtId="0" fontId="16" fillId="6" borderId="13" xfId="0" applyFont="1" applyFill="1" applyBorder="1" applyAlignment="1">
      <alignment horizontal="center" vertical="center"/>
    </xf>
    <xf numFmtId="0" fontId="18" fillId="0" borderId="1" xfId="0" applyFont="1" applyBorder="1" applyAlignment="1">
      <alignment wrapText="1"/>
    </xf>
    <xf numFmtId="0" fontId="19" fillId="6" borderId="1" xfId="0" applyFont="1" applyFill="1" applyBorder="1" applyAlignment="1">
      <alignment wrapText="1"/>
    </xf>
    <xf numFmtId="164" fontId="19" fillId="6" borderId="1" xfId="1" applyNumberFormat="1" applyFont="1" applyFill="1" applyBorder="1" applyAlignment="1">
      <alignment horizontal="right" wrapText="1"/>
    </xf>
    <xf numFmtId="164" fontId="19" fillId="0" borderId="1" xfId="1" applyNumberFormat="1" applyFont="1" applyBorder="1" applyAlignment="1">
      <alignment horizontal="right" wrapText="1"/>
    </xf>
    <xf numFmtId="0" fontId="8" fillId="0" borderId="0" xfId="0" applyFont="1" applyAlignment="1">
      <alignment horizontal="center" vertical="center"/>
    </xf>
    <xf numFmtId="41" fontId="0" fillId="0" borderId="0" xfId="5" applyFont="1"/>
    <xf numFmtId="0" fontId="18" fillId="0" borderId="1" xfId="0" applyFont="1" applyBorder="1"/>
    <xf numFmtId="0" fontId="3" fillId="0" borderId="1" xfId="0" applyFont="1" applyBorder="1" applyAlignment="1">
      <alignment horizontal="center"/>
    </xf>
    <xf numFmtId="164" fontId="18" fillId="2" borderId="1" xfId="1" applyNumberFormat="1" applyFont="1" applyFill="1" applyBorder="1" applyAlignment="1">
      <alignment horizontal="right" wrapText="1"/>
    </xf>
    <xf numFmtId="164" fontId="19" fillId="2" borderId="1" xfId="1" applyNumberFormat="1" applyFont="1" applyFill="1" applyBorder="1" applyAlignment="1">
      <alignment horizontal="right" wrapText="1"/>
    </xf>
    <xf numFmtId="164" fontId="19" fillId="8" borderId="1" xfId="1" applyNumberFormat="1" applyFont="1" applyFill="1" applyBorder="1" applyAlignment="1">
      <alignment horizontal="right" wrapText="1"/>
    </xf>
    <xf numFmtId="0" fontId="8" fillId="0" borderId="0" xfId="6" applyFont="1"/>
    <xf numFmtId="0" fontId="9" fillId="0" borderId="0" xfId="6" applyFont="1"/>
    <xf numFmtId="0" fontId="3" fillId="0" borderId="1" xfId="6" applyFont="1" applyBorder="1" applyAlignment="1">
      <alignment wrapText="1"/>
    </xf>
    <xf numFmtId="0" fontId="5" fillId="0" borderId="1" xfId="6" applyFont="1" applyBorder="1" applyAlignment="1">
      <alignment horizontal="center" wrapText="1"/>
    </xf>
    <xf numFmtId="0" fontId="5" fillId="0" borderId="1" xfId="6" applyFont="1" applyBorder="1" applyAlignment="1">
      <alignment horizontal="center"/>
    </xf>
    <xf numFmtId="0" fontId="4" fillId="0" borderId="1" xfId="6" applyFont="1" applyBorder="1" applyAlignment="1">
      <alignment horizontal="center" wrapText="1"/>
    </xf>
    <xf numFmtId="0" fontId="8" fillId="0" borderId="0" xfId="6" applyFont="1" applyAlignment="1">
      <alignment wrapText="1"/>
    </xf>
    <xf numFmtId="0" fontId="8" fillId="0" borderId="1" xfId="6" applyFont="1" applyBorder="1"/>
    <xf numFmtId="165" fontId="6" fillId="2" borderId="1" xfId="7" applyNumberFormat="1" applyFont="1" applyFill="1" applyBorder="1" applyAlignment="1">
      <alignment horizontal="right" wrapText="1"/>
    </xf>
    <xf numFmtId="165" fontId="7" fillId="2" borderId="1" xfId="7" applyNumberFormat="1" applyFont="1" applyFill="1" applyBorder="1" applyAlignment="1">
      <alignment horizontal="right" wrapText="1"/>
    </xf>
    <xf numFmtId="0" fontId="9" fillId="6" borderId="1" xfId="6" applyFont="1" applyFill="1" applyBorder="1"/>
    <xf numFmtId="165" fontId="7" fillId="8" borderId="1" xfId="7" applyNumberFormat="1" applyFont="1" applyFill="1" applyBorder="1" applyAlignment="1">
      <alignment horizontal="right" wrapText="1"/>
    </xf>
    <xf numFmtId="164" fontId="6" fillId="2" borderId="1" xfId="7" applyNumberFormat="1" applyFont="1" applyFill="1" applyBorder="1" applyAlignment="1">
      <alignment horizontal="right" wrapText="1"/>
    </xf>
    <xf numFmtId="0" fontId="27" fillId="4" borderId="9" xfId="0" applyFont="1" applyFill="1" applyBorder="1"/>
    <xf numFmtId="0" fontId="27" fillId="4" borderId="0" xfId="0" applyFont="1" applyFill="1"/>
    <xf numFmtId="0" fontId="27" fillId="4" borderId="12" xfId="0" applyFont="1" applyFill="1" applyBorder="1"/>
    <xf numFmtId="0" fontId="29" fillId="2" borderId="1" xfId="0" applyFont="1" applyFill="1" applyBorder="1"/>
    <xf numFmtId="0" fontId="28" fillId="0" borderId="1" xfId="0" applyFont="1" applyBorder="1" applyAlignment="1">
      <alignment wrapText="1"/>
    </xf>
    <xf numFmtId="0" fontId="28" fillId="0" borderId="1" xfId="0" applyFont="1" applyBorder="1" applyAlignment="1">
      <alignment horizontal="center" wrapText="1"/>
    </xf>
    <xf numFmtId="0" fontId="29" fillId="0" borderId="1" xfId="0" applyFont="1" applyBorder="1" applyAlignment="1">
      <alignment wrapText="1"/>
    </xf>
    <xf numFmtId="164" fontId="29" fillId="0" borderId="2" xfId="1" applyNumberFormat="1" applyFont="1" applyBorder="1" applyAlignment="1">
      <alignment horizontal="right" wrapText="1"/>
    </xf>
    <xf numFmtId="164" fontId="30" fillId="0" borderId="2" xfId="1" applyNumberFormat="1" applyFont="1" applyBorder="1" applyAlignment="1">
      <alignment horizontal="right" wrapText="1"/>
    </xf>
    <xf numFmtId="164" fontId="29" fillId="0" borderId="1" xfId="1" applyNumberFormat="1" applyFont="1" applyBorder="1" applyAlignment="1">
      <alignment horizontal="right" wrapText="1"/>
    </xf>
    <xf numFmtId="0" fontId="30" fillId="6" borderId="1" xfId="0" applyFont="1" applyFill="1" applyBorder="1" applyAlignment="1">
      <alignment wrapText="1"/>
    </xf>
    <xf numFmtId="164" fontId="30" fillId="6" borderId="1" xfId="1" applyNumberFormat="1" applyFont="1" applyFill="1" applyBorder="1" applyAlignment="1">
      <alignment horizontal="right" wrapText="1"/>
    </xf>
    <xf numFmtId="164" fontId="30" fillId="0" borderId="1" xfId="1" applyNumberFormat="1" applyFont="1" applyBorder="1" applyAlignment="1">
      <alignment horizontal="right" wrapText="1"/>
    </xf>
    <xf numFmtId="0" fontId="28" fillId="0" borderId="1" xfId="0" applyFont="1" applyBorder="1" applyAlignment="1">
      <alignment horizontal="center" vertical="center" wrapText="1"/>
    </xf>
    <xf numFmtId="0" fontId="29" fillId="0" borderId="2" xfId="0" applyFont="1" applyBorder="1" applyAlignment="1">
      <alignment wrapText="1"/>
    </xf>
    <xf numFmtId="0" fontId="33" fillId="0" borderId="0" xfId="0" applyFont="1"/>
    <xf numFmtId="0" fontId="32" fillId="0" borderId="0" xfId="0" applyFont="1"/>
    <xf numFmtId="0" fontId="23" fillId="0" borderId="37" xfId="0" applyFont="1" applyBorder="1"/>
    <xf numFmtId="0" fontId="12" fillId="0" borderId="26" xfId="4" quotePrefix="1" applyFont="1" applyBorder="1"/>
    <xf numFmtId="164" fontId="18" fillId="0" borderId="2" xfId="1" applyNumberFormat="1" applyFont="1" applyBorder="1" applyAlignment="1">
      <alignment horizontal="right" wrapText="1"/>
    </xf>
    <xf numFmtId="164" fontId="19" fillId="0" borderId="2" xfId="1" applyNumberFormat="1" applyFont="1" applyBorder="1" applyAlignment="1">
      <alignment horizontal="right" wrapText="1"/>
    </xf>
    <xf numFmtId="0" fontId="18" fillId="2" borderId="1" xfId="0" applyFont="1" applyFill="1" applyBorder="1"/>
    <xf numFmtId="0" fontId="18" fillId="0" borderId="2" xfId="0" applyFont="1" applyBorder="1"/>
    <xf numFmtId="166" fontId="18" fillId="0" borderId="1" xfId="1" applyNumberFormat="1" applyFont="1" applyBorder="1" applyAlignment="1">
      <alignment horizontal="right" wrapText="1"/>
    </xf>
    <xf numFmtId="166" fontId="19" fillId="0" borderId="1" xfId="1" applyNumberFormat="1" applyFont="1" applyBorder="1" applyAlignment="1">
      <alignment horizontal="right" wrapText="1"/>
    </xf>
    <xf numFmtId="0" fontId="19" fillId="6" borderId="1" xfId="0" applyFont="1" applyFill="1" applyBorder="1"/>
    <xf numFmtId="166" fontId="19" fillId="6" borderId="1" xfId="1" applyNumberFormat="1" applyFont="1" applyFill="1" applyBorder="1" applyAlignment="1">
      <alignment horizontal="right" wrapText="1"/>
    </xf>
    <xf numFmtId="0" fontId="18" fillId="2" borderId="2" xfId="0" applyFont="1" applyFill="1" applyBorder="1"/>
    <xf numFmtId="2" fontId="9" fillId="0" borderId="1" xfId="0" applyNumberFormat="1" applyFont="1" applyBorder="1"/>
    <xf numFmtId="0" fontId="19" fillId="8" borderId="1" xfId="0" applyFont="1" applyFill="1" applyBorder="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8" fillId="2" borderId="1" xfId="0" applyFont="1" applyFill="1" applyBorder="1" applyAlignment="1">
      <alignment wrapText="1"/>
    </xf>
    <xf numFmtId="0" fontId="0" fillId="0" borderId="0" xfId="0" applyAlignment="1">
      <alignment vertical="center"/>
    </xf>
    <xf numFmtId="164" fontId="8" fillId="0" borderId="0" xfId="0" applyNumberFormat="1" applyFont="1"/>
    <xf numFmtId="0" fontId="28" fillId="0" borderId="1" xfId="0" applyFont="1" applyBorder="1" applyAlignment="1">
      <alignment horizontal="center"/>
    </xf>
    <xf numFmtId="166" fontId="19" fillId="8" borderId="1" xfId="1" applyNumberFormat="1" applyFont="1" applyFill="1" applyBorder="1" applyAlignment="1">
      <alignment horizontal="right" wrapText="1"/>
    </xf>
    <xf numFmtId="0" fontId="3" fillId="0" borderId="1" xfId="0" applyFont="1" applyBorder="1" applyAlignment="1">
      <alignment horizontal="center" vertical="center"/>
    </xf>
    <xf numFmtId="2" fontId="29" fillId="0" borderId="2" xfId="1" applyNumberFormat="1" applyFont="1" applyBorder="1" applyAlignment="1">
      <alignment horizontal="right" wrapText="1"/>
    </xf>
    <xf numFmtId="2" fontId="30" fillId="0" borderId="2" xfId="1" applyNumberFormat="1" applyFont="1" applyBorder="1" applyAlignment="1">
      <alignment horizontal="right" wrapText="1"/>
    </xf>
    <xf numFmtId="2" fontId="30" fillId="6" borderId="2" xfId="1" applyNumberFormat="1" applyFont="1" applyFill="1" applyBorder="1" applyAlignment="1">
      <alignment horizontal="right" wrapText="1"/>
    </xf>
    <xf numFmtId="0" fontId="0" fillId="0" borderId="6" xfId="0" applyBorder="1"/>
    <xf numFmtId="0" fontId="10" fillId="0" borderId="6" xfId="0" applyFont="1" applyBorder="1"/>
    <xf numFmtId="0" fontId="31" fillId="0" borderId="0" xfId="0" applyFont="1" applyAlignment="1">
      <alignment horizontal="left" wrapText="1"/>
    </xf>
    <xf numFmtId="0" fontId="33" fillId="0" borderId="0" xfId="0" applyFont="1" applyAlignment="1">
      <alignment vertical="center"/>
    </xf>
    <xf numFmtId="0" fontId="28" fillId="0" borderId="1" xfId="0" applyFont="1" applyBorder="1" applyAlignment="1">
      <alignment vertical="center" wrapText="1"/>
    </xf>
    <xf numFmtId="0" fontId="37" fillId="0" borderId="1" xfId="0" applyFont="1" applyBorder="1" applyAlignment="1">
      <alignment horizontal="left" vertical="center" wrapText="1"/>
    </xf>
    <xf numFmtId="0" fontId="37" fillId="0" borderId="1" xfId="0" applyFont="1" applyBorder="1" applyAlignment="1">
      <alignment horizontal="center" vertical="center" wrapText="1"/>
    </xf>
    <xf numFmtId="0" fontId="29" fillId="2" borderId="1" xfId="0" applyFont="1" applyFill="1" applyBorder="1" applyAlignment="1">
      <alignment wrapText="1"/>
    </xf>
    <xf numFmtId="165" fontId="29" fillId="2" borderId="1" xfId="1" applyNumberFormat="1" applyFont="1" applyFill="1" applyBorder="1" applyAlignment="1">
      <alignment horizontal="right" wrapText="1"/>
    </xf>
    <xf numFmtId="165" fontId="29" fillId="3" borderId="1" xfId="1" applyNumberFormat="1" applyFont="1" applyFill="1" applyBorder="1" applyAlignment="1">
      <alignment horizontal="right" wrapText="1"/>
    </xf>
    <xf numFmtId="165" fontId="30" fillId="3" borderId="1" xfId="1" applyNumberFormat="1" applyFont="1" applyFill="1" applyBorder="1" applyAlignment="1">
      <alignment horizontal="right" wrapText="1"/>
    </xf>
    <xf numFmtId="165" fontId="29" fillId="0" borderId="1" xfId="1" applyNumberFormat="1" applyFont="1" applyBorder="1" applyAlignment="1">
      <alignment horizontal="right" wrapText="1"/>
    </xf>
    <xf numFmtId="165" fontId="30" fillId="0" borderId="1" xfId="1" applyNumberFormat="1" applyFont="1" applyBorder="1" applyAlignment="1">
      <alignment horizontal="right" wrapText="1"/>
    </xf>
    <xf numFmtId="165" fontId="29" fillId="2" borderId="1" xfId="1" applyNumberFormat="1" applyFont="1" applyFill="1" applyBorder="1"/>
    <xf numFmtId="165" fontId="29" fillId="3" borderId="1" xfId="1" applyNumberFormat="1" applyFont="1" applyFill="1" applyBorder="1"/>
    <xf numFmtId="0" fontId="30" fillId="8" borderId="1" xfId="0" applyFont="1" applyFill="1" applyBorder="1" applyAlignment="1">
      <alignment wrapText="1"/>
    </xf>
    <xf numFmtId="165" fontId="30" fillId="8" borderId="1" xfId="1" applyNumberFormat="1" applyFont="1" applyFill="1" applyBorder="1" applyAlignment="1">
      <alignment horizontal="right" wrapText="1"/>
    </xf>
    <xf numFmtId="41" fontId="29" fillId="2" borderId="1" xfId="1" applyNumberFormat="1" applyFont="1" applyFill="1" applyBorder="1" applyAlignment="1">
      <alignment wrapText="1"/>
    </xf>
    <xf numFmtId="41" fontId="30" fillId="2" borderId="1" xfId="1" applyNumberFormat="1" applyFont="1" applyFill="1" applyBorder="1" applyAlignment="1">
      <alignment wrapText="1"/>
    </xf>
    <xf numFmtId="164" fontId="30" fillId="8" borderId="1" xfId="1" applyNumberFormat="1" applyFont="1" applyFill="1" applyBorder="1" applyAlignment="1">
      <alignment wrapText="1"/>
    </xf>
    <xf numFmtId="0" fontId="38" fillId="0" borderId="0" xfId="0" applyFont="1"/>
    <xf numFmtId="41" fontId="29" fillId="2" borderId="1" xfId="1" applyNumberFormat="1" applyFont="1" applyFill="1" applyBorder="1" applyAlignment="1">
      <alignment horizontal="right" wrapText="1"/>
    </xf>
    <xf numFmtId="41" fontId="29" fillId="3" borderId="1" xfId="1" applyNumberFormat="1" applyFont="1" applyFill="1" applyBorder="1" applyAlignment="1">
      <alignment horizontal="right" wrapText="1"/>
    </xf>
    <xf numFmtId="41" fontId="30" fillId="3" borderId="1" xfId="1" applyNumberFormat="1" applyFont="1" applyFill="1" applyBorder="1" applyAlignment="1">
      <alignment horizontal="right" wrapText="1"/>
    </xf>
    <xf numFmtId="0" fontId="33" fillId="0" borderId="1" xfId="0" applyFont="1" applyBorder="1"/>
    <xf numFmtId="41" fontId="30" fillId="8" borderId="1" xfId="1" applyNumberFormat="1" applyFont="1" applyFill="1" applyBorder="1" applyAlignment="1">
      <alignment horizontal="right" wrapText="1"/>
    </xf>
    <xf numFmtId="0" fontId="39" fillId="0" borderId="0" xfId="0" applyFont="1"/>
    <xf numFmtId="41" fontId="30" fillId="2" borderId="1" xfId="1" applyNumberFormat="1" applyFont="1" applyFill="1" applyBorder="1" applyAlignment="1">
      <alignment horizontal="right" wrapText="1"/>
    </xf>
    <xf numFmtId="41" fontId="28" fillId="6" borderId="1" xfId="1" applyNumberFormat="1" applyFont="1" applyFill="1" applyBorder="1" applyAlignment="1">
      <alignment horizontal="right" wrapText="1"/>
    </xf>
    <xf numFmtId="41" fontId="33" fillId="0" borderId="0" xfId="0" applyNumberFormat="1" applyFont="1"/>
    <xf numFmtId="0" fontId="36" fillId="0" borderId="0" xfId="0" applyFont="1"/>
    <xf numFmtId="167" fontId="30" fillId="3" borderId="2" xfId="1" applyNumberFormat="1" applyFont="1" applyFill="1" applyBorder="1" applyAlignment="1">
      <alignment horizontal="right" wrapText="1"/>
    </xf>
    <xf numFmtId="43" fontId="33" fillId="0" borderId="1" xfId="0" applyNumberFormat="1" applyFont="1" applyBorder="1"/>
    <xf numFmtId="0" fontId="16" fillId="6" borderId="1" xfId="0" applyFont="1" applyFill="1" applyBorder="1"/>
    <xf numFmtId="167" fontId="30" fillId="8" borderId="1" xfId="1" applyNumberFormat="1" applyFont="1" applyFill="1" applyBorder="1" applyAlignment="1">
      <alignment horizontal="center" wrapText="1"/>
    </xf>
    <xf numFmtId="43" fontId="30" fillId="8" borderId="1" xfId="1" applyFont="1" applyFill="1" applyBorder="1" applyAlignment="1">
      <alignment horizontal="center" wrapText="1"/>
    </xf>
    <xf numFmtId="0" fontId="16" fillId="0" borderId="0" xfId="0" applyFont="1"/>
    <xf numFmtId="167" fontId="28" fillId="6" borderId="1" xfId="1" applyNumberFormat="1" applyFont="1" applyFill="1" applyBorder="1" applyAlignment="1">
      <alignment horizontal="left" wrapText="1"/>
    </xf>
    <xf numFmtId="167" fontId="28" fillId="6" borderId="1" xfId="1" applyNumberFormat="1" applyFont="1" applyFill="1" applyBorder="1" applyAlignment="1">
      <alignment horizontal="right" wrapText="1"/>
    </xf>
    <xf numFmtId="43" fontId="28" fillId="6" borderId="1" xfId="1" applyFont="1" applyFill="1" applyBorder="1" applyAlignment="1">
      <alignment horizontal="right" wrapText="1"/>
    </xf>
    <xf numFmtId="0" fontId="28" fillId="0" borderId="1" xfId="0" applyFont="1" applyBorder="1"/>
    <xf numFmtId="43" fontId="29" fillId="2" borderId="2" xfId="1" applyFont="1" applyFill="1" applyBorder="1" applyAlignment="1">
      <alignment horizontal="right" wrapText="1"/>
    </xf>
    <xf numFmtId="43" fontId="30" fillId="2" borderId="2" xfId="1" applyFont="1" applyFill="1" applyBorder="1" applyAlignment="1">
      <alignment horizontal="right" wrapText="1"/>
    </xf>
    <xf numFmtId="0" fontId="33" fillId="0" borderId="2" xfId="0" applyFont="1" applyBorder="1"/>
    <xf numFmtId="0" fontId="28" fillId="6" borderId="1" xfId="0" applyFont="1" applyFill="1" applyBorder="1"/>
    <xf numFmtId="43" fontId="30" fillId="6" borderId="1" xfId="1" applyFont="1" applyFill="1" applyBorder="1" applyAlignment="1">
      <alignment horizontal="center" wrapText="1"/>
    </xf>
    <xf numFmtId="0" fontId="33" fillId="0" borderId="0" xfId="0" applyFont="1" applyAlignment="1">
      <alignment wrapText="1"/>
    </xf>
    <xf numFmtId="165" fontId="30" fillId="2" borderId="1" xfId="1" applyNumberFormat="1" applyFont="1" applyFill="1" applyBorder="1" applyAlignment="1">
      <alignment horizontal="right" wrapText="1"/>
    </xf>
    <xf numFmtId="0" fontId="29" fillId="0" borderId="1" xfId="0" applyFont="1" applyBorder="1"/>
    <xf numFmtId="167" fontId="33" fillId="0" borderId="0" xfId="0" applyNumberFormat="1" applyFont="1"/>
    <xf numFmtId="0" fontId="16" fillId="0" borderId="1" xfId="0" applyFont="1" applyBorder="1" applyAlignment="1">
      <alignment wrapText="1"/>
    </xf>
    <xf numFmtId="0" fontId="33" fillId="0" borderId="0" xfId="6" applyFont="1"/>
    <xf numFmtId="0" fontId="28" fillId="0" borderId="1" xfId="6" applyFont="1" applyBorder="1" applyAlignment="1">
      <alignment wrapText="1"/>
    </xf>
    <xf numFmtId="0" fontId="28" fillId="0" borderId="1" xfId="6" applyFont="1" applyBorder="1" applyAlignment="1">
      <alignment horizontal="center" wrapText="1"/>
    </xf>
    <xf numFmtId="0" fontId="28" fillId="0" borderId="1" xfId="6" applyFont="1" applyBorder="1" applyAlignment="1">
      <alignment horizontal="center"/>
    </xf>
    <xf numFmtId="0" fontId="33" fillId="0" borderId="0" xfId="6" applyFont="1" applyAlignment="1">
      <alignment wrapText="1"/>
    </xf>
    <xf numFmtId="165" fontId="29" fillId="2" borderId="1" xfId="7" applyNumberFormat="1" applyFont="1" applyFill="1" applyBorder="1" applyAlignment="1">
      <alignment horizontal="right" wrapText="1"/>
    </xf>
    <xf numFmtId="165" fontId="30" fillId="2" borderId="1" xfId="7" applyNumberFormat="1" applyFont="1" applyFill="1" applyBorder="1" applyAlignment="1">
      <alignment horizontal="right" wrapText="1"/>
    </xf>
    <xf numFmtId="164" fontId="29" fillId="2" borderId="1" xfId="7" applyNumberFormat="1" applyFont="1" applyFill="1" applyBorder="1" applyAlignment="1">
      <alignment horizontal="right" wrapText="1"/>
    </xf>
    <xf numFmtId="0" fontId="16" fillId="6" borderId="1" xfId="6" applyFont="1" applyFill="1" applyBorder="1"/>
    <xf numFmtId="165" fontId="30" fillId="8" borderId="1" xfId="7" applyNumberFormat="1" applyFont="1" applyFill="1" applyBorder="1" applyAlignment="1">
      <alignment horizontal="right" wrapText="1"/>
    </xf>
    <xf numFmtId="0" fontId="33" fillId="0" borderId="1" xfId="6" applyFont="1" applyBorder="1"/>
    <xf numFmtId="0" fontId="16" fillId="0" borderId="0" xfId="6" applyFont="1"/>
    <xf numFmtId="0" fontId="33" fillId="4" borderId="0" xfId="6" applyFont="1" applyFill="1"/>
    <xf numFmtId="0" fontId="28" fillId="4" borderId="1" xfId="6" applyFont="1" applyFill="1" applyBorder="1" applyAlignment="1">
      <alignment wrapText="1"/>
    </xf>
    <xf numFmtId="0" fontId="28" fillId="4" borderId="1" xfId="6" applyFont="1" applyFill="1" applyBorder="1" applyAlignment="1">
      <alignment horizontal="center" wrapText="1"/>
    </xf>
    <xf numFmtId="0" fontId="28" fillId="4" borderId="1" xfId="6" applyFont="1" applyFill="1" applyBorder="1" applyAlignment="1">
      <alignment horizontal="center"/>
    </xf>
    <xf numFmtId="0" fontId="33" fillId="4" borderId="0" xfId="6" applyFont="1" applyFill="1" applyAlignment="1">
      <alignment wrapText="1"/>
    </xf>
    <xf numFmtId="0" fontId="29" fillId="4" borderId="1" xfId="0" applyFont="1" applyFill="1" applyBorder="1" applyAlignment="1">
      <alignment wrapText="1"/>
    </xf>
    <xf numFmtId="165" fontId="29" fillId="10" borderId="1" xfId="7" applyNumberFormat="1" applyFont="1" applyFill="1" applyBorder="1" applyAlignment="1">
      <alignment horizontal="right" wrapText="1"/>
    </xf>
    <xf numFmtId="165" fontId="30" fillId="10" borderId="1" xfId="7" applyNumberFormat="1" applyFont="1" applyFill="1" applyBorder="1" applyAlignment="1">
      <alignment horizontal="right" wrapText="1"/>
    </xf>
    <xf numFmtId="0" fontId="33" fillId="4" borderId="1" xfId="6" applyFont="1" applyFill="1" applyBorder="1"/>
    <xf numFmtId="0" fontId="33" fillId="4" borderId="1" xfId="0" applyFont="1" applyFill="1" applyBorder="1"/>
    <xf numFmtId="164" fontId="29" fillId="10" borderId="1" xfId="7" applyNumberFormat="1" applyFont="1" applyFill="1" applyBorder="1" applyAlignment="1">
      <alignment horizontal="right" wrapText="1"/>
    </xf>
    <xf numFmtId="167" fontId="16" fillId="6" borderId="1" xfId="1" applyNumberFormat="1" applyFont="1" applyFill="1" applyBorder="1"/>
    <xf numFmtId="43" fontId="16" fillId="6" borderId="1" xfId="1" applyFont="1" applyFill="1" applyBorder="1"/>
    <xf numFmtId="0" fontId="16" fillId="4" borderId="0" xfId="6" applyFont="1" applyFill="1"/>
    <xf numFmtId="0" fontId="36" fillId="0" borderId="0" xfId="0" applyFont="1" applyAlignment="1">
      <alignment wrapText="1"/>
    </xf>
    <xf numFmtId="164" fontId="29" fillId="2" borderId="1" xfId="1" applyNumberFormat="1" applyFont="1" applyFill="1" applyBorder="1" applyAlignment="1">
      <alignment horizontal="right" wrapText="1"/>
    </xf>
    <xf numFmtId="164" fontId="30" fillId="2" borderId="1" xfId="1" applyNumberFormat="1" applyFont="1" applyFill="1" applyBorder="1" applyAlignment="1">
      <alignment horizontal="right" wrapText="1"/>
    </xf>
    <xf numFmtId="164" fontId="30" fillId="8" borderId="1" xfId="1" applyNumberFormat="1" applyFont="1" applyFill="1" applyBorder="1" applyAlignment="1">
      <alignment horizontal="right" wrapText="1"/>
    </xf>
    <xf numFmtId="164" fontId="33" fillId="0" borderId="1" xfId="1" applyNumberFormat="1" applyFont="1" applyBorder="1" applyAlignment="1">
      <alignment horizontal="right" wrapText="1"/>
    </xf>
    <xf numFmtId="164" fontId="16" fillId="0" borderId="1" xfId="1" applyNumberFormat="1" applyFont="1" applyBorder="1" applyAlignment="1">
      <alignment horizontal="right" wrapText="1"/>
    </xf>
    <xf numFmtId="0" fontId="40" fillId="0" borderId="0" xfId="0" applyFont="1"/>
    <xf numFmtId="41" fontId="36" fillId="0" borderId="0" xfId="5" applyFont="1"/>
    <xf numFmtId="0" fontId="36" fillId="0" borderId="0" xfId="0" applyFont="1" applyAlignment="1">
      <alignment vertical="center"/>
    </xf>
    <xf numFmtId="0" fontId="29" fillId="2" borderId="2" xfId="0" applyFont="1" applyFill="1" applyBorder="1"/>
    <xf numFmtId="2" fontId="16" fillId="0" borderId="1" xfId="0" applyNumberFormat="1" applyFont="1" applyBorder="1"/>
    <xf numFmtId="0" fontId="30" fillId="8" borderId="1" xfId="0" applyFont="1" applyFill="1" applyBorder="1"/>
    <xf numFmtId="43" fontId="30" fillId="2" borderId="1" xfId="1" applyFont="1" applyFill="1" applyBorder="1" applyAlignment="1">
      <alignment horizontal="right"/>
    </xf>
    <xf numFmtId="0" fontId="29" fillId="0" borderId="2" xfId="0" applyFont="1" applyBorder="1"/>
    <xf numFmtId="166" fontId="29" fillId="0" borderId="1" xfId="1" applyNumberFormat="1" applyFont="1" applyBorder="1" applyAlignment="1">
      <alignment horizontal="right" wrapText="1"/>
    </xf>
    <xf numFmtId="166" fontId="30" fillId="0" borderId="1" xfId="1" applyNumberFormat="1" applyFont="1" applyBorder="1" applyAlignment="1">
      <alignment horizontal="right" wrapText="1"/>
    </xf>
    <xf numFmtId="0" fontId="30" fillId="6" borderId="1" xfId="0" applyFont="1" applyFill="1" applyBorder="1"/>
    <xf numFmtId="166" fontId="30" fillId="6" borderId="1" xfId="1" applyNumberFormat="1" applyFont="1" applyFill="1" applyBorder="1" applyAlignment="1">
      <alignment horizontal="right" wrapText="1"/>
    </xf>
    <xf numFmtId="2" fontId="29" fillId="0" borderId="1" xfId="1" applyNumberFormat="1" applyFont="1" applyBorder="1" applyAlignment="1">
      <alignment horizontal="right" wrapText="1"/>
    </xf>
    <xf numFmtId="2" fontId="35" fillId="0" borderId="1" xfId="1" applyNumberFormat="1" applyFont="1" applyBorder="1" applyAlignment="1">
      <alignment horizontal="right" wrapText="1"/>
    </xf>
    <xf numFmtId="2" fontId="30" fillId="0" borderId="1" xfId="1" applyNumberFormat="1" applyFont="1" applyBorder="1" applyAlignment="1">
      <alignment horizontal="right" wrapText="1"/>
    </xf>
    <xf numFmtId="0" fontId="33" fillId="0" borderId="0" xfId="0" applyFont="1" applyAlignment="1">
      <alignment horizontal="center" vertical="center"/>
    </xf>
    <xf numFmtId="168" fontId="29" fillId="0" borderId="2" xfId="1" applyNumberFormat="1" applyFont="1" applyBorder="1" applyAlignment="1">
      <alignment horizontal="right" wrapText="1"/>
    </xf>
    <xf numFmtId="168" fontId="30" fillId="0" borderId="2" xfId="1" applyNumberFormat="1" applyFont="1" applyBorder="1" applyAlignment="1">
      <alignment horizontal="right" wrapText="1"/>
    </xf>
    <xf numFmtId="168" fontId="30" fillId="6" borderId="2" xfId="1" applyNumberFormat="1" applyFont="1" applyFill="1" applyBorder="1" applyAlignment="1">
      <alignment horizontal="right" wrapText="1"/>
    </xf>
    <xf numFmtId="41" fontId="33" fillId="0" borderId="0" xfId="5" applyFont="1"/>
    <xf numFmtId="0" fontId="36" fillId="0" borderId="42" xfId="0" applyFont="1" applyBorder="1" applyAlignment="1">
      <alignment horizontal="center"/>
    </xf>
    <xf numFmtId="0" fontId="36" fillId="0" borderId="4" xfId="0" applyFont="1" applyBorder="1" applyAlignment="1">
      <alignment horizontal="center"/>
    </xf>
    <xf numFmtId="0" fontId="36" fillId="0" borderId="5" xfId="0" applyFont="1" applyBorder="1" applyAlignment="1">
      <alignment horizontal="center"/>
    </xf>
    <xf numFmtId="0" fontId="28" fillId="0" borderId="1" xfId="0" applyFont="1" applyBorder="1" applyAlignment="1">
      <alignment horizontal="center" vertical="center"/>
    </xf>
    <xf numFmtId="0" fontId="35" fillId="0" borderId="1" xfId="0" applyFont="1" applyBorder="1" applyAlignment="1">
      <alignment horizontal="center" vertical="center" wrapText="1"/>
    </xf>
    <xf numFmtId="0" fontId="35" fillId="0" borderId="5" xfId="0" applyFont="1" applyBorder="1" applyAlignment="1">
      <alignment horizontal="center" vertical="center" wrapText="1"/>
    </xf>
    <xf numFmtId="0" fontId="28" fillId="0" borderId="2" xfId="0" applyFont="1" applyBorder="1" applyAlignment="1">
      <alignment wrapText="1"/>
    </xf>
    <xf numFmtId="0" fontId="35" fillId="0" borderId="2" xfId="0" applyFont="1" applyBorder="1" applyAlignment="1">
      <alignment horizontal="center"/>
    </xf>
    <xf numFmtId="0" fontId="36" fillId="0" borderId="7" xfId="0" applyFont="1" applyBorder="1"/>
    <xf numFmtId="0" fontId="32" fillId="0" borderId="0" xfId="0" applyFont="1" applyAlignment="1">
      <alignment horizontal="left"/>
    </xf>
    <xf numFmtId="0" fontId="28" fillId="0" borderId="1" xfId="0" applyFont="1" applyBorder="1" applyAlignment="1">
      <alignment horizontal="left" wrapText="1"/>
    </xf>
    <xf numFmtId="0" fontId="30" fillId="2" borderId="1" xfId="0" applyFont="1" applyFill="1" applyBorder="1" applyAlignment="1">
      <alignment horizontal="center" vertical="center" wrapText="1"/>
    </xf>
    <xf numFmtId="0" fontId="41" fillId="0" borderId="1" xfId="0" applyFont="1" applyBorder="1" applyAlignment="1">
      <alignment horizontal="left"/>
    </xf>
    <xf numFmtId="164" fontId="29" fillId="0" borderId="1" xfId="1" applyNumberFormat="1" applyFont="1" applyBorder="1" applyAlignment="1">
      <alignment horizontal="center" wrapText="1"/>
    </xf>
    <xf numFmtId="167" fontId="28" fillId="7" borderId="3" xfId="1" applyNumberFormat="1" applyFont="1" applyFill="1" applyBorder="1"/>
    <xf numFmtId="164" fontId="30" fillId="9" borderId="3" xfId="1" applyNumberFormat="1" applyFont="1" applyFill="1" applyBorder="1" applyAlignment="1">
      <alignment horizontal="right" wrapText="1"/>
    </xf>
    <xf numFmtId="0" fontId="41" fillId="0" borderId="2" xfId="0" applyFont="1" applyBorder="1" applyAlignment="1">
      <alignment horizontal="left"/>
    </xf>
    <xf numFmtId="0" fontId="35" fillId="0" borderId="1" xfId="0" applyFont="1" applyBorder="1" applyAlignment="1">
      <alignment horizontal="left"/>
    </xf>
    <xf numFmtId="0" fontId="28" fillId="11" borderId="3" xfId="0" applyFont="1" applyFill="1" applyBorder="1" applyAlignment="1">
      <alignment horizontal="left"/>
    </xf>
    <xf numFmtId="164" fontId="30" fillId="12" borderId="3" xfId="1" applyNumberFormat="1" applyFont="1" applyFill="1" applyBorder="1" applyAlignment="1">
      <alignment horizontal="center" wrapText="1"/>
    </xf>
    <xf numFmtId="0" fontId="35" fillId="0" borderId="2" xfId="0" applyFont="1" applyBorder="1" applyAlignment="1">
      <alignment horizontal="left"/>
    </xf>
    <xf numFmtId="164" fontId="33" fillId="0" borderId="0" xfId="0" applyNumberFormat="1" applyFont="1"/>
    <xf numFmtId="167" fontId="33" fillId="0" borderId="0" xfId="1" applyNumberFormat="1" applyFont="1"/>
    <xf numFmtId="164" fontId="29" fillId="0" borderId="2" xfId="1" applyNumberFormat="1" applyFont="1" applyBorder="1" applyAlignment="1">
      <alignment horizontal="center" wrapText="1"/>
    </xf>
    <xf numFmtId="167" fontId="33" fillId="0" borderId="0" xfId="1" applyNumberFormat="1" applyFont="1" applyAlignment="1">
      <alignment horizontal="center"/>
    </xf>
    <xf numFmtId="164" fontId="16" fillId="0" borderId="0" xfId="0" applyNumberFormat="1" applyFont="1"/>
    <xf numFmtId="0" fontId="28" fillId="0" borderId="2" xfId="2" applyFont="1" applyBorder="1" applyAlignment="1">
      <alignment horizontal="left" vertical="center" wrapText="1"/>
    </xf>
    <xf numFmtId="0" fontId="30" fillId="2" borderId="1" xfId="2" applyFont="1" applyFill="1" applyBorder="1" applyAlignment="1">
      <alignment horizontal="center" vertical="center" wrapText="1"/>
    </xf>
    <xf numFmtId="167" fontId="35" fillId="0" borderId="1" xfId="1" applyNumberFormat="1" applyFont="1" applyBorder="1"/>
    <xf numFmtId="41" fontId="30" fillId="9" borderId="3" xfId="1" applyNumberFormat="1" applyFont="1" applyFill="1" applyBorder="1" applyAlignment="1">
      <alignment horizontal="right" wrapText="1"/>
    </xf>
    <xf numFmtId="167" fontId="35" fillId="0" borderId="2" xfId="1" applyNumberFormat="1" applyFont="1" applyBorder="1"/>
    <xf numFmtId="167" fontId="28" fillId="11" borderId="3" xfId="1" applyNumberFormat="1" applyFont="1" applyFill="1" applyBorder="1"/>
    <xf numFmtId="41" fontId="30" fillId="13" borderId="3" xfId="1" applyNumberFormat="1" applyFont="1" applyFill="1" applyBorder="1" applyAlignment="1">
      <alignment horizontal="right" wrapText="1"/>
    </xf>
    <xf numFmtId="41" fontId="29" fillId="2" borderId="2" xfId="1" applyNumberFormat="1" applyFont="1" applyFill="1" applyBorder="1" applyAlignment="1">
      <alignment horizontal="right" wrapText="1"/>
    </xf>
    <xf numFmtId="0" fontId="30" fillId="2" borderId="2" xfId="2" applyFont="1" applyFill="1" applyBorder="1" applyAlignment="1">
      <alignment horizontal="center" vertical="center" wrapText="1"/>
    </xf>
    <xf numFmtId="0" fontId="28" fillId="0" borderId="2" xfId="2" applyFont="1" applyBorder="1" applyAlignment="1">
      <alignment horizontal="center" vertical="center" wrapText="1"/>
    </xf>
    <xf numFmtId="41" fontId="30" fillId="9" borderId="3" xfId="1" applyNumberFormat="1" applyFont="1" applyFill="1" applyBorder="1" applyAlignment="1">
      <alignment horizontal="left" vertical="top" wrapText="1"/>
    </xf>
    <xf numFmtId="0" fontId="19" fillId="2" borderId="1" xfId="0" applyFont="1" applyFill="1" applyBorder="1" applyAlignment="1">
      <alignment horizontal="center" vertical="center" wrapText="1"/>
    </xf>
    <xf numFmtId="164" fontId="18" fillId="0" borderId="1" xfId="1" applyNumberFormat="1" applyFont="1" applyBorder="1" applyAlignment="1">
      <alignment horizontal="center" wrapText="1"/>
    </xf>
    <xf numFmtId="164" fontId="19" fillId="9" borderId="1" xfId="1" applyNumberFormat="1" applyFont="1" applyFill="1" applyBorder="1" applyAlignment="1">
      <alignment horizontal="right" wrapText="1"/>
    </xf>
    <xf numFmtId="164" fontId="19" fillId="12" borderId="1" xfId="1" applyNumberFormat="1" applyFont="1" applyFill="1" applyBorder="1" applyAlignment="1">
      <alignment horizontal="center" wrapText="1"/>
    </xf>
    <xf numFmtId="164" fontId="19" fillId="12" borderId="3" xfId="1" applyNumberFormat="1" applyFont="1" applyFill="1" applyBorder="1" applyAlignment="1">
      <alignment horizontal="center" wrapText="1"/>
    </xf>
    <xf numFmtId="164" fontId="9" fillId="0" borderId="0" xfId="0" applyNumberFormat="1" applyFont="1"/>
    <xf numFmtId="167" fontId="9" fillId="6" borderId="0" xfId="1" applyNumberFormat="1" applyFont="1" applyFill="1"/>
    <xf numFmtId="167" fontId="9" fillId="0" borderId="0" xfId="1" applyNumberFormat="1" applyFont="1"/>
    <xf numFmtId="41" fontId="8" fillId="0" borderId="0" xfId="0" applyNumberFormat="1" applyFont="1"/>
    <xf numFmtId="0" fontId="19" fillId="8" borderId="1" xfId="0" applyFont="1" applyFill="1" applyBorder="1" applyAlignment="1">
      <alignment wrapText="1"/>
    </xf>
    <xf numFmtId="165" fontId="7" fillId="8" borderId="1" xfId="1" applyNumberFormat="1" applyFont="1" applyFill="1" applyBorder="1" applyAlignment="1">
      <alignment horizontal="right" wrapText="1"/>
    </xf>
    <xf numFmtId="164" fontId="7" fillId="8" borderId="1" xfId="1" applyNumberFormat="1" applyFont="1" applyFill="1" applyBorder="1" applyAlignment="1">
      <alignment wrapText="1"/>
    </xf>
    <xf numFmtId="0" fontId="42" fillId="0" borderId="0" xfId="0" applyFont="1"/>
    <xf numFmtId="0" fontId="7" fillId="8" borderId="1" xfId="0" applyFont="1" applyFill="1" applyBorder="1" applyAlignment="1">
      <alignment wrapText="1"/>
    </xf>
    <xf numFmtId="41" fontId="7" fillId="8" borderId="1" xfId="1" applyNumberFormat="1" applyFont="1" applyFill="1" applyBorder="1" applyAlignment="1">
      <alignment horizontal="right" wrapText="1"/>
    </xf>
    <xf numFmtId="165" fontId="19" fillId="8" borderId="1" xfId="1" applyNumberFormat="1" applyFont="1" applyFill="1" applyBorder="1" applyAlignment="1">
      <alignment horizontal="right" wrapText="1"/>
    </xf>
    <xf numFmtId="0" fontId="30" fillId="0" borderId="0" xfId="2" applyFont="1" applyAlignment="1">
      <alignment horizontal="center" vertical="center" wrapText="1"/>
    </xf>
    <xf numFmtId="41" fontId="29" fillId="0" borderId="0" xfId="1" applyNumberFormat="1" applyFont="1" applyAlignment="1">
      <alignment horizontal="right" wrapText="1"/>
    </xf>
    <xf numFmtId="41" fontId="30" fillId="0" borderId="0" xfId="1" applyNumberFormat="1" applyFont="1" applyAlignment="1">
      <alignment horizontal="right" wrapText="1"/>
    </xf>
    <xf numFmtId="165" fontId="36" fillId="0" borderId="0" xfId="0" applyNumberFormat="1" applyFont="1"/>
    <xf numFmtId="165" fontId="33" fillId="0" borderId="0" xfId="0" applyNumberFormat="1" applyFont="1"/>
    <xf numFmtId="164" fontId="18" fillId="14" borderId="1" xfId="1" applyNumberFormat="1" applyFont="1" applyFill="1" applyBorder="1" applyAlignment="1">
      <alignment horizontal="center" wrapText="1"/>
    </xf>
    <xf numFmtId="41" fontId="38" fillId="0" borderId="0" xfId="0" applyNumberFormat="1" applyFont="1"/>
    <xf numFmtId="0" fontId="32" fillId="0" borderId="36" xfId="0" applyFont="1" applyBorder="1"/>
    <xf numFmtId="0" fontId="45" fillId="0" borderId="1" xfId="0" applyFont="1" applyBorder="1" applyAlignment="1">
      <alignment wrapText="1"/>
    </xf>
    <xf numFmtId="164" fontId="45" fillId="0" borderId="1" xfId="1" applyNumberFormat="1" applyFont="1" applyBorder="1" applyAlignment="1">
      <alignment horizontal="right" wrapText="1"/>
    </xf>
    <xf numFmtId="164" fontId="44" fillId="0" borderId="1" xfId="1" applyNumberFormat="1" applyFont="1" applyBorder="1" applyAlignment="1">
      <alignment horizontal="right" wrapText="1"/>
    </xf>
    <xf numFmtId="0" fontId="44" fillId="6" borderId="1" xfId="0" applyFont="1" applyFill="1" applyBorder="1" applyAlignment="1">
      <alignment wrapText="1"/>
    </xf>
    <xf numFmtId="164" fontId="44" fillId="6" borderId="1" xfId="1" applyNumberFormat="1" applyFont="1" applyFill="1" applyBorder="1" applyAlignment="1">
      <alignment horizontal="right" wrapText="1"/>
    </xf>
    <xf numFmtId="3" fontId="33" fillId="0" borderId="0" xfId="0" applyNumberFormat="1" applyFont="1"/>
    <xf numFmtId="43" fontId="33" fillId="0" borderId="0" xfId="0" applyNumberFormat="1" applyFont="1"/>
    <xf numFmtId="0" fontId="48" fillId="0" borderId="4" xfId="0" applyFont="1" applyBorder="1"/>
    <xf numFmtId="0" fontId="48" fillId="0" borderId="5" xfId="0" applyFont="1" applyBorder="1"/>
    <xf numFmtId="0" fontId="49" fillId="0" borderId="0" xfId="0" applyFont="1"/>
    <xf numFmtId="0" fontId="48" fillId="0" borderId="0" xfId="0" applyFont="1"/>
    <xf numFmtId="41" fontId="48" fillId="0" borderId="0" xfId="5" applyFont="1"/>
    <xf numFmtId="0" fontId="49" fillId="4" borderId="0" xfId="6" applyFont="1" applyFill="1"/>
    <xf numFmtId="0" fontId="49" fillId="0" borderId="0" xfId="6" applyFont="1"/>
    <xf numFmtId="0" fontId="52" fillId="0" borderId="0" xfId="0" applyFont="1"/>
    <xf numFmtId="0" fontId="52" fillId="0" borderId="7" xfId="0" applyFont="1" applyBorder="1" applyAlignment="1">
      <alignment horizontal="left"/>
    </xf>
    <xf numFmtId="167" fontId="49" fillId="0" borderId="0" xfId="1" applyNumberFormat="1" applyFont="1"/>
    <xf numFmtId="167" fontId="52" fillId="0" borderId="7" xfId="1" applyNumberFormat="1" applyFont="1" applyBorder="1" applyAlignment="1">
      <alignment horizontal="center"/>
    </xf>
    <xf numFmtId="0" fontId="53" fillId="0" borderId="7" xfId="0" applyFont="1" applyBorder="1" applyAlignment="1">
      <alignment horizontal="left"/>
    </xf>
    <xf numFmtId="167" fontId="52" fillId="0" borderId="0" xfId="1" applyNumberFormat="1" applyFont="1" applyAlignment="1">
      <alignment horizontal="left"/>
    </xf>
    <xf numFmtId="0" fontId="54" fillId="0" borderId="0" xfId="0" applyFont="1"/>
    <xf numFmtId="0" fontId="57" fillId="0" borderId="0" xfId="0" applyFont="1"/>
    <xf numFmtId="0" fontId="51" fillId="4" borderId="0" xfId="6" applyFont="1" applyFill="1"/>
    <xf numFmtId="0" fontId="51" fillId="0" borderId="0" xfId="6" applyFont="1"/>
    <xf numFmtId="0" fontId="51" fillId="0" borderId="0" xfId="0" applyFont="1"/>
    <xf numFmtId="0" fontId="48" fillId="0" borderId="42" xfId="0" applyFont="1" applyBorder="1" applyAlignment="1">
      <alignment horizontal="center"/>
    </xf>
    <xf numFmtId="0" fontId="48" fillId="0" borderId="4" xfId="0" applyFont="1" applyBorder="1" applyAlignment="1">
      <alignment horizontal="center"/>
    </xf>
    <xf numFmtId="0" fontId="48" fillId="0" borderId="5" xfId="0" applyFont="1" applyBorder="1" applyAlignment="1">
      <alignment horizontal="center"/>
    </xf>
    <xf numFmtId="41" fontId="48" fillId="0" borderId="42" xfId="5" applyFont="1" applyBorder="1"/>
    <xf numFmtId="0" fontId="58" fillId="11" borderId="3" xfId="0" applyFont="1" applyFill="1" applyBorder="1" applyAlignment="1">
      <alignment horizontal="left"/>
    </xf>
    <xf numFmtId="164" fontId="59" fillId="12" borderId="3" xfId="1" applyNumberFormat="1" applyFont="1" applyFill="1" applyBorder="1" applyAlignment="1">
      <alignment horizontal="center" wrapText="1"/>
    </xf>
    <xf numFmtId="0" fontId="50" fillId="6" borderId="1" xfId="0" applyFont="1" applyFill="1" applyBorder="1" applyAlignment="1">
      <alignment horizontal="left"/>
    </xf>
    <xf numFmtId="0" fontId="48" fillId="0" borderId="4" xfId="0" applyFont="1" applyBorder="1"/>
    <xf numFmtId="0" fontId="48" fillId="0" borderId="5" xfId="0" applyFont="1" applyBorder="1"/>
    <xf numFmtId="0" fontId="28" fillId="5" borderId="1" xfId="0" applyFont="1" applyFill="1" applyBorder="1" applyAlignment="1">
      <alignment horizontal="center"/>
    </xf>
    <xf numFmtId="0" fontId="0" fillId="0" borderId="4" xfId="0" applyBorder="1"/>
    <xf numFmtId="0" fontId="0" fillId="0" borderId="5" xfId="0" applyBorder="1"/>
    <xf numFmtId="0" fontId="32" fillId="0" borderId="6" xfId="0" applyFont="1" applyBorder="1" applyAlignment="1">
      <alignment horizontal="left"/>
    </xf>
    <xf numFmtId="0" fontId="35" fillId="0" borderId="39" xfId="0" applyFont="1" applyBorder="1" applyAlignment="1">
      <alignment horizontal="justify" vertical="justify" wrapText="1"/>
    </xf>
    <xf numFmtId="0" fontId="0" fillId="0" borderId="27" xfId="0" applyBorder="1"/>
    <xf numFmtId="0" fontId="0" fillId="0" borderId="30" xfId="0" applyBorder="1"/>
    <xf numFmtId="0" fontId="0" fillId="0" borderId="31" xfId="0" applyBorder="1"/>
    <xf numFmtId="0" fontId="8" fillId="0" borderId="0" xfId="0" applyFont="1"/>
    <xf numFmtId="0" fontId="0" fillId="0" borderId="32" xfId="0" applyBorder="1"/>
    <xf numFmtId="0" fontId="0" fillId="0" borderId="33" xfId="0" applyBorder="1"/>
    <xf numFmtId="0" fontId="0" fillId="0" borderId="34" xfId="0" applyBorder="1"/>
    <xf numFmtId="0" fontId="0" fillId="0" borderId="35" xfId="0" applyBorder="1"/>
    <xf numFmtId="0" fontId="34" fillId="0" borderId="38" xfId="0" applyFont="1" applyBorder="1" applyAlignment="1">
      <alignment horizontal="center"/>
    </xf>
    <xf numFmtId="0" fontId="0" fillId="0" borderId="28" xfId="0" applyBorder="1"/>
    <xf numFmtId="0" fontId="0" fillId="0" borderId="29" xfId="0" applyBorder="1"/>
    <xf numFmtId="0" fontId="22" fillId="0" borderId="40" xfId="0" applyFont="1" applyBorder="1" applyAlignment="1">
      <alignment horizontal="left" indent="5"/>
    </xf>
    <xf numFmtId="0" fontId="0" fillId="0" borderId="20" xfId="0" applyBorder="1"/>
    <xf numFmtId="0" fontId="21" fillId="0" borderId="40" xfId="0" applyFont="1" applyBorder="1" applyAlignment="1">
      <alignment horizontal="center"/>
    </xf>
    <xf numFmtId="0" fontId="20" fillId="0" borderId="40" xfId="0" applyFont="1" applyBorder="1" applyAlignment="1">
      <alignment horizontal="center" vertical="center" wrapText="1"/>
    </xf>
    <xf numFmtId="0" fontId="0" fillId="0" borderId="19" xfId="0" applyBorder="1"/>
    <xf numFmtId="0" fontId="28" fillId="7" borderId="1" xfId="0" applyFont="1" applyFill="1" applyBorder="1" applyAlignment="1">
      <alignment horizontal="center" wrapText="1"/>
    </xf>
    <xf numFmtId="0" fontId="47" fillId="6" borderId="1" xfId="0" applyFont="1" applyFill="1" applyBorder="1" applyAlignment="1">
      <alignment horizontal="left" wrapText="1"/>
    </xf>
    <xf numFmtId="0" fontId="31" fillId="0" borderId="6" xfId="0" applyFont="1" applyBorder="1" applyAlignment="1">
      <alignment horizontal="left" wrapText="1"/>
    </xf>
    <xf numFmtId="0" fontId="0" fillId="0" borderId="6" xfId="0" applyBorder="1"/>
    <xf numFmtId="0" fontId="31" fillId="0" borderId="6" xfId="0" applyFont="1" applyBorder="1" applyAlignment="1">
      <alignment wrapText="1"/>
    </xf>
    <xf numFmtId="0" fontId="31" fillId="0" borderId="0" xfId="0" applyFont="1" applyAlignment="1">
      <alignment horizontal="left" wrapText="1"/>
    </xf>
    <xf numFmtId="0" fontId="36" fillId="0" borderId="0" xfId="0" applyFont="1"/>
    <xf numFmtId="0" fontId="51" fillId="6" borderId="1" xfId="0" applyFont="1" applyFill="1" applyBorder="1" applyAlignment="1">
      <alignment horizontal="left"/>
    </xf>
    <xf numFmtId="0" fontId="32" fillId="0" borderId="36" xfId="0" applyFont="1" applyBorder="1" applyAlignment="1">
      <alignment horizontal="right"/>
    </xf>
    <xf numFmtId="0" fontId="0" fillId="0" borderId="36" xfId="0" applyBorder="1"/>
    <xf numFmtId="0" fontId="32" fillId="0" borderId="0" xfId="0" applyFont="1"/>
    <xf numFmtId="0" fontId="33" fillId="0" borderId="0" xfId="0" applyFont="1"/>
    <xf numFmtId="167" fontId="51" fillId="6" borderId="1" xfId="1" applyNumberFormat="1" applyFont="1" applyFill="1" applyBorder="1" applyAlignment="1">
      <alignment horizontal="left"/>
    </xf>
    <xf numFmtId="0" fontId="32" fillId="0" borderId="0" xfId="0" applyFont="1" applyAlignment="1">
      <alignment horizontal="left"/>
    </xf>
    <xf numFmtId="167" fontId="33" fillId="0" borderId="0" xfId="1" applyNumberFormat="1" applyFont="1"/>
    <xf numFmtId="167" fontId="9" fillId="6" borderId="0" xfId="1" applyNumberFormat="1" applyFont="1" applyFill="1" applyAlignment="1">
      <alignment horizontal="center"/>
    </xf>
    <xf numFmtId="0" fontId="51" fillId="6" borderId="41" xfId="0" applyFont="1" applyFill="1" applyBorder="1" applyAlignment="1">
      <alignment horizontal="center"/>
    </xf>
    <xf numFmtId="0" fontId="48" fillId="0" borderId="7" xfId="0" applyFont="1" applyBorder="1"/>
    <xf numFmtId="167" fontId="33" fillId="0" borderId="0" xfId="1" applyNumberFormat="1" applyFont="1" applyAlignment="1">
      <alignment horizontal="center"/>
    </xf>
    <xf numFmtId="0" fontId="16" fillId="0" borderId="0" xfId="0" applyFont="1"/>
    <xf numFmtId="0" fontId="52" fillId="0" borderId="7" xfId="0" applyFont="1" applyBorder="1" applyAlignment="1">
      <alignment horizontal="left"/>
    </xf>
    <xf numFmtId="0" fontId="51" fillId="6" borderId="42" xfId="0" applyFont="1" applyFill="1" applyBorder="1" applyAlignment="1">
      <alignment horizontal="left"/>
    </xf>
    <xf numFmtId="0" fontId="51" fillId="6" borderId="4" xfId="0" applyFont="1" applyFill="1" applyBorder="1" applyAlignment="1">
      <alignment horizontal="left"/>
    </xf>
    <xf numFmtId="0" fontId="32" fillId="0" borderId="36" xfId="0" applyFont="1" applyBorder="1" applyAlignment="1">
      <alignment horizontal="left"/>
    </xf>
    <xf numFmtId="0" fontId="32" fillId="0" borderId="6" xfId="0" applyFont="1" applyBorder="1"/>
    <xf numFmtId="0" fontId="16" fillId="7" borderId="1" xfId="0" applyFont="1" applyFill="1" applyBorder="1" applyAlignment="1">
      <alignment horizontal="center"/>
    </xf>
    <xf numFmtId="0" fontId="16" fillId="5" borderId="1" xfId="0" applyFont="1" applyFill="1" applyBorder="1" applyAlignment="1">
      <alignment horizontal="center"/>
    </xf>
    <xf numFmtId="0" fontId="10" fillId="0" borderId="6" xfId="6" applyFont="1" applyBorder="1"/>
    <xf numFmtId="0" fontId="9" fillId="5" borderId="1" xfId="6" applyFont="1" applyFill="1" applyBorder="1" applyAlignment="1">
      <alignment horizontal="center"/>
    </xf>
    <xf numFmtId="0" fontId="3" fillId="6" borderId="1" xfId="6" applyFont="1" applyFill="1" applyBorder="1" applyAlignment="1">
      <alignment horizontal="left"/>
    </xf>
    <xf numFmtId="0" fontId="9" fillId="5" borderId="1" xfId="0" applyFont="1" applyFill="1" applyBorder="1" applyAlignment="1">
      <alignment horizontal="center"/>
    </xf>
    <xf numFmtId="0" fontId="3" fillId="6" borderId="1" xfId="0" applyFont="1" applyFill="1" applyBorder="1" applyAlignment="1">
      <alignment horizontal="left"/>
    </xf>
    <xf numFmtId="0" fontId="32" fillId="0" borderId="6" xfId="6" applyFont="1" applyBorder="1"/>
    <xf numFmtId="0" fontId="16" fillId="5" borderId="1" xfId="6" applyFont="1" applyFill="1" applyBorder="1" applyAlignment="1">
      <alignment horizontal="center"/>
    </xf>
    <xf numFmtId="0" fontId="50" fillId="6" borderId="1" xfId="6" applyFont="1" applyFill="1" applyBorder="1" applyAlignment="1">
      <alignment horizontal="left"/>
    </xf>
    <xf numFmtId="0" fontId="32" fillId="4" borderId="6" xfId="6" applyFont="1" applyFill="1" applyBorder="1"/>
    <xf numFmtId="0" fontId="52" fillId="0" borderId="6" xfId="0" applyFont="1" applyBorder="1" applyAlignment="1">
      <alignment horizontal="left"/>
    </xf>
    <xf numFmtId="0" fontId="48" fillId="0" borderId="6" xfId="0" applyFont="1" applyBorder="1"/>
    <xf numFmtId="0" fontId="19" fillId="5" borderId="1" xfId="0" applyFont="1" applyFill="1" applyBorder="1" applyAlignment="1">
      <alignment horizontal="center" wrapText="1"/>
    </xf>
    <xf numFmtId="0" fontId="25" fillId="0" borderId="0" xfId="0" applyFont="1" applyAlignment="1">
      <alignment horizontal="left" wrapText="1"/>
    </xf>
    <xf numFmtId="0" fontId="3" fillId="6" borderId="1" xfId="0" applyFont="1" applyFill="1" applyBorder="1" applyAlignment="1">
      <alignment horizontal="left" wrapText="1"/>
    </xf>
    <xf numFmtId="0" fontId="3" fillId="5" borderId="1" xfId="0" applyFont="1" applyFill="1" applyBorder="1" applyAlignment="1">
      <alignment horizontal="center" wrapText="1"/>
    </xf>
    <xf numFmtId="0" fontId="56" fillId="0" borderId="6" xfId="0" applyFont="1" applyBorder="1" applyAlignment="1">
      <alignment horizontal="left"/>
    </xf>
    <xf numFmtId="0" fontId="30" fillId="5" borderId="1" xfId="0" applyFont="1" applyFill="1" applyBorder="1" applyAlignment="1">
      <alignment horizontal="center" vertical="center" wrapText="1"/>
    </xf>
    <xf numFmtId="0" fontId="55" fillId="0" borderId="0" xfId="0" applyFont="1" applyAlignment="1">
      <alignment horizontal="left" wrapText="1"/>
    </xf>
    <xf numFmtId="0" fontId="49" fillId="0" borderId="0" xfId="0" applyFont="1"/>
    <xf numFmtId="0" fontId="50" fillId="6" borderId="1" xfId="0" applyFont="1" applyFill="1" applyBorder="1" applyAlignment="1">
      <alignment horizontal="left" wrapText="1"/>
    </xf>
    <xf numFmtId="0" fontId="28" fillId="5" borderId="1" xfId="0" applyFont="1" applyFill="1" applyBorder="1" applyAlignment="1">
      <alignment horizontal="center" wrapText="1"/>
    </xf>
    <xf numFmtId="0" fontId="30" fillId="5" borderId="1" xfId="0" applyFont="1" applyFill="1" applyBorder="1" applyAlignment="1">
      <alignment horizontal="center" wrapText="1"/>
    </xf>
    <xf numFmtId="0" fontId="28" fillId="6" borderId="1" xfId="0" applyFont="1" applyFill="1" applyBorder="1" applyAlignment="1">
      <alignment horizontal="left" wrapText="1"/>
    </xf>
    <xf numFmtId="0" fontId="55" fillId="0" borderId="6" xfId="0" applyFont="1" applyBorder="1" applyAlignment="1">
      <alignment horizontal="left" wrapText="1"/>
    </xf>
    <xf numFmtId="0" fontId="28" fillId="6" borderId="1" xfId="0" applyFont="1" applyFill="1" applyBorder="1" applyAlignment="1">
      <alignment horizontal="center"/>
    </xf>
    <xf numFmtId="0" fontId="50" fillId="6" borderId="43" xfId="0" applyFont="1" applyFill="1" applyBorder="1" applyAlignment="1">
      <alignment horizontal="left"/>
    </xf>
    <xf numFmtId="0" fontId="48" fillId="0" borderId="44" xfId="0" applyFont="1" applyBorder="1"/>
    <xf numFmtId="0" fontId="28" fillId="6" borderId="1" xfId="0" applyFont="1" applyFill="1" applyBorder="1" applyAlignment="1">
      <alignment horizontal="center" wrapText="1"/>
    </xf>
    <xf numFmtId="0" fontId="32" fillId="0" borderId="1" xfId="0" applyFont="1" applyBorder="1" applyAlignment="1">
      <alignment horizontal="left"/>
    </xf>
    <xf numFmtId="0" fontId="3" fillId="5" borderId="1" xfId="0" applyFont="1" applyFill="1" applyBorder="1" applyAlignment="1">
      <alignment horizontal="center"/>
    </xf>
    <xf numFmtId="0" fontId="10" fillId="0" borderId="6" xfId="0" applyFont="1" applyBorder="1" applyAlignment="1">
      <alignment horizontal="left"/>
    </xf>
    <xf numFmtId="0" fontId="24" fillId="0" borderId="6" xfId="0" applyFont="1" applyBorder="1" applyAlignment="1">
      <alignment horizontal="left"/>
    </xf>
    <xf numFmtId="0" fontId="46" fillId="0" borderId="6" xfId="0" applyFont="1" applyBorder="1" applyAlignment="1">
      <alignment horizontal="left" wrapText="1"/>
    </xf>
    <xf numFmtId="0" fontId="43" fillId="0" borderId="6" xfId="0" applyFont="1" applyBorder="1"/>
    <xf numFmtId="0" fontId="44" fillId="5" borderId="1" xfId="0" applyFont="1" applyFill="1" applyBorder="1" applyAlignment="1">
      <alignment horizontal="center" wrapText="1"/>
    </xf>
    <xf numFmtId="0" fontId="43" fillId="0" borderId="4" xfId="0" applyFont="1" applyBorder="1"/>
    <xf numFmtId="0" fontId="43" fillId="0" borderId="5" xfId="0" applyFont="1" applyBorder="1"/>
  </cellXfs>
  <cellStyles count="9">
    <cellStyle name="Comma" xfId="1" builtinId="3"/>
    <cellStyle name="Comma [0]" xfId="5" builtinId="6"/>
    <cellStyle name="Comma 2" xfId="3" xr:uid="{00000000-0005-0000-0000-000003000000}"/>
    <cellStyle name="Comma 3" xfId="7" xr:uid="{00000000-0005-0000-0000-000007000000}"/>
    <cellStyle name="Comma 4" xfId="8" xr:uid="{00000000-0005-0000-0000-000008000000}"/>
    <cellStyle name="Hyperlink" xfId="4" builtinId="8"/>
    <cellStyle name="Normal" xfId="0" builtinId="0"/>
    <cellStyle name="Normal 2" xfId="2" xr:uid="{00000000-0005-0000-0000-000002000000}"/>
    <cellStyle name="Normal 3" xfId="6" xr:uid="{00000000-0005-0000-0000-000006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pageSetUpPr fitToPage="1"/>
  </sheetPr>
  <dimension ref="C1:J21"/>
  <sheetViews>
    <sheetView zoomScale="70" zoomScaleNormal="70" workbookViewId="0">
      <selection activeCell="F19" sqref="F19"/>
    </sheetView>
  </sheetViews>
  <sheetFormatPr defaultColWidth="9.453125" defaultRowHeight="14.5" x14ac:dyDescent="0.35"/>
  <cols>
    <col min="1" max="1" width="2" style="7" customWidth="1"/>
    <col min="2" max="2" width="2.453125" style="7" customWidth="1"/>
    <col min="3" max="3" width="2.54296875" style="7" customWidth="1"/>
    <col min="4" max="4" width="20.453125" style="7" customWidth="1"/>
    <col min="5" max="6" width="48.453125" style="7" customWidth="1"/>
    <col min="7" max="7" width="22.453125" style="7" customWidth="1"/>
    <col min="8" max="8" width="15" style="7" customWidth="1"/>
    <col min="9" max="9" width="9.453125" style="7" customWidth="1"/>
    <col min="10" max="10" width="3.453125" style="7" customWidth="1"/>
    <col min="11" max="11" width="9.453125" style="7" customWidth="1"/>
    <col min="12" max="13" width="12.453125" style="7" customWidth="1"/>
    <col min="14" max="14" width="9.453125" style="7" customWidth="1"/>
    <col min="15" max="15" width="15.453125" style="7" customWidth="1"/>
    <col min="16" max="114" width="9.453125" style="7" customWidth="1"/>
    <col min="115" max="16384" width="9.453125" style="7"/>
  </cols>
  <sheetData>
    <row r="1" spans="3:10" ht="24.75" customHeight="1" thickBot="1" x14ac:dyDescent="0.4"/>
    <row r="2" spans="3:10" ht="15" customHeight="1" thickBot="1" x14ac:dyDescent="0.4">
      <c r="C2" s="8"/>
      <c r="D2" s="9"/>
      <c r="E2" s="9"/>
      <c r="F2" s="9"/>
      <c r="G2" s="9"/>
      <c r="H2" s="9"/>
      <c r="I2" s="9"/>
      <c r="J2" s="10"/>
    </row>
    <row r="3" spans="3:10" ht="7.5" customHeight="1" x14ac:dyDescent="0.35">
      <c r="C3" s="11"/>
      <c r="D3" s="8"/>
      <c r="E3" s="9"/>
      <c r="F3" s="9"/>
      <c r="G3" s="9"/>
      <c r="H3" s="9"/>
      <c r="I3" s="10"/>
      <c r="J3" s="12"/>
    </row>
    <row r="4" spans="3:10" ht="5.25" customHeight="1" x14ac:dyDescent="0.35">
      <c r="C4" s="11"/>
      <c r="D4" s="11"/>
      <c r="I4" s="12"/>
      <c r="J4" s="12"/>
    </row>
    <row r="5" spans="3:10" ht="9" customHeight="1" x14ac:dyDescent="0.35">
      <c r="C5" s="11"/>
      <c r="D5" s="11"/>
      <c r="I5" s="12"/>
      <c r="J5" s="12"/>
    </row>
    <row r="6" spans="3:10" ht="22.5" customHeight="1" x14ac:dyDescent="0.45">
      <c r="C6" s="11"/>
      <c r="D6" s="11"/>
      <c r="E6" s="19" t="s">
        <v>47</v>
      </c>
      <c r="F6" s="19"/>
      <c r="G6" s="19"/>
      <c r="H6" s="20"/>
      <c r="I6" s="12"/>
      <c r="J6" s="12"/>
    </row>
    <row r="7" spans="3:10" ht="30" customHeight="1" x14ac:dyDescent="0.6">
      <c r="C7" s="11"/>
      <c r="D7" s="11"/>
      <c r="E7" s="13"/>
      <c r="I7" s="12"/>
      <c r="J7" s="12"/>
    </row>
    <row r="8" spans="3:10" ht="30" customHeight="1" x14ac:dyDescent="0.6">
      <c r="C8" s="11"/>
      <c r="D8" s="11"/>
      <c r="E8" s="14"/>
      <c r="F8" s="14"/>
      <c r="I8" s="12"/>
      <c r="J8" s="12"/>
    </row>
    <row r="9" spans="3:10" ht="30" customHeight="1" x14ac:dyDescent="0.35">
      <c r="C9" s="11"/>
      <c r="D9" s="11"/>
      <c r="I9" s="12"/>
      <c r="J9" s="12"/>
    </row>
    <row r="10" spans="3:10" ht="20.149999999999999" customHeight="1" thickBot="1" x14ac:dyDescent="0.4">
      <c r="C10" s="11"/>
      <c r="D10" s="11"/>
      <c r="I10" s="12"/>
      <c r="J10" s="12"/>
    </row>
    <row r="11" spans="3:10" ht="20.149999999999999" customHeight="1" thickBot="1" x14ac:dyDescent="0.4">
      <c r="C11" s="11"/>
      <c r="D11" s="11"/>
      <c r="E11" s="15" t="s">
        <v>48</v>
      </c>
      <c r="F11" s="22" t="s">
        <v>49</v>
      </c>
      <c r="I11" s="12"/>
      <c r="J11" s="12"/>
    </row>
    <row r="12" spans="3:10" ht="20.149999999999999" customHeight="1" thickBot="1" x14ac:dyDescent="0.4">
      <c r="C12" s="11"/>
      <c r="D12" s="11"/>
      <c r="I12" s="12"/>
      <c r="J12" s="12"/>
    </row>
    <row r="13" spans="3:10" ht="20.149999999999999" customHeight="1" thickBot="1" x14ac:dyDescent="0.4">
      <c r="C13" s="11"/>
      <c r="D13" s="11"/>
      <c r="E13" s="21" t="s">
        <v>50</v>
      </c>
      <c r="F13" s="36">
        <v>1</v>
      </c>
      <c r="I13" s="12"/>
      <c r="J13" s="12"/>
    </row>
    <row r="14" spans="3:10" s="62" customFormat="1" ht="36.75" customHeight="1" thickBot="1" x14ac:dyDescent="0.4">
      <c r="C14" s="61"/>
      <c r="D14" s="61"/>
      <c r="I14" s="63"/>
      <c r="J14" s="63"/>
    </row>
    <row r="15" spans="3:10" ht="20.149999999999999" customHeight="1" thickBot="1" x14ac:dyDescent="0.4">
      <c r="C15" s="11"/>
      <c r="D15" s="11"/>
      <c r="E15" s="15" t="s">
        <v>51</v>
      </c>
      <c r="F15" s="36">
        <v>2026</v>
      </c>
      <c r="I15" s="12"/>
      <c r="J15" s="12"/>
    </row>
    <row r="16" spans="3:10" ht="20.149999999999999" customHeight="1" x14ac:dyDescent="0.35">
      <c r="C16" s="11"/>
      <c r="D16" s="11"/>
      <c r="I16" s="12"/>
      <c r="J16" s="12"/>
    </row>
    <row r="17" spans="3:10" ht="45" customHeight="1" thickBot="1" x14ac:dyDescent="0.4">
      <c r="C17" s="11"/>
      <c r="D17" s="11"/>
      <c r="I17" s="12"/>
      <c r="J17" s="12"/>
    </row>
    <row r="18" spans="3:10" ht="20.149999999999999" customHeight="1" thickBot="1" x14ac:dyDescent="0.4">
      <c r="C18" s="11"/>
      <c r="D18" s="11"/>
      <c r="E18" s="15" t="s">
        <v>52</v>
      </c>
      <c r="F18" s="36" t="s">
        <v>53</v>
      </c>
      <c r="I18" s="12"/>
      <c r="J18" s="12"/>
    </row>
    <row r="19" spans="3:10" ht="20.149999999999999" customHeight="1" x14ac:dyDescent="0.35">
      <c r="C19" s="11"/>
      <c r="D19" s="11"/>
      <c r="E19" s="15"/>
      <c r="I19" s="12"/>
      <c r="J19" s="12"/>
    </row>
    <row r="20" spans="3:10" ht="15" customHeight="1" thickBot="1" x14ac:dyDescent="0.4">
      <c r="C20" s="11"/>
      <c r="D20" s="16"/>
      <c r="E20" s="17"/>
      <c r="F20" s="17"/>
      <c r="G20" s="17"/>
      <c r="H20" s="17"/>
      <c r="I20" s="18"/>
      <c r="J20" s="12"/>
    </row>
    <row r="21" spans="3:10" ht="15" customHeight="1" thickBot="1" x14ac:dyDescent="0.4">
      <c r="C21" s="16"/>
      <c r="D21" s="17"/>
      <c r="E21" s="17"/>
      <c r="F21" s="17"/>
      <c r="G21" s="17"/>
      <c r="H21" s="17"/>
      <c r="I21" s="17"/>
      <c r="J21" s="18"/>
    </row>
  </sheetData>
  <sheetProtection algorithmName="SHA-512" hashValue="hTzeWmuPRBqEarpb9/NKWfAwaqFbr6s0j/r6uprcad8WAIE/sA6O3BcVBsic7iOLG31lRFKe6oPYuqCZhVtWBA==" saltValue="pce410rrB4mO3MYuJjKgmQ==" spinCount="100000" sheet="1" objects="1" scenarios="1"/>
  <pageMargins left="0.7" right="0.7" top="0.75" bottom="0.75" header="0.3" footer="0.3"/>
  <pageSetup paperSize="9" scale="75"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B1:F9"/>
  <sheetViews>
    <sheetView showGridLines="0" topLeftCell="A2" zoomScale="70" zoomScaleNormal="70" workbookViewId="0">
      <selection activeCell="B4" sqref="B4:F7"/>
    </sheetView>
  </sheetViews>
  <sheetFormatPr defaultColWidth="9.453125" defaultRowHeight="21" customHeight="1" x14ac:dyDescent="0.3"/>
  <cols>
    <col min="1" max="1" width="14.54296875" style="2" customWidth="1"/>
    <col min="2" max="3" width="9.453125" style="2" customWidth="1"/>
    <col min="4" max="4" width="28.453125" style="2" customWidth="1"/>
    <col min="5" max="5" width="50.453125" style="2" customWidth="1"/>
    <col min="6" max="6" width="25" style="2" customWidth="1"/>
    <col min="7" max="105" width="9.453125" style="2" customWidth="1"/>
    <col min="106" max="16384" width="9.453125" style="2"/>
  </cols>
  <sheetData>
    <row r="1" spans="2:6" ht="14" customHeight="1" x14ac:dyDescent="0.3"/>
    <row r="2" spans="2:6" ht="38.25" customHeight="1" thickBot="1" x14ac:dyDescent="0.35"/>
    <row r="3" spans="2:6" ht="62.25" customHeight="1" thickBot="1" x14ac:dyDescent="0.45">
      <c r="B3" s="313" t="s">
        <v>54</v>
      </c>
      <c r="C3" s="314"/>
      <c r="D3" s="314"/>
      <c r="E3" s="314"/>
      <c r="F3" s="315"/>
    </row>
    <row r="4" spans="2:6" ht="23.25" customHeight="1" thickTop="1" x14ac:dyDescent="0.3">
      <c r="B4" s="304" t="s">
        <v>286</v>
      </c>
      <c r="C4" s="305"/>
      <c r="D4" s="305"/>
      <c r="E4" s="305"/>
      <c r="F4" s="306"/>
    </row>
    <row r="5" spans="2:6" ht="23.25" customHeight="1" x14ac:dyDescent="0.3">
      <c r="B5" s="307"/>
      <c r="C5" s="308"/>
      <c r="D5" s="308"/>
      <c r="E5" s="308"/>
      <c r="F5" s="309"/>
    </row>
    <row r="6" spans="2:6" ht="62.25" customHeight="1" x14ac:dyDescent="0.3">
      <c r="B6" s="307"/>
      <c r="C6" s="308"/>
      <c r="D6" s="308"/>
      <c r="E6" s="308"/>
      <c r="F6" s="309"/>
    </row>
    <row r="7" spans="2:6" ht="161" customHeight="1" thickBot="1" x14ac:dyDescent="0.35">
      <c r="B7" s="310"/>
      <c r="C7" s="311"/>
      <c r="D7" s="311"/>
      <c r="E7" s="311"/>
      <c r="F7" s="312"/>
    </row>
    <row r="8" spans="2:6" ht="62.25" customHeight="1" x14ac:dyDescent="0.3"/>
    <row r="9" spans="2:6" ht="62.25" customHeight="1" x14ac:dyDescent="0.3"/>
  </sheetData>
  <sheetProtection algorithmName="SHA-512" hashValue="qnnYPtk4z7vGBkCGRh3+AUHdw2LRoo7iyPhfzwaa82vgL9W1OqoM1ChjOH6GhLiyLcCzbjUtvGHbRiXZT50kvQ==" saltValue="KIPMLEsZwQsNuf9C5Fr85w==" spinCount="100000" sheet="1" objects="1" scenarios="1"/>
  <mergeCells count="2">
    <mergeCell ref="B4:F7"/>
    <mergeCell ref="B3:F3"/>
  </mergeCells>
  <printOptions verticalCentered="1"/>
  <pageMargins left="0.7" right="0.7" top="0.75" bottom="0.75" header="0.3" footer="0.3"/>
  <pageSetup paperSize="7" scale="80" orientation="landscape"/>
  <colBreaks count="1" manualBreakCount="1">
    <brk id="16" max="1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pageSetUpPr fitToPage="1"/>
  </sheetPr>
  <dimension ref="A1:C38"/>
  <sheetViews>
    <sheetView showGridLines="0" topLeftCell="A16" zoomScale="70" zoomScaleNormal="70" workbookViewId="0">
      <selection activeCell="B19" sqref="B19"/>
    </sheetView>
  </sheetViews>
  <sheetFormatPr defaultColWidth="9.453125" defaultRowHeight="14" x14ac:dyDescent="0.3"/>
  <cols>
    <col min="1" max="1" width="11.54296875" style="2" customWidth="1"/>
    <col min="2" max="2" width="38" style="2" customWidth="1"/>
    <col min="3" max="3" width="175.453125" style="2" customWidth="1"/>
    <col min="4" max="4" width="20.453125" style="2" customWidth="1"/>
    <col min="5" max="95" width="9.453125" style="2" customWidth="1"/>
    <col min="96" max="16384" width="9.453125" style="2"/>
  </cols>
  <sheetData>
    <row r="1" spans="1:3" ht="14.5" customHeight="1" thickBot="1" x14ac:dyDescent="0.35"/>
    <row r="2" spans="1:3" ht="14.5" customHeight="1" thickTop="1" x14ac:dyDescent="0.3">
      <c r="A2" s="32"/>
      <c r="B2" s="33"/>
      <c r="C2" s="34"/>
    </row>
    <row r="3" spans="1:3" x14ac:dyDescent="0.3">
      <c r="A3" s="32"/>
      <c r="B3" s="319" t="s">
        <v>47</v>
      </c>
      <c r="C3" s="317"/>
    </row>
    <row r="4" spans="1:3" x14ac:dyDescent="0.3">
      <c r="A4" s="32"/>
      <c r="B4" s="320"/>
      <c r="C4" s="317"/>
    </row>
    <row r="5" spans="1:3" ht="17.5" customHeight="1" x14ac:dyDescent="0.35">
      <c r="A5" s="32"/>
      <c r="B5" s="318" t="str">
        <f>Details!F15&amp;" QUARTER"&amp;" "&amp;Details!F13&amp;" "&amp;"STATISTICS"</f>
        <v>2026 QUARTER 1 STATISTICS</v>
      </c>
      <c r="C5" s="317"/>
    </row>
    <row r="6" spans="1:3" ht="21" customHeight="1" thickBot="1" x14ac:dyDescent="0.5">
      <c r="A6" s="32"/>
      <c r="B6" s="316" t="s">
        <v>55</v>
      </c>
      <c r="C6" s="317"/>
    </row>
    <row r="7" spans="1:3" s="5" customFormat="1" ht="15" customHeight="1" thickTop="1" thickBot="1" x14ac:dyDescent="0.35">
      <c r="A7" s="32"/>
      <c r="B7" s="23" t="s">
        <v>56</v>
      </c>
      <c r="C7" s="24" t="s">
        <v>57</v>
      </c>
    </row>
    <row r="8" spans="1:3" ht="14.5" customHeight="1" thickTop="1" x14ac:dyDescent="0.3">
      <c r="A8" s="32"/>
      <c r="B8" s="79" t="s">
        <v>58</v>
      </c>
      <c r="C8" s="29" t="str">
        <f>_xlfn.CONCAT("SUMMARY OF GENERAL INSURANCE BUSINESS PROFIT &amp; LOSS ACCOUNTS FOR THE PERIOD ENDED"," ",Details!F18)</f>
        <v>SUMMARY OF GENERAL INSURANCE BUSINESS PROFIT &amp; LOSS ACCOUNTS FOR THE PERIOD ENDED 31.03.2026</v>
      </c>
    </row>
    <row r="9" spans="1:3" x14ac:dyDescent="0.3">
      <c r="A9" s="32"/>
      <c r="B9" s="79" t="s">
        <v>59</v>
      </c>
      <c r="C9" s="30" t="str">
        <f>_xlfn.CONCAT("SUMMARY OF LONG TERM INSURANCE BUSINESS PROFIT &amp; LOSS ACCOUNTS  FOR THE PERIOD ENDED"," ",Details!$F$18)</f>
        <v>SUMMARY OF LONG TERM INSURANCE BUSINESS PROFIT &amp; LOSS ACCOUNTS  FOR THE PERIOD ENDED 31.03.2026</v>
      </c>
    </row>
    <row r="10" spans="1:3" x14ac:dyDescent="0.3">
      <c r="A10" s="32"/>
      <c r="B10" s="79" t="s">
        <v>60</v>
      </c>
      <c r="C10" s="30" t="str">
        <f>_xlfn.CONCAT("SUMMARY OF MICRO INSURANCE BUSINESS PROFIT &amp; LOSS ACCOUNTS  FOR THE PERIOD ENDED"," ",Details!$F$18)</f>
        <v>SUMMARY OF MICRO INSURANCE BUSINESS PROFIT &amp; LOSS ACCOUNTS  FOR THE PERIOD ENDED 31.03.2026</v>
      </c>
    </row>
    <row r="11" spans="1:3" x14ac:dyDescent="0.3">
      <c r="B11" s="79" t="s">
        <v>61</v>
      </c>
      <c r="C11" s="30" t="str">
        <f>_xlfn.CONCAT("SUMMARY OF LONG TERM INSURANCE BUSINESS BALANCE SHEETS AS AT"," ",Details!F18)</f>
        <v>SUMMARY OF LONG TERM INSURANCE BUSINESS BALANCE SHEETS AS AT 31.03.2026</v>
      </c>
    </row>
    <row r="12" spans="1:3" x14ac:dyDescent="0.3">
      <c r="B12" s="79" t="s">
        <v>62</v>
      </c>
      <c r="C12" s="30" t="str">
        <f>_xlfn.CONCAT("SUMMARY OF LONG TERM INSURANCE BUSINESS BALANCE SHEETS AS AT"," ",Details!F18)</f>
        <v>SUMMARY OF LONG TERM INSURANCE BUSINESS BALANCE SHEETS AS AT 31.03.2026</v>
      </c>
    </row>
    <row r="13" spans="1:3" x14ac:dyDescent="0.3">
      <c r="B13" s="79" t="s">
        <v>63</v>
      </c>
      <c r="C13" s="30" t="str">
        <f>_xlfn.CONCAT("SUMMARY OF LONG TERM INSURANCE BUSINESS BALANCE SHEETS AS AT"," ",Details!F18)</f>
        <v>SUMMARY OF LONG TERM INSURANCE BUSINESS BALANCE SHEETS AS AT 31.03.2026</v>
      </c>
    </row>
    <row r="14" spans="1:3" x14ac:dyDescent="0.3">
      <c r="B14" s="79" t="s">
        <v>64</v>
      </c>
      <c r="C14" s="30" t="str">
        <f>_xlfn.CONCAT("SUMMARY OF GENERAL INSURANCE BUSINESS BALANCE SHEETS AS AT"," ",Details!F18)</f>
        <v>SUMMARY OF GENERAL INSURANCE BUSINESS BALANCE SHEETS AS AT 31.03.2026</v>
      </c>
    </row>
    <row r="15" spans="1:3" x14ac:dyDescent="0.3">
      <c r="B15" s="79" t="s">
        <v>65</v>
      </c>
      <c r="C15" s="30" t="str">
        <f>_xlfn.CONCAT("SUMMARY OF GENERAL INSURANCE BUSINESS BALANCE SHEETS AS AT"," ",Details!F18)</f>
        <v>SUMMARY OF GENERAL INSURANCE BUSINESS BALANCE SHEETS AS AT 31.03.2026</v>
      </c>
    </row>
    <row r="16" spans="1:3" x14ac:dyDescent="0.3">
      <c r="B16" s="79" t="s">
        <v>66</v>
      </c>
      <c r="C16" s="30" t="str">
        <f>_xlfn.CONCAT("SUMMARY OF GENERAL INSURANCE BUSINESS BALANCE SHEETS AS AT"," ",Details!F18)</f>
        <v>SUMMARY OF GENERAL INSURANCE BUSINESS BALANCE SHEETS AS AT 31.03.2026</v>
      </c>
    </row>
    <row r="17" spans="1:3" x14ac:dyDescent="0.3">
      <c r="B17" s="79" t="s">
        <v>67</v>
      </c>
      <c r="C17" s="30" t="str">
        <f>_xlfn.CONCAT("SUMMARY OF GENERAL INSURANCE BUSINESS BALANCE SHEETS AS AT"," ",Details!F18)</f>
        <v>SUMMARY OF GENERAL INSURANCE BUSINESS BALANCE SHEETS AS AT 31.03.2026</v>
      </c>
    </row>
    <row r="18" spans="1:3" ht="14.5" customHeight="1" x14ac:dyDescent="0.3">
      <c r="B18" s="79" t="s">
        <v>287</v>
      </c>
      <c r="C18" s="30" t="str">
        <f>_xlfn.CONCAT("SUMMARY OF MICRO INSURANCE BUSINESS BALANCE SHEETS AS AT"," ",Details!F18)</f>
        <v>SUMMARY OF MICRO INSURANCE BUSINESS BALANCE SHEETS AS AT 31.03.2026</v>
      </c>
    </row>
    <row r="19" spans="1:3" x14ac:dyDescent="0.3">
      <c r="A19" s="32"/>
      <c r="B19" s="79" t="s">
        <v>68</v>
      </c>
      <c r="C19" s="30" t="str">
        <f>_xlfn.CONCAT("SUMMARY OF LONG TERM INSURANCE BUSINESS GROSS PREMIUM INCOME FOR THE PERIOD ENDED"," ",Details!F18)</f>
        <v>SUMMARY OF LONG TERM INSURANCE BUSINESS GROSS PREMIUM INCOME FOR THE PERIOD ENDED 31.03.2026</v>
      </c>
    </row>
    <row r="20" spans="1:3" x14ac:dyDescent="0.3">
      <c r="A20" s="32"/>
      <c r="B20" s="79" t="s">
        <v>69</v>
      </c>
      <c r="C20" s="30" t="str">
        <f>_xlfn.CONCAT("SUMMARY OF LONG TERM INSURANCE BUSINESS MARKET SHARE PER CLASS FOR THE PERIOD ENDED"," ",Details!F18)</f>
        <v>SUMMARY OF LONG TERM INSURANCE BUSINESS MARKET SHARE PER CLASS FOR THE PERIOD ENDED 31.03.2026</v>
      </c>
    </row>
    <row r="21" spans="1:3" x14ac:dyDescent="0.3">
      <c r="A21" s="32"/>
      <c r="B21" s="79" t="s">
        <v>70</v>
      </c>
      <c r="C21" s="30" t="str">
        <f>_xlfn.CONCAT("SUMMARY OF LIFE ASSURANCE BUSINESS REVENUE ACCOUNTS FOR THE PERIOD ENDED"," ",Details!F18)</f>
        <v>SUMMARY OF LIFE ASSURANCE BUSINESS REVENUE ACCOUNTS FOR THE PERIOD ENDED 31.03.2026</v>
      </c>
    </row>
    <row r="22" spans="1:3" x14ac:dyDescent="0.3">
      <c r="A22" s="32"/>
      <c r="B22" s="79" t="s">
        <v>71</v>
      </c>
      <c r="C22" s="30" t="str">
        <f>_xlfn.CONCAT("SUMMARY OF ANNUITIES BUSINESS REVENUE ACCOUNTS FOR THE PERIOD ENDED"," ",Details!F18)</f>
        <v>SUMMARY OF ANNUITIES BUSINESS REVENUE ACCOUNTS FOR THE PERIOD ENDED 31.03.2026</v>
      </c>
    </row>
    <row r="23" spans="1:3" x14ac:dyDescent="0.3">
      <c r="A23" s="32"/>
      <c r="B23" s="79" t="s">
        <v>72</v>
      </c>
      <c r="C23" s="30" t="str">
        <f>_xlfn.CONCAT("SUMMARY OF GROUP LIFE BUSINESS REVENUE ACCOUNTS FOR THE PERIOD ENDED"," ",Details!F18)</f>
        <v>SUMMARY OF GROUP LIFE BUSINESS REVENUE ACCOUNTS FOR THE PERIOD ENDED 31.03.2026</v>
      </c>
    </row>
    <row r="24" spans="1:3" x14ac:dyDescent="0.3">
      <c r="A24" s="32"/>
      <c r="B24" s="79" t="s">
        <v>73</v>
      </c>
      <c r="C24" s="30" t="str">
        <f>_xlfn.CONCAT("SUMMARY OF GROUP CREDIT BUSINESS REVENUE ACCOUNTS FOR THE PERIOD ENDED"," ",Details!F18)</f>
        <v>SUMMARY OF GROUP CREDIT BUSINESS REVENUE ACCOUNTS FOR THE PERIOD ENDED 31.03.2026</v>
      </c>
    </row>
    <row r="25" spans="1:3" x14ac:dyDescent="0.3">
      <c r="A25" s="32"/>
      <c r="B25" s="79" t="s">
        <v>74</v>
      </c>
      <c r="C25" s="30" t="str">
        <f>_xlfn.CONCAT("SUMMARY OF INVESTMENTS BUSINESS REVENUE ACCOUNTS FOR THE PERIOD ENDED"," ",Details!F18)</f>
        <v>SUMMARY OF INVESTMENTS BUSINESS REVENUE ACCOUNTS FOR THE PERIOD ENDED 31.03.2026</v>
      </c>
    </row>
    <row r="26" spans="1:3" x14ac:dyDescent="0.3">
      <c r="A26" s="32"/>
      <c r="B26" s="79" t="s">
        <v>75</v>
      </c>
      <c r="C26" s="30" t="str">
        <f>_xlfn.CONCAT("SUMMARY OF PERMANENT HEALTH BUSINESS REVENUE ACCOUNTS FOR THE PERIOD ENDED"," ",Details!F18)</f>
        <v>SUMMARY OF PERMANENT HEALTH BUSINESS REVENUE ACCOUNTS FOR THE PERIOD ENDED 31.03.2026</v>
      </c>
    </row>
    <row r="27" spans="1:3" x14ac:dyDescent="0.3">
      <c r="A27" s="32"/>
      <c r="B27" s="79" t="s">
        <v>76</v>
      </c>
      <c r="C27" s="30" t="str">
        <f>_xlfn.CONCAT("SUMMARY OF PERSONAL PENSIONS BUSINESS REVENUE ACCOUNTS FOR THE PERIOD ENDED"," ",Details!F18)</f>
        <v>SUMMARY OF PERSONAL PENSIONS BUSINESS REVENUE ACCOUNTS FOR THE PERIOD ENDED 31.03.2026</v>
      </c>
    </row>
    <row r="28" spans="1:3" x14ac:dyDescent="0.3">
      <c r="A28" s="32"/>
      <c r="B28" s="79" t="s">
        <v>77</v>
      </c>
      <c r="C28" s="30" t="str">
        <f>_xlfn.CONCAT("SUMMARY OF DEPOSIT ADMINISTRATION BUSINESS REVENUE ACCOUNTS FOR THE PERIOD ENDED"," ",Details!F18)</f>
        <v>SUMMARY OF DEPOSIT ADMINISTRATION BUSINESS REVENUE ACCOUNTS FOR THE PERIOD ENDED 31.03.2026</v>
      </c>
    </row>
    <row r="29" spans="1:3" x14ac:dyDescent="0.3">
      <c r="A29" s="32"/>
      <c r="B29" s="79" t="s">
        <v>78</v>
      </c>
      <c r="C29" s="30" t="str">
        <f>_xlfn.CONCAT("SUMMARY OF COMBINED LONG TERM BUSINESS REVENUE ACCOUNTS FOR THE PERIOD ENDED"," ",Details!F18)</f>
        <v>SUMMARY OF COMBINED LONG TERM BUSINESS REVENUE ACCOUNTS FOR THE PERIOD ENDED 31.03.2026</v>
      </c>
    </row>
    <row r="30" spans="1:3" x14ac:dyDescent="0.3">
      <c r="A30" s="32"/>
      <c r="B30" s="79" t="s">
        <v>79</v>
      </c>
      <c r="C30" s="30" t="str">
        <f>_xlfn.CONCAT("SUMMARY OF GROSS  PREMIUM INCOME UNDER GENERAL INSURANCE BUSINESS FOR THE PERIOD ENDED"," ",Details!$F$18)</f>
        <v>SUMMARY OF GROSS  PREMIUM INCOME UNDER GENERAL INSURANCE BUSINESS FOR THE PERIOD ENDED 31.03.2026</v>
      </c>
    </row>
    <row r="31" spans="1:3" x14ac:dyDescent="0.3">
      <c r="A31" s="32"/>
      <c r="B31" s="79" t="s">
        <v>80</v>
      </c>
      <c r="C31" s="30" t="str">
        <f>_xlfn.CONCAT("SUMMARY OF GENERAL INSURANCE BUSINESS MARKET SHARE PER CLASS FOR THE PERIOD ENDED"," ",Details!$F$18)</f>
        <v>SUMMARY OF GENERAL INSURANCE BUSINESS MARKET SHARE PER CLASS FOR THE PERIOD ENDED 31.03.2026</v>
      </c>
    </row>
    <row r="32" spans="1:3" x14ac:dyDescent="0.3">
      <c r="A32" s="32"/>
      <c r="B32" s="79" t="s">
        <v>81</v>
      </c>
      <c r="C32" s="30" t="str">
        <f>_xlfn.CONCAT("SUMMARY OF CLAIMS PAID UNDER GENERAL INSURANCE BUSINESS FOR THE PERIOD ENDED"," ",Details!$F$18)</f>
        <v>SUMMARY OF CLAIMS PAID UNDER GENERAL INSURANCE BUSINESS FOR THE PERIOD ENDED 31.03.2026</v>
      </c>
    </row>
    <row r="33" spans="1:3" x14ac:dyDescent="0.3">
      <c r="A33" s="32"/>
      <c r="B33" s="79" t="s">
        <v>82</v>
      </c>
      <c r="C33" s="30" t="str">
        <f>_xlfn.CONCAT("SUMMARY OF CLAIMS INCURRED UNDER GENERAL INSURANCE BUSINESS FOR THE PERIOD ENDED"," ",Details!$F$18)</f>
        <v>SUMMARY OF CLAIMS INCURRED UNDER GENERAL INSURANCE BUSINESS FOR THE PERIOD ENDED 31.03.2026</v>
      </c>
    </row>
    <row r="34" spans="1:3" x14ac:dyDescent="0.3">
      <c r="A34" s="32"/>
      <c r="B34" s="79" t="s">
        <v>83</v>
      </c>
      <c r="C34" s="30" t="str">
        <f>_xlfn.CONCAT("SUMMARY OF INCURRED CLAIMS RATIOS UNDER GENERAL INSURANCE BUSINESS FOR THE PERIOD ENDED"," ",Details!$F$18)</f>
        <v>SUMMARY OF INCURRED CLAIMS RATIOS UNDER GENERAL INSURANCE BUSINESS FOR THE PERIOD ENDED 31.03.2026</v>
      </c>
    </row>
    <row r="35" spans="1:3" x14ac:dyDescent="0.3">
      <c r="A35" s="32"/>
      <c r="B35" s="79" t="s">
        <v>84</v>
      </c>
      <c r="C35" s="30" t="str">
        <f>_xlfn.CONCAT("SUMMARY OF GENERAL INSURANCE BUSINESS REVENUE ACCOUNTS FOR THE PERIOD ENDED"," ",Details!$F$18)</f>
        <v>SUMMARY OF GENERAL INSURANCE BUSINESS REVENUE ACCOUNTS FOR THE PERIOD ENDED 31.03.2026</v>
      </c>
    </row>
    <row r="36" spans="1:3" x14ac:dyDescent="0.3">
      <c r="A36" s="32"/>
      <c r="B36" s="79" t="s">
        <v>85</v>
      </c>
      <c r="C36" s="30" t="str">
        <f>_xlfn.CONCAT("SUMMARY OF BUSINESS RESULTS UNDER MICRO INSURANCE BUSINESS FOR THE PERIOD ENDED"," ",Details!$F$18)</f>
        <v>SUMMARY OF BUSINESS RESULTS UNDER MICRO INSURANCE BUSINESS FOR THE PERIOD ENDED 31.03.2026</v>
      </c>
    </row>
    <row r="37" spans="1:3" ht="14.5" customHeight="1" thickBot="1" x14ac:dyDescent="0.35">
      <c r="A37" s="32"/>
      <c r="B37" s="79" t="s">
        <v>86</v>
      </c>
      <c r="C37" s="31" t="str">
        <f>_xlfn.CONCAT("SUMMARY OF MICROINSURANCE BUSINESS REVENUE ACCOUNTS FOR THE PERIOD ENDED"," ",Details!$F$18)</f>
        <v>SUMMARY OF MICROINSURANCE BUSINESS REVENUE ACCOUNTS FOR THE PERIOD ENDED 31.03.2026</v>
      </c>
    </row>
    <row r="38" spans="1:3" ht="14.5" customHeight="1" thickTop="1" x14ac:dyDescent="0.3">
      <c r="B38" s="78"/>
    </row>
  </sheetData>
  <sheetProtection algorithmName="SHA-512" hashValue="7zIr3v8MdM5SL+ns0PH3uVDvcMEJPFMqydP5Tj06spNuDHD0Uz+VM4flDvqFG3XRz1jA7hJHJc+DPwgJa+z+UA==" saltValue="OwZPzvnULczTSpt4uo981Q==" spinCount="100000" sheet="1" objects="1" scenarios="1"/>
  <mergeCells count="3">
    <mergeCell ref="B6:C6"/>
    <mergeCell ref="B5:C5"/>
    <mergeCell ref="B3:C4"/>
  </mergeCells>
  <hyperlinks>
    <hyperlink ref="B8" location="'APPENDIX 1'!A1" display="APPENDIX 1'" xr:uid="{00000000-0004-0000-0200-000000000000}"/>
    <hyperlink ref="B9" location="'APPENDIX 2'!A1" display="'APPENDIX 2'" xr:uid="{00000000-0004-0000-0200-000001000000}"/>
    <hyperlink ref="B10" location="'APPENDIX 3'!A1" display="'APPENDIX 3'" xr:uid="{00000000-0004-0000-0200-000002000000}"/>
    <hyperlink ref="B11" location="Appendix_4i_Range" display="APPENDIX 4 i" xr:uid="{00000000-0004-0000-0200-000003000000}"/>
    <hyperlink ref="B12" location="Appendix_4ii_Range" display="APPENDIX 4 ii" xr:uid="{00000000-0004-0000-0200-000004000000}"/>
    <hyperlink ref="B13" location="Appendix_4iii_Range" display="APPENDIX 4 iii" xr:uid="{00000000-0004-0000-0200-000005000000}"/>
    <hyperlink ref="B14" location="Appendix_5i_Range" display="APPENDIX 5 i" xr:uid="{00000000-0004-0000-0200-000006000000}"/>
    <hyperlink ref="B15" location="Appendix_5ii_Range" display="APPENDIX 5 ii" xr:uid="{00000000-0004-0000-0200-000007000000}"/>
    <hyperlink ref="B16" location="Appendix_5iii_Range" display="APPENDIX 5 iii" xr:uid="{00000000-0004-0000-0200-000008000000}"/>
    <hyperlink ref="B17" location="Appendix_5iv_Range" display="APPENDIX 5 iv" xr:uid="{00000000-0004-0000-0200-000009000000}"/>
    <hyperlink ref="B18" location="Appendix_6i_Range" display="APPENDIX 6 i" xr:uid="{00000000-0004-0000-0200-00000A000000}"/>
    <hyperlink ref="B19" location="Appendix_7_Range" display="APPENDIX 7" xr:uid="{00000000-0004-0000-0200-00000B000000}"/>
    <hyperlink ref="B20" location="Appendix_8_Range" display="APPENDIX 8" xr:uid="{00000000-0004-0000-0200-00000C000000}"/>
    <hyperlink ref="B21" location="Appendix_9_Range" display="APPENDIX 9" xr:uid="{00000000-0004-0000-0200-00000D000000}"/>
    <hyperlink ref="B22" location="Appendix_10_Range" display="APPENDIX 10" xr:uid="{00000000-0004-0000-0200-00000E000000}"/>
    <hyperlink ref="B23" location="Appendix_11_Range" display="APPENDIX 11" xr:uid="{00000000-0004-0000-0200-00000F000000}"/>
    <hyperlink ref="B24" location="Appendix_12_Range" display="APPENDIX 12" xr:uid="{00000000-0004-0000-0200-000010000000}"/>
    <hyperlink ref="B25" location="Appendix_13_Range" display="APPENDIX 13" xr:uid="{00000000-0004-0000-0200-000011000000}"/>
    <hyperlink ref="B26" location="Appendix_14_Range" display="APPENDIX 14" xr:uid="{00000000-0004-0000-0200-000012000000}"/>
    <hyperlink ref="B27" location="Appendix_15_Range" display="APPENDIX 15" xr:uid="{00000000-0004-0000-0200-000013000000}"/>
    <hyperlink ref="B28" location="Appendix_16_Range" display="APPENDIX 16" xr:uid="{00000000-0004-0000-0200-000014000000}"/>
    <hyperlink ref="B29" location="Appendix_17_Range" display="APPENDIX 17" xr:uid="{00000000-0004-0000-0200-000015000000}"/>
    <hyperlink ref="B30" location="Appendix_18_Range" display="APPENDIX 18" xr:uid="{00000000-0004-0000-0200-000016000000}"/>
    <hyperlink ref="B31" location="Appendix_19_Range" display="APPENDIX 19" xr:uid="{00000000-0004-0000-0200-000017000000}"/>
    <hyperlink ref="B32" location="Appendix_20_Range" display="APPENDIX 20" xr:uid="{00000000-0004-0000-0200-000018000000}"/>
    <hyperlink ref="B33" location="Appendix_21_Range" display="APPENDIX 21" xr:uid="{00000000-0004-0000-0200-000019000000}"/>
    <hyperlink ref="B34" location="Appendix_22_Range" display="APPENDIX 22" xr:uid="{00000000-0004-0000-0200-00001A000000}"/>
    <hyperlink ref="B35" location="'APPENDIX 23'!A1" display="APPENDIX 23" xr:uid="{00000000-0004-0000-0200-00001B000000}"/>
    <hyperlink ref="B36" location="'APPENDIX 24'!A1" display="APPENDIX 24" xr:uid="{00000000-0004-0000-0200-00001C000000}"/>
    <hyperlink ref="B37" location="'APPENDIX 25'!A1" display="APPENDIX 25" xr:uid="{00000000-0004-0000-0200-00001D000000}"/>
  </hyperlinks>
  <pageMargins left="0.7" right="0.7" top="0.75" bottom="0.75" header="0.3" footer="0.3"/>
  <pageSetup paperSize="9" scale="5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B3:T52"/>
  <sheetViews>
    <sheetView showGridLines="0" zoomScale="64" zoomScaleNormal="64" workbookViewId="0">
      <pane xSplit="2" ySplit="5" topLeftCell="C6" activePane="bottomRight" state="frozen"/>
      <selection activeCell="B49" sqref="B49:Q49"/>
      <selection pane="topRight" activeCell="B49" sqref="B49:Q49"/>
      <selection pane="bottomLeft" activeCell="B49" sqref="B49:Q49"/>
      <selection pane="bottomRight" activeCell="C6" sqref="C6"/>
    </sheetView>
  </sheetViews>
  <sheetFormatPr defaultColWidth="9.453125" defaultRowHeight="15.5" x14ac:dyDescent="0.35"/>
  <cols>
    <col min="1" max="1" width="15.54296875" style="76" customWidth="1"/>
    <col min="2" max="2" width="46.453125" style="76" bestFit="1" customWidth="1"/>
    <col min="3" max="4" width="20.6328125" style="76" bestFit="1" customWidth="1"/>
    <col min="5" max="6" width="20.6328125" style="76" customWidth="1"/>
    <col min="7" max="7" width="19.1796875" style="76" bestFit="1" customWidth="1"/>
    <col min="8" max="8" width="17.08984375" style="76" bestFit="1" customWidth="1"/>
    <col min="9" max="9" width="18.81640625" style="76" bestFit="1" customWidth="1"/>
    <col min="10" max="11" width="17.08984375" style="76" bestFit="1" customWidth="1"/>
    <col min="12" max="12" width="20.08984375" style="76" bestFit="1" customWidth="1"/>
    <col min="13" max="13" width="16.1796875" style="76" bestFit="1" customWidth="1"/>
    <col min="14" max="14" width="14.36328125" style="76" bestFit="1" customWidth="1"/>
    <col min="15" max="15" width="15.1796875" style="76" bestFit="1" customWidth="1"/>
    <col min="16" max="16" width="17.08984375" style="76" bestFit="1" customWidth="1"/>
    <col min="17" max="17" width="21.08984375" style="76" bestFit="1" customWidth="1"/>
    <col min="18" max="19" width="17.08984375" style="76" bestFit="1" customWidth="1"/>
    <col min="20" max="20" width="17.7265625" style="76" bestFit="1" customWidth="1"/>
    <col min="21" max="118" width="9.453125" style="76" customWidth="1"/>
    <col min="119" max="16384" width="9.453125" style="76"/>
  </cols>
  <sheetData>
    <row r="3" spans="2:20" s="275" customFormat="1" ht="22" x14ac:dyDescent="0.5">
      <c r="B3" s="322" t="str">
        <f>_xlfn.CONCAT('Table of Contents'!B8,": ",'Table of Contents'!C8)</f>
        <v>APPENDIX 1: SUMMARY OF GENERAL INSURANCE BUSINESS PROFIT &amp; LOSS ACCOUNTS FOR THE PERIOD ENDED 31.03.2026</v>
      </c>
      <c r="C3" s="298"/>
      <c r="D3" s="298"/>
      <c r="E3" s="298"/>
      <c r="F3" s="298"/>
      <c r="G3" s="298"/>
      <c r="H3" s="298"/>
      <c r="I3" s="298"/>
      <c r="J3" s="298"/>
      <c r="K3" s="298"/>
      <c r="L3" s="298"/>
      <c r="M3" s="298"/>
      <c r="N3" s="298"/>
      <c r="O3" s="298"/>
      <c r="P3" s="298"/>
      <c r="Q3" s="298"/>
      <c r="R3" s="298"/>
      <c r="S3" s="298"/>
      <c r="T3" s="299"/>
    </row>
    <row r="4" spans="2:20" s="105" customFormat="1" ht="93" x14ac:dyDescent="0.35">
      <c r="B4" s="106" t="s">
        <v>87</v>
      </c>
      <c r="C4" s="107" t="s">
        <v>88</v>
      </c>
      <c r="D4" s="107" t="s">
        <v>89</v>
      </c>
      <c r="E4" s="107" t="s">
        <v>90</v>
      </c>
      <c r="F4" s="107" t="s">
        <v>91</v>
      </c>
      <c r="G4" s="107" t="s">
        <v>92</v>
      </c>
      <c r="H4" s="107" t="s">
        <v>93</v>
      </c>
      <c r="I4" s="108" t="s">
        <v>94</v>
      </c>
      <c r="J4" s="108" t="s">
        <v>95</v>
      </c>
      <c r="K4" s="108" t="s">
        <v>96</v>
      </c>
      <c r="L4" s="108" t="s">
        <v>97</v>
      </c>
      <c r="M4" s="74" t="s">
        <v>98</v>
      </c>
      <c r="N4" s="74" t="s">
        <v>99</v>
      </c>
      <c r="O4" s="74" t="s">
        <v>100</v>
      </c>
      <c r="P4" s="74" t="s">
        <v>101</v>
      </c>
      <c r="Q4" s="74" t="s">
        <v>102</v>
      </c>
      <c r="R4" s="74" t="s">
        <v>103</v>
      </c>
      <c r="S4" s="74" t="s">
        <v>104</v>
      </c>
      <c r="T4" s="74" t="s">
        <v>105</v>
      </c>
    </row>
    <row r="5" spans="2:20" ht="15" customHeight="1" x14ac:dyDescent="0.35">
      <c r="B5" s="321" t="s">
        <v>106</v>
      </c>
      <c r="C5" s="301"/>
      <c r="D5" s="301"/>
      <c r="E5" s="301"/>
      <c r="F5" s="301"/>
      <c r="G5" s="301"/>
      <c r="H5" s="301"/>
      <c r="I5" s="301"/>
      <c r="J5" s="301"/>
      <c r="K5" s="301"/>
      <c r="L5" s="301"/>
      <c r="M5" s="301"/>
      <c r="N5" s="301"/>
      <c r="O5" s="301"/>
      <c r="P5" s="301"/>
      <c r="Q5" s="301"/>
      <c r="R5" s="301"/>
      <c r="S5" s="301"/>
      <c r="T5" s="302"/>
    </row>
    <row r="6" spans="2:20" ht="15" customHeight="1" x14ac:dyDescent="0.35">
      <c r="B6" s="109" t="s">
        <v>107</v>
      </c>
      <c r="C6" s="110">
        <v>3202261.89823522</v>
      </c>
      <c r="D6" s="110">
        <v>3036621.395330016</v>
      </c>
      <c r="E6" s="110">
        <v>22124.191120000189</v>
      </c>
      <c r="F6" s="110">
        <v>0</v>
      </c>
      <c r="G6" s="110">
        <v>22124.191120000189</v>
      </c>
      <c r="H6" s="110">
        <v>143516.31178520419</v>
      </c>
      <c r="I6" s="110">
        <v>208160.32279000001</v>
      </c>
      <c r="J6" s="110">
        <v>0</v>
      </c>
      <c r="K6" s="110">
        <v>0</v>
      </c>
      <c r="L6" s="110">
        <v>208160.32279000001</v>
      </c>
      <c r="M6" s="111">
        <v>0</v>
      </c>
      <c r="N6" s="111">
        <v>4445.54691</v>
      </c>
      <c r="O6" s="111">
        <v>3353.5401200000001</v>
      </c>
      <c r="P6" s="111">
        <v>167211.98857122811</v>
      </c>
      <c r="Q6" s="111">
        <v>0</v>
      </c>
      <c r="R6" s="111">
        <v>185556.65279397619</v>
      </c>
      <c r="S6" s="111">
        <v>46389.163192500011</v>
      </c>
      <c r="T6" s="112">
        <v>139167.48960147609</v>
      </c>
    </row>
    <row r="7" spans="2:20" ht="15" customHeight="1" x14ac:dyDescent="0.35">
      <c r="B7" s="109" t="s">
        <v>108</v>
      </c>
      <c r="C7" s="110">
        <v>800487.61506789702</v>
      </c>
      <c r="D7" s="110">
        <v>634518.84778874123</v>
      </c>
      <c r="E7" s="110">
        <v>49863.664585699007</v>
      </c>
      <c r="F7" s="110">
        <v>151240.22302703201</v>
      </c>
      <c r="G7" s="110">
        <v>-101376.55844133291</v>
      </c>
      <c r="H7" s="110">
        <v>267345.32572048862</v>
      </c>
      <c r="I7" s="110">
        <v>45789.716599999992</v>
      </c>
      <c r="J7" s="110">
        <v>56125.076726134001</v>
      </c>
      <c r="K7" s="110">
        <v>4890.4520210659985</v>
      </c>
      <c r="L7" s="110">
        <v>-5444.9081050680052</v>
      </c>
      <c r="M7" s="111">
        <v>0</v>
      </c>
      <c r="N7" s="111">
        <v>0</v>
      </c>
      <c r="O7" s="111">
        <v>0</v>
      </c>
      <c r="P7" s="111">
        <v>249033.17752063411</v>
      </c>
      <c r="Q7" s="111">
        <v>0</v>
      </c>
      <c r="R7" s="111">
        <v>12867.240094786461</v>
      </c>
      <c r="S7" s="111">
        <v>0</v>
      </c>
      <c r="T7" s="112">
        <v>12867.240094786461</v>
      </c>
    </row>
    <row r="8" spans="2:20" ht="15" customHeight="1" x14ac:dyDescent="0.35">
      <c r="B8" s="109" t="s">
        <v>109</v>
      </c>
      <c r="C8" s="110">
        <v>4549400.7220000001</v>
      </c>
      <c r="D8" s="110">
        <v>5603433.742637991</v>
      </c>
      <c r="E8" s="110">
        <v>-1209741.1279814329</v>
      </c>
      <c r="F8" s="110">
        <v>-341775.45015439781</v>
      </c>
      <c r="G8" s="110">
        <v>-867965.67782703496</v>
      </c>
      <c r="H8" s="110">
        <v>-186067.34281095621</v>
      </c>
      <c r="I8" s="110">
        <v>601951.92133999988</v>
      </c>
      <c r="J8" s="110">
        <v>174821.07437841751</v>
      </c>
      <c r="K8" s="110">
        <v>66016.794701112114</v>
      </c>
      <c r="L8" s="110">
        <v>493147.64166269469</v>
      </c>
      <c r="M8" s="111">
        <v>0</v>
      </c>
      <c r="N8" s="111">
        <v>0</v>
      </c>
      <c r="O8" s="111">
        <v>5446.5042686655206</v>
      </c>
      <c r="P8" s="111">
        <v>107884.242</v>
      </c>
      <c r="Q8" s="111">
        <v>0</v>
      </c>
      <c r="R8" s="111">
        <v>193749.552583073</v>
      </c>
      <c r="S8" s="111">
        <v>-84898.093582129019</v>
      </c>
      <c r="T8" s="112">
        <v>278647.64616520179</v>
      </c>
    </row>
    <row r="9" spans="2:20" ht="15" customHeight="1" x14ac:dyDescent="0.35">
      <c r="B9" s="109" t="s">
        <v>110</v>
      </c>
      <c r="C9" s="110">
        <v>3458627.0659970739</v>
      </c>
      <c r="D9" s="110">
        <v>2756486.5417430298</v>
      </c>
      <c r="E9" s="110">
        <v>623981.56731006806</v>
      </c>
      <c r="F9" s="110">
        <v>133911.10119217131</v>
      </c>
      <c r="G9" s="110">
        <v>490070.46611789672</v>
      </c>
      <c r="H9" s="110">
        <v>212070.05813614759</v>
      </c>
      <c r="I9" s="110">
        <v>630122.88548000075</v>
      </c>
      <c r="J9" s="110">
        <v>434200.68580851279</v>
      </c>
      <c r="K9" s="110">
        <v>123941.81912557709</v>
      </c>
      <c r="L9" s="110">
        <v>319864.01879706501</v>
      </c>
      <c r="M9" s="111">
        <v>0</v>
      </c>
      <c r="N9" s="111">
        <v>24648.583300000009</v>
      </c>
      <c r="O9" s="111">
        <v>8211.5912137960695</v>
      </c>
      <c r="P9" s="111">
        <v>80187.756532620057</v>
      </c>
      <c r="Q9" s="111">
        <v>0</v>
      </c>
      <c r="R9" s="111">
        <v>468183.31248679641</v>
      </c>
      <c r="S9" s="111">
        <v>-53.131000000000007</v>
      </c>
      <c r="T9" s="112">
        <v>468236.4434867964</v>
      </c>
    </row>
    <row r="10" spans="2:20" ht="15" customHeight="1" x14ac:dyDescent="0.35">
      <c r="B10" s="109" t="s">
        <v>111</v>
      </c>
      <c r="C10" s="110">
        <v>1696347.453</v>
      </c>
      <c r="D10" s="110">
        <v>1262355.5160000001</v>
      </c>
      <c r="E10" s="110">
        <v>1027449.469</v>
      </c>
      <c r="F10" s="110">
        <v>789973.97900000005</v>
      </c>
      <c r="G10" s="110">
        <v>237475.49</v>
      </c>
      <c r="H10" s="110">
        <v>196516.44699999999</v>
      </c>
      <c r="I10" s="110">
        <v>17855.662</v>
      </c>
      <c r="J10" s="110">
        <v>7634.5029999999997</v>
      </c>
      <c r="K10" s="110">
        <v>6135.509</v>
      </c>
      <c r="L10" s="110">
        <v>16356.668</v>
      </c>
      <c r="M10" s="111">
        <v>0</v>
      </c>
      <c r="N10" s="111">
        <v>0</v>
      </c>
      <c r="O10" s="111">
        <v>1065.6369999999999</v>
      </c>
      <c r="P10" s="111">
        <v>0</v>
      </c>
      <c r="Q10" s="111">
        <v>0</v>
      </c>
      <c r="R10" s="111">
        <v>211807.478</v>
      </c>
      <c r="S10" s="111">
        <v>-1446.204</v>
      </c>
      <c r="T10" s="112">
        <v>213253.682</v>
      </c>
    </row>
    <row r="11" spans="2:20" ht="15" customHeight="1" x14ac:dyDescent="0.35">
      <c r="B11" s="109" t="s">
        <v>112</v>
      </c>
      <c r="C11" s="110">
        <v>660128.22992617986</v>
      </c>
      <c r="D11" s="110">
        <v>501286.27846828249</v>
      </c>
      <c r="E11" s="110">
        <v>151778.3595185423</v>
      </c>
      <c r="F11" s="110">
        <v>0</v>
      </c>
      <c r="G11" s="110">
        <v>151778.3595185423</v>
      </c>
      <c r="H11" s="110">
        <v>7063.591939355003</v>
      </c>
      <c r="I11" s="110">
        <v>23555.66102422461</v>
      </c>
      <c r="J11" s="110">
        <v>137409.28479651219</v>
      </c>
      <c r="K11" s="110">
        <v>74194.313230000116</v>
      </c>
      <c r="L11" s="110">
        <v>-39659.310542287451</v>
      </c>
      <c r="M11" s="111">
        <v>0</v>
      </c>
      <c r="N11" s="111">
        <v>0</v>
      </c>
      <c r="O11" s="111">
        <v>0</v>
      </c>
      <c r="P11" s="111">
        <v>44798.477825099988</v>
      </c>
      <c r="Q11" s="111">
        <v>0</v>
      </c>
      <c r="R11" s="111">
        <v>-77394.196428032446</v>
      </c>
      <c r="S11" s="111">
        <v>0</v>
      </c>
      <c r="T11" s="112">
        <v>-77394.196428032446</v>
      </c>
    </row>
    <row r="12" spans="2:20" ht="15" customHeight="1" x14ac:dyDescent="0.35">
      <c r="B12" s="64" t="s">
        <v>113</v>
      </c>
      <c r="C12" s="113">
        <v>5156201.801</v>
      </c>
      <c r="D12" s="113">
        <v>4291089.8321351111</v>
      </c>
      <c r="E12" s="113">
        <v>0</v>
      </c>
      <c r="F12" s="113">
        <v>-683136.80600073468</v>
      </c>
      <c r="G12" s="113">
        <v>683136.80600073468</v>
      </c>
      <c r="H12" s="113">
        <v>181975.16286415391</v>
      </c>
      <c r="I12" s="113">
        <v>288836.17012000002</v>
      </c>
      <c r="J12" s="113">
        <v>159414.60798991771</v>
      </c>
      <c r="K12" s="113">
        <v>38852.052340630507</v>
      </c>
      <c r="L12" s="113">
        <v>168273.61447071281</v>
      </c>
      <c r="M12" s="113">
        <v>0</v>
      </c>
      <c r="N12" s="113">
        <v>89023.816369999971</v>
      </c>
      <c r="O12" s="113">
        <v>0</v>
      </c>
      <c r="P12" s="113">
        <v>204312.94917000001</v>
      </c>
      <c r="Q12" s="113">
        <v>0</v>
      </c>
      <c r="R12" s="113">
        <v>234959.64453486659</v>
      </c>
      <c r="S12" s="113">
        <v>70487.893360459988</v>
      </c>
      <c r="T12" s="114">
        <v>164471.75117440661</v>
      </c>
    </row>
    <row r="13" spans="2:20" ht="15" customHeight="1" x14ac:dyDescent="0.35">
      <c r="B13" s="109" t="s">
        <v>114</v>
      </c>
      <c r="C13" s="110">
        <v>0</v>
      </c>
      <c r="D13" s="110">
        <v>0</v>
      </c>
      <c r="E13" s="110">
        <v>0</v>
      </c>
      <c r="F13" s="110">
        <v>0</v>
      </c>
      <c r="G13" s="110">
        <v>0</v>
      </c>
      <c r="H13" s="110">
        <v>0</v>
      </c>
      <c r="I13" s="110">
        <v>0</v>
      </c>
      <c r="J13" s="110">
        <v>0</v>
      </c>
      <c r="K13" s="110">
        <v>0</v>
      </c>
      <c r="L13" s="110">
        <v>0</v>
      </c>
      <c r="M13" s="111">
        <v>0</v>
      </c>
      <c r="N13" s="111">
        <v>0</v>
      </c>
      <c r="O13" s="111">
        <v>0</v>
      </c>
      <c r="P13" s="111">
        <v>0</v>
      </c>
      <c r="Q13" s="111">
        <v>0</v>
      </c>
      <c r="R13" s="111">
        <v>0</v>
      </c>
      <c r="S13" s="111">
        <v>0</v>
      </c>
      <c r="T13" s="112">
        <v>0</v>
      </c>
    </row>
    <row r="14" spans="2:20" ht="15" customHeight="1" x14ac:dyDescent="0.35">
      <c r="B14" s="109" t="s">
        <v>115</v>
      </c>
      <c r="C14" s="110">
        <v>763980.06783226994</v>
      </c>
      <c r="D14" s="110">
        <v>667574.4759424401</v>
      </c>
      <c r="E14" s="110">
        <v>15464.00628</v>
      </c>
      <c r="F14" s="110">
        <v>0</v>
      </c>
      <c r="G14" s="110">
        <v>15464.00628</v>
      </c>
      <c r="H14" s="110">
        <v>80941.585609829737</v>
      </c>
      <c r="I14" s="110">
        <v>62690.069002197102</v>
      </c>
      <c r="J14" s="110">
        <v>572751.86130131292</v>
      </c>
      <c r="K14" s="110">
        <v>0</v>
      </c>
      <c r="L14" s="110">
        <v>-510061.79229911591</v>
      </c>
      <c r="M14" s="111">
        <v>0</v>
      </c>
      <c r="N14" s="111">
        <v>0</v>
      </c>
      <c r="O14" s="111">
        <v>0</v>
      </c>
      <c r="P14" s="111">
        <v>5467.8089599999994</v>
      </c>
      <c r="Q14" s="111">
        <v>0</v>
      </c>
      <c r="R14" s="111">
        <v>-434588.0156492861</v>
      </c>
      <c r="S14" s="111">
        <v>0</v>
      </c>
      <c r="T14" s="112">
        <v>-434588.01564928598</v>
      </c>
    </row>
    <row r="15" spans="2:20" ht="15" customHeight="1" x14ac:dyDescent="0.35">
      <c r="B15" s="109" t="s">
        <v>116</v>
      </c>
      <c r="C15" s="113">
        <v>245871.04487199351</v>
      </c>
      <c r="D15" s="113">
        <v>142223.6099309281</v>
      </c>
      <c r="E15" s="113">
        <v>163325.55361773129</v>
      </c>
      <c r="F15" s="113">
        <v>114027.2082838168</v>
      </c>
      <c r="G15" s="113">
        <v>49298.345333914462</v>
      </c>
      <c r="H15" s="113">
        <v>54349.089607151007</v>
      </c>
      <c r="I15" s="113">
        <v>36411.339215730732</v>
      </c>
      <c r="J15" s="110">
        <v>0</v>
      </c>
      <c r="K15" s="110">
        <v>0</v>
      </c>
      <c r="L15" s="110">
        <v>36411.339215730732</v>
      </c>
      <c r="M15" s="111">
        <v>0</v>
      </c>
      <c r="N15" s="111">
        <v>0</v>
      </c>
      <c r="O15" s="111">
        <v>0</v>
      </c>
      <c r="P15" s="111">
        <v>26360.48146731715</v>
      </c>
      <c r="Q15" s="111">
        <v>0</v>
      </c>
      <c r="R15" s="111">
        <v>64399.947355564596</v>
      </c>
      <c r="S15" s="111">
        <v>19319.9842066694</v>
      </c>
      <c r="T15" s="112">
        <v>45079.963148895178</v>
      </c>
    </row>
    <row r="16" spans="2:20" ht="15" customHeight="1" x14ac:dyDescent="0.35">
      <c r="B16" s="109" t="s">
        <v>117</v>
      </c>
      <c r="C16" s="110">
        <v>297359.20174047787</v>
      </c>
      <c r="D16" s="110">
        <v>288381.46465865499</v>
      </c>
      <c r="E16" s="110">
        <v>2690.6589078006782</v>
      </c>
      <c r="F16" s="110">
        <v>0</v>
      </c>
      <c r="G16" s="110">
        <v>2690.6589078006782</v>
      </c>
      <c r="H16" s="110">
        <v>6287.0781740221937</v>
      </c>
      <c r="I16" s="110">
        <v>34895.824174296831</v>
      </c>
      <c r="J16" s="110">
        <v>0</v>
      </c>
      <c r="K16" s="110">
        <v>0</v>
      </c>
      <c r="L16" s="110">
        <v>34895.824174296831</v>
      </c>
      <c r="M16" s="111">
        <v>0</v>
      </c>
      <c r="N16" s="111">
        <v>0</v>
      </c>
      <c r="O16" s="111">
        <v>0</v>
      </c>
      <c r="P16" s="111">
        <v>24558.182554978499</v>
      </c>
      <c r="Q16" s="111">
        <v>0</v>
      </c>
      <c r="R16" s="111">
        <v>16624.719793340519</v>
      </c>
      <c r="S16" s="111">
        <v>4987.4159380021702</v>
      </c>
      <c r="T16" s="112">
        <v>11637.30385533835</v>
      </c>
    </row>
    <row r="17" spans="2:20" ht="15" customHeight="1" x14ac:dyDescent="0.35">
      <c r="B17" s="109" t="s">
        <v>118</v>
      </c>
      <c r="C17" s="110">
        <v>1285985.41983</v>
      </c>
      <c r="D17" s="110">
        <v>1126437.534906564</v>
      </c>
      <c r="E17" s="110">
        <v>161995.89581535329</v>
      </c>
      <c r="F17" s="110">
        <v>0</v>
      </c>
      <c r="G17" s="110">
        <v>161995.89581535329</v>
      </c>
      <c r="H17" s="110">
        <v>-2448.0108919172362</v>
      </c>
      <c r="I17" s="110">
        <v>141318.66063000009</v>
      </c>
      <c r="J17" s="110">
        <v>20033.671850377839</v>
      </c>
      <c r="K17" s="110">
        <v>4549.7516327007688</v>
      </c>
      <c r="L17" s="110">
        <v>125834.74041232291</v>
      </c>
      <c r="M17" s="111">
        <v>0</v>
      </c>
      <c r="N17" s="111">
        <v>25956.050660000001</v>
      </c>
      <c r="O17" s="111">
        <v>0</v>
      </c>
      <c r="P17" s="111">
        <v>73968.990121099996</v>
      </c>
      <c r="Q17" s="111">
        <v>0</v>
      </c>
      <c r="R17" s="111">
        <v>75373.790059305713</v>
      </c>
      <c r="S17" s="111">
        <v>0</v>
      </c>
      <c r="T17" s="112">
        <v>75373.790059305713</v>
      </c>
    </row>
    <row r="18" spans="2:20" ht="15" customHeight="1" x14ac:dyDescent="0.35">
      <c r="B18" s="109" t="s">
        <v>119</v>
      </c>
      <c r="C18" s="110">
        <v>1688092.16111</v>
      </c>
      <c r="D18" s="110">
        <v>1498510.9484900001</v>
      </c>
      <c r="E18" s="110">
        <v>146629.29413000011</v>
      </c>
      <c r="F18" s="110">
        <v>0</v>
      </c>
      <c r="G18" s="110">
        <v>146629.29413000011</v>
      </c>
      <c r="H18" s="110">
        <v>42951.918490000069</v>
      </c>
      <c r="I18" s="110">
        <v>83177.168000000005</v>
      </c>
      <c r="J18" s="110">
        <v>92144.316000000006</v>
      </c>
      <c r="K18" s="110">
        <v>45155.54</v>
      </c>
      <c r="L18" s="110">
        <v>36188.392</v>
      </c>
      <c r="M18" s="111">
        <v>0</v>
      </c>
      <c r="N18" s="111">
        <v>0</v>
      </c>
      <c r="O18" s="111">
        <v>0</v>
      </c>
      <c r="P18" s="111">
        <v>91762.929949999991</v>
      </c>
      <c r="Q18" s="111">
        <v>0</v>
      </c>
      <c r="R18" s="111">
        <v>-12622.61945999992</v>
      </c>
      <c r="S18" s="111">
        <v>0</v>
      </c>
      <c r="T18" s="112">
        <v>-12622.619459999931</v>
      </c>
    </row>
    <row r="19" spans="2:20" ht="15" customHeight="1" x14ac:dyDescent="0.35">
      <c r="B19" s="64" t="s">
        <v>120</v>
      </c>
      <c r="C19" s="113">
        <v>4196922.03</v>
      </c>
      <c r="D19" s="113">
        <v>5759003.5120000001</v>
      </c>
      <c r="E19" s="113">
        <v>-1625490.4739999999</v>
      </c>
      <c r="F19" s="113">
        <v>0</v>
      </c>
      <c r="G19" s="113">
        <v>-1625490.4739999999</v>
      </c>
      <c r="H19" s="113">
        <v>63408.991999999998</v>
      </c>
      <c r="I19" s="113">
        <v>442920.48100000003</v>
      </c>
      <c r="J19" s="113">
        <v>0</v>
      </c>
      <c r="K19" s="113">
        <v>0</v>
      </c>
      <c r="L19" s="113">
        <v>442920.48100000003</v>
      </c>
      <c r="M19" s="113">
        <v>0</v>
      </c>
      <c r="N19" s="113">
        <v>30247.200000000001</v>
      </c>
      <c r="O19" s="113">
        <v>0</v>
      </c>
      <c r="P19" s="113">
        <v>32157.319</v>
      </c>
      <c r="Q19" s="113">
        <v>0</v>
      </c>
      <c r="R19" s="113">
        <v>504419.35399999999</v>
      </c>
      <c r="S19" s="113">
        <v>126104.841</v>
      </c>
      <c r="T19" s="114">
        <v>378314.51299999998</v>
      </c>
    </row>
    <row r="20" spans="2:20" ht="15" customHeight="1" x14ac:dyDescent="0.35">
      <c r="B20" s="109" t="s">
        <v>121</v>
      </c>
      <c r="C20" s="110">
        <v>1404278.5049999999</v>
      </c>
      <c r="D20" s="110">
        <v>2103156.4950000001</v>
      </c>
      <c r="E20" s="110">
        <v>162791.174</v>
      </c>
      <c r="F20" s="110">
        <v>669385.35</v>
      </c>
      <c r="G20" s="110">
        <v>-506594.17599999998</v>
      </c>
      <c r="H20" s="110">
        <v>-192283.81400000001</v>
      </c>
      <c r="I20" s="110">
        <v>89362.449000000008</v>
      </c>
      <c r="J20" s="110">
        <v>0</v>
      </c>
      <c r="K20" s="110">
        <v>0</v>
      </c>
      <c r="L20" s="110">
        <v>89362.449000000008</v>
      </c>
      <c r="M20" s="111">
        <v>0</v>
      </c>
      <c r="N20" s="111">
        <v>2667.3389999999999</v>
      </c>
      <c r="O20" s="111">
        <v>116.685</v>
      </c>
      <c r="P20" s="111">
        <v>93711.707999999999</v>
      </c>
      <c r="Q20" s="111">
        <v>0</v>
      </c>
      <c r="R20" s="111">
        <v>-194082.41899999999</v>
      </c>
      <c r="S20" s="111">
        <v>0</v>
      </c>
      <c r="T20" s="112">
        <v>-194082.41899999999</v>
      </c>
    </row>
    <row r="21" spans="2:20" ht="15" customHeight="1" x14ac:dyDescent="0.35">
      <c r="B21" s="109" t="s">
        <v>122</v>
      </c>
      <c r="C21" s="110">
        <v>2129967.6979999999</v>
      </c>
      <c r="D21" s="110">
        <v>1526889.781</v>
      </c>
      <c r="E21" s="110">
        <v>716860.48499999999</v>
      </c>
      <c r="F21" s="110">
        <v>0</v>
      </c>
      <c r="G21" s="110">
        <v>716860.48499999999</v>
      </c>
      <c r="H21" s="110">
        <v>-113782.568</v>
      </c>
      <c r="I21" s="110">
        <v>398125.69099999999</v>
      </c>
      <c r="J21" s="110">
        <v>215227.15700000001</v>
      </c>
      <c r="K21" s="110">
        <v>67755.485000000001</v>
      </c>
      <c r="L21" s="110">
        <v>250654.019</v>
      </c>
      <c r="M21" s="111">
        <v>0</v>
      </c>
      <c r="N21" s="111">
        <v>0</v>
      </c>
      <c r="O21" s="111">
        <v>0</v>
      </c>
      <c r="P21" s="111">
        <v>11621.073</v>
      </c>
      <c r="Q21" s="111">
        <v>0</v>
      </c>
      <c r="R21" s="111">
        <v>125250.378</v>
      </c>
      <c r="S21" s="111">
        <v>40706.373</v>
      </c>
      <c r="T21" s="112">
        <v>84544.005000000005</v>
      </c>
    </row>
    <row r="22" spans="2:20" ht="15" customHeight="1" x14ac:dyDescent="0.35">
      <c r="B22" s="109" t="s">
        <v>123</v>
      </c>
      <c r="C22" s="110">
        <v>866648.79434612405</v>
      </c>
      <c r="D22" s="110">
        <v>673193.88926549302</v>
      </c>
      <c r="E22" s="110">
        <v>220709.729521345</v>
      </c>
      <c r="F22" s="110">
        <v>104718.3691359754</v>
      </c>
      <c r="G22" s="110">
        <v>115991.3603853696</v>
      </c>
      <c r="H22" s="110">
        <v>77463.544695261473</v>
      </c>
      <c r="I22" s="110">
        <v>24660.8066</v>
      </c>
      <c r="J22" s="110">
        <v>29062.034236135001</v>
      </c>
      <c r="K22" s="110">
        <v>9539.4438081749995</v>
      </c>
      <c r="L22" s="110">
        <v>5138.2161720399972</v>
      </c>
      <c r="M22" s="111">
        <v>0</v>
      </c>
      <c r="N22" s="111">
        <v>0</v>
      </c>
      <c r="O22" s="111">
        <v>0</v>
      </c>
      <c r="P22" s="111">
        <v>51658.621674212998</v>
      </c>
      <c r="Q22" s="111">
        <v>0</v>
      </c>
      <c r="R22" s="111">
        <v>30943.139193088478</v>
      </c>
      <c r="S22" s="111">
        <v>9282.9417254769214</v>
      </c>
      <c r="T22" s="112">
        <v>21660.197467611579</v>
      </c>
    </row>
    <row r="23" spans="2:20" ht="15" customHeight="1" x14ac:dyDescent="0.35">
      <c r="B23" s="109" t="s">
        <v>124</v>
      </c>
      <c r="C23" s="110">
        <v>3465527.633186786</v>
      </c>
      <c r="D23" s="110">
        <v>4128466.3879607269</v>
      </c>
      <c r="E23" s="110">
        <v>45737.657230075543</v>
      </c>
      <c r="F23" s="110">
        <v>8901.4059000000016</v>
      </c>
      <c r="G23" s="110">
        <v>36836.251330075553</v>
      </c>
      <c r="H23" s="110">
        <v>-699775.00610401703</v>
      </c>
      <c r="I23" s="110">
        <v>269073.90401</v>
      </c>
      <c r="J23" s="110">
        <v>0</v>
      </c>
      <c r="K23" s="110">
        <v>0</v>
      </c>
      <c r="L23" s="110">
        <v>269073.90401</v>
      </c>
      <c r="M23" s="111">
        <v>0</v>
      </c>
      <c r="N23" s="111">
        <v>0</v>
      </c>
      <c r="O23" s="111">
        <v>0</v>
      </c>
      <c r="P23" s="111">
        <v>36274.832749999987</v>
      </c>
      <c r="Q23" s="111">
        <v>45894.108749999999</v>
      </c>
      <c r="R23" s="111">
        <v>-421081.82609401701</v>
      </c>
      <c r="S23" s="111">
        <v>0</v>
      </c>
      <c r="T23" s="112">
        <v>-421081.82609401701</v>
      </c>
    </row>
    <row r="24" spans="2:20" ht="15" customHeight="1" x14ac:dyDescent="0.35">
      <c r="B24" s="109" t="s">
        <v>125</v>
      </c>
      <c r="C24" s="110">
        <v>627489.48253498203</v>
      </c>
      <c r="D24" s="110">
        <v>662378.59380978381</v>
      </c>
      <c r="E24" s="110">
        <v>-46984.713858041898</v>
      </c>
      <c r="F24" s="110">
        <v>0</v>
      </c>
      <c r="G24" s="110">
        <v>-46984.713858041898</v>
      </c>
      <c r="H24" s="110">
        <v>12095.60258324001</v>
      </c>
      <c r="I24" s="110">
        <v>139818.76099532461</v>
      </c>
      <c r="J24" s="110">
        <v>172362.24109725139</v>
      </c>
      <c r="K24" s="110">
        <v>60624.880204128131</v>
      </c>
      <c r="L24" s="110">
        <v>28081.400102201289</v>
      </c>
      <c r="M24" s="111">
        <v>0</v>
      </c>
      <c r="N24" s="111">
        <v>776.84199999999998</v>
      </c>
      <c r="O24" s="111">
        <v>0</v>
      </c>
      <c r="P24" s="111">
        <v>3888.8119999999999</v>
      </c>
      <c r="Q24" s="111">
        <v>0</v>
      </c>
      <c r="R24" s="111">
        <v>37065.0326854413</v>
      </c>
      <c r="S24" s="111">
        <v>11119.51</v>
      </c>
      <c r="T24" s="112">
        <v>25945.52268544129</v>
      </c>
    </row>
    <row r="25" spans="2:20" ht="15" customHeight="1" x14ac:dyDescent="0.35">
      <c r="B25" s="109" t="s">
        <v>126</v>
      </c>
      <c r="C25" s="110">
        <v>348864.14510108437</v>
      </c>
      <c r="D25" s="110">
        <v>298942.57952750497</v>
      </c>
      <c r="E25" s="110">
        <v>279794.30011160142</v>
      </c>
      <c r="F25" s="110">
        <v>43550.125557222433</v>
      </c>
      <c r="G25" s="110">
        <v>236244.1745543789</v>
      </c>
      <c r="H25" s="110">
        <v>-186322.6089807995</v>
      </c>
      <c r="I25" s="110">
        <v>14089.275369999999</v>
      </c>
      <c r="J25" s="110">
        <v>51597.462780058202</v>
      </c>
      <c r="K25" s="110">
        <v>0</v>
      </c>
      <c r="L25" s="115">
        <v>-37508.187410058214</v>
      </c>
      <c r="M25" s="116">
        <v>0</v>
      </c>
      <c r="N25" s="111">
        <v>0</v>
      </c>
      <c r="O25" s="111">
        <v>0</v>
      </c>
      <c r="P25" s="111">
        <v>22709.068780000001</v>
      </c>
      <c r="Q25" s="111">
        <v>0</v>
      </c>
      <c r="R25" s="111">
        <v>-246539.86517085769</v>
      </c>
      <c r="S25" s="111">
        <v>-73961.959551257329</v>
      </c>
      <c r="T25" s="112">
        <v>-172577.90561960041</v>
      </c>
    </row>
    <row r="26" spans="2:20" ht="15" customHeight="1" x14ac:dyDescent="0.35">
      <c r="B26" s="109" t="s">
        <v>127</v>
      </c>
      <c r="C26" s="110">
        <v>2673065.0692848382</v>
      </c>
      <c r="D26" s="110">
        <v>2128552.115045059</v>
      </c>
      <c r="E26" s="110">
        <v>819268.47095650004</v>
      </c>
      <c r="F26" s="110">
        <v>598955.41087765968</v>
      </c>
      <c r="G26" s="110">
        <v>220313.06007884041</v>
      </c>
      <c r="H26" s="110">
        <v>324199.8941609388</v>
      </c>
      <c r="I26" s="110">
        <v>82557.245069999961</v>
      </c>
      <c r="J26" s="110">
        <v>176033.88855188669</v>
      </c>
      <c r="K26" s="110">
        <v>57644.734316695001</v>
      </c>
      <c r="L26" s="110">
        <v>-35831.909165191762</v>
      </c>
      <c r="M26" s="111">
        <v>0</v>
      </c>
      <c r="N26" s="111">
        <v>0</v>
      </c>
      <c r="O26" s="111">
        <v>0</v>
      </c>
      <c r="P26" s="111">
        <v>109325.4423693437</v>
      </c>
      <c r="Q26" s="111">
        <v>0</v>
      </c>
      <c r="R26" s="111">
        <v>179042.54262640339</v>
      </c>
      <c r="S26" s="111">
        <v>0</v>
      </c>
      <c r="T26" s="112">
        <v>179042.5426264035</v>
      </c>
    </row>
    <row r="27" spans="2:20" ht="15" customHeight="1" x14ac:dyDescent="0.35">
      <c r="B27" s="109" t="s">
        <v>128</v>
      </c>
      <c r="C27" s="110">
        <v>2219100.3420000002</v>
      </c>
      <c r="D27" s="110">
        <v>4741410.6730000004</v>
      </c>
      <c r="E27" s="110">
        <v>1245359.9620000001</v>
      </c>
      <c r="F27" s="110">
        <v>3867592.5019999999</v>
      </c>
      <c r="G27" s="110">
        <v>-2622232.54</v>
      </c>
      <c r="H27" s="110">
        <v>99922.209000000003</v>
      </c>
      <c r="I27" s="110">
        <v>281682.57</v>
      </c>
      <c r="J27" s="110">
        <v>38680.810950001003</v>
      </c>
      <c r="K27" s="110">
        <v>8797.0535299999719</v>
      </c>
      <c r="L27" s="110">
        <v>251798.81257999901</v>
      </c>
      <c r="M27" s="111">
        <v>0</v>
      </c>
      <c r="N27" s="111">
        <v>3788.36</v>
      </c>
      <c r="O27" s="111">
        <v>0</v>
      </c>
      <c r="P27" s="111">
        <v>19060.448</v>
      </c>
      <c r="Q27" s="111">
        <v>0</v>
      </c>
      <c r="R27" s="111">
        <v>336448.93357999902</v>
      </c>
      <c r="S27" s="111">
        <v>109899.807</v>
      </c>
      <c r="T27" s="112">
        <v>226549.12657999899</v>
      </c>
    </row>
    <row r="28" spans="2:20" ht="15" customHeight="1" x14ac:dyDescent="0.35">
      <c r="B28" s="109" t="s">
        <v>129</v>
      </c>
      <c r="C28" s="110">
        <v>456360.21614999999</v>
      </c>
      <c r="D28" s="110">
        <v>324501.473</v>
      </c>
      <c r="E28" s="110">
        <v>171747.89300000001</v>
      </c>
      <c r="F28" s="110">
        <v>0</v>
      </c>
      <c r="G28" s="110">
        <v>171747.89300000001</v>
      </c>
      <c r="H28" s="110">
        <v>-39889.149849999987</v>
      </c>
      <c r="I28" s="110">
        <v>34872.531000000003</v>
      </c>
      <c r="J28" s="110">
        <v>51999.430999999997</v>
      </c>
      <c r="K28" s="110">
        <v>12203.893</v>
      </c>
      <c r="L28" s="110">
        <v>-4923.0069999999978</v>
      </c>
      <c r="M28" s="111">
        <v>0</v>
      </c>
      <c r="N28" s="111">
        <v>2599.652</v>
      </c>
      <c r="O28" s="111">
        <v>0</v>
      </c>
      <c r="P28" s="111">
        <v>54252.000000000007</v>
      </c>
      <c r="Q28" s="111">
        <v>0</v>
      </c>
      <c r="R28" s="111">
        <v>-96464.504850000012</v>
      </c>
      <c r="S28" s="111">
        <v>0</v>
      </c>
      <c r="T28" s="112">
        <v>-96464.504850000012</v>
      </c>
    </row>
    <row r="29" spans="2:20" ht="15" customHeight="1" x14ac:dyDescent="0.35">
      <c r="B29" s="109" t="s">
        <v>130</v>
      </c>
      <c r="C29" s="110">
        <v>900947.56625986192</v>
      </c>
      <c r="D29" s="110">
        <v>495244.98933825392</v>
      </c>
      <c r="E29" s="110">
        <v>282677.80553082231</v>
      </c>
      <c r="F29" s="110">
        <v>13471.99848801637</v>
      </c>
      <c r="G29" s="110">
        <v>269205.80704280589</v>
      </c>
      <c r="H29" s="110">
        <v>136496.76987880221</v>
      </c>
      <c r="I29" s="110">
        <v>74392.441097624047</v>
      </c>
      <c r="J29" s="110">
        <v>36524.41796443014</v>
      </c>
      <c r="K29" s="110">
        <v>23086.645659364931</v>
      </c>
      <c r="L29" s="110">
        <v>60954.668792558863</v>
      </c>
      <c r="M29" s="111">
        <v>0</v>
      </c>
      <c r="N29" s="111">
        <v>0</v>
      </c>
      <c r="O29" s="111">
        <v>0</v>
      </c>
      <c r="P29" s="111">
        <v>87012.040004349226</v>
      </c>
      <c r="Q29" s="111">
        <v>0</v>
      </c>
      <c r="R29" s="111">
        <v>110439.3986670118</v>
      </c>
      <c r="S29" s="111">
        <v>33131.819538076998</v>
      </c>
      <c r="T29" s="112">
        <v>77307.579128934798</v>
      </c>
    </row>
    <row r="30" spans="2:20" ht="15" customHeight="1" x14ac:dyDescent="0.35">
      <c r="B30" s="109" t="s">
        <v>131</v>
      </c>
      <c r="C30" s="110">
        <v>398418.88247670251</v>
      </c>
      <c r="D30" s="110">
        <v>461768.05690000003</v>
      </c>
      <c r="E30" s="110">
        <v>43247.459499301644</v>
      </c>
      <c r="F30" s="110">
        <v>0</v>
      </c>
      <c r="G30" s="110">
        <v>43247.459499301644</v>
      </c>
      <c r="H30" s="110">
        <v>-106596.6339225991</v>
      </c>
      <c r="I30" s="110">
        <v>24028.394649999998</v>
      </c>
      <c r="J30" s="110">
        <v>0</v>
      </c>
      <c r="K30" s="110">
        <v>0</v>
      </c>
      <c r="L30" s="110">
        <v>24028.394649999998</v>
      </c>
      <c r="M30" s="111">
        <v>0</v>
      </c>
      <c r="N30" s="111">
        <v>0</v>
      </c>
      <c r="O30" s="111">
        <v>156.053</v>
      </c>
      <c r="P30" s="111">
        <v>38367.496000000006</v>
      </c>
      <c r="Q30" s="111">
        <v>0</v>
      </c>
      <c r="R30" s="111">
        <v>-121091.78827259909</v>
      </c>
      <c r="S30" s="111">
        <v>0</v>
      </c>
      <c r="T30" s="112">
        <v>-121091.78827259909</v>
      </c>
    </row>
    <row r="31" spans="2:20" ht="15" customHeight="1" x14ac:dyDescent="0.35">
      <c r="B31" s="64" t="s">
        <v>132</v>
      </c>
      <c r="C31" s="110">
        <v>4550494.1370485397</v>
      </c>
      <c r="D31" s="110">
        <v>4312681.9813007172</v>
      </c>
      <c r="E31" s="110">
        <v>810011.28349133173</v>
      </c>
      <c r="F31" s="110">
        <v>473938.68782524881</v>
      </c>
      <c r="G31" s="110">
        <v>336072.59566608293</v>
      </c>
      <c r="H31" s="110">
        <v>-98260.439918260585</v>
      </c>
      <c r="I31" s="110">
        <v>437026.78014999977</v>
      </c>
      <c r="J31" s="110">
        <v>124522.6078597926</v>
      </c>
      <c r="K31" s="110">
        <v>29123.506543715132</v>
      </c>
      <c r="L31" s="110">
        <v>341627.67883392237</v>
      </c>
      <c r="M31" s="111">
        <v>0</v>
      </c>
      <c r="N31" s="111">
        <v>13930.73596770941</v>
      </c>
      <c r="O31" s="111">
        <v>0</v>
      </c>
      <c r="P31" s="111">
        <v>-996.21088451947594</v>
      </c>
      <c r="Q31" s="111">
        <v>0</v>
      </c>
      <c r="R31" s="111">
        <v>258294.18576789071</v>
      </c>
      <c r="S31" s="111">
        <v>77545.81502337227</v>
      </c>
      <c r="T31" s="112">
        <v>180748.37074451841</v>
      </c>
    </row>
    <row r="32" spans="2:20" ht="15" customHeight="1" x14ac:dyDescent="0.35">
      <c r="B32" s="109" t="s">
        <v>133</v>
      </c>
      <c r="C32" s="113">
        <v>914992.3363271337</v>
      </c>
      <c r="D32" s="113">
        <v>910112.78676701651</v>
      </c>
      <c r="E32" s="113">
        <v>164159.6978573869</v>
      </c>
      <c r="F32" s="113">
        <v>182239.7827654678</v>
      </c>
      <c r="G32" s="113">
        <v>-18080.084908080909</v>
      </c>
      <c r="H32" s="113">
        <v>22959.634468197892</v>
      </c>
      <c r="I32" s="113">
        <v>40020.14286</v>
      </c>
      <c r="J32" s="113">
        <v>133395.83000315941</v>
      </c>
      <c r="K32" s="113">
        <v>34747.354939564801</v>
      </c>
      <c r="L32" s="113">
        <v>-58628.332203594553</v>
      </c>
      <c r="M32" s="113">
        <v>0</v>
      </c>
      <c r="N32" s="113">
        <v>0</v>
      </c>
      <c r="O32" s="113">
        <v>2443.1999999999998</v>
      </c>
      <c r="P32" s="113">
        <v>0</v>
      </c>
      <c r="Q32" s="113">
        <v>0</v>
      </c>
      <c r="R32" s="113">
        <v>-38111.897735396647</v>
      </c>
      <c r="S32" s="113">
        <v>0</v>
      </c>
      <c r="T32" s="114">
        <v>-38111.897735396669</v>
      </c>
    </row>
    <row r="33" spans="2:20" ht="15" customHeight="1" x14ac:dyDescent="0.35">
      <c r="B33" s="64" t="s">
        <v>134</v>
      </c>
      <c r="C33" s="110">
        <v>753100.3574595924</v>
      </c>
      <c r="D33" s="110">
        <v>713986.7403321598</v>
      </c>
      <c r="E33" s="110">
        <v>58122.975379716678</v>
      </c>
      <c r="F33" s="110">
        <v>68586.598515987454</v>
      </c>
      <c r="G33" s="110">
        <v>-10463.623136270769</v>
      </c>
      <c r="H33" s="110">
        <v>49577.240263703483</v>
      </c>
      <c r="I33" s="110">
        <v>59943.664999999928</v>
      </c>
      <c r="J33" s="110">
        <v>34952.835122504468</v>
      </c>
      <c r="K33" s="110">
        <v>-228.59020732925239</v>
      </c>
      <c r="L33" s="110">
        <v>24762.2396701662</v>
      </c>
      <c r="M33" s="111">
        <v>0</v>
      </c>
      <c r="N33" s="111">
        <v>0</v>
      </c>
      <c r="O33" s="111">
        <v>0</v>
      </c>
      <c r="P33" s="111">
        <v>20425.557549886002</v>
      </c>
      <c r="Q33" s="111">
        <v>0</v>
      </c>
      <c r="R33" s="111">
        <v>53913.92238398367</v>
      </c>
      <c r="S33" s="111">
        <v>16174.176714986959</v>
      </c>
      <c r="T33" s="112">
        <v>37739.745668996708</v>
      </c>
    </row>
    <row r="34" spans="2:20" ht="15" customHeight="1" x14ac:dyDescent="0.35">
      <c r="B34" s="109" t="s">
        <v>135</v>
      </c>
      <c r="C34" s="110">
        <v>2096574.626705098</v>
      </c>
      <c r="D34" s="110">
        <v>1252977.4850000001</v>
      </c>
      <c r="E34" s="110">
        <v>480479.98300000012</v>
      </c>
      <c r="F34" s="110">
        <v>0</v>
      </c>
      <c r="G34" s="110">
        <v>480479.98300000012</v>
      </c>
      <c r="H34" s="110">
        <v>363117.15870509791</v>
      </c>
      <c r="I34" s="110">
        <v>204689.388178036</v>
      </c>
      <c r="J34" s="110">
        <v>0</v>
      </c>
      <c r="K34" s="110">
        <v>0</v>
      </c>
      <c r="L34" s="110">
        <v>204689.388178036</v>
      </c>
      <c r="M34" s="111">
        <v>0</v>
      </c>
      <c r="N34" s="111">
        <v>0</v>
      </c>
      <c r="O34" s="111">
        <v>0</v>
      </c>
      <c r="P34" s="111">
        <v>445403.36044000008</v>
      </c>
      <c r="Q34" s="111">
        <v>0</v>
      </c>
      <c r="R34" s="111">
        <v>122403.1864431338</v>
      </c>
      <c r="S34" s="111">
        <v>0</v>
      </c>
      <c r="T34" s="112">
        <v>122403.1864431338</v>
      </c>
    </row>
    <row r="35" spans="2:20" ht="15" customHeight="1" x14ac:dyDescent="0.35">
      <c r="B35" s="109" t="s">
        <v>136</v>
      </c>
      <c r="C35" s="110">
        <v>445018.73211841669</v>
      </c>
      <c r="D35" s="110">
        <v>362498.92002348858</v>
      </c>
      <c r="E35" s="110">
        <v>-23313.830286181699</v>
      </c>
      <c r="F35" s="110">
        <v>-90471.108579011197</v>
      </c>
      <c r="G35" s="110">
        <v>67157.278292829506</v>
      </c>
      <c r="H35" s="110">
        <v>15362.533802098529</v>
      </c>
      <c r="I35" s="110">
        <v>0</v>
      </c>
      <c r="J35" s="110">
        <v>0</v>
      </c>
      <c r="K35" s="110">
        <v>0</v>
      </c>
      <c r="L35" s="110">
        <v>0</v>
      </c>
      <c r="M35" s="111">
        <v>0</v>
      </c>
      <c r="N35" s="111">
        <v>25410.34617921021</v>
      </c>
      <c r="O35" s="111">
        <v>0</v>
      </c>
      <c r="P35" s="111">
        <v>36580.359650957253</v>
      </c>
      <c r="Q35" s="111">
        <v>0</v>
      </c>
      <c r="R35" s="111">
        <v>4192.5203303514954</v>
      </c>
      <c r="S35" s="111">
        <v>0</v>
      </c>
      <c r="T35" s="112">
        <v>4192.5203303514791</v>
      </c>
    </row>
    <row r="36" spans="2:20" ht="15" customHeight="1" x14ac:dyDescent="0.35">
      <c r="B36" s="109" t="s">
        <v>137</v>
      </c>
      <c r="C36" s="110">
        <v>284377.47689080489</v>
      </c>
      <c r="D36" s="110">
        <v>234053.6423375041</v>
      </c>
      <c r="E36" s="110">
        <v>44694.328066902002</v>
      </c>
      <c r="F36" s="110">
        <v>29622.73321147207</v>
      </c>
      <c r="G36" s="110">
        <v>15071.594855429919</v>
      </c>
      <c r="H36" s="110">
        <v>35252.239697870922</v>
      </c>
      <c r="I36" s="110">
        <v>0</v>
      </c>
      <c r="J36" s="110">
        <v>14792.595480504</v>
      </c>
      <c r="K36" s="110">
        <v>2015.183297352</v>
      </c>
      <c r="L36" s="110">
        <v>-12777.412183152001</v>
      </c>
      <c r="M36" s="111">
        <v>0</v>
      </c>
      <c r="N36" s="111">
        <v>13174.4478773186</v>
      </c>
      <c r="O36" s="111">
        <v>0</v>
      </c>
      <c r="P36" s="111">
        <v>33815.626619838142</v>
      </c>
      <c r="Q36" s="111">
        <v>0</v>
      </c>
      <c r="R36" s="111">
        <v>1833.6487721993849</v>
      </c>
      <c r="S36" s="111">
        <v>0</v>
      </c>
      <c r="T36" s="112">
        <v>1833.6487721993849</v>
      </c>
    </row>
    <row r="37" spans="2:20" ht="15" customHeight="1" x14ac:dyDescent="0.35">
      <c r="B37" s="109" t="s">
        <v>138</v>
      </c>
      <c r="C37" s="110">
        <v>540904.36100000003</v>
      </c>
      <c r="D37" s="110">
        <v>928162.45404940704</v>
      </c>
      <c r="E37" s="110">
        <v>245992.50200000001</v>
      </c>
      <c r="F37" s="110">
        <v>526082.44900000002</v>
      </c>
      <c r="G37" s="110">
        <v>-280089.94699999999</v>
      </c>
      <c r="H37" s="110">
        <v>-107168.14604940701</v>
      </c>
      <c r="I37" s="110">
        <v>119211.977</v>
      </c>
      <c r="J37" s="110">
        <v>73247.77</v>
      </c>
      <c r="K37" s="110">
        <v>20334.281999999999</v>
      </c>
      <c r="L37" s="110">
        <v>66298.489000000001</v>
      </c>
      <c r="M37" s="111">
        <v>0</v>
      </c>
      <c r="N37" s="111">
        <v>0</v>
      </c>
      <c r="O37" s="111">
        <v>0</v>
      </c>
      <c r="P37" s="111">
        <v>3615.5949999999998</v>
      </c>
      <c r="Q37" s="111">
        <v>0</v>
      </c>
      <c r="R37" s="111">
        <v>-44485.25204940699</v>
      </c>
      <c r="S37" s="111">
        <v>0</v>
      </c>
      <c r="T37" s="112">
        <v>-44485.25204940699</v>
      </c>
    </row>
    <row r="38" spans="2:20" ht="15" customHeight="1" x14ac:dyDescent="0.35">
      <c r="B38" s="109" t="s">
        <v>139</v>
      </c>
      <c r="C38" s="110">
        <v>2234765.6869999999</v>
      </c>
      <c r="D38" s="110">
        <v>1828110.7409999999</v>
      </c>
      <c r="E38" s="110">
        <v>291526.72399999999</v>
      </c>
      <c r="F38" s="110">
        <v>0</v>
      </c>
      <c r="G38" s="110">
        <v>291526.72399999999</v>
      </c>
      <c r="H38" s="110">
        <v>115128.22199999999</v>
      </c>
      <c r="I38" s="110">
        <v>263025.49699999997</v>
      </c>
      <c r="J38" s="110">
        <v>30186.189174000749</v>
      </c>
      <c r="K38" s="110">
        <v>6651.9396687804374</v>
      </c>
      <c r="L38" s="110">
        <v>239491.2474947797</v>
      </c>
      <c r="M38" s="111">
        <v>0</v>
      </c>
      <c r="N38" s="111">
        <v>0</v>
      </c>
      <c r="O38" s="111">
        <v>0</v>
      </c>
      <c r="P38" s="111">
        <v>129509.75819199601</v>
      </c>
      <c r="Q38" s="111">
        <v>-29398</v>
      </c>
      <c r="R38" s="111">
        <v>195711.71130278369</v>
      </c>
      <c r="S38" s="111">
        <v>62758.941088347987</v>
      </c>
      <c r="T38" s="112">
        <v>132952.7702144357</v>
      </c>
    </row>
    <row r="39" spans="2:20" ht="15" customHeight="1" x14ac:dyDescent="0.35">
      <c r="B39" s="109" t="s">
        <v>140</v>
      </c>
      <c r="C39" s="110">
        <v>0</v>
      </c>
      <c r="D39" s="110">
        <v>0</v>
      </c>
      <c r="E39" s="110">
        <v>0</v>
      </c>
      <c r="F39" s="110">
        <v>0</v>
      </c>
      <c r="G39" s="110">
        <v>0</v>
      </c>
      <c r="H39" s="110">
        <v>0</v>
      </c>
      <c r="I39" s="110">
        <v>0</v>
      </c>
      <c r="J39" s="110">
        <v>0</v>
      </c>
      <c r="K39" s="110">
        <v>0</v>
      </c>
      <c r="L39" s="110">
        <v>0</v>
      </c>
      <c r="M39" s="111">
        <v>0</v>
      </c>
      <c r="N39" s="111">
        <v>0</v>
      </c>
      <c r="O39" s="111">
        <v>0</v>
      </c>
      <c r="P39" s="111">
        <v>0</v>
      </c>
      <c r="Q39" s="111">
        <v>0</v>
      </c>
      <c r="R39" s="111">
        <v>0</v>
      </c>
      <c r="S39" s="111">
        <v>0</v>
      </c>
      <c r="T39" s="112">
        <v>0</v>
      </c>
    </row>
    <row r="40" spans="2:20" ht="15" customHeight="1" x14ac:dyDescent="0.35">
      <c r="B40" s="109" t="s">
        <v>141</v>
      </c>
      <c r="C40" s="110">
        <v>0</v>
      </c>
      <c r="D40" s="110">
        <v>0</v>
      </c>
      <c r="E40" s="110">
        <v>0</v>
      </c>
      <c r="F40" s="110">
        <v>0</v>
      </c>
      <c r="G40" s="110">
        <v>0</v>
      </c>
      <c r="H40" s="110">
        <v>0</v>
      </c>
      <c r="I40" s="110">
        <v>0</v>
      </c>
      <c r="J40" s="110">
        <v>0</v>
      </c>
      <c r="K40" s="110">
        <v>0</v>
      </c>
      <c r="L40" s="110">
        <v>0</v>
      </c>
      <c r="M40" s="111">
        <v>0</v>
      </c>
      <c r="N40" s="111">
        <v>0</v>
      </c>
      <c r="O40" s="111">
        <v>0</v>
      </c>
      <c r="P40" s="111">
        <v>0</v>
      </c>
      <c r="Q40" s="111">
        <v>0</v>
      </c>
      <c r="R40" s="111">
        <v>0</v>
      </c>
      <c r="S40" s="111">
        <v>0</v>
      </c>
      <c r="T40" s="112">
        <v>0</v>
      </c>
    </row>
    <row r="41" spans="2:20" s="2" customFormat="1" ht="15" customHeight="1" x14ac:dyDescent="0.3">
      <c r="B41" s="251" t="s">
        <v>7</v>
      </c>
      <c r="C41" s="252">
        <f t="shared" ref="C41:T41" si="0">SUM(C6:C40)</f>
        <v>55312560.759501077</v>
      </c>
      <c r="D41" s="252">
        <f t="shared" si="0"/>
        <v>55655013.484688856</v>
      </c>
      <c r="E41" s="252">
        <f t="shared" si="0"/>
        <v>5542954.9448045241</v>
      </c>
      <c r="F41" s="252">
        <f t="shared" si="0"/>
        <v>6660814.560045925</v>
      </c>
      <c r="G41" s="252">
        <f t="shared" si="0"/>
        <v>-1117859.6152414044</v>
      </c>
      <c r="H41" s="252">
        <f t="shared" si="0"/>
        <v>775406.89005360682</v>
      </c>
      <c r="I41" s="252">
        <f t="shared" si="0"/>
        <v>5174267.4003574345</v>
      </c>
      <c r="J41" s="252">
        <f t="shared" si="0"/>
        <v>2837120.3530709092</v>
      </c>
      <c r="K41" s="252">
        <f t="shared" si="0"/>
        <v>696032.04381153279</v>
      </c>
      <c r="L41" s="252">
        <f t="shared" si="0"/>
        <v>3033179.091098059</v>
      </c>
      <c r="M41" s="252">
        <f t="shared" si="0"/>
        <v>0</v>
      </c>
      <c r="N41" s="252">
        <f t="shared" si="0"/>
        <v>236668.92026423823</v>
      </c>
      <c r="O41" s="252">
        <f t="shared" si="0"/>
        <v>20793.21060246159</v>
      </c>
      <c r="P41" s="252">
        <f t="shared" si="0"/>
        <v>2303939.8928190428</v>
      </c>
      <c r="Q41" s="252">
        <f t="shared" si="0"/>
        <v>16496.108749999999</v>
      </c>
      <c r="R41" s="252">
        <f t="shared" si="0"/>
        <v>1737017.906744401</v>
      </c>
      <c r="S41" s="252">
        <f t="shared" si="0"/>
        <v>467549.29365450644</v>
      </c>
      <c r="T41" s="252">
        <f t="shared" si="0"/>
        <v>1269468.6130898935</v>
      </c>
    </row>
    <row r="42" spans="2:20" ht="15" customHeight="1" x14ac:dyDescent="0.35">
      <c r="B42" s="321" t="s">
        <v>142</v>
      </c>
      <c r="C42" s="301"/>
      <c r="D42" s="301"/>
      <c r="E42" s="301"/>
      <c r="F42" s="301"/>
      <c r="G42" s="301"/>
      <c r="H42" s="301"/>
      <c r="I42" s="301"/>
      <c r="J42" s="301"/>
      <c r="K42" s="301"/>
      <c r="L42" s="301"/>
      <c r="M42" s="301"/>
      <c r="N42" s="301"/>
      <c r="O42" s="301"/>
      <c r="P42" s="301"/>
      <c r="Q42" s="301"/>
      <c r="R42" s="301"/>
      <c r="S42" s="301"/>
      <c r="T42" s="302"/>
    </row>
    <row r="43" spans="2:20" ht="15" customHeight="1" x14ac:dyDescent="0.35">
      <c r="B43" s="109" t="s">
        <v>143</v>
      </c>
      <c r="C43" s="119">
        <v>1609409.6470000001</v>
      </c>
      <c r="D43" s="119">
        <v>1630625.570690745</v>
      </c>
      <c r="E43" s="119">
        <v>229289.20699999999</v>
      </c>
      <c r="F43" s="119">
        <v>395160.31400000001</v>
      </c>
      <c r="G43" s="119">
        <v>-165871.10699999999</v>
      </c>
      <c r="H43" s="119">
        <v>144655.18330925511</v>
      </c>
      <c r="I43" s="119">
        <v>59311.322</v>
      </c>
      <c r="J43" s="119">
        <v>136532.30100000001</v>
      </c>
      <c r="K43" s="119">
        <v>61954.964</v>
      </c>
      <c r="L43" s="119">
        <v>-15266.014999999999</v>
      </c>
      <c r="M43" s="119">
        <v>0</v>
      </c>
      <c r="N43" s="119">
        <v>138.32</v>
      </c>
      <c r="O43" s="119">
        <v>-12104.573</v>
      </c>
      <c r="P43" s="119">
        <v>9273.0349999999999</v>
      </c>
      <c r="Q43" s="119">
        <v>0</v>
      </c>
      <c r="R43" s="119">
        <v>132359.0263092551</v>
      </c>
      <c r="S43" s="119">
        <v>39707.707999999999</v>
      </c>
      <c r="T43" s="120">
        <v>92651.318309255119</v>
      </c>
    </row>
    <row r="44" spans="2:20" ht="15" customHeight="1" x14ac:dyDescent="0.35">
      <c r="B44" s="109" t="s">
        <v>144</v>
      </c>
      <c r="C44" s="119">
        <v>1680189.909187692</v>
      </c>
      <c r="D44" s="119">
        <v>1482152.8532285111</v>
      </c>
      <c r="E44" s="119">
        <v>184270.39422757161</v>
      </c>
      <c r="F44" s="119">
        <v>49360.343273799001</v>
      </c>
      <c r="G44" s="119">
        <v>134910.05095377259</v>
      </c>
      <c r="H44" s="119">
        <v>63127.005005408697</v>
      </c>
      <c r="I44" s="119">
        <v>180013.08600089469</v>
      </c>
      <c r="J44" s="119">
        <v>30363.2981334699</v>
      </c>
      <c r="K44" s="119">
        <v>6433.3212035753058</v>
      </c>
      <c r="L44" s="119">
        <v>156083.1090710001</v>
      </c>
      <c r="M44" s="119">
        <v>0</v>
      </c>
      <c r="N44" s="119">
        <v>9489.1518759999908</v>
      </c>
      <c r="O44" s="119">
        <v>0</v>
      </c>
      <c r="P44" s="119">
        <v>0</v>
      </c>
      <c r="Q44" s="119">
        <v>0</v>
      </c>
      <c r="R44" s="119">
        <v>228699.26595240881</v>
      </c>
      <c r="S44" s="119">
        <v>57174.817442260959</v>
      </c>
      <c r="T44" s="120">
        <v>171524.44851014781</v>
      </c>
    </row>
    <row r="45" spans="2:20" ht="15" customHeight="1" x14ac:dyDescent="0.35">
      <c r="B45" s="109" t="s">
        <v>145</v>
      </c>
      <c r="C45" s="119">
        <v>645671.67857596837</v>
      </c>
      <c r="D45" s="119">
        <v>826825.91151529585</v>
      </c>
      <c r="E45" s="119">
        <v>-327932.36366358341</v>
      </c>
      <c r="F45" s="119">
        <v>0</v>
      </c>
      <c r="G45" s="119">
        <v>-327932.36366358341</v>
      </c>
      <c r="H45" s="119">
        <v>146778.13072425581</v>
      </c>
      <c r="I45" s="119">
        <v>53070.60084932686</v>
      </c>
      <c r="J45" s="119">
        <v>56920.005079430957</v>
      </c>
      <c r="K45" s="119">
        <v>12649.01787221598</v>
      </c>
      <c r="L45" s="119">
        <v>8799.6136421118663</v>
      </c>
      <c r="M45" s="119">
        <v>0</v>
      </c>
      <c r="N45" s="119">
        <v>32</v>
      </c>
      <c r="O45" s="119">
        <v>-5871.9967536456288</v>
      </c>
      <c r="P45" s="119">
        <v>24890.21272756952</v>
      </c>
      <c r="Q45" s="119">
        <v>0</v>
      </c>
      <c r="R45" s="119">
        <v>136591.52839244381</v>
      </c>
      <c r="S45" s="119">
        <v>43656.054245613137</v>
      </c>
      <c r="T45" s="120">
        <v>92935.474146830617</v>
      </c>
    </row>
    <row r="46" spans="2:20" ht="15" customHeight="1" x14ac:dyDescent="0.35">
      <c r="B46" s="109" t="s">
        <v>146</v>
      </c>
      <c r="C46" s="119">
        <v>3266279.3558335258</v>
      </c>
      <c r="D46" s="119">
        <v>2563104.0237656878</v>
      </c>
      <c r="E46" s="119">
        <v>324183.64915192098</v>
      </c>
      <c r="F46" s="119">
        <v>68356.202826537352</v>
      </c>
      <c r="G46" s="119">
        <v>255827.4463253837</v>
      </c>
      <c r="H46" s="119">
        <v>447347.88574245467</v>
      </c>
      <c r="I46" s="119">
        <v>1014402.294814399</v>
      </c>
      <c r="J46" s="119">
        <v>78130.209000068571</v>
      </c>
      <c r="K46" s="119">
        <v>4806.0968769994524</v>
      </c>
      <c r="L46" s="119">
        <v>941078.18269133009</v>
      </c>
      <c r="M46" s="119">
        <v>0</v>
      </c>
      <c r="N46" s="119">
        <v>14552.346</v>
      </c>
      <c r="O46" s="119">
        <v>-78884.316000000006</v>
      </c>
      <c r="P46" s="119">
        <v>283582.86868864798</v>
      </c>
      <c r="Q46" s="119">
        <v>0</v>
      </c>
      <c r="R46" s="119">
        <v>1198279.861745137</v>
      </c>
      <c r="S46" s="119">
        <v>359459.42450452002</v>
      </c>
      <c r="T46" s="120">
        <v>838820.43724061677</v>
      </c>
    </row>
    <row r="47" spans="2:20" ht="15" customHeight="1" x14ac:dyDescent="0.35">
      <c r="B47" s="109" t="s">
        <v>147</v>
      </c>
      <c r="C47" s="119">
        <v>992776.51471863396</v>
      </c>
      <c r="D47" s="119">
        <v>685386.89519040834</v>
      </c>
      <c r="E47" s="119">
        <v>144903.12236798319</v>
      </c>
      <c r="F47" s="119">
        <v>161262.71595244401</v>
      </c>
      <c r="G47" s="119">
        <v>-16359.593584460839</v>
      </c>
      <c r="H47" s="119">
        <v>323749.21311268653</v>
      </c>
      <c r="I47" s="119">
        <v>82495.78959</v>
      </c>
      <c r="J47" s="119">
        <v>98074.796961046144</v>
      </c>
      <c r="K47" s="119">
        <v>10957.348020110639</v>
      </c>
      <c r="L47" s="119">
        <v>-4621.6593509355071</v>
      </c>
      <c r="M47" s="119">
        <v>0</v>
      </c>
      <c r="N47" s="119">
        <v>46.547999999999988</v>
      </c>
      <c r="O47" s="119">
        <v>-27064.498329999991</v>
      </c>
      <c r="P47" s="119">
        <v>102575.24099999999</v>
      </c>
      <c r="Q47" s="119">
        <v>0</v>
      </c>
      <c r="R47" s="119">
        <v>243663.3590917509</v>
      </c>
      <c r="S47" s="119">
        <v>73099.007693999883</v>
      </c>
      <c r="T47" s="120">
        <v>170564.35139775099</v>
      </c>
    </row>
    <row r="48" spans="2:20" s="2" customFormat="1" ht="15" customHeight="1" x14ac:dyDescent="0.35">
      <c r="B48" s="251" t="s">
        <v>7</v>
      </c>
      <c r="C48" s="253">
        <f t="shared" ref="C48:T48" si="1">SUM(C43:C47)</f>
        <v>8194327.1053158203</v>
      </c>
      <c r="D48" s="253">
        <f t="shared" si="1"/>
        <v>7188095.2543906476</v>
      </c>
      <c r="E48" s="121">
        <f t="shared" si="1"/>
        <v>554714.00908389234</v>
      </c>
      <c r="F48" s="121">
        <f t="shared" si="1"/>
        <v>674139.57605278038</v>
      </c>
      <c r="G48" s="121">
        <f t="shared" si="1"/>
        <v>-119425.56696888796</v>
      </c>
      <c r="H48" s="121">
        <f t="shared" si="1"/>
        <v>1125657.4178940607</v>
      </c>
      <c r="I48" s="121">
        <f t="shared" si="1"/>
        <v>1389293.0932546204</v>
      </c>
      <c r="J48" s="121">
        <f t="shared" si="1"/>
        <v>400020.61017401563</v>
      </c>
      <c r="K48" s="121">
        <f t="shared" si="1"/>
        <v>96800.747972901372</v>
      </c>
      <c r="L48" s="121">
        <f t="shared" si="1"/>
        <v>1086073.2310535065</v>
      </c>
      <c r="M48" s="121">
        <f t="shared" si="1"/>
        <v>0</v>
      </c>
      <c r="N48" s="121">
        <f t="shared" si="1"/>
        <v>24258.365875999989</v>
      </c>
      <c r="O48" s="121">
        <f t="shared" si="1"/>
        <v>-123925.38408364562</v>
      </c>
      <c r="P48" s="121">
        <f t="shared" si="1"/>
        <v>420321.35741621751</v>
      </c>
      <c r="Q48" s="121">
        <f t="shared" si="1"/>
        <v>0</v>
      </c>
      <c r="R48" s="121">
        <f t="shared" si="1"/>
        <v>1939593.0414909956</v>
      </c>
      <c r="S48" s="121">
        <f t="shared" si="1"/>
        <v>573097.011886394</v>
      </c>
      <c r="T48" s="121">
        <f t="shared" si="1"/>
        <v>1366496.0296046012</v>
      </c>
    </row>
    <row r="49" spans="2:20" ht="15" customHeight="1" x14ac:dyDescent="0.35">
      <c r="B49" s="117" t="s">
        <v>148</v>
      </c>
      <c r="C49" s="121">
        <f t="shared" ref="C49:T49" si="2">C41+C48</f>
        <v>63506887.864816897</v>
      </c>
      <c r="D49" s="121">
        <f t="shared" si="2"/>
        <v>62843108.739079505</v>
      </c>
      <c r="E49" s="121">
        <f t="shared" si="2"/>
        <v>6097668.9538884163</v>
      </c>
      <c r="F49" s="121">
        <f t="shared" si="2"/>
        <v>7334954.1360987052</v>
      </c>
      <c r="G49" s="121">
        <f t="shared" si="2"/>
        <v>-1237285.1822102924</v>
      </c>
      <c r="H49" s="121">
        <f t="shared" si="2"/>
        <v>1901064.3079476675</v>
      </c>
      <c r="I49" s="121">
        <f t="shared" si="2"/>
        <v>6563560.4936120547</v>
      </c>
      <c r="J49" s="121">
        <f t="shared" si="2"/>
        <v>3237140.9632449248</v>
      </c>
      <c r="K49" s="121">
        <f t="shared" si="2"/>
        <v>792832.79178443411</v>
      </c>
      <c r="L49" s="121">
        <f t="shared" si="2"/>
        <v>4119252.3221515655</v>
      </c>
      <c r="M49" s="121">
        <f t="shared" si="2"/>
        <v>0</v>
      </c>
      <c r="N49" s="121">
        <f t="shared" si="2"/>
        <v>260927.28614023823</v>
      </c>
      <c r="O49" s="121">
        <f t="shared" si="2"/>
        <v>-103132.17348118403</v>
      </c>
      <c r="P49" s="121">
        <f t="shared" si="2"/>
        <v>2724261.2502352605</v>
      </c>
      <c r="Q49" s="121">
        <f t="shared" si="2"/>
        <v>16496.108749999999</v>
      </c>
      <c r="R49" s="121">
        <f t="shared" si="2"/>
        <v>3676610.9482353963</v>
      </c>
      <c r="S49" s="121">
        <f t="shared" si="2"/>
        <v>1040646.3055409004</v>
      </c>
      <c r="T49" s="121">
        <f t="shared" si="2"/>
        <v>2635964.6426944947</v>
      </c>
    </row>
    <row r="50" spans="2:20" ht="15" customHeight="1" x14ac:dyDescent="0.35">
      <c r="B50" s="323" t="s">
        <v>149</v>
      </c>
      <c r="C50" s="324"/>
      <c r="D50" s="324"/>
      <c r="E50" s="324"/>
      <c r="F50" s="324"/>
      <c r="G50" s="324"/>
      <c r="H50" s="324"/>
      <c r="I50" s="324"/>
      <c r="J50" s="324"/>
      <c r="K50" s="324"/>
      <c r="L50" s="324"/>
      <c r="M50" s="324"/>
      <c r="N50" s="324"/>
      <c r="O50" s="324"/>
      <c r="P50" s="324"/>
      <c r="Q50" s="324"/>
      <c r="R50" s="324"/>
      <c r="S50" s="324"/>
      <c r="T50" s="324"/>
    </row>
    <row r="51" spans="2:20" x14ac:dyDescent="0.35">
      <c r="E51" s="262"/>
      <c r="F51" s="262"/>
    </row>
    <row r="52" spans="2:20" x14ac:dyDescent="0.35">
      <c r="E52" s="226"/>
    </row>
  </sheetData>
  <sheetProtection algorithmName="SHA-512" hashValue="o3zsCvWxTE/bl/v+iHJXjkOqe5y64TPWUuGHPM9dJIZE14Ek1WY1LD8BKHjw+IooUeh6NPtj7UOojqZOoOlstQ==" saltValue="vIxZd0O2QKP9l0+R42lMtA==" spinCount="100000" sheet="1" objects="1" scenarios="1"/>
  <mergeCells count="4">
    <mergeCell ref="B42:T42"/>
    <mergeCell ref="B3:T3"/>
    <mergeCell ref="B5:T5"/>
    <mergeCell ref="B50:T50"/>
  </mergeCells>
  <pageMargins left="0.7" right="0.7" top="0.75" bottom="0.75" header="0.3" footer="0.3"/>
  <pageSetup paperSize="9" scale="4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B3:U48"/>
  <sheetViews>
    <sheetView showGridLines="0" zoomScale="91" zoomScaleNormal="91" workbookViewId="0">
      <pane xSplit="2" ySplit="5" topLeftCell="S33" activePane="bottomRight" state="frozen"/>
      <selection activeCell="B49" sqref="B49:Q49"/>
      <selection pane="topRight" activeCell="B49" sqref="B49:Q49"/>
      <selection pane="bottomLeft" activeCell="B49" sqref="B49:Q49"/>
      <selection pane="bottomRight" activeCell="O28" sqref="B3:T35"/>
    </sheetView>
  </sheetViews>
  <sheetFormatPr defaultColWidth="13.54296875" defaultRowHeight="15" customHeight="1" x14ac:dyDescent="0.35"/>
  <cols>
    <col min="1" max="1" width="15.453125" style="76" customWidth="1"/>
    <col min="2" max="2" width="46.54296875" style="76" customWidth="1"/>
    <col min="3" max="3" width="24" style="76" customWidth="1"/>
    <col min="4" max="11" width="19.453125" style="76" customWidth="1"/>
    <col min="12" max="14" width="17.54296875" style="76" customWidth="1"/>
    <col min="15" max="15" width="19.453125" style="76" customWidth="1"/>
    <col min="16" max="16" width="17.54296875" style="76" customWidth="1"/>
    <col min="17" max="17" width="18.54296875" style="76" customWidth="1"/>
    <col min="18" max="18" width="17.54296875" style="76" customWidth="1"/>
    <col min="19" max="19" width="22.453125" style="76" customWidth="1"/>
    <col min="20" max="20" width="17.54296875" style="76" customWidth="1"/>
    <col min="21" max="118" width="13.54296875" style="76" customWidth="1"/>
    <col min="119" max="16384" width="13.54296875" style="76"/>
  </cols>
  <sheetData>
    <row r="3" spans="2:20" s="286" customFormat="1" ht="22" x14ac:dyDescent="0.5">
      <c r="B3" s="322" t="str">
        <f>_xlfn.CONCAT('Table of Contents'!B9,": ",'Table of Contents'!C9)</f>
        <v>APPENDIX 2: SUMMARY OF LONG TERM INSURANCE BUSINESS PROFIT &amp; LOSS ACCOUNTS  FOR THE PERIOD ENDED 31.03.2026</v>
      </c>
      <c r="C3" s="298"/>
      <c r="D3" s="298"/>
      <c r="E3" s="298"/>
      <c r="F3" s="298"/>
      <c r="G3" s="298"/>
      <c r="H3" s="298"/>
      <c r="I3" s="298"/>
      <c r="J3" s="298"/>
      <c r="K3" s="298"/>
      <c r="L3" s="298"/>
      <c r="M3" s="298"/>
      <c r="N3" s="298"/>
      <c r="O3" s="298"/>
      <c r="P3" s="298"/>
      <c r="Q3" s="298"/>
      <c r="R3" s="298"/>
      <c r="S3" s="298"/>
      <c r="T3" s="299"/>
    </row>
    <row r="4" spans="2:20" s="122" customFormat="1" ht="108.5" x14ac:dyDescent="0.35">
      <c r="B4" s="106" t="s">
        <v>87</v>
      </c>
      <c r="C4" s="107" t="s">
        <v>88</v>
      </c>
      <c r="D4" s="107" t="s">
        <v>89</v>
      </c>
      <c r="E4" s="108" t="s">
        <v>95</v>
      </c>
      <c r="F4" s="108" t="s">
        <v>96</v>
      </c>
      <c r="G4" s="107" t="s">
        <v>92</v>
      </c>
      <c r="H4" s="107" t="s">
        <v>93</v>
      </c>
      <c r="I4" s="108" t="s">
        <v>94</v>
      </c>
      <c r="J4" s="108" t="s">
        <v>95</v>
      </c>
      <c r="K4" s="108" t="s">
        <v>96</v>
      </c>
      <c r="L4" s="108" t="s">
        <v>97</v>
      </c>
      <c r="M4" s="74" t="s">
        <v>98</v>
      </c>
      <c r="N4" s="74" t="s">
        <v>99</v>
      </c>
      <c r="O4" s="74" t="s">
        <v>100</v>
      </c>
      <c r="P4" s="74" t="s">
        <v>101</v>
      </c>
      <c r="Q4" s="74" t="s">
        <v>102</v>
      </c>
      <c r="R4" s="74" t="s">
        <v>103</v>
      </c>
      <c r="S4" s="74" t="s">
        <v>104</v>
      </c>
      <c r="T4" s="74" t="s">
        <v>105</v>
      </c>
    </row>
    <row r="5" spans="2:20" s="122" customFormat="1" ht="15" customHeight="1" x14ac:dyDescent="0.35">
      <c r="B5" s="321" t="s">
        <v>106</v>
      </c>
      <c r="C5" s="301"/>
      <c r="D5" s="301"/>
      <c r="E5" s="301"/>
      <c r="F5" s="301"/>
      <c r="G5" s="301"/>
      <c r="H5" s="301"/>
      <c r="I5" s="301"/>
      <c r="J5" s="301"/>
      <c r="K5" s="301"/>
      <c r="L5" s="301"/>
      <c r="M5" s="301"/>
      <c r="N5" s="301"/>
      <c r="O5" s="301"/>
      <c r="P5" s="301"/>
      <c r="Q5" s="301"/>
      <c r="R5" s="301"/>
      <c r="S5" s="301"/>
      <c r="T5" s="302"/>
    </row>
    <row r="6" spans="2:20" ht="15" customHeight="1" x14ac:dyDescent="0.35">
      <c r="B6" s="109" t="s">
        <v>150</v>
      </c>
      <c r="C6" s="123">
        <v>2452928.9718256951</v>
      </c>
      <c r="D6" s="123">
        <v>2386848.9886169122</v>
      </c>
      <c r="E6" s="123">
        <v>76105.120331266182</v>
      </c>
      <c r="F6" s="123">
        <v>0</v>
      </c>
      <c r="G6" s="123">
        <v>76105.120331266182</v>
      </c>
      <c r="H6" s="123">
        <v>-10025.137122483689</v>
      </c>
      <c r="I6" s="123">
        <v>1061506.6908896</v>
      </c>
      <c r="J6" s="123">
        <v>937033.30604390008</v>
      </c>
      <c r="K6" s="123">
        <v>14233.555431999999</v>
      </c>
      <c r="L6" s="123">
        <v>138706.94027769961</v>
      </c>
      <c r="M6" s="124">
        <v>0</v>
      </c>
      <c r="N6" s="124">
        <v>4139.5</v>
      </c>
      <c r="O6" s="124">
        <v>0</v>
      </c>
      <c r="P6" s="124">
        <v>73584.075509982576</v>
      </c>
      <c r="Q6" s="124">
        <v>0</v>
      </c>
      <c r="R6" s="124">
        <v>59237.227645233361</v>
      </c>
      <c r="S6" s="124">
        <v>0</v>
      </c>
      <c r="T6" s="125">
        <v>59237.227645233361</v>
      </c>
    </row>
    <row r="7" spans="2:20" ht="15" customHeight="1" x14ac:dyDescent="0.35">
      <c r="B7" s="109" t="s">
        <v>151</v>
      </c>
      <c r="C7" s="123">
        <v>1297258.5255803191</v>
      </c>
      <c r="D7" s="123">
        <v>1049349.9870213401</v>
      </c>
      <c r="E7" s="123">
        <v>138992.10242622791</v>
      </c>
      <c r="F7" s="123">
        <v>0</v>
      </c>
      <c r="G7" s="123">
        <v>138992.10242622791</v>
      </c>
      <c r="H7" s="123">
        <v>108916.4361327511</v>
      </c>
      <c r="I7" s="123">
        <v>1227885.2444880831</v>
      </c>
      <c r="J7" s="123">
        <v>1028908.883641554</v>
      </c>
      <c r="K7" s="123">
        <v>9246.9951246318506</v>
      </c>
      <c r="L7" s="123">
        <v>208223.35597116101</v>
      </c>
      <c r="M7" s="124">
        <v>0</v>
      </c>
      <c r="N7" s="124">
        <v>0</v>
      </c>
      <c r="O7" s="124">
        <v>0</v>
      </c>
      <c r="P7" s="124">
        <v>0</v>
      </c>
      <c r="Q7" s="124">
        <v>0</v>
      </c>
      <c r="R7" s="124">
        <v>317139.79210391222</v>
      </c>
      <c r="S7" s="124">
        <v>-3440.4889479533599</v>
      </c>
      <c r="T7" s="125">
        <v>320580.28105186549</v>
      </c>
    </row>
    <row r="8" spans="2:20" ht="15" customHeight="1" x14ac:dyDescent="0.35">
      <c r="B8" s="109" t="s">
        <v>152</v>
      </c>
      <c r="C8" s="123">
        <v>3983747.398</v>
      </c>
      <c r="D8" s="123">
        <v>3305577.6949999998</v>
      </c>
      <c r="E8" s="123">
        <v>-429143.74300000002</v>
      </c>
      <c r="F8" s="123">
        <v>-805082.21100000001</v>
      </c>
      <c r="G8" s="123">
        <v>375938.46799999999</v>
      </c>
      <c r="H8" s="123">
        <v>302231.23499999999</v>
      </c>
      <c r="I8" s="123">
        <v>8980422.5730000008</v>
      </c>
      <c r="J8" s="123">
        <v>8387009.1809999999</v>
      </c>
      <c r="K8" s="123">
        <v>57690.59</v>
      </c>
      <c r="L8" s="123">
        <v>651103.98199999973</v>
      </c>
      <c r="M8" s="124">
        <v>0</v>
      </c>
      <c r="N8" s="124">
        <v>3860.9589999999998</v>
      </c>
      <c r="O8" s="124">
        <v>6994.4390000000003</v>
      </c>
      <c r="P8" s="124">
        <v>176281.149</v>
      </c>
      <c r="Q8" s="124">
        <v>227237.74299999999</v>
      </c>
      <c r="R8" s="124">
        <v>1001158.331</v>
      </c>
      <c r="S8" s="124">
        <v>300347.49800000002</v>
      </c>
      <c r="T8" s="125">
        <v>700810.83299999975</v>
      </c>
    </row>
    <row r="9" spans="2:20" ht="15" customHeight="1" x14ac:dyDescent="0.35">
      <c r="B9" s="109" t="s">
        <v>153</v>
      </c>
      <c r="C9" s="123">
        <v>116599.68798730669</v>
      </c>
      <c r="D9" s="123">
        <v>153244.88635806239</v>
      </c>
      <c r="E9" s="123">
        <v>3001.2427573126538</v>
      </c>
      <c r="F9" s="123">
        <v>0</v>
      </c>
      <c r="G9" s="123">
        <v>3001.2427573126538</v>
      </c>
      <c r="H9" s="123">
        <v>-39646.441128068342</v>
      </c>
      <c r="I9" s="123">
        <v>25550.815939999989</v>
      </c>
      <c r="J9" s="123">
        <v>18525.173063532078</v>
      </c>
      <c r="K9" s="123">
        <v>50.49875057007354</v>
      </c>
      <c r="L9" s="123">
        <v>7076.1416270379832</v>
      </c>
      <c r="M9" s="124">
        <v>0</v>
      </c>
      <c r="N9" s="124">
        <v>3608.05</v>
      </c>
      <c r="O9" s="124">
        <v>0</v>
      </c>
      <c r="P9" s="124">
        <v>1246.83278</v>
      </c>
      <c r="Q9" s="124">
        <v>0</v>
      </c>
      <c r="R9" s="124">
        <v>-30209.082281030362</v>
      </c>
      <c r="S9" s="124">
        <v>1628.8963686</v>
      </c>
      <c r="T9" s="125">
        <v>-31837.97864963036</v>
      </c>
    </row>
    <row r="10" spans="2:20" ht="15" customHeight="1" x14ac:dyDescent="0.35">
      <c r="B10" s="109" t="s">
        <v>154</v>
      </c>
      <c r="C10" s="123">
        <v>498694.04029208701</v>
      </c>
      <c r="D10" s="123">
        <v>478312.69171999989</v>
      </c>
      <c r="E10" s="123">
        <v>29157.292000000001</v>
      </c>
      <c r="F10" s="123">
        <v>46481.673999999999</v>
      </c>
      <c r="G10" s="123">
        <v>-17324.382000000001</v>
      </c>
      <c r="H10" s="123">
        <v>37705.730572087057</v>
      </c>
      <c r="I10" s="123">
        <v>1351.796</v>
      </c>
      <c r="J10" s="123">
        <v>15968.959000000001</v>
      </c>
      <c r="K10" s="123">
        <v>3303.6439999999998</v>
      </c>
      <c r="L10" s="123">
        <v>-11313.519</v>
      </c>
      <c r="M10" s="124">
        <v>0</v>
      </c>
      <c r="N10" s="124">
        <v>0</v>
      </c>
      <c r="O10" s="124">
        <v>0</v>
      </c>
      <c r="P10" s="124">
        <v>5234.486009943219</v>
      </c>
      <c r="Q10" s="124">
        <v>0</v>
      </c>
      <c r="R10" s="124">
        <v>21157.725562143831</v>
      </c>
      <c r="S10" s="124">
        <v>511.70499999999998</v>
      </c>
      <c r="T10" s="125">
        <v>20646.02056214384</v>
      </c>
    </row>
    <row r="11" spans="2:20" ht="15" customHeight="1" x14ac:dyDescent="0.35">
      <c r="B11" s="109" t="s">
        <v>155</v>
      </c>
      <c r="C11" s="123">
        <v>1977934.7330191501</v>
      </c>
      <c r="D11" s="123">
        <v>2053019.366536936</v>
      </c>
      <c r="E11" s="123">
        <v>410996.80137081927</v>
      </c>
      <c r="F11" s="123">
        <v>372456.10105845128</v>
      </c>
      <c r="G11" s="123">
        <v>38540.700312367997</v>
      </c>
      <c r="H11" s="123">
        <v>-113625.3338301544</v>
      </c>
      <c r="I11" s="123">
        <v>1514414.8706336471</v>
      </c>
      <c r="J11" s="123">
        <v>1259479.138460662</v>
      </c>
      <c r="K11" s="123">
        <v>25110.504531611819</v>
      </c>
      <c r="L11" s="123">
        <v>280046.23670459632</v>
      </c>
      <c r="M11" s="124">
        <v>0</v>
      </c>
      <c r="N11" s="124">
        <v>42838.782670000008</v>
      </c>
      <c r="O11" s="124">
        <v>0</v>
      </c>
      <c r="P11" s="124">
        <v>85507.803938799989</v>
      </c>
      <c r="Q11" s="124">
        <v>0</v>
      </c>
      <c r="R11" s="124">
        <v>123751.881605642</v>
      </c>
      <c r="S11" s="124">
        <v>0</v>
      </c>
      <c r="T11" s="125">
        <v>123751.881605642</v>
      </c>
    </row>
    <row r="12" spans="2:20" ht="15" customHeight="1" x14ac:dyDescent="0.35">
      <c r="B12" s="109" t="s">
        <v>156</v>
      </c>
      <c r="C12" s="123">
        <v>619030.47485455219</v>
      </c>
      <c r="D12" s="123">
        <v>474505.30949822109</v>
      </c>
      <c r="E12" s="123">
        <v>189613.114</v>
      </c>
      <c r="F12" s="123">
        <v>230345.315</v>
      </c>
      <c r="G12" s="123">
        <v>-40732.201000000001</v>
      </c>
      <c r="H12" s="123">
        <v>185257.36635633089</v>
      </c>
      <c r="I12" s="123">
        <v>983317.98408409883</v>
      </c>
      <c r="J12" s="123">
        <v>558203.87145561154</v>
      </c>
      <c r="K12" s="123">
        <v>592.80389948763695</v>
      </c>
      <c r="L12" s="123">
        <v>425706.916527975</v>
      </c>
      <c r="M12" s="124">
        <v>0</v>
      </c>
      <c r="N12" s="124">
        <v>42083.236609833402</v>
      </c>
      <c r="O12" s="124">
        <v>0</v>
      </c>
      <c r="P12" s="124">
        <v>92535.099306774879</v>
      </c>
      <c r="Q12" s="124">
        <v>0</v>
      </c>
      <c r="R12" s="124">
        <v>560512.42018736445</v>
      </c>
      <c r="S12" s="124">
        <v>168153.7260562093</v>
      </c>
      <c r="T12" s="125">
        <v>392358.69413115497</v>
      </c>
    </row>
    <row r="13" spans="2:20" ht="15" customHeight="1" x14ac:dyDescent="0.35">
      <c r="B13" s="109" t="s">
        <v>157</v>
      </c>
      <c r="C13" s="123">
        <v>20607.220209999999</v>
      </c>
      <c r="D13" s="123">
        <v>12342.796733819991</v>
      </c>
      <c r="E13" s="123">
        <v>10826.751</v>
      </c>
      <c r="F13" s="123">
        <v>0</v>
      </c>
      <c r="G13" s="123">
        <v>10826.751</v>
      </c>
      <c r="H13" s="123">
        <v>-2562.3275238199899</v>
      </c>
      <c r="I13" s="123">
        <v>2136112.5551499999</v>
      </c>
      <c r="J13" s="123">
        <v>0</v>
      </c>
      <c r="K13" s="123">
        <v>0</v>
      </c>
      <c r="L13" s="123">
        <v>2136112.5551499999</v>
      </c>
      <c r="M13" s="124">
        <v>0</v>
      </c>
      <c r="N13" s="124">
        <v>311690.45</v>
      </c>
      <c r="O13" s="124">
        <v>0</v>
      </c>
      <c r="P13" s="124">
        <v>86299.013000000006</v>
      </c>
      <c r="Q13" s="124">
        <v>0</v>
      </c>
      <c r="R13" s="124">
        <v>2358941.6646261802</v>
      </c>
      <c r="S13" s="124">
        <v>4665.9260000000004</v>
      </c>
      <c r="T13" s="125">
        <v>2354275.7386261802</v>
      </c>
    </row>
    <row r="14" spans="2:20" ht="15" customHeight="1" x14ac:dyDescent="0.35">
      <c r="B14" s="109" t="s">
        <v>158</v>
      </c>
      <c r="C14" s="123">
        <v>214047.70088347519</v>
      </c>
      <c r="D14" s="123">
        <v>27952.13455243353</v>
      </c>
      <c r="E14" s="123">
        <v>36704.586743642241</v>
      </c>
      <c r="F14" s="123">
        <v>0</v>
      </c>
      <c r="G14" s="123">
        <v>36704.586743642241</v>
      </c>
      <c r="H14" s="123">
        <v>149390.9795873994</v>
      </c>
      <c r="I14" s="123">
        <v>66708.844280000005</v>
      </c>
      <c r="J14" s="123">
        <v>26329.25005379198</v>
      </c>
      <c r="K14" s="123">
        <v>0</v>
      </c>
      <c r="L14" s="123">
        <v>40379.594226208021</v>
      </c>
      <c r="M14" s="124">
        <v>0</v>
      </c>
      <c r="N14" s="124">
        <v>0</v>
      </c>
      <c r="O14" s="124">
        <v>0</v>
      </c>
      <c r="P14" s="124">
        <v>92796.779618858753</v>
      </c>
      <c r="Q14" s="124">
        <v>0</v>
      </c>
      <c r="R14" s="124">
        <v>96973.794194748727</v>
      </c>
      <c r="S14" s="124">
        <v>5.8267581085020304</v>
      </c>
      <c r="T14" s="125">
        <v>96967.967436640232</v>
      </c>
    </row>
    <row r="15" spans="2:20" ht="15" customHeight="1" x14ac:dyDescent="0.35">
      <c r="B15" s="109" t="s">
        <v>159</v>
      </c>
      <c r="C15" s="123">
        <v>2264310.3343892568</v>
      </c>
      <c r="D15" s="123">
        <v>1541593.2667284289</v>
      </c>
      <c r="E15" s="123">
        <v>107630.2364020012</v>
      </c>
      <c r="F15" s="123">
        <v>7810.322842313094</v>
      </c>
      <c r="G15" s="123">
        <v>99819.91355968811</v>
      </c>
      <c r="H15" s="123">
        <v>622897.15410114056</v>
      </c>
      <c r="I15" s="123">
        <v>8685851</v>
      </c>
      <c r="J15" s="123">
        <v>8183802.3566146791</v>
      </c>
      <c r="K15" s="123">
        <v>0</v>
      </c>
      <c r="L15" s="123">
        <v>502048.64338532143</v>
      </c>
      <c r="M15" s="124">
        <v>0</v>
      </c>
      <c r="N15" s="124">
        <v>26092.754000000001</v>
      </c>
      <c r="O15" s="124">
        <v>0</v>
      </c>
      <c r="P15" s="124">
        <v>101556.5669014155</v>
      </c>
      <c r="Q15" s="124">
        <v>0</v>
      </c>
      <c r="R15" s="124">
        <v>1049481.984585047</v>
      </c>
      <c r="S15" s="124">
        <v>314844.72378535889</v>
      </c>
      <c r="T15" s="125">
        <v>734637.26079968759</v>
      </c>
    </row>
    <row r="16" spans="2:20" ht="15" customHeight="1" x14ac:dyDescent="0.35">
      <c r="B16" s="109" t="s">
        <v>160</v>
      </c>
      <c r="C16" s="123">
        <v>1992524.2400930901</v>
      </c>
      <c r="D16" s="123">
        <v>941163.24064620875</v>
      </c>
      <c r="E16" s="123">
        <v>203771.764425692</v>
      </c>
      <c r="F16" s="123">
        <v>0</v>
      </c>
      <c r="G16" s="123">
        <v>203771.764425692</v>
      </c>
      <c r="H16" s="123">
        <v>847589.23502118874</v>
      </c>
      <c r="I16" s="123">
        <v>7007526.5168173518</v>
      </c>
      <c r="J16" s="123">
        <v>6766127.9519999996</v>
      </c>
      <c r="K16" s="123">
        <v>0</v>
      </c>
      <c r="L16" s="123">
        <v>241398.56481735091</v>
      </c>
      <c r="M16" s="124">
        <v>0</v>
      </c>
      <c r="N16" s="124">
        <v>0</v>
      </c>
      <c r="O16" s="124">
        <v>0</v>
      </c>
      <c r="P16" s="124">
        <v>259127.64121845999</v>
      </c>
      <c r="Q16" s="124">
        <v>0</v>
      </c>
      <c r="R16" s="124">
        <v>829860.15862007963</v>
      </c>
      <c r="S16" s="124">
        <v>0</v>
      </c>
      <c r="T16" s="125">
        <v>829860.15862007963</v>
      </c>
    </row>
    <row r="17" spans="2:21" ht="15" customHeight="1" x14ac:dyDescent="0.35">
      <c r="B17" s="109" t="s">
        <v>161</v>
      </c>
      <c r="C17" s="123">
        <v>524489.98104999994</v>
      </c>
      <c r="D17" s="123">
        <v>505801.435</v>
      </c>
      <c r="E17" s="123">
        <v>23148.92686130002</v>
      </c>
      <c r="F17" s="123">
        <v>-2709.6587120000031</v>
      </c>
      <c r="G17" s="123">
        <v>25858.585573300021</v>
      </c>
      <c r="H17" s="123">
        <v>-7170.0395233000663</v>
      </c>
      <c r="I17" s="123">
        <v>3854466.0187233542</v>
      </c>
      <c r="J17" s="123">
        <v>3269396.204348891</v>
      </c>
      <c r="K17" s="123">
        <v>0</v>
      </c>
      <c r="L17" s="123">
        <v>585069.81437446328</v>
      </c>
      <c r="M17" s="124">
        <v>0</v>
      </c>
      <c r="N17" s="124">
        <v>0</v>
      </c>
      <c r="O17" s="124">
        <v>0</v>
      </c>
      <c r="P17" s="124">
        <v>0</v>
      </c>
      <c r="Q17" s="124">
        <v>0</v>
      </c>
      <c r="R17" s="124">
        <v>577899.77485116327</v>
      </c>
      <c r="S17" s="124">
        <v>0</v>
      </c>
      <c r="T17" s="125">
        <v>577899.77485116327</v>
      </c>
    </row>
    <row r="18" spans="2:21" ht="15" customHeight="1" x14ac:dyDescent="0.35">
      <c r="B18" s="109" t="s">
        <v>162</v>
      </c>
      <c r="C18" s="123">
        <v>298914.92831622949</v>
      </c>
      <c r="D18" s="123">
        <v>244248.3008824838</v>
      </c>
      <c r="E18" s="123">
        <v>28437.234516245451</v>
      </c>
      <c r="F18" s="123">
        <v>8220.0889999999999</v>
      </c>
      <c r="G18" s="123">
        <v>20217.145516245451</v>
      </c>
      <c r="H18" s="123">
        <v>34449.481917500198</v>
      </c>
      <c r="I18" s="123">
        <v>160219.3413472398</v>
      </c>
      <c r="J18" s="123">
        <v>111659.2802656292</v>
      </c>
      <c r="K18" s="123">
        <v>216.54400000000001</v>
      </c>
      <c r="L18" s="123">
        <v>48776.605081610593</v>
      </c>
      <c r="M18" s="124">
        <v>0</v>
      </c>
      <c r="N18" s="124">
        <v>0</v>
      </c>
      <c r="O18" s="124">
        <v>0</v>
      </c>
      <c r="P18" s="124">
        <v>13833.5819256</v>
      </c>
      <c r="Q18" s="124">
        <v>0</v>
      </c>
      <c r="R18" s="124">
        <v>69392.505073510794</v>
      </c>
      <c r="S18" s="124">
        <v>3960.4095143299992</v>
      </c>
      <c r="T18" s="125">
        <v>65432.095559180787</v>
      </c>
    </row>
    <row r="19" spans="2:21" ht="15" customHeight="1" x14ac:dyDescent="0.35">
      <c r="B19" s="109" t="s">
        <v>163</v>
      </c>
      <c r="C19" s="123">
        <v>798986.17500000005</v>
      </c>
      <c r="D19" s="123">
        <v>669056.86296146573</v>
      </c>
      <c r="E19" s="123">
        <v>61749.527999999998</v>
      </c>
      <c r="F19" s="123">
        <v>0</v>
      </c>
      <c r="G19" s="123">
        <v>61749.527999999998</v>
      </c>
      <c r="H19" s="123">
        <v>68179.784038534242</v>
      </c>
      <c r="I19" s="123">
        <v>698702.65700000001</v>
      </c>
      <c r="J19" s="123">
        <v>553543.56526737323</v>
      </c>
      <c r="K19" s="123">
        <v>5483.9104131535869</v>
      </c>
      <c r="L19" s="123">
        <v>150643.0021457804</v>
      </c>
      <c r="M19" s="124">
        <v>109384.917</v>
      </c>
      <c r="N19" s="124">
        <v>0</v>
      </c>
      <c r="O19" s="124">
        <v>696.93299999999999</v>
      </c>
      <c r="P19" s="124">
        <v>241208.80100000001</v>
      </c>
      <c r="Q19" s="124">
        <v>-39726.038</v>
      </c>
      <c r="R19" s="124">
        <v>46575.931184314628</v>
      </c>
      <c r="S19" s="124">
        <v>24122.954000000002</v>
      </c>
      <c r="T19" s="125">
        <v>22452.97718431463</v>
      </c>
    </row>
    <row r="20" spans="2:21" ht="15" customHeight="1" x14ac:dyDescent="0.35">
      <c r="B20" s="109" t="s">
        <v>127</v>
      </c>
      <c r="C20" s="123">
        <v>681063.23899999994</v>
      </c>
      <c r="D20" s="123">
        <v>725963.21900000004</v>
      </c>
      <c r="E20" s="123">
        <v>133115.927</v>
      </c>
      <c r="F20" s="123">
        <v>-14280.928</v>
      </c>
      <c r="G20" s="123">
        <v>147396.85500000001</v>
      </c>
      <c r="H20" s="123">
        <v>-192296.83499999999</v>
      </c>
      <c r="I20" s="123">
        <v>179798.864</v>
      </c>
      <c r="J20" s="123">
        <v>1082277.257</v>
      </c>
      <c r="K20" s="123">
        <v>16906.564999999999</v>
      </c>
      <c r="L20" s="123">
        <v>-885571.82799999998</v>
      </c>
      <c r="M20" s="124">
        <v>0</v>
      </c>
      <c r="N20" s="124">
        <v>0</v>
      </c>
      <c r="O20" s="124">
        <v>0</v>
      </c>
      <c r="P20" s="124">
        <v>55772.635000000002</v>
      </c>
      <c r="Q20" s="124">
        <v>0</v>
      </c>
      <c r="R20" s="124">
        <v>-1133641.298</v>
      </c>
      <c r="S20" s="124">
        <v>-340092.3</v>
      </c>
      <c r="T20" s="125">
        <v>-793548.99800000002</v>
      </c>
    </row>
    <row r="21" spans="2:21" ht="15" customHeight="1" x14ac:dyDescent="0.35">
      <c r="B21" s="126" t="s">
        <v>164</v>
      </c>
      <c r="C21" s="123">
        <v>1054515.1185999999</v>
      </c>
      <c r="D21" s="123">
        <v>1089757.9879999999</v>
      </c>
      <c r="E21" s="123">
        <v>-50893.413999999997</v>
      </c>
      <c r="F21" s="123">
        <v>0</v>
      </c>
      <c r="G21" s="123">
        <v>-50893.413999999997</v>
      </c>
      <c r="H21" s="123">
        <v>15650.544599999979</v>
      </c>
      <c r="I21" s="123">
        <v>1072357.28773</v>
      </c>
      <c r="J21" s="123">
        <v>945634.57643000002</v>
      </c>
      <c r="K21" s="123">
        <v>0</v>
      </c>
      <c r="L21" s="123">
        <v>126722.71129999989</v>
      </c>
      <c r="M21" s="124">
        <v>0</v>
      </c>
      <c r="N21" s="124">
        <v>11326.61903</v>
      </c>
      <c r="O21" s="124">
        <v>0</v>
      </c>
      <c r="P21" s="124">
        <v>29279.520129763401</v>
      </c>
      <c r="Q21" s="124">
        <v>0</v>
      </c>
      <c r="R21" s="124">
        <v>124420.3548002365</v>
      </c>
      <c r="S21" s="124">
        <v>28981.116999999998</v>
      </c>
      <c r="T21" s="125">
        <v>95439.2378002365</v>
      </c>
    </row>
    <row r="22" spans="2:21" ht="15" customHeight="1" x14ac:dyDescent="0.35">
      <c r="B22" s="109" t="s">
        <v>165</v>
      </c>
      <c r="C22" s="123">
        <v>470048.73418425501</v>
      </c>
      <c r="D22" s="123">
        <v>628781.6476331572</v>
      </c>
      <c r="E22" s="123">
        <v>68701.965619578667</v>
      </c>
      <c r="F22" s="123">
        <v>127428.5958733546</v>
      </c>
      <c r="G22" s="123">
        <v>-58726.630253775897</v>
      </c>
      <c r="H22" s="123">
        <v>-100006.28319512631</v>
      </c>
      <c r="I22" s="123">
        <v>793539.13173999998</v>
      </c>
      <c r="J22" s="123">
        <v>576999.66687756276</v>
      </c>
      <c r="K22" s="123">
        <v>-16020.3113234921</v>
      </c>
      <c r="L22" s="123">
        <v>200519.15353894519</v>
      </c>
      <c r="M22" s="124">
        <v>0</v>
      </c>
      <c r="N22" s="124">
        <v>0</v>
      </c>
      <c r="O22" s="124">
        <v>0</v>
      </c>
      <c r="P22" s="124">
        <v>38437.322072491399</v>
      </c>
      <c r="Q22" s="124">
        <v>0</v>
      </c>
      <c r="R22" s="124">
        <v>62075.548271327527</v>
      </c>
      <c r="S22" s="124">
        <v>0</v>
      </c>
      <c r="T22" s="125">
        <v>62075.548271327527</v>
      </c>
    </row>
    <row r="23" spans="2:21" ht="15" customHeight="1" x14ac:dyDescent="0.35">
      <c r="B23" s="109" t="s">
        <v>166</v>
      </c>
      <c r="C23" s="123">
        <v>465388.26025270642</v>
      </c>
      <c r="D23" s="123">
        <v>392347.8212132543</v>
      </c>
      <c r="E23" s="123">
        <v>44005.366627573952</v>
      </c>
      <c r="F23" s="123">
        <v>0</v>
      </c>
      <c r="G23" s="123">
        <v>44005.366627573952</v>
      </c>
      <c r="H23" s="123">
        <v>29035.07241187818</v>
      </c>
      <c r="I23" s="123">
        <v>0</v>
      </c>
      <c r="J23" s="123">
        <v>24864.50336977297</v>
      </c>
      <c r="K23" s="123">
        <v>0</v>
      </c>
      <c r="L23" s="123">
        <v>-24864.50336977297</v>
      </c>
      <c r="M23" s="124">
        <v>0</v>
      </c>
      <c r="N23" s="124">
        <v>4620.9340000000002</v>
      </c>
      <c r="O23" s="124">
        <v>0</v>
      </c>
      <c r="P23" s="124">
        <v>31480.603341694939</v>
      </c>
      <c r="Q23" s="124">
        <v>0</v>
      </c>
      <c r="R23" s="124">
        <v>-22689.100299589722</v>
      </c>
      <c r="S23" s="124">
        <v>9659.1140500000001</v>
      </c>
      <c r="T23" s="125">
        <v>-32348.21434958974</v>
      </c>
    </row>
    <row r="24" spans="2:21" ht="15" customHeight="1" x14ac:dyDescent="0.35">
      <c r="B24" s="109" t="s">
        <v>167</v>
      </c>
      <c r="C24" s="123">
        <v>1132575.5469943669</v>
      </c>
      <c r="D24" s="123">
        <v>912640.04938821669</v>
      </c>
      <c r="E24" s="123">
        <v>52814.213720000007</v>
      </c>
      <c r="F24" s="123">
        <v>0</v>
      </c>
      <c r="G24" s="123">
        <v>52814.213720000007</v>
      </c>
      <c r="H24" s="123">
        <v>167121.2838861504</v>
      </c>
      <c r="I24" s="123">
        <v>1514697.55605</v>
      </c>
      <c r="J24" s="123">
        <v>1718729.5650099979</v>
      </c>
      <c r="K24" s="123">
        <v>8319.6408800000027</v>
      </c>
      <c r="L24" s="123">
        <v>-195712.36807999809</v>
      </c>
      <c r="M24" s="124">
        <v>0</v>
      </c>
      <c r="N24" s="124">
        <v>134585.34005</v>
      </c>
      <c r="O24" s="124">
        <v>0</v>
      </c>
      <c r="P24" s="124">
        <v>26126.391240000001</v>
      </c>
      <c r="Q24" s="124">
        <v>0</v>
      </c>
      <c r="R24" s="124">
        <v>79867.864616152176</v>
      </c>
      <c r="S24" s="124">
        <v>24027.11027744801</v>
      </c>
      <c r="T24" s="125">
        <v>55840.754338704173</v>
      </c>
    </row>
    <row r="25" spans="2:21" ht="15" customHeight="1" x14ac:dyDescent="0.35">
      <c r="B25" s="109" t="s">
        <v>168</v>
      </c>
      <c r="C25" s="123">
        <v>22391.3546856061</v>
      </c>
      <c r="D25" s="123">
        <v>-64509.605177133257</v>
      </c>
      <c r="E25" s="123">
        <v>-114.637227641556</v>
      </c>
      <c r="F25" s="123">
        <v>255.44079025920499</v>
      </c>
      <c r="G25" s="123">
        <v>-370.07801790076098</v>
      </c>
      <c r="H25" s="123">
        <v>87271.037880640113</v>
      </c>
      <c r="I25" s="123">
        <v>0</v>
      </c>
      <c r="J25" s="123">
        <v>0</v>
      </c>
      <c r="K25" s="123">
        <v>0</v>
      </c>
      <c r="L25" s="123">
        <v>0</v>
      </c>
      <c r="M25" s="124">
        <v>0</v>
      </c>
      <c r="N25" s="124">
        <v>4367.41485730769</v>
      </c>
      <c r="O25" s="124">
        <v>0</v>
      </c>
      <c r="P25" s="124">
        <v>865.60836984921207</v>
      </c>
      <c r="Q25" s="124">
        <v>0</v>
      </c>
      <c r="R25" s="124">
        <v>90772.844368098595</v>
      </c>
      <c r="S25" s="124">
        <v>0</v>
      </c>
      <c r="T25" s="125">
        <v>90772.844368098595</v>
      </c>
    </row>
    <row r="26" spans="2:21" ht="15" customHeight="1" x14ac:dyDescent="0.35">
      <c r="B26" s="109" t="s">
        <v>169</v>
      </c>
      <c r="C26" s="123">
        <v>0</v>
      </c>
      <c r="D26" s="123">
        <v>0</v>
      </c>
      <c r="E26" s="123">
        <v>0</v>
      </c>
      <c r="F26" s="123">
        <v>0</v>
      </c>
      <c r="G26" s="123">
        <v>0</v>
      </c>
      <c r="H26" s="123">
        <v>0</v>
      </c>
      <c r="I26" s="123">
        <v>0</v>
      </c>
      <c r="J26" s="123">
        <v>0</v>
      </c>
      <c r="K26" s="123">
        <v>0</v>
      </c>
      <c r="L26" s="123">
        <v>0</v>
      </c>
      <c r="M26" s="124">
        <v>0</v>
      </c>
      <c r="N26" s="124">
        <v>0</v>
      </c>
      <c r="O26" s="124">
        <v>0</v>
      </c>
      <c r="P26" s="124">
        <v>0</v>
      </c>
      <c r="Q26" s="124">
        <v>0</v>
      </c>
      <c r="R26" s="124">
        <v>0</v>
      </c>
      <c r="S26" s="124">
        <v>0</v>
      </c>
      <c r="T26" s="125">
        <v>0</v>
      </c>
    </row>
    <row r="27" spans="2:21" ht="15" customHeight="1" x14ac:dyDescent="0.35">
      <c r="B27" s="109" t="s">
        <v>170</v>
      </c>
      <c r="C27" s="123">
        <v>0</v>
      </c>
      <c r="D27" s="123">
        <v>0</v>
      </c>
      <c r="E27" s="123">
        <v>0</v>
      </c>
      <c r="F27" s="123">
        <v>0</v>
      </c>
      <c r="G27" s="123">
        <v>0</v>
      </c>
      <c r="H27" s="123">
        <v>0</v>
      </c>
      <c r="I27" s="123">
        <v>0</v>
      </c>
      <c r="J27" s="123">
        <v>0</v>
      </c>
      <c r="K27" s="123">
        <v>0</v>
      </c>
      <c r="L27" s="123">
        <v>0</v>
      </c>
      <c r="M27" s="124">
        <v>0</v>
      </c>
      <c r="N27" s="124">
        <v>0</v>
      </c>
      <c r="O27" s="124">
        <v>0</v>
      </c>
      <c r="P27" s="124">
        <v>0</v>
      </c>
      <c r="Q27" s="124">
        <v>0</v>
      </c>
      <c r="R27" s="124">
        <v>0</v>
      </c>
      <c r="S27" s="124">
        <v>0</v>
      </c>
      <c r="T27" s="125">
        <v>0</v>
      </c>
    </row>
    <row r="28" spans="2:21" s="128" customFormat="1" ht="15" customHeight="1" x14ac:dyDescent="0.35">
      <c r="B28" s="117" t="s">
        <v>7</v>
      </c>
      <c r="C28" s="127">
        <f t="shared" ref="C28:T28" si="0">SUM(C6:C27)</f>
        <v>20886056.665218093</v>
      </c>
      <c r="D28" s="127">
        <f t="shared" si="0"/>
        <v>17527998.08231381</v>
      </c>
      <c r="E28" s="127">
        <f t="shared" si="0"/>
        <v>1138620.3795740181</v>
      </c>
      <c r="F28" s="127">
        <f t="shared" si="0"/>
        <v>-29075.259147621808</v>
      </c>
      <c r="G28" s="127">
        <f t="shared" si="0"/>
        <v>1167695.63872164</v>
      </c>
      <c r="H28" s="127">
        <f t="shared" si="0"/>
        <v>2190362.9441826483</v>
      </c>
      <c r="I28" s="127">
        <f t="shared" si="0"/>
        <v>39964429.747873373</v>
      </c>
      <c r="J28" s="127">
        <f t="shared" si="0"/>
        <v>35464492.689902954</v>
      </c>
      <c r="K28" s="127">
        <f t="shared" si="0"/>
        <v>125134.94070796284</v>
      </c>
      <c r="L28" s="127">
        <f t="shared" si="0"/>
        <v>4625071.9986783788</v>
      </c>
      <c r="M28" s="127">
        <f t="shared" si="0"/>
        <v>109384.917</v>
      </c>
      <c r="N28" s="127">
        <f t="shared" si="0"/>
        <v>589214.04021714116</v>
      </c>
      <c r="O28" s="127">
        <f t="shared" si="0"/>
        <v>7691.3720000000003</v>
      </c>
      <c r="P28" s="127">
        <f t="shared" si="0"/>
        <v>1411173.9103636339</v>
      </c>
      <c r="Q28" s="127">
        <f t="shared" si="0"/>
        <v>187511.70499999999</v>
      </c>
      <c r="R28" s="127">
        <f t="shared" si="0"/>
        <v>6282680.3227145337</v>
      </c>
      <c r="S28" s="127">
        <f t="shared" si="0"/>
        <v>537376.21786210139</v>
      </c>
      <c r="T28" s="127">
        <f t="shared" si="0"/>
        <v>5745304.1048524324</v>
      </c>
    </row>
    <row r="29" spans="2:21" s="128" customFormat="1" ht="15" customHeight="1" x14ac:dyDescent="0.35">
      <c r="B29" s="321" t="s">
        <v>142</v>
      </c>
      <c r="C29" s="301"/>
      <c r="D29" s="301"/>
      <c r="E29" s="301"/>
      <c r="F29" s="301"/>
      <c r="G29" s="301"/>
      <c r="H29" s="301"/>
      <c r="I29" s="301"/>
      <c r="J29" s="301"/>
      <c r="K29" s="301"/>
      <c r="L29" s="301"/>
      <c r="M29" s="301"/>
      <c r="N29" s="301"/>
      <c r="O29" s="301"/>
      <c r="P29" s="301"/>
      <c r="Q29" s="301"/>
      <c r="R29" s="301"/>
      <c r="S29" s="301"/>
      <c r="T29" s="302"/>
    </row>
    <row r="30" spans="2:21" s="122" customFormat="1" ht="15" customHeight="1" x14ac:dyDescent="0.35">
      <c r="B30" s="109" t="s">
        <v>143</v>
      </c>
      <c r="C30" s="123">
        <v>0</v>
      </c>
      <c r="D30" s="123">
        <v>0</v>
      </c>
      <c r="E30" s="123">
        <v>0</v>
      </c>
      <c r="F30" s="123">
        <v>0</v>
      </c>
      <c r="G30" s="123">
        <v>0</v>
      </c>
      <c r="H30" s="123">
        <v>0</v>
      </c>
      <c r="I30" s="123">
        <v>0</v>
      </c>
      <c r="J30" s="123">
        <v>0</v>
      </c>
      <c r="K30" s="123">
        <v>0</v>
      </c>
      <c r="L30" s="123">
        <v>0</v>
      </c>
      <c r="M30" s="123">
        <v>0</v>
      </c>
      <c r="N30" s="123">
        <v>0</v>
      </c>
      <c r="O30" s="123">
        <v>0</v>
      </c>
      <c r="P30" s="123">
        <v>0</v>
      </c>
      <c r="Q30" s="123">
        <v>0</v>
      </c>
      <c r="R30" s="123">
        <v>0</v>
      </c>
      <c r="S30" s="123">
        <v>0</v>
      </c>
      <c r="T30" s="129">
        <v>0</v>
      </c>
    </row>
    <row r="31" spans="2:21" s="122" customFormat="1" ht="15" customHeight="1" x14ac:dyDescent="0.35">
      <c r="B31" s="109" t="s">
        <v>144</v>
      </c>
      <c r="C31" s="123">
        <v>256732.75520753121</v>
      </c>
      <c r="D31" s="123">
        <v>217185.14906077049</v>
      </c>
      <c r="E31" s="123">
        <v>33019.025286664772</v>
      </c>
      <c r="F31" s="123">
        <v>35505.969138984387</v>
      </c>
      <c r="G31" s="123">
        <v>-2486.9438523195772</v>
      </c>
      <c r="H31" s="123">
        <v>42034.549999080293</v>
      </c>
      <c r="I31" s="123">
        <v>67687.470042384768</v>
      </c>
      <c r="J31" s="123">
        <v>6005.3906296352379</v>
      </c>
      <c r="K31" s="123">
        <v>977.10647694637692</v>
      </c>
      <c r="L31" s="123">
        <v>62659.185889695917</v>
      </c>
      <c r="M31" s="123">
        <v>0</v>
      </c>
      <c r="N31" s="123">
        <v>2186.8106419999999</v>
      </c>
      <c r="O31" s="123">
        <v>0</v>
      </c>
      <c r="P31" s="123">
        <v>0</v>
      </c>
      <c r="Q31" s="123">
        <v>0</v>
      </c>
      <c r="R31" s="123">
        <v>106880.54653077621</v>
      </c>
      <c r="S31" s="123">
        <v>-32465.739135335782</v>
      </c>
      <c r="T31" s="129">
        <v>74414.807395440424</v>
      </c>
      <c r="U31" s="264"/>
    </row>
    <row r="32" spans="2:21" s="122" customFormat="1" ht="15" customHeight="1" x14ac:dyDescent="0.35">
      <c r="B32" s="109" t="s">
        <v>146</v>
      </c>
      <c r="C32" s="123">
        <v>631050.77517793467</v>
      </c>
      <c r="D32" s="123">
        <v>783326.61622849642</v>
      </c>
      <c r="E32" s="123">
        <v>0</v>
      </c>
      <c r="F32" s="123">
        <v>0</v>
      </c>
      <c r="G32" s="123">
        <v>24284.519354456679</v>
      </c>
      <c r="H32" s="123">
        <v>-176560.36040501829</v>
      </c>
      <c r="I32" s="123">
        <v>243322.28818560069</v>
      </c>
      <c r="J32" s="123">
        <v>-17099.384824127988</v>
      </c>
      <c r="K32" s="123">
        <v>-246.5412546322942</v>
      </c>
      <c r="L32" s="123">
        <v>260175.1317550964</v>
      </c>
      <c r="M32" s="123">
        <v>0</v>
      </c>
      <c r="N32" s="123">
        <v>0</v>
      </c>
      <c r="O32" s="123">
        <v>-0.55550396379105405</v>
      </c>
      <c r="P32" s="123">
        <v>17511.400337423402</v>
      </c>
      <c r="Q32" s="123">
        <v>0</v>
      </c>
      <c r="R32" s="123">
        <v>66103.926516618492</v>
      </c>
      <c r="S32" s="123">
        <v>19831.1779549856</v>
      </c>
      <c r="T32" s="129">
        <v>46272.7485616329</v>
      </c>
      <c r="U32" s="264"/>
    </row>
    <row r="33" spans="2:21" s="254" customFormat="1" ht="15" customHeight="1" x14ac:dyDescent="0.35">
      <c r="B33" s="255" t="s">
        <v>7</v>
      </c>
      <c r="C33" s="256">
        <f t="shared" ref="C33:T33" si="1">SUM(C30:C32)</f>
        <v>887783.53038546583</v>
      </c>
      <c r="D33" s="256">
        <f t="shared" si="1"/>
        <v>1000511.7652892669</v>
      </c>
      <c r="E33" s="256">
        <f t="shared" si="1"/>
        <v>33019.025286664772</v>
      </c>
      <c r="F33" s="256">
        <f t="shared" si="1"/>
        <v>35505.969138984387</v>
      </c>
      <c r="G33" s="256">
        <f t="shared" si="1"/>
        <v>21797.575502137101</v>
      </c>
      <c r="H33" s="256">
        <f t="shared" si="1"/>
        <v>-134525.81040593801</v>
      </c>
      <c r="I33" s="256">
        <f t="shared" si="1"/>
        <v>311009.75822798547</v>
      </c>
      <c r="J33" s="256">
        <f t="shared" si="1"/>
        <v>-11093.99419449275</v>
      </c>
      <c r="K33" s="256">
        <f t="shared" si="1"/>
        <v>730.56522231408269</v>
      </c>
      <c r="L33" s="256">
        <f t="shared" si="1"/>
        <v>322834.31764479232</v>
      </c>
      <c r="M33" s="256">
        <f t="shared" si="1"/>
        <v>0</v>
      </c>
      <c r="N33" s="256">
        <f t="shared" si="1"/>
        <v>2186.8106419999999</v>
      </c>
      <c r="O33" s="256">
        <f t="shared" si="1"/>
        <v>-0.55550396379105405</v>
      </c>
      <c r="P33" s="256">
        <f t="shared" si="1"/>
        <v>17511.400337423402</v>
      </c>
      <c r="Q33" s="256">
        <f t="shared" si="1"/>
        <v>0</v>
      </c>
      <c r="R33" s="256">
        <f t="shared" si="1"/>
        <v>172984.47304739471</v>
      </c>
      <c r="S33" s="256">
        <f t="shared" si="1"/>
        <v>-12634.561180350182</v>
      </c>
      <c r="T33" s="256">
        <f t="shared" si="1"/>
        <v>120687.55595707332</v>
      </c>
      <c r="U33" s="264"/>
    </row>
    <row r="34" spans="2:21" s="122" customFormat="1" ht="15" customHeight="1" x14ac:dyDescent="0.35">
      <c r="B34" s="117" t="s">
        <v>148</v>
      </c>
      <c r="C34" s="130">
        <f t="shared" ref="C34:T34" si="2">C33+C28</f>
        <v>21773840.195603557</v>
      </c>
      <c r="D34" s="130">
        <f t="shared" si="2"/>
        <v>18528509.847603075</v>
      </c>
      <c r="E34" s="130">
        <f t="shared" si="2"/>
        <v>1171639.4048606828</v>
      </c>
      <c r="F34" s="130">
        <f t="shared" si="2"/>
        <v>6430.7099913625789</v>
      </c>
      <c r="G34" s="130">
        <f t="shared" si="2"/>
        <v>1189493.2142237772</v>
      </c>
      <c r="H34" s="130">
        <f t="shared" si="2"/>
        <v>2055837.1337767104</v>
      </c>
      <c r="I34" s="130">
        <f t="shared" si="2"/>
        <v>40275439.506101362</v>
      </c>
      <c r="J34" s="130">
        <f t="shared" si="2"/>
        <v>35453398.695708461</v>
      </c>
      <c r="K34" s="130">
        <f t="shared" si="2"/>
        <v>125865.50593027692</v>
      </c>
      <c r="L34" s="130">
        <f t="shared" si="2"/>
        <v>4947906.3163231714</v>
      </c>
      <c r="M34" s="130">
        <f t="shared" si="2"/>
        <v>109384.917</v>
      </c>
      <c r="N34" s="130">
        <f t="shared" si="2"/>
        <v>591400.85085914121</v>
      </c>
      <c r="O34" s="130">
        <f t="shared" si="2"/>
        <v>7690.8164960362092</v>
      </c>
      <c r="P34" s="130">
        <f t="shared" si="2"/>
        <v>1428685.3107010573</v>
      </c>
      <c r="Q34" s="130">
        <f t="shared" si="2"/>
        <v>187511.70499999999</v>
      </c>
      <c r="R34" s="130">
        <f t="shared" si="2"/>
        <v>6455664.795761928</v>
      </c>
      <c r="S34" s="130">
        <f t="shared" si="2"/>
        <v>524741.65668175125</v>
      </c>
      <c r="T34" s="130">
        <f t="shared" si="2"/>
        <v>5865991.6608095057</v>
      </c>
    </row>
    <row r="35" spans="2:21" ht="15" customHeight="1" x14ac:dyDescent="0.35">
      <c r="B35" s="325" t="s">
        <v>149</v>
      </c>
      <c r="C35" s="324"/>
      <c r="D35" s="324"/>
      <c r="E35" s="324"/>
      <c r="F35" s="324"/>
      <c r="G35" s="324"/>
      <c r="H35" s="324"/>
      <c r="I35" s="324"/>
      <c r="J35" s="324"/>
      <c r="K35" s="324"/>
      <c r="L35" s="324"/>
      <c r="M35" s="324"/>
      <c r="N35" s="324"/>
      <c r="O35" s="324"/>
      <c r="P35" s="324"/>
      <c r="Q35" s="324"/>
      <c r="R35" s="324"/>
      <c r="S35" s="324"/>
      <c r="T35" s="324"/>
    </row>
    <row r="36" spans="2:21" ht="15" customHeight="1" x14ac:dyDescent="0.35">
      <c r="E36" s="131"/>
      <c r="K36" s="131"/>
    </row>
    <row r="37" spans="2:21" ht="15" customHeight="1" x14ac:dyDescent="0.35">
      <c r="E37" s="131"/>
      <c r="K37" s="131"/>
    </row>
    <row r="38" spans="2:21" ht="15" customHeight="1" x14ac:dyDescent="0.35">
      <c r="K38" s="131"/>
    </row>
    <row r="39" spans="2:21" ht="15" customHeight="1" x14ac:dyDescent="0.35">
      <c r="K39" s="131"/>
    </row>
    <row r="40" spans="2:21" ht="15" customHeight="1" x14ac:dyDescent="0.35">
      <c r="K40" s="131"/>
    </row>
    <row r="41" spans="2:21" ht="15" customHeight="1" x14ac:dyDescent="0.35">
      <c r="K41" s="131"/>
    </row>
    <row r="42" spans="2:21" ht="15" customHeight="1" x14ac:dyDescent="0.35">
      <c r="K42" s="131"/>
    </row>
    <row r="43" spans="2:21" ht="15" customHeight="1" x14ac:dyDescent="0.35">
      <c r="K43" s="131"/>
    </row>
    <row r="44" spans="2:21" ht="15" customHeight="1" x14ac:dyDescent="0.35">
      <c r="K44" s="131"/>
    </row>
    <row r="45" spans="2:21" ht="15" customHeight="1" x14ac:dyDescent="0.35">
      <c r="K45" s="131"/>
    </row>
    <row r="46" spans="2:21" ht="15" customHeight="1" x14ac:dyDescent="0.35">
      <c r="K46" s="131"/>
    </row>
    <row r="47" spans="2:21" ht="15" customHeight="1" x14ac:dyDescent="0.35">
      <c r="K47" s="131"/>
    </row>
    <row r="48" spans="2:21" ht="15" customHeight="1" x14ac:dyDescent="0.35">
      <c r="K48" s="131"/>
    </row>
  </sheetData>
  <sheetProtection algorithmName="SHA-512" hashValue="XbGiUUfmwyzV5cgqNpiIFzM0sbIZYGqixIbDuVE/pTFAAfaBmYFLVKk7T/q1xGnpd1faDZIvrRkuLF4M/xrdEw==" saltValue="BeNKCNUMw/RKWEXE/KFFKg==" spinCount="100000" sheet="1" objects="1" scenarios="1"/>
  <mergeCells count="4">
    <mergeCell ref="B3:T3"/>
    <mergeCell ref="B5:T5"/>
    <mergeCell ref="B35:T35"/>
    <mergeCell ref="B29:T29"/>
  </mergeCells>
  <pageMargins left="0.7" right="0.7" top="0.75" bottom="0.75" header="0.3" footer="0.3"/>
  <pageSetup paperSize="9" scale="31"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tabColor rgb="FF92D050"/>
  </sheetPr>
  <dimension ref="B3:T18"/>
  <sheetViews>
    <sheetView showGridLines="0" zoomScale="91" zoomScaleNormal="70" workbookViewId="0">
      <pane xSplit="2" ySplit="5" topLeftCell="S6" activePane="bottomRight" state="frozen"/>
      <selection activeCell="B49" sqref="B49:Q49"/>
      <selection pane="topRight" activeCell="B49" sqref="B49:Q49"/>
      <selection pane="bottomLeft" activeCell="B49" sqref="B49:Q49"/>
      <selection pane="bottomRight" activeCell="E11" sqref="B3:T13"/>
    </sheetView>
  </sheetViews>
  <sheetFormatPr defaultRowHeight="15" customHeight="1" x14ac:dyDescent="0.35"/>
  <cols>
    <col min="1" max="1" width="8.7265625" style="132" customWidth="1"/>
    <col min="2" max="2" width="46.26953125" style="132" bestFit="1" customWidth="1"/>
    <col min="3" max="20" width="20.36328125" style="132" customWidth="1"/>
    <col min="21" max="60" width="8.7265625" style="132" customWidth="1"/>
    <col min="61" max="16384" width="8.7265625" style="132"/>
  </cols>
  <sheetData>
    <row r="3" spans="2:20" s="276" customFormat="1" ht="22" x14ac:dyDescent="0.5">
      <c r="B3" s="322" t="str">
        <f>_xlfn.CONCAT('Table of Contents'!B10,": ",'Table of Contents'!C10)</f>
        <v>APPENDIX 3: SUMMARY OF MICRO INSURANCE BUSINESS PROFIT &amp; LOSS ACCOUNTS  FOR THE PERIOD ENDED 31.03.2026</v>
      </c>
      <c r="C3" s="298"/>
      <c r="D3" s="298"/>
      <c r="E3" s="298"/>
      <c r="F3" s="298"/>
      <c r="G3" s="298"/>
      <c r="H3" s="298"/>
      <c r="I3" s="298"/>
      <c r="J3" s="298"/>
      <c r="K3" s="298"/>
      <c r="L3" s="298"/>
      <c r="M3" s="298"/>
      <c r="N3" s="298"/>
      <c r="O3" s="298"/>
      <c r="P3" s="298"/>
      <c r="Q3" s="298"/>
      <c r="R3" s="298"/>
      <c r="S3" s="298"/>
      <c r="T3" s="299"/>
    </row>
    <row r="4" spans="2:20" ht="108.5" x14ac:dyDescent="0.35">
      <c r="B4" s="106" t="s">
        <v>87</v>
      </c>
      <c r="C4" s="107" t="s">
        <v>88</v>
      </c>
      <c r="D4" s="107" t="s">
        <v>89</v>
      </c>
      <c r="E4" s="108" t="s">
        <v>95</v>
      </c>
      <c r="F4" s="108" t="s">
        <v>96</v>
      </c>
      <c r="G4" s="107" t="s">
        <v>92</v>
      </c>
      <c r="H4" s="107" t="s">
        <v>93</v>
      </c>
      <c r="I4" s="108" t="s">
        <v>94</v>
      </c>
      <c r="J4" s="108" t="s">
        <v>95</v>
      </c>
      <c r="K4" s="108" t="s">
        <v>96</v>
      </c>
      <c r="L4" s="108" t="s">
        <v>97</v>
      </c>
      <c r="M4" s="74" t="s">
        <v>98</v>
      </c>
      <c r="N4" s="74" t="s">
        <v>99</v>
      </c>
      <c r="O4" s="74" t="s">
        <v>100</v>
      </c>
      <c r="P4" s="74" t="s">
        <v>101</v>
      </c>
      <c r="Q4" s="74" t="s">
        <v>102</v>
      </c>
      <c r="R4" s="74" t="s">
        <v>103</v>
      </c>
      <c r="S4" s="74" t="s">
        <v>104</v>
      </c>
      <c r="T4" s="74" t="s">
        <v>105</v>
      </c>
    </row>
    <row r="5" spans="2:20" ht="15" customHeight="1" x14ac:dyDescent="0.35">
      <c r="B5" s="321" t="s">
        <v>106</v>
      </c>
      <c r="C5" s="301"/>
      <c r="D5" s="301"/>
      <c r="E5" s="301"/>
      <c r="F5" s="301"/>
      <c r="G5" s="301"/>
      <c r="H5" s="301"/>
      <c r="I5" s="301"/>
      <c r="J5" s="301"/>
      <c r="K5" s="301"/>
      <c r="L5" s="301"/>
      <c r="M5" s="301"/>
      <c r="N5" s="301"/>
      <c r="O5" s="301"/>
      <c r="P5" s="301"/>
      <c r="Q5" s="301"/>
      <c r="R5" s="301"/>
      <c r="S5" s="301"/>
      <c r="T5" s="302"/>
    </row>
    <row r="6" spans="2:20" ht="15" customHeight="1" x14ac:dyDescent="0.35">
      <c r="B6" s="109" t="s">
        <v>1</v>
      </c>
      <c r="C6" s="110">
        <v>0</v>
      </c>
      <c r="D6" s="110">
        <v>0</v>
      </c>
      <c r="E6" s="110">
        <v>0</v>
      </c>
      <c r="F6" s="110">
        <v>0</v>
      </c>
      <c r="G6" s="110">
        <v>0</v>
      </c>
      <c r="H6" s="110">
        <v>0</v>
      </c>
      <c r="I6" s="110">
        <v>2181.5239999999999</v>
      </c>
      <c r="J6" s="110">
        <v>0</v>
      </c>
      <c r="K6" s="110">
        <v>0</v>
      </c>
      <c r="L6" s="110">
        <v>2181.5239999999999</v>
      </c>
      <c r="M6" s="111">
        <v>0</v>
      </c>
      <c r="N6" s="111">
        <v>0</v>
      </c>
      <c r="O6" s="111">
        <v>0</v>
      </c>
      <c r="P6" s="111">
        <v>0</v>
      </c>
      <c r="Q6" s="111">
        <v>0</v>
      </c>
      <c r="R6" s="111">
        <v>2181.5239999999999</v>
      </c>
      <c r="S6" s="111">
        <v>0</v>
      </c>
      <c r="T6" s="112">
        <v>2181.5239999999999</v>
      </c>
    </row>
    <row r="7" spans="2:20" ht="15" customHeight="1" x14ac:dyDescent="0.35">
      <c r="B7" s="109" t="s">
        <v>2</v>
      </c>
      <c r="C7" s="110">
        <v>0</v>
      </c>
      <c r="D7" s="110">
        <v>0</v>
      </c>
      <c r="E7" s="110">
        <v>0</v>
      </c>
      <c r="F7" s="110">
        <v>0</v>
      </c>
      <c r="G7" s="110">
        <v>0</v>
      </c>
      <c r="H7" s="110">
        <v>0</v>
      </c>
      <c r="I7" s="110">
        <v>0</v>
      </c>
      <c r="J7" s="110">
        <v>0</v>
      </c>
      <c r="K7" s="110">
        <v>0</v>
      </c>
      <c r="L7" s="110">
        <v>0</v>
      </c>
      <c r="M7" s="111">
        <v>0</v>
      </c>
      <c r="N7" s="111">
        <v>0</v>
      </c>
      <c r="O7" s="111">
        <v>0</v>
      </c>
      <c r="P7" s="111">
        <v>0</v>
      </c>
      <c r="Q7" s="111">
        <v>0</v>
      </c>
      <c r="R7" s="111">
        <v>0</v>
      </c>
      <c r="S7" s="111">
        <v>0</v>
      </c>
      <c r="T7" s="112">
        <v>0</v>
      </c>
    </row>
    <row r="8" spans="2:20" ht="15" customHeight="1" x14ac:dyDescent="0.35">
      <c r="B8" s="109" t="s">
        <v>3</v>
      </c>
      <c r="C8" s="110">
        <v>367803.29697149398</v>
      </c>
      <c r="D8" s="110">
        <v>341934.25779172278</v>
      </c>
      <c r="E8" s="110">
        <v>26271.107165249679</v>
      </c>
      <c r="F8" s="110">
        <v>12466.498390211689</v>
      </c>
      <c r="G8" s="110">
        <v>13804.60877503799</v>
      </c>
      <c r="H8" s="110">
        <v>12064.430404733201</v>
      </c>
      <c r="I8" s="110">
        <v>29295.681619999999</v>
      </c>
      <c r="J8" s="110">
        <v>11603.81203717993</v>
      </c>
      <c r="K8" s="110">
        <v>-259.75681487980961</v>
      </c>
      <c r="L8" s="110">
        <v>17432.11276794026</v>
      </c>
      <c r="M8" s="111">
        <v>0</v>
      </c>
      <c r="N8" s="111">
        <v>1882.02199</v>
      </c>
      <c r="O8" s="111">
        <v>1244.4324200000001</v>
      </c>
      <c r="P8" s="111">
        <v>14535.733399999999</v>
      </c>
      <c r="Q8" s="111">
        <v>0</v>
      </c>
      <c r="R8" s="111">
        <v>15598.399342673451</v>
      </c>
      <c r="S8" s="111">
        <v>0</v>
      </c>
      <c r="T8" s="112">
        <v>15598.399342673451</v>
      </c>
    </row>
    <row r="9" spans="2:20" ht="15" customHeight="1" x14ac:dyDescent="0.35">
      <c r="B9" s="109" t="s">
        <v>4</v>
      </c>
      <c r="C9" s="110">
        <v>5704.933073090001</v>
      </c>
      <c r="D9" s="110">
        <v>16557.839268792479</v>
      </c>
      <c r="E9" s="110">
        <v>0</v>
      </c>
      <c r="F9" s="110">
        <v>0</v>
      </c>
      <c r="G9" s="110">
        <v>0</v>
      </c>
      <c r="H9" s="110">
        <v>-10852.906195702481</v>
      </c>
      <c r="I9" s="110">
        <v>935.08493000000044</v>
      </c>
      <c r="J9" s="110">
        <v>0</v>
      </c>
      <c r="K9" s="110">
        <v>0</v>
      </c>
      <c r="L9" s="110">
        <v>935.08493000000044</v>
      </c>
      <c r="M9" s="111">
        <v>0</v>
      </c>
      <c r="N9" s="111">
        <v>0</v>
      </c>
      <c r="O9" s="111">
        <v>0</v>
      </c>
      <c r="P9" s="111">
        <v>5773.6347199999973</v>
      </c>
      <c r="Q9" s="111">
        <v>0</v>
      </c>
      <c r="R9" s="111">
        <v>-15691.45598570248</v>
      </c>
      <c r="S9" s="111">
        <v>0</v>
      </c>
      <c r="T9" s="112">
        <v>-15691.45598570248</v>
      </c>
    </row>
    <row r="10" spans="2:20" ht="15" customHeight="1" x14ac:dyDescent="0.35">
      <c r="B10" s="109" t="s">
        <v>5</v>
      </c>
      <c r="C10" s="110">
        <v>0</v>
      </c>
      <c r="D10" s="110">
        <v>0</v>
      </c>
      <c r="E10" s="110">
        <v>0</v>
      </c>
      <c r="F10" s="110">
        <v>0</v>
      </c>
      <c r="G10" s="110">
        <v>0</v>
      </c>
      <c r="H10" s="110">
        <v>0</v>
      </c>
      <c r="I10" s="110">
        <v>0</v>
      </c>
      <c r="J10" s="110">
        <v>0</v>
      </c>
      <c r="K10" s="110">
        <v>0</v>
      </c>
      <c r="L10" s="110">
        <v>0</v>
      </c>
      <c r="M10" s="111">
        <v>0</v>
      </c>
      <c r="N10" s="111">
        <v>0</v>
      </c>
      <c r="O10" s="111">
        <v>0</v>
      </c>
      <c r="P10" s="111">
        <v>0</v>
      </c>
      <c r="Q10" s="111">
        <v>0</v>
      </c>
      <c r="R10" s="111">
        <v>0</v>
      </c>
      <c r="S10" s="111">
        <v>0</v>
      </c>
      <c r="T10" s="112">
        <v>0</v>
      </c>
    </row>
    <row r="11" spans="2:20" ht="15" customHeight="1" x14ac:dyDescent="0.35">
      <c r="B11" s="109" t="s">
        <v>6</v>
      </c>
      <c r="C11" s="110">
        <v>132624.78099999999</v>
      </c>
      <c r="D11" s="110">
        <v>74251.727379999997</v>
      </c>
      <c r="E11" s="110">
        <v>0</v>
      </c>
      <c r="F11" s="110">
        <v>0</v>
      </c>
      <c r="G11" s="110">
        <v>0</v>
      </c>
      <c r="H11" s="110">
        <v>58373.053619999991</v>
      </c>
      <c r="I11" s="110">
        <v>3207.86301</v>
      </c>
      <c r="J11" s="110">
        <v>0</v>
      </c>
      <c r="K11" s="110">
        <v>0</v>
      </c>
      <c r="L11" s="110">
        <v>3207.86301</v>
      </c>
      <c r="M11" s="111">
        <v>0</v>
      </c>
      <c r="N11" s="111">
        <v>0</v>
      </c>
      <c r="O11" s="111">
        <v>0</v>
      </c>
      <c r="P11" s="111">
        <v>15197.95599982854</v>
      </c>
      <c r="Q11" s="111">
        <v>0</v>
      </c>
      <c r="R11" s="111">
        <v>46382.960630171459</v>
      </c>
      <c r="S11" s="111">
        <v>13644.849279962869</v>
      </c>
      <c r="T11" s="112">
        <v>32738.11135020859</v>
      </c>
    </row>
    <row r="12" spans="2:20" ht="15" customHeight="1" x14ac:dyDescent="0.35">
      <c r="B12" s="117" t="s">
        <v>7</v>
      </c>
      <c r="C12" s="118">
        <f t="shared" ref="C12:T12" si="0">SUM(C6:C11)</f>
        <v>506133.01104458398</v>
      </c>
      <c r="D12" s="118">
        <f t="shared" si="0"/>
        <v>432743.82444051525</v>
      </c>
      <c r="E12" s="118">
        <f t="shared" si="0"/>
        <v>26271.107165249679</v>
      </c>
      <c r="F12" s="118">
        <f t="shared" si="0"/>
        <v>12466.498390211689</v>
      </c>
      <c r="G12" s="118">
        <f t="shared" si="0"/>
        <v>13804.60877503799</v>
      </c>
      <c r="H12" s="118">
        <f t="shared" si="0"/>
        <v>59584.577829030713</v>
      </c>
      <c r="I12" s="118">
        <f t="shared" si="0"/>
        <v>35620.153559999999</v>
      </c>
      <c r="J12" s="118">
        <f t="shared" si="0"/>
        <v>11603.81203717993</v>
      </c>
      <c r="K12" s="118">
        <f t="shared" si="0"/>
        <v>-259.75681487980961</v>
      </c>
      <c r="L12" s="118">
        <f t="shared" si="0"/>
        <v>23756.584707940263</v>
      </c>
      <c r="M12" s="118">
        <f t="shared" si="0"/>
        <v>0</v>
      </c>
      <c r="N12" s="118">
        <f t="shared" si="0"/>
        <v>1882.02199</v>
      </c>
      <c r="O12" s="118">
        <f t="shared" si="0"/>
        <v>1244.4324200000001</v>
      </c>
      <c r="P12" s="118">
        <f t="shared" si="0"/>
        <v>35507.32411982854</v>
      </c>
      <c r="Q12" s="118">
        <f t="shared" si="0"/>
        <v>0</v>
      </c>
      <c r="R12" s="118">
        <f t="shared" si="0"/>
        <v>48471.42798714243</v>
      </c>
      <c r="S12" s="118">
        <f t="shared" si="0"/>
        <v>13644.849279962869</v>
      </c>
      <c r="T12" s="118">
        <f t="shared" si="0"/>
        <v>34826.578707179564</v>
      </c>
    </row>
    <row r="13" spans="2:20" ht="15" customHeight="1" x14ac:dyDescent="0.35">
      <c r="B13" s="326" t="s">
        <v>149</v>
      </c>
      <c r="C13" s="327"/>
      <c r="D13" s="327"/>
      <c r="E13" s="327"/>
      <c r="F13" s="327"/>
      <c r="G13" s="327"/>
      <c r="H13" s="327"/>
      <c r="I13" s="327"/>
      <c r="J13" s="327"/>
      <c r="K13" s="327"/>
      <c r="L13" s="327"/>
      <c r="M13" s="327"/>
      <c r="N13" s="327"/>
      <c r="O13" s="327"/>
      <c r="P13" s="327"/>
      <c r="Q13" s="327"/>
      <c r="R13" s="327"/>
      <c r="S13" s="327"/>
      <c r="T13" s="327"/>
    </row>
    <row r="14" spans="2:20" ht="15" customHeight="1" x14ac:dyDescent="0.35">
      <c r="E14" s="261"/>
      <c r="G14" s="261"/>
      <c r="H14" s="261"/>
    </row>
    <row r="15" spans="2:20" ht="15" customHeight="1" x14ac:dyDescent="0.35">
      <c r="G15" s="261"/>
      <c r="H15" s="261"/>
    </row>
    <row r="16" spans="2:20" ht="15" customHeight="1" x14ac:dyDescent="0.35">
      <c r="H16" s="261"/>
    </row>
    <row r="17" spans="8:9" ht="15" customHeight="1" x14ac:dyDescent="0.35">
      <c r="H17" s="261"/>
    </row>
    <row r="18" spans="8:9" ht="15" customHeight="1" x14ac:dyDescent="0.35">
      <c r="H18" s="261"/>
      <c r="I18" s="261"/>
    </row>
  </sheetData>
  <sheetProtection algorithmName="SHA-512" hashValue="ODpxUV6V+OyeMNEU7AqXMPOHozUFBNYmPh4gMrNAP6KUlvj+WkwtdYXmzu457ohwQLD1YwmavogtI0wurkKA8A==" saltValue="ap4epFMKX8UuFDr1uVp2rg==" spinCount="100000" sheet="1" objects="1" scenarios="1"/>
  <mergeCells count="3">
    <mergeCell ref="B13:T13"/>
    <mergeCell ref="B3:T3"/>
    <mergeCell ref="B5:T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tabColor rgb="FF92D050"/>
    <pageSetUpPr fitToPage="1"/>
  </sheetPr>
  <dimension ref="B3:O48"/>
  <sheetViews>
    <sheetView showGridLines="0" zoomScale="70" zoomScaleNormal="70" workbookViewId="0">
      <pane xSplit="2" ySplit="5" topLeftCell="C36" activePane="bottomRight" state="frozen"/>
      <selection activeCell="A4" sqref="A4:XFD4"/>
      <selection pane="topRight" activeCell="A4" sqref="A4:XFD4"/>
      <selection pane="bottomLeft" activeCell="A4" sqref="A4:XFD4"/>
      <selection pane="bottomRight" activeCell="B4" sqref="B4:K46"/>
    </sheetView>
  </sheetViews>
  <sheetFormatPr defaultColWidth="21.36328125" defaultRowHeight="15" customHeight="1" x14ac:dyDescent="0.35"/>
  <cols>
    <col min="1" max="1" width="21.36328125" style="76" customWidth="1"/>
    <col min="2" max="2" width="33.08984375" style="76" bestFit="1" customWidth="1"/>
    <col min="3" max="4" width="19.90625" style="76" customWidth="1"/>
    <col min="5" max="5" width="20.6328125" style="76" bestFit="1" customWidth="1"/>
    <col min="6" max="8" width="19.90625" style="76" customWidth="1"/>
    <col min="9" max="9" width="19.90625" style="76" hidden="1" customWidth="1"/>
    <col min="10" max="11" width="19.90625" style="76" customWidth="1"/>
    <col min="12" max="14" width="21.36328125" style="132" customWidth="1"/>
    <col min="15" max="54" width="21.36328125" style="76" customWidth="1"/>
    <col min="55" max="16384" width="21.36328125" style="76"/>
  </cols>
  <sheetData>
    <row r="3" spans="2:15" s="275" customFormat="1" ht="22" x14ac:dyDescent="0.5">
      <c r="L3" s="276"/>
      <c r="M3" s="276"/>
      <c r="N3" s="276"/>
    </row>
    <row r="4" spans="2:15" s="275" customFormat="1" ht="22" x14ac:dyDescent="0.5">
      <c r="B4" s="328" t="str">
        <f>_xlfn.CONCAT('Table of Contents'!B11,": ",'Table of Contents'!C11)</f>
        <v>APPENDIX 4 i: SUMMARY OF LONG TERM INSURANCE BUSINESS BALANCE SHEETS AS AT 31.03.2026</v>
      </c>
      <c r="C4" s="298"/>
      <c r="D4" s="298"/>
      <c r="E4" s="298"/>
      <c r="F4" s="298"/>
      <c r="G4" s="298"/>
      <c r="H4" s="298"/>
      <c r="I4" s="298"/>
      <c r="J4" s="298"/>
      <c r="K4" s="299"/>
      <c r="L4" s="276"/>
      <c r="M4" s="276"/>
      <c r="N4" s="276"/>
    </row>
    <row r="5" spans="2:15" ht="46.5" x14ac:dyDescent="0.35">
      <c r="B5" s="215" t="s">
        <v>87</v>
      </c>
      <c r="C5" s="216" t="s">
        <v>150</v>
      </c>
      <c r="D5" s="216" t="s">
        <v>151</v>
      </c>
      <c r="E5" s="216" t="s">
        <v>152</v>
      </c>
      <c r="F5" s="216" t="s">
        <v>153</v>
      </c>
      <c r="G5" s="216" t="s">
        <v>154</v>
      </c>
      <c r="H5" s="216" t="s">
        <v>155</v>
      </c>
      <c r="I5" s="216" t="s">
        <v>143</v>
      </c>
      <c r="J5" s="216" t="s">
        <v>144</v>
      </c>
      <c r="K5" s="216" t="s">
        <v>156</v>
      </c>
      <c r="O5" s="216"/>
    </row>
    <row r="6" spans="2:15" ht="15" customHeight="1" x14ac:dyDescent="0.35">
      <c r="B6" s="217" t="s">
        <v>8</v>
      </c>
      <c r="C6" s="218">
        <v>699000</v>
      </c>
      <c r="D6" s="218">
        <v>1100000</v>
      </c>
      <c r="E6" s="218">
        <v>1200000</v>
      </c>
      <c r="F6" s="218">
        <v>416725.76799999998</v>
      </c>
      <c r="G6" s="218">
        <v>400000</v>
      </c>
      <c r="H6" s="218">
        <v>800000</v>
      </c>
      <c r="I6" s="218">
        <v>0</v>
      </c>
      <c r="J6" s="218">
        <v>500000</v>
      </c>
      <c r="K6" s="218">
        <v>420000</v>
      </c>
    </row>
    <row r="7" spans="2:15" ht="15" customHeight="1" x14ac:dyDescent="0.35">
      <c r="B7" s="217" t="s">
        <v>9</v>
      </c>
      <c r="C7" s="218">
        <v>0</v>
      </c>
      <c r="D7" s="218">
        <v>0</v>
      </c>
      <c r="E7" s="218">
        <v>0</v>
      </c>
      <c r="F7" s="218">
        <v>491067.64799999999</v>
      </c>
      <c r="G7" s="218">
        <v>0</v>
      </c>
      <c r="H7" s="218">
        <v>0</v>
      </c>
      <c r="I7" s="218">
        <v>0</v>
      </c>
      <c r="J7" s="218">
        <v>0</v>
      </c>
      <c r="K7" s="218">
        <v>180000</v>
      </c>
    </row>
    <row r="8" spans="2:15" ht="15" customHeight="1" x14ac:dyDescent="0.35">
      <c r="B8" s="217" t="s">
        <v>10</v>
      </c>
      <c r="C8" s="218">
        <v>0</v>
      </c>
      <c r="D8" s="218">
        <v>0</v>
      </c>
      <c r="E8" s="218">
        <v>0</v>
      </c>
      <c r="F8" s="218">
        <v>2500</v>
      </c>
      <c r="G8" s="218">
        <v>2072.9090000000001</v>
      </c>
      <c r="H8" s="218">
        <v>0</v>
      </c>
      <c r="I8" s="218">
        <v>0</v>
      </c>
      <c r="J8" s="218">
        <v>0</v>
      </c>
      <c r="K8" s="218">
        <v>0</v>
      </c>
    </row>
    <row r="9" spans="2:15" ht="15" customHeight="1" x14ac:dyDescent="0.35">
      <c r="B9" s="217" t="s">
        <v>171</v>
      </c>
      <c r="C9" s="218">
        <v>1011470.821</v>
      </c>
      <c r="D9" s="218">
        <v>127630.99</v>
      </c>
      <c r="E9" s="218">
        <v>18590906.296796679</v>
      </c>
      <c r="F9" s="218">
        <v>0</v>
      </c>
      <c r="G9" s="218">
        <v>0</v>
      </c>
      <c r="H9" s="218">
        <v>2255766.1838638769</v>
      </c>
      <c r="I9" s="218">
        <v>0</v>
      </c>
      <c r="J9" s="218">
        <v>0</v>
      </c>
      <c r="K9" s="218">
        <v>0</v>
      </c>
    </row>
    <row r="10" spans="2:15" ht="15" customHeight="1" x14ac:dyDescent="0.35">
      <c r="B10" s="217" t="s">
        <v>11</v>
      </c>
      <c r="C10" s="218">
        <v>1000000</v>
      </c>
      <c r="D10" s="218">
        <v>0</v>
      </c>
      <c r="E10" s="218">
        <v>0</v>
      </c>
      <c r="F10" s="218">
        <v>405066.12959000003</v>
      </c>
      <c r="G10" s="218">
        <v>0</v>
      </c>
      <c r="H10" s="218">
        <v>911550.06113000016</v>
      </c>
      <c r="I10" s="218">
        <v>0</v>
      </c>
      <c r="J10" s="218">
        <v>0</v>
      </c>
      <c r="K10" s="218">
        <v>0</v>
      </c>
    </row>
    <row r="11" spans="2:15" ht="15" customHeight="1" x14ac:dyDescent="0.35">
      <c r="B11" s="217" t="s">
        <v>12</v>
      </c>
      <c r="C11" s="218">
        <v>-940992.73978721909</v>
      </c>
      <c r="D11" s="218">
        <v>714860.80666238687</v>
      </c>
      <c r="E11" s="218">
        <v>74999.999899999617</v>
      </c>
      <c r="F11" s="218">
        <v>-1281726.8177430551</v>
      </c>
      <c r="G11" s="218">
        <v>309039.35692636709</v>
      </c>
      <c r="H11" s="218">
        <v>123751.8816535887</v>
      </c>
      <c r="I11" s="218">
        <v>0</v>
      </c>
      <c r="J11" s="218">
        <v>1401742.896418859</v>
      </c>
      <c r="K11" s="218">
        <v>3835946.444131155</v>
      </c>
    </row>
    <row r="12" spans="2:15" ht="15" customHeight="1" x14ac:dyDescent="0.35">
      <c r="B12" s="217" t="s">
        <v>13</v>
      </c>
      <c r="C12" s="218">
        <v>0</v>
      </c>
      <c r="D12" s="218">
        <v>76549.767480788621</v>
      </c>
      <c r="E12" s="218">
        <v>1.192092895507813E-10</v>
      </c>
      <c r="F12" s="218">
        <v>518154.63468000002</v>
      </c>
      <c r="G12" s="218">
        <v>1120.164</v>
      </c>
      <c r="H12" s="218">
        <v>0</v>
      </c>
      <c r="I12" s="218">
        <v>0</v>
      </c>
      <c r="J12" s="218">
        <v>0</v>
      </c>
      <c r="K12" s="218">
        <v>2244635.8627930139</v>
      </c>
    </row>
    <row r="13" spans="2:15" ht="15" customHeight="1" thickBot="1" x14ac:dyDescent="0.4">
      <c r="B13" s="219" t="s">
        <v>14</v>
      </c>
      <c r="C13" s="220">
        <v>1769478.0812127809</v>
      </c>
      <c r="D13" s="220">
        <v>2019041.564143175</v>
      </c>
      <c r="E13" s="220">
        <v>19865906.296696682</v>
      </c>
      <c r="F13" s="220">
        <v>551787.36252694507</v>
      </c>
      <c r="G13" s="220">
        <v>712232.42992636701</v>
      </c>
      <c r="H13" s="220">
        <v>4091068.1266474659</v>
      </c>
      <c r="I13" s="220">
        <v>0</v>
      </c>
      <c r="J13" s="220">
        <v>1901742.896418859</v>
      </c>
      <c r="K13" s="220">
        <v>6680582.3069241699</v>
      </c>
    </row>
    <row r="14" spans="2:15" ht="15" customHeight="1" thickTop="1" x14ac:dyDescent="0.35">
      <c r="B14" s="221" t="s">
        <v>172</v>
      </c>
      <c r="C14" s="218">
        <v>0</v>
      </c>
      <c r="D14" s="218">
        <v>292125.61200000002</v>
      </c>
      <c r="E14" s="218">
        <v>0</v>
      </c>
      <c r="F14" s="218">
        <v>0</v>
      </c>
      <c r="G14" s="218">
        <v>68155.134999999995</v>
      </c>
      <c r="H14" s="218">
        <v>95079.347929999974</v>
      </c>
      <c r="I14" s="218">
        <v>0</v>
      </c>
      <c r="J14" s="218">
        <v>0</v>
      </c>
      <c r="K14" s="218">
        <v>0</v>
      </c>
    </row>
    <row r="15" spans="2:15" ht="15" customHeight="1" x14ac:dyDescent="0.35">
      <c r="B15" s="222" t="s">
        <v>15</v>
      </c>
      <c r="C15" s="218">
        <v>21599496.841453791</v>
      </c>
      <c r="D15" s="218">
        <v>31326466.950290158</v>
      </c>
      <c r="E15" s="218">
        <v>191108724.31578001</v>
      </c>
      <c r="F15" s="218">
        <v>847020.04871596838</v>
      </c>
      <c r="G15" s="218">
        <v>1409826.3558199999</v>
      </c>
      <c r="H15" s="218">
        <v>41099195.150260277</v>
      </c>
      <c r="I15" s="218">
        <v>0</v>
      </c>
      <c r="J15" s="218">
        <v>847712.03515234042</v>
      </c>
      <c r="K15" s="218">
        <v>26601226.051545449</v>
      </c>
    </row>
    <row r="16" spans="2:15" ht="15" customHeight="1" x14ac:dyDescent="0.35">
      <c r="B16" s="222" t="s">
        <v>16</v>
      </c>
      <c r="C16" s="218">
        <v>0</v>
      </c>
      <c r="D16" s="218">
        <v>17405.565460000002</v>
      </c>
      <c r="E16" s="218">
        <v>1665.75</v>
      </c>
      <c r="F16" s="218">
        <v>0</v>
      </c>
      <c r="G16" s="218">
        <v>26175.576000000001</v>
      </c>
      <c r="H16" s="218">
        <v>0</v>
      </c>
      <c r="I16" s="218">
        <v>0</v>
      </c>
      <c r="J16" s="218">
        <v>80953.519739999989</v>
      </c>
      <c r="K16" s="218">
        <v>0</v>
      </c>
    </row>
    <row r="17" spans="2:11" ht="15" customHeight="1" x14ac:dyDescent="0.35">
      <c r="B17" s="222" t="s">
        <v>17</v>
      </c>
      <c r="C17" s="218">
        <v>0</v>
      </c>
      <c r="D17" s="218">
        <v>0</v>
      </c>
      <c r="E17" s="218">
        <v>0</v>
      </c>
      <c r="F17" s="218">
        <v>0</v>
      </c>
      <c r="G17" s="218">
        <v>0</v>
      </c>
      <c r="H17" s="218">
        <v>0</v>
      </c>
      <c r="I17" s="218">
        <v>0</v>
      </c>
      <c r="J17" s="218">
        <v>0</v>
      </c>
      <c r="K17" s="218">
        <v>0</v>
      </c>
    </row>
    <row r="18" spans="2:11" ht="15" customHeight="1" x14ac:dyDescent="0.35">
      <c r="B18" s="222" t="s">
        <v>18</v>
      </c>
      <c r="C18" s="218">
        <v>0</v>
      </c>
      <c r="D18" s="218">
        <v>172417.71912656879</v>
      </c>
      <c r="E18" s="218">
        <v>7967531.3781252801</v>
      </c>
      <c r="F18" s="218">
        <v>0</v>
      </c>
      <c r="G18" s="218">
        <v>0</v>
      </c>
      <c r="H18" s="218">
        <v>1000657.486639528</v>
      </c>
      <c r="I18" s="218">
        <v>0</v>
      </c>
      <c r="J18" s="218">
        <v>600746.87026</v>
      </c>
      <c r="K18" s="218">
        <v>1496260.412</v>
      </c>
    </row>
    <row r="19" spans="2:11" ht="15" customHeight="1" x14ac:dyDescent="0.35">
      <c r="B19" s="222" t="s">
        <v>19</v>
      </c>
      <c r="C19" s="218">
        <v>720454.3939849661</v>
      </c>
      <c r="D19" s="218">
        <v>0</v>
      </c>
      <c r="E19" s="218">
        <v>649319.44324682606</v>
      </c>
      <c r="F19" s="218">
        <v>170115.345</v>
      </c>
      <c r="G19" s="218">
        <v>37355.794000000002</v>
      </c>
      <c r="H19" s="218">
        <v>1618439.825285682</v>
      </c>
      <c r="I19" s="218">
        <v>0</v>
      </c>
      <c r="J19" s="218">
        <v>21077.694390000001</v>
      </c>
      <c r="K19" s="218">
        <v>144938.46128847791</v>
      </c>
    </row>
    <row r="20" spans="2:11" ht="15" customHeight="1" x14ac:dyDescent="0.35">
      <c r="B20" s="222" t="s">
        <v>20</v>
      </c>
      <c r="C20" s="218">
        <v>692756.28924168425</v>
      </c>
      <c r="D20" s="218">
        <v>630140.20701054949</v>
      </c>
      <c r="E20" s="218">
        <v>1151426.2703599799</v>
      </c>
      <c r="F20" s="218">
        <v>239544.49314999979</v>
      </c>
      <c r="G20" s="218">
        <v>68961.623000000007</v>
      </c>
      <c r="H20" s="218">
        <v>69617.111959991104</v>
      </c>
      <c r="I20" s="218">
        <v>0</v>
      </c>
      <c r="J20" s="218">
        <v>1.192092895507813E-10</v>
      </c>
      <c r="K20" s="218">
        <v>1617710.169203904</v>
      </c>
    </row>
    <row r="21" spans="2:11" ht="15" customHeight="1" thickBot="1" x14ac:dyDescent="0.4">
      <c r="B21" s="223" t="s">
        <v>21</v>
      </c>
      <c r="C21" s="224">
        <v>24782185.605893221</v>
      </c>
      <c r="D21" s="224">
        <v>34457597.618030459</v>
      </c>
      <c r="E21" s="224">
        <v>220744573.45420879</v>
      </c>
      <c r="F21" s="224">
        <v>1808467.249392913</v>
      </c>
      <c r="G21" s="224">
        <v>2322706.9137463658</v>
      </c>
      <c r="H21" s="224">
        <v>47974057.048722953</v>
      </c>
      <c r="I21" s="224">
        <v>0</v>
      </c>
      <c r="J21" s="224">
        <v>3452233.0159612</v>
      </c>
      <c r="K21" s="224">
        <v>36540717.400962003</v>
      </c>
    </row>
    <row r="22" spans="2:11" ht="15" customHeight="1" thickTop="1" x14ac:dyDescent="0.35">
      <c r="B22" s="225" t="s">
        <v>22</v>
      </c>
      <c r="C22" s="218">
        <v>19301.79391</v>
      </c>
      <c r="D22" s="218">
        <v>9542.1261400000003</v>
      </c>
      <c r="E22" s="218">
        <v>211364.57704000021</v>
      </c>
      <c r="F22" s="218">
        <v>921.58341999998686</v>
      </c>
      <c r="G22" s="218">
        <v>11675.448</v>
      </c>
      <c r="H22" s="218">
        <v>84289.541870000001</v>
      </c>
      <c r="I22" s="218">
        <v>0</v>
      </c>
      <c r="J22" s="218">
        <v>0.1</v>
      </c>
      <c r="K22" s="218">
        <v>393129.22643540672</v>
      </c>
    </row>
    <row r="23" spans="2:11" ht="15" customHeight="1" x14ac:dyDescent="0.35">
      <c r="B23" s="222" t="s">
        <v>23</v>
      </c>
      <c r="C23" s="218">
        <v>0</v>
      </c>
      <c r="D23" s="218">
        <v>0</v>
      </c>
      <c r="E23" s="218">
        <v>362235.70183999999</v>
      </c>
      <c r="F23" s="218">
        <v>92500</v>
      </c>
      <c r="G23" s="218">
        <v>0</v>
      </c>
      <c r="H23" s="218">
        <v>0</v>
      </c>
      <c r="I23" s="218">
        <v>0</v>
      </c>
      <c r="J23" s="218">
        <v>0</v>
      </c>
      <c r="K23" s="218">
        <v>0</v>
      </c>
    </row>
    <row r="24" spans="2:11" ht="15" customHeight="1" x14ac:dyDescent="0.35">
      <c r="B24" s="222" t="s">
        <v>24</v>
      </c>
      <c r="C24" s="218">
        <v>0</v>
      </c>
      <c r="D24" s="218">
        <v>160000</v>
      </c>
      <c r="E24" s="218">
        <v>16839479.715303611</v>
      </c>
      <c r="F24" s="218">
        <v>994050</v>
      </c>
      <c r="G24" s="218">
        <v>540000</v>
      </c>
      <c r="H24" s="218">
        <v>2181875.00025</v>
      </c>
      <c r="I24" s="218">
        <v>0</v>
      </c>
      <c r="J24" s="218">
        <v>0</v>
      </c>
      <c r="K24" s="218">
        <v>0</v>
      </c>
    </row>
    <row r="25" spans="2:11" ht="15" customHeight="1" x14ac:dyDescent="0.35">
      <c r="B25" s="222" t="s">
        <v>25</v>
      </c>
      <c r="C25" s="218">
        <v>41795.676200000002</v>
      </c>
      <c r="D25" s="218">
        <v>14992.9708842125</v>
      </c>
      <c r="E25" s="218">
        <v>90730.552370001824</v>
      </c>
      <c r="F25" s="218">
        <v>584.25208557233589</v>
      </c>
      <c r="G25" s="218">
        <v>32502.028248374969</v>
      </c>
      <c r="H25" s="218">
        <v>52546.475530000003</v>
      </c>
      <c r="I25" s="218">
        <v>0</v>
      </c>
      <c r="J25" s="218">
        <v>0</v>
      </c>
      <c r="K25" s="218">
        <v>2194.8650509132372</v>
      </c>
    </row>
    <row r="26" spans="2:11" ht="15" customHeight="1" x14ac:dyDescent="0.35">
      <c r="B26" s="222" t="s">
        <v>26</v>
      </c>
      <c r="C26" s="218">
        <v>18543046.03001263</v>
      </c>
      <c r="D26" s="218">
        <v>28572477.210840002</v>
      </c>
      <c r="E26" s="218">
        <v>149719292.03977999</v>
      </c>
      <c r="F26" s="218">
        <v>410710.6578213828</v>
      </c>
      <c r="G26" s="218">
        <v>185887.307</v>
      </c>
      <c r="H26" s="218">
        <v>30474541.694249999</v>
      </c>
      <c r="I26" s="218">
        <v>0</v>
      </c>
      <c r="J26" s="218">
        <v>1394007.390218335</v>
      </c>
      <c r="K26" s="218">
        <v>29132992.412702981</v>
      </c>
    </row>
    <row r="27" spans="2:11" ht="15" customHeight="1" x14ac:dyDescent="0.35">
      <c r="B27" s="233" t="s">
        <v>173</v>
      </c>
      <c r="C27" s="218">
        <v>0</v>
      </c>
      <c r="D27" s="218">
        <v>84653.337</v>
      </c>
      <c r="E27" s="218">
        <v>25533495.551399998</v>
      </c>
      <c r="F27" s="218">
        <v>0</v>
      </c>
      <c r="G27" s="218">
        <v>0</v>
      </c>
      <c r="H27" s="218">
        <v>223128.44915999999</v>
      </c>
      <c r="I27" s="218">
        <v>0</v>
      </c>
      <c r="J27" s="218">
        <v>0</v>
      </c>
      <c r="K27" s="218">
        <v>0</v>
      </c>
    </row>
    <row r="28" spans="2:11" ht="15" customHeight="1" x14ac:dyDescent="0.35">
      <c r="B28" s="222" t="s">
        <v>28</v>
      </c>
      <c r="C28" s="218">
        <v>0</v>
      </c>
      <c r="D28" s="218">
        <v>9964.0585500000016</v>
      </c>
      <c r="E28" s="218">
        <v>0</v>
      </c>
      <c r="F28" s="218">
        <v>0</v>
      </c>
      <c r="G28" s="218">
        <v>0</v>
      </c>
      <c r="H28" s="218">
        <v>0</v>
      </c>
      <c r="I28" s="218">
        <v>0</v>
      </c>
      <c r="J28" s="218">
        <v>0</v>
      </c>
      <c r="K28" s="218">
        <v>0</v>
      </c>
    </row>
    <row r="29" spans="2:11" ht="15" customHeight="1" x14ac:dyDescent="0.35">
      <c r="B29" s="222" t="s">
        <v>29</v>
      </c>
      <c r="C29" s="218">
        <v>0</v>
      </c>
      <c r="D29" s="218">
        <v>0</v>
      </c>
      <c r="E29" s="218">
        <v>10236207.95826</v>
      </c>
      <c r="F29" s="218">
        <v>0</v>
      </c>
      <c r="G29" s="218">
        <v>0</v>
      </c>
      <c r="H29" s="218">
        <v>0</v>
      </c>
      <c r="I29" s="218">
        <v>0</v>
      </c>
      <c r="J29" s="218">
        <v>0</v>
      </c>
      <c r="K29" s="218">
        <v>0</v>
      </c>
    </row>
    <row r="30" spans="2:11" ht="15" customHeight="1" x14ac:dyDescent="0.35">
      <c r="B30" s="222" t="s">
        <v>30</v>
      </c>
      <c r="C30" s="218">
        <v>0</v>
      </c>
      <c r="D30" s="218">
        <v>2080874.5619999999</v>
      </c>
      <c r="E30" s="218">
        <v>482.76309000000009</v>
      </c>
      <c r="F30" s="218">
        <v>0</v>
      </c>
      <c r="G30" s="218">
        <v>0</v>
      </c>
      <c r="H30" s="218">
        <v>184592.36029000001</v>
      </c>
      <c r="I30" s="218">
        <v>0</v>
      </c>
      <c r="J30" s="218">
        <v>206289.16676646579</v>
      </c>
      <c r="K30" s="218">
        <v>9727.0865099771872</v>
      </c>
    </row>
    <row r="31" spans="2:11" ht="15" customHeight="1" x14ac:dyDescent="0.35">
      <c r="B31" s="222" t="s">
        <v>31</v>
      </c>
      <c r="C31" s="218">
        <v>0</v>
      </c>
      <c r="D31" s="218">
        <v>71829.588675205479</v>
      </c>
      <c r="E31" s="218">
        <v>0</v>
      </c>
      <c r="F31" s="218">
        <v>0</v>
      </c>
      <c r="G31" s="218">
        <v>0</v>
      </c>
      <c r="H31" s="218">
        <v>0</v>
      </c>
      <c r="I31" s="218">
        <v>0</v>
      </c>
      <c r="J31" s="218">
        <v>0</v>
      </c>
      <c r="K31" s="218">
        <v>0</v>
      </c>
    </row>
    <row r="32" spans="2:11" ht="15" customHeight="1" x14ac:dyDescent="0.35">
      <c r="B32" s="222" t="s">
        <v>32</v>
      </c>
      <c r="C32" s="218">
        <v>0</v>
      </c>
      <c r="D32" s="218">
        <v>0</v>
      </c>
      <c r="E32" s="218">
        <v>0</v>
      </c>
      <c r="F32" s="218">
        <v>0</v>
      </c>
      <c r="G32" s="218">
        <v>0</v>
      </c>
      <c r="H32" s="218">
        <v>0</v>
      </c>
      <c r="I32" s="218">
        <v>0</v>
      </c>
      <c r="J32" s="218">
        <v>0</v>
      </c>
      <c r="K32" s="218">
        <v>0</v>
      </c>
    </row>
    <row r="33" spans="2:11" ht="15" customHeight="1" x14ac:dyDescent="0.35">
      <c r="B33" s="222" t="s">
        <v>33</v>
      </c>
      <c r="C33" s="218">
        <v>0</v>
      </c>
      <c r="D33" s="218">
        <v>646547.43649999995</v>
      </c>
      <c r="E33" s="218">
        <v>5048276.0020214655</v>
      </c>
      <c r="F33" s="218">
        <v>0</v>
      </c>
      <c r="G33" s="218">
        <v>1.9289799999999999</v>
      </c>
      <c r="H33" s="218">
        <v>1612697.6653799999</v>
      </c>
      <c r="I33" s="218">
        <v>0</v>
      </c>
      <c r="J33" s="218">
        <v>14904.87862</v>
      </c>
      <c r="K33" s="218">
        <v>3076571.8196</v>
      </c>
    </row>
    <row r="34" spans="2:11" ht="15" customHeight="1" x14ac:dyDescent="0.35">
      <c r="B34" s="222" t="s">
        <v>34</v>
      </c>
      <c r="C34" s="218">
        <v>0</v>
      </c>
      <c r="D34" s="218">
        <v>32285.418000000001</v>
      </c>
      <c r="E34" s="218">
        <v>994761.07076853339</v>
      </c>
      <c r="F34" s="218">
        <v>211.64</v>
      </c>
      <c r="G34" s="218">
        <v>0</v>
      </c>
      <c r="H34" s="218">
        <v>0</v>
      </c>
      <c r="I34" s="218">
        <v>0</v>
      </c>
      <c r="J34" s="218">
        <v>0</v>
      </c>
      <c r="K34" s="218">
        <v>0</v>
      </c>
    </row>
    <row r="35" spans="2:11" ht="15" customHeight="1" x14ac:dyDescent="0.35">
      <c r="B35" s="222" t="s">
        <v>35</v>
      </c>
      <c r="C35" s="218">
        <v>0</v>
      </c>
      <c r="D35" s="218">
        <v>0</v>
      </c>
      <c r="E35" s="218">
        <v>0</v>
      </c>
      <c r="F35" s="218">
        <v>0</v>
      </c>
      <c r="G35" s="218">
        <v>0</v>
      </c>
      <c r="H35" s="218">
        <v>0</v>
      </c>
      <c r="I35" s="218">
        <v>0</v>
      </c>
      <c r="J35" s="218">
        <v>0</v>
      </c>
      <c r="K35" s="218">
        <v>0</v>
      </c>
    </row>
    <row r="36" spans="2:11" ht="15" customHeight="1" x14ac:dyDescent="0.35">
      <c r="B36" s="222" t="s">
        <v>36</v>
      </c>
      <c r="C36" s="218">
        <v>0</v>
      </c>
      <c r="D36" s="218">
        <v>0</v>
      </c>
      <c r="E36" s="218">
        <v>0</v>
      </c>
      <c r="F36" s="218">
        <v>0</v>
      </c>
      <c r="G36" s="218">
        <v>0</v>
      </c>
      <c r="H36" s="218">
        <v>0</v>
      </c>
      <c r="I36" s="218">
        <v>0</v>
      </c>
      <c r="J36" s="218">
        <v>0</v>
      </c>
      <c r="K36" s="218">
        <v>0</v>
      </c>
    </row>
    <row r="37" spans="2:11" ht="15" customHeight="1" x14ac:dyDescent="0.35">
      <c r="B37" s="222" t="s">
        <v>37</v>
      </c>
      <c r="C37" s="218">
        <v>0</v>
      </c>
      <c r="D37" s="218">
        <v>66208.831999999995</v>
      </c>
      <c r="E37" s="218">
        <v>31311.393759999999</v>
      </c>
      <c r="F37" s="218">
        <v>0</v>
      </c>
      <c r="G37" s="218">
        <v>0</v>
      </c>
      <c r="H37" s="218">
        <v>550390.41216448031</v>
      </c>
      <c r="I37" s="218">
        <v>0</v>
      </c>
      <c r="J37" s="218">
        <v>0</v>
      </c>
      <c r="K37" s="218">
        <v>0</v>
      </c>
    </row>
    <row r="38" spans="2:11" ht="15" customHeight="1" x14ac:dyDescent="0.35">
      <c r="B38" s="222" t="s">
        <v>38</v>
      </c>
      <c r="C38" s="218">
        <v>0</v>
      </c>
      <c r="D38" s="218">
        <v>0</v>
      </c>
      <c r="E38" s="218">
        <v>746769.19168999966</v>
      </c>
      <c r="F38" s="218">
        <v>0</v>
      </c>
      <c r="G38" s="218">
        <v>0</v>
      </c>
      <c r="H38" s="218">
        <v>0</v>
      </c>
      <c r="I38" s="218">
        <v>0</v>
      </c>
      <c r="J38" s="218">
        <v>0</v>
      </c>
      <c r="K38" s="218">
        <v>0</v>
      </c>
    </row>
    <row r="39" spans="2:11" ht="15" customHeight="1" x14ac:dyDescent="0.35">
      <c r="B39" s="222" t="s">
        <v>39</v>
      </c>
      <c r="C39" s="218">
        <v>1543386.5902338829</v>
      </c>
      <c r="D39" s="218">
        <v>803854.58299999998</v>
      </c>
      <c r="E39" s="218">
        <v>13265.68907</v>
      </c>
      <c r="F39" s="218">
        <v>84317.031260000003</v>
      </c>
      <c r="G39" s="218">
        <v>115219.78745205481</v>
      </c>
      <c r="H39" s="218">
        <v>10279989.698410001</v>
      </c>
      <c r="I39" s="218">
        <v>0</v>
      </c>
      <c r="J39" s="218">
        <v>1128403.10167</v>
      </c>
      <c r="K39" s="218">
        <v>1005759.1670411</v>
      </c>
    </row>
    <row r="40" spans="2:11" ht="15" customHeight="1" x14ac:dyDescent="0.35">
      <c r="B40" s="222" t="s">
        <v>40</v>
      </c>
      <c r="C40" s="218">
        <v>1336514.3322500009</v>
      </c>
      <c r="D40" s="218">
        <v>124795.44755</v>
      </c>
      <c r="E40" s="218">
        <v>2480452.754600001</v>
      </c>
      <c r="F40" s="218">
        <v>30180.566080000001</v>
      </c>
      <c r="G40" s="218">
        <v>135922.41399999999</v>
      </c>
      <c r="H40" s="218">
        <v>55047.146000000001</v>
      </c>
      <c r="I40" s="218">
        <v>0</v>
      </c>
      <c r="J40" s="218">
        <v>84807.697429999986</v>
      </c>
      <c r="K40" s="218">
        <v>313362.79569422803</v>
      </c>
    </row>
    <row r="41" spans="2:11" ht="15" customHeight="1" x14ac:dyDescent="0.35">
      <c r="B41" s="222" t="s">
        <v>41</v>
      </c>
      <c r="C41" s="218">
        <v>0</v>
      </c>
      <c r="D41" s="218">
        <v>0</v>
      </c>
      <c r="E41" s="218">
        <v>0</v>
      </c>
      <c r="F41" s="218">
        <v>0</v>
      </c>
      <c r="G41" s="218">
        <v>232286.092</v>
      </c>
      <c r="H41" s="218">
        <v>0</v>
      </c>
      <c r="I41" s="218">
        <v>0</v>
      </c>
      <c r="J41" s="218">
        <v>0</v>
      </c>
      <c r="K41" s="218">
        <v>0</v>
      </c>
    </row>
    <row r="42" spans="2:11" ht="15" customHeight="1" x14ac:dyDescent="0.35">
      <c r="B42" s="222" t="s">
        <v>42</v>
      </c>
      <c r="C42" s="218">
        <v>1265790.66847349</v>
      </c>
      <c r="D42" s="218">
        <v>965775.22196470911</v>
      </c>
      <c r="E42" s="218">
        <v>1495801.6259999999</v>
      </c>
      <c r="F42" s="218">
        <v>104120.5184504924</v>
      </c>
      <c r="G42" s="218">
        <v>415248.71100000018</v>
      </c>
      <c r="H42" s="218">
        <v>1286967.134313717</v>
      </c>
      <c r="I42" s="218">
        <v>0</v>
      </c>
      <c r="J42" s="218">
        <v>167484.9844162371</v>
      </c>
      <c r="K42" s="218">
        <v>1649798.7490000001</v>
      </c>
    </row>
    <row r="43" spans="2:11" ht="15" customHeight="1" x14ac:dyDescent="0.35">
      <c r="B43" s="222" t="s">
        <v>43</v>
      </c>
      <c r="C43" s="218">
        <v>725354.8427375817</v>
      </c>
      <c r="D43" s="218">
        <v>736045.44709944201</v>
      </c>
      <c r="E43" s="218">
        <v>6638547.195680826</v>
      </c>
      <c r="F43" s="218">
        <v>69678.68273</v>
      </c>
      <c r="G43" s="218">
        <v>297833.85931957018</v>
      </c>
      <c r="H43" s="218">
        <v>928622.51753474865</v>
      </c>
      <c r="I43" s="218">
        <v>0</v>
      </c>
      <c r="J43" s="218">
        <v>456335.69684016227</v>
      </c>
      <c r="K43" s="218">
        <v>909967.07648810279</v>
      </c>
    </row>
    <row r="44" spans="2:11" ht="15" customHeight="1" x14ac:dyDescent="0.35">
      <c r="B44" s="222" t="s">
        <v>44</v>
      </c>
      <c r="C44" s="218">
        <v>1306995.672075632</v>
      </c>
      <c r="D44" s="218">
        <v>77751.377826890108</v>
      </c>
      <c r="E44" s="218">
        <v>302099.67153427319</v>
      </c>
      <c r="F44" s="218">
        <v>21192.317599999998</v>
      </c>
      <c r="G44" s="218">
        <v>356129.33799999999</v>
      </c>
      <c r="H44" s="218">
        <v>59368.953569999991</v>
      </c>
      <c r="I44" s="218">
        <v>0</v>
      </c>
      <c r="J44" s="218">
        <v>0</v>
      </c>
      <c r="K44" s="218">
        <v>47214.20244537275</v>
      </c>
    </row>
    <row r="45" spans="2:11" ht="18" thickBot="1" x14ac:dyDescent="0.4">
      <c r="B45" s="295" t="s">
        <v>45</v>
      </c>
      <c r="C45" s="296">
        <v>24782185.605893221</v>
      </c>
      <c r="D45" s="296">
        <v>34457597.618030459</v>
      </c>
      <c r="E45" s="296">
        <v>220744573.45420879</v>
      </c>
      <c r="F45" s="296">
        <v>1808467.249447447</v>
      </c>
      <c r="G45" s="296">
        <v>2322706.9139999999</v>
      </c>
      <c r="H45" s="296">
        <v>47974057.048722953</v>
      </c>
      <c r="I45" s="296">
        <v>0</v>
      </c>
      <c r="J45" s="296">
        <v>3452233.0159612</v>
      </c>
      <c r="K45" s="296">
        <v>36540717.40096809</v>
      </c>
    </row>
    <row r="46" spans="2:11" ht="15" customHeight="1" thickTop="1" x14ac:dyDescent="0.35">
      <c r="B46" s="331" t="s">
        <v>174</v>
      </c>
      <c r="C46" s="332"/>
      <c r="D46" s="332"/>
      <c r="E46" s="332"/>
      <c r="F46" s="332"/>
      <c r="G46" s="332"/>
      <c r="H46" s="332"/>
      <c r="I46" s="332"/>
      <c r="J46" s="329" t="s">
        <v>175</v>
      </c>
      <c r="K46" s="330"/>
    </row>
    <row r="48" spans="2:11" ht="15" customHeight="1" x14ac:dyDescent="0.35">
      <c r="C48" s="226"/>
      <c r="D48" s="226"/>
      <c r="E48" s="226"/>
      <c r="F48" s="226"/>
      <c r="G48" s="226"/>
      <c r="H48" s="226"/>
      <c r="I48" s="226"/>
      <c r="J48" s="226"/>
      <c r="K48" s="226"/>
    </row>
  </sheetData>
  <sheetProtection algorithmName="SHA-512" hashValue="rbYyzQCEay7p6fj4VODAg6SIxhkViQ+3CP+3CMvP0mgpZlEvRnQ3pThQJNkjgP3He3Yi6H0o7xC39bH7WwF9XQ==" saltValue="BLTY7f103BmQyDV48o9X4Q==" spinCount="100000" sheet="1" objects="1" scenarios="1"/>
  <mergeCells count="3">
    <mergeCell ref="B4:K4"/>
    <mergeCell ref="J46:K46"/>
    <mergeCell ref="B46:I46"/>
  </mergeCells>
  <pageMargins left="0.70866141732283472" right="0.70866141732283472" top="0.74803149606299213" bottom="0.74803149606299213" header="0.31496062992125978" footer="0.31496062992125978"/>
  <pageSetup paperSize="9" scale="4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tabColor rgb="FF92D050"/>
    <pageSetUpPr fitToPage="1"/>
  </sheetPr>
  <dimension ref="B3:L48"/>
  <sheetViews>
    <sheetView showGridLines="0" zoomScale="70" zoomScaleNormal="70" workbookViewId="0">
      <pane xSplit="2" ySplit="5" topLeftCell="C30" activePane="bottomRight" state="frozen"/>
      <selection activeCell="A4" sqref="A4:XFD4"/>
      <selection pane="topRight" activeCell="A4" sqref="A4:XFD4"/>
      <selection pane="bottomLeft" activeCell="A4" sqref="A4:XFD4"/>
      <selection pane="bottomRight" activeCell="D40" sqref="B3:K46"/>
    </sheetView>
  </sheetViews>
  <sheetFormatPr defaultColWidth="19.453125" defaultRowHeight="15.5" x14ac:dyDescent="0.35"/>
  <cols>
    <col min="1" max="1" width="18.453125" style="227" customWidth="1"/>
    <col min="2" max="2" width="33.08984375" style="227" bestFit="1" customWidth="1"/>
    <col min="3" max="5" width="20.81640625" style="76" customWidth="1"/>
    <col min="6" max="11" width="20.81640625" style="227" customWidth="1"/>
    <col min="12" max="12" width="19.453125" style="132" customWidth="1"/>
    <col min="13" max="109" width="19.453125" style="227" customWidth="1"/>
    <col min="110" max="16384" width="19.453125" style="227"/>
  </cols>
  <sheetData>
    <row r="3" spans="2:12" s="282" customFormat="1" ht="22" x14ac:dyDescent="0.5">
      <c r="B3" s="285" t="s">
        <v>176</v>
      </c>
      <c r="C3" s="275"/>
      <c r="D3" s="275"/>
      <c r="E3" s="275"/>
      <c r="L3" s="276"/>
    </row>
    <row r="4" spans="2:12" s="282" customFormat="1" ht="22" x14ac:dyDescent="0.5">
      <c r="B4" s="333" t="str">
        <f>_xlfn.CONCAT('Table of Contents'!B12,": ",'Table of Contents'!C12)</f>
        <v>APPENDIX 4 ii: SUMMARY OF LONG TERM INSURANCE BUSINESS BALANCE SHEETS AS AT 31.03.2026</v>
      </c>
      <c r="C4" s="298"/>
      <c r="D4" s="298"/>
      <c r="E4" s="298"/>
      <c r="F4" s="298"/>
      <c r="G4" s="298"/>
      <c r="H4" s="298"/>
      <c r="I4" s="298"/>
      <c r="J4" s="298"/>
      <c r="K4" s="299"/>
      <c r="L4" s="276"/>
    </row>
    <row r="5" spans="2:12" ht="62" customHeight="1" x14ac:dyDescent="0.35">
      <c r="B5" s="215" t="s">
        <v>87</v>
      </c>
      <c r="C5" s="216" t="s">
        <v>157</v>
      </c>
      <c r="D5" s="216" t="s">
        <v>158</v>
      </c>
      <c r="E5" s="216" t="s">
        <v>159</v>
      </c>
      <c r="F5" s="216" t="s">
        <v>160</v>
      </c>
      <c r="G5" s="216" t="s">
        <v>161</v>
      </c>
      <c r="H5" s="216" t="s">
        <v>162</v>
      </c>
      <c r="I5" s="216" t="s">
        <v>146</v>
      </c>
      <c r="J5" s="216" t="s">
        <v>163</v>
      </c>
      <c r="K5" s="216" t="s">
        <v>127</v>
      </c>
    </row>
    <row r="6" spans="2:12" ht="16" customHeight="1" x14ac:dyDescent="0.35">
      <c r="B6" s="217" t="s">
        <v>8</v>
      </c>
      <c r="C6" s="218">
        <v>400000</v>
      </c>
      <c r="D6" s="218">
        <v>458093.679</v>
      </c>
      <c r="E6" s="218">
        <v>1125000</v>
      </c>
      <c r="F6" s="218">
        <v>500000</v>
      </c>
      <c r="G6" s="218">
        <v>900000</v>
      </c>
      <c r="H6" s="218">
        <v>313000</v>
      </c>
      <c r="I6" s="218">
        <v>500000</v>
      </c>
      <c r="J6" s="218">
        <v>742340</v>
      </c>
      <c r="K6" s="218">
        <v>450000</v>
      </c>
    </row>
    <row r="7" spans="2:12" ht="16" customHeight="1" x14ac:dyDescent="0.35">
      <c r="B7" s="217" t="s">
        <v>9</v>
      </c>
      <c r="C7" s="218">
        <v>0</v>
      </c>
      <c r="D7" s="218">
        <v>0</v>
      </c>
      <c r="E7" s="218">
        <v>1125000</v>
      </c>
      <c r="F7" s="218">
        <v>0</v>
      </c>
      <c r="G7" s="218">
        <v>1000000</v>
      </c>
      <c r="H7" s="218">
        <v>0</v>
      </c>
      <c r="I7" s="218">
        <v>0</v>
      </c>
      <c r="J7" s="218">
        <v>0</v>
      </c>
      <c r="K7" s="218">
        <v>0</v>
      </c>
    </row>
    <row r="8" spans="2:12" ht="16" customHeight="1" x14ac:dyDescent="0.35">
      <c r="B8" s="217" t="s">
        <v>10</v>
      </c>
      <c r="C8" s="218">
        <v>0</v>
      </c>
      <c r="D8" s="218">
        <v>0</v>
      </c>
      <c r="E8" s="218">
        <v>0</v>
      </c>
      <c r="F8" s="218">
        <v>0</v>
      </c>
      <c r="G8" s="218">
        <v>0</v>
      </c>
      <c r="H8" s="218">
        <v>0</v>
      </c>
      <c r="I8" s="218">
        <v>0</v>
      </c>
      <c r="J8" s="218">
        <v>384946.36200000002</v>
      </c>
      <c r="K8" s="218">
        <v>19341</v>
      </c>
    </row>
    <row r="9" spans="2:12" ht="16" customHeight="1" x14ac:dyDescent="0.35">
      <c r="B9" s="217" t="s">
        <v>171</v>
      </c>
      <c r="C9" s="218">
        <v>5472480.4551400002</v>
      </c>
      <c r="D9" s="218">
        <v>388371.70400000003</v>
      </c>
      <c r="E9" s="218">
        <v>18240362.669469569</v>
      </c>
      <c r="F9" s="218">
        <v>0</v>
      </c>
      <c r="G9" s="218">
        <v>2759237.2409999999</v>
      </c>
      <c r="H9" s="218">
        <v>264952.48771733849</v>
      </c>
      <c r="I9" s="218">
        <v>0</v>
      </c>
      <c r="J9" s="218">
        <v>2094358.5179999999</v>
      </c>
      <c r="K9" s="218">
        <v>-5333876.9979999997</v>
      </c>
    </row>
    <row r="10" spans="2:12" ht="16" customHeight="1" x14ac:dyDescent="0.35">
      <c r="B10" s="217" t="s">
        <v>11</v>
      </c>
      <c r="C10" s="218">
        <v>0</v>
      </c>
      <c r="D10" s="218">
        <v>0</v>
      </c>
      <c r="E10" s="218">
        <v>1470000</v>
      </c>
      <c r="F10" s="218">
        <v>0</v>
      </c>
      <c r="G10" s="218">
        <v>-514.88499999999999</v>
      </c>
      <c r="H10" s="218">
        <v>0</v>
      </c>
      <c r="I10" s="218">
        <v>0</v>
      </c>
      <c r="J10" s="218">
        <v>600000</v>
      </c>
      <c r="K10" s="218">
        <v>2050000</v>
      </c>
    </row>
    <row r="11" spans="2:12" ht="16" customHeight="1" x14ac:dyDescent="0.35">
      <c r="B11" s="217" t="s">
        <v>12</v>
      </c>
      <c r="C11" s="218">
        <v>338109.31762618019</v>
      </c>
      <c r="D11" s="218">
        <v>277492.59157285711</v>
      </c>
      <c r="E11" s="218">
        <v>3011861.4971383759</v>
      </c>
      <c r="F11" s="218">
        <v>6716726.3369580796</v>
      </c>
      <c r="G11" s="218">
        <v>2764516.8358511641</v>
      </c>
      <c r="H11" s="218">
        <v>101354.3328085113</v>
      </c>
      <c r="I11" s="218">
        <v>10808752.086356699</v>
      </c>
      <c r="J11" s="218">
        <v>-304169.89981568541</v>
      </c>
      <c r="K11" s="218">
        <v>62000</v>
      </c>
    </row>
    <row r="12" spans="2:12" ht="16" customHeight="1" x14ac:dyDescent="0.35">
      <c r="B12" s="217" t="s">
        <v>13</v>
      </c>
      <c r="C12" s="218">
        <v>0</v>
      </c>
      <c r="D12" s="218">
        <v>0</v>
      </c>
      <c r="E12" s="218">
        <v>0</v>
      </c>
      <c r="F12" s="218">
        <v>5312333.031392389</v>
      </c>
      <c r="G12" s="218">
        <v>0</v>
      </c>
      <c r="H12" s="218">
        <v>0</v>
      </c>
      <c r="I12" s="218">
        <v>0</v>
      </c>
      <c r="J12" s="218">
        <v>0</v>
      </c>
      <c r="K12" s="218">
        <v>0</v>
      </c>
    </row>
    <row r="13" spans="2:12" ht="16" customHeight="1" thickBot="1" x14ac:dyDescent="0.4">
      <c r="B13" s="219" t="s">
        <v>14</v>
      </c>
      <c r="C13" s="220">
        <v>6210589.7727661803</v>
      </c>
      <c r="D13" s="220">
        <v>1123957.9745728569</v>
      </c>
      <c r="E13" s="220">
        <v>24972224.16660795</v>
      </c>
      <c r="F13" s="220">
        <v>12529059.36835047</v>
      </c>
      <c r="G13" s="220">
        <v>7423239.1918511642</v>
      </c>
      <c r="H13" s="220">
        <v>679306.82052584982</v>
      </c>
      <c r="I13" s="220">
        <v>11308752.086356699</v>
      </c>
      <c r="J13" s="220">
        <v>3517474.9801843148</v>
      </c>
      <c r="K13" s="220">
        <v>-2752535.9980000001</v>
      </c>
    </row>
    <row r="14" spans="2:12" ht="16" customHeight="1" thickTop="1" x14ac:dyDescent="0.35">
      <c r="B14" s="221" t="s">
        <v>172</v>
      </c>
      <c r="C14" s="218">
        <v>55575689.056000002</v>
      </c>
      <c r="D14" s="218">
        <v>1532928.4087249429</v>
      </c>
      <c r="E14" s="218">
        <v>0</v>
      </c>
      <c r="F14" s="218">
        <v>0</v>
      </c>
      <c r="G14" s="218">
        <v>0</v>
      </c>
      <c r="H14" s="218">
        <v>2179480.8689999999</v>
      </c>
      <c r="I14" s="218">
        <v>0</v>
      </c>
      <c r="J14" s="218">
        <v>13131323.754000001</v>
      </c>
      <c r="K14" s="218">
        <v>0</v>
      </c>
    </row>
    <row r="15" spans="2:12" ht="16" customHeight="1" x14ac:dyDescent="0.35">
      <c r="B15" s="222" t="s">
        <v>15</v>
      </c>
      <c r="C15" s="218">
        <v>42881.253929836363</v>
      </c>
      <c r="D15" s="218">
        <v>1383986.8810345</v>
      </c>
      <c r="E15" s="218">
        <v>196304986.80569741</v>
      </c>
      <c r="F15" s="218">
        <v>176378582.24829221</v>
      </c>
      <c r="G15" s="218">
        <v>111395749.071926</v>
      </c>
      <c r="H15" s="218">
        <v>3214395.7266429071</v>
      </c>
      <c r="I15" s="218">
        <v>2543031.3886022652</v>
      </c>
      <c r="J15" s="218">
        <v>15234566.219423911</v>
      </c>
      <c r="K15" s="218">
        <v>23286039.335194159</v>
      </c>
    </row>
    <row r="16" spans="2:12" ht="16" customHeight="1" x14ac:dyDescent="0.35">
      <c r="B16" s="222" t="s">
        <v>16</v>
      </c>
      <c r="C16" s="218">
        <v>0</v>
      </c>
      <c r="D16" s="218">
        <v>0</v>
      </c>
      <c r="E16" s="218">
        <v>0</v>
      </c>
      <c r="F16" s="218">
        <v>0</v>
      </c>
      <c r="G16" s="218">
        <v>35903.497219999997</v>
      </c>
      <c r="H16" s="218">
        <v>0</v>
      </c>
      <c r="I16" s="218">
        <v>0</v>
      </c>
      <c r="J16" s="218">
        <v>0</v>
      </c>
      <c r="K16" s="218">
        <v>0</v>
      </c>
    </row>
    <row r="17" spans="2:11" ht="16" customHeight="1" x14ac:dyDescent="0.35">
      <c r="B17" s="222" t="s">
        <v>17</v>
      </c>
      <c r="C17" s="218">
        <v>0</v>
      </c>
      <c r="D17" s="218">
        <v>0</v>
      </c>
      <c r="E17" s="218">
        <v>0</v>
      </c>
      <c r="F17" s="218">
        <v>0</v>
      </c>
      <c r="G17" s="218">
        <v>0</v>
      </c>
      <c r="H17" s="218">
        <v>0</v>
      </c>
      <c r="I17" s="218">
        <v>0</v>
      </c>
      <c r="J17" s="218">
        <v>0</v>
      </c>
      <c r="K17" s="218">
        <v>0</v>
      </c>
    </row>
    <row r="18" spans="2:11" ht="16" customHeight="1" x14ac:dyDescent="0.35">
      <c r="B18" s="222" t="s">
        <v>18</v>
      </c>
      <c r="C18" s="218">
        <v>0</v>
      </c>
      <c r="D18" s="218">
        <v>58439.677000000003</v>
      </c>
      <c r="E18" s="218">
        <v>5214754</v>
      </c>
      <c r="F18" s="218">
        <v>1875414.7903499999</v>
      </c>
      <c r="G18" s="218">
        <v>1182424.6619733199</v>
      </c>
      <c r="H18" s="218">
        <v>124868.82799999999</v>
      </c>
      <c r="I18" s="218">
        <v>0</v>
      </c>
      <c r="J18" s="218">
        <v>1062554.8049999999</v>
      </c>
      <c r="K18" s="218">
        <v>0</v>
      </c>
    </row>
    <row r="19" spans="2:11" ht="16" customHeight="1" x14ac:dyDescent="0.35">
      <c r="B19" s="222" t="s">
        <v>19</v>
      </c>
      <c r="C19" s="218">
        <v>109429.765</v>
      </c>
      <c r="D19" s="218">
        <v>38783.63536</v>
      </c>
      <c r="E19" s="218">
        <v>0</v>
      </c>
      <c r="F19" s="218">
        <v>2396787.0329999998</v>
      </c>
      <c r="G19" s="218">
        <v>1109841.27092</v>
      </c>
      <c r="H19" s="218">
        <v>84270.97</v>
      </c>
      <c r="I19" s="218">
        <v>0</v>
      </c>
      <c r="J19" s="218">
        <v>689779.473</v>
      </c>
      <c r="K19" s="218">
        <v>419803.66100000002</v>
      </c>
    </row>
    <row r="20" spans="2:11" ht="16" customHeight="1" x14ac:dyDescent="0.35">
      <c r="B20" s="222" t="s">
        <v>20</v>
      </c>
      <c r="C20" s="218">
        <v>5320799.3729999997</v>
      </c>
      <c r="D20" s="218">
        <v>13038.677730000019</v>
      </c>
      <c r="E20" s="218">
        <v>1857817.451910004</v>
      </c>
      <c r="F20" s="218">
        <v>339624.89639343863</v>
      </c>
      <c r="G20" s="218">
        <v>146368.30627999071</v>
      </c>
      <c r="H20" s="218">
        <v>1920.6037004175189</v>
      </c>
      <c r="I20" s="218">
        <v>0</v>
      </c>
      <c r="J20" s="218">
        <v>181097.46549516491</v>
      </c>
      <c r="K20" s="218">
        <v>75537.078033946993</v>
      </c>
    </row>
    <row r="21" spans="2:11" ht="16" customHeight="1" thickBot="1" x14ac:dyDescent="0.4">
      <c r="B21" s="223" t="s">
        <v>21</v>
      </c>
      <c r="C21" s="224">
        <v>67259389.220696017</v>
      </c>
      <c r="D21" s="224">
        <v>4151135.2544223</v>
      </c>
      <c r="E21" s="224">
        <v>228349782.42421541</v>
      </c>
      <c r="F21" s="224">
        <v>193519468.33638611</v>
      </c>
      <c r="G21" s="224">
        <v>121293526.00017039</v>
      </c>
      <c r="H21" s="224">
        <v>6284243.8178691752</v>
      </c>
      <c r="I21" s="224">
        <v>13851783.474958969</v>
      </c>
      <c r="J21" s="224">
        <v>33816796.697103404</v>
      </c>
      <c r="K21" s="224">
        <v>21028844.076228108</v>
      </c>
    </row>
    <row r="22" spans="2:11" ht="16" customHeight="1" thickTop="1" x14ac:dyDescent="0.35">
      <c r="B22" s="225" t="s">
        <v>22</v>
      </c>
      <c r="C22" s="218">
        <v>5.7229999999999999</v>
      </c>
      <c r="D22" s="218">
        <v>2223.1383300000002</v>
      </c>
      <c r="E22" s="218">
        <v>66017.921000000002</v>
      </c>
      <c r="F22" s="218">
        <v>35151.853609999976</v>
      </c>
      <c r="G22" s="218">
        <v>1593.65833</v>
      </c>
      <c r="H22" s="218">
        <v>4498.6432000000004</v>
      </c>
      <c r="I22" s="218">
        <v>0</v>
      </c>
      <c r="J22" s="218">
        <v>55544.512999999999</v>
      </c>
      <c r="K22" s="218">
        <v>29951.268369999922</v>
      </c>
    </row>
    <row r="23" spans="2:11" ht="16" customHeight="1" x14ac:dyDescent="0.35">
      <c r="B23" s="222" t="s">
        <v>23</v>
      </c>
      <c r="C23" s="218">
        <v>0</v>
      </c>
      <c r="D23" s="218">
        <v>0</v>
      </c>
      <c r="E23" s="218">
        <v>0</v>
      </c>
      <c r="F23" s="218">
        <v>0</v>
      </c>
      <c r="G23" s="218">
        <v>805612.57959042548</v>
      </c>
      <c r="H23" s="218">
        <v>0</v>
      </c>
      <c r="I23" s="218">
        <v>0</v>
      </c>
      <c r="J23" s="218">
        <v>770786.86399999994</v>
      </c>
      <c r="K23" s="218">
        <v>263398.36126999999</v>
      </c>
    </row>
    <row r="24" spans="2:11" ht="16" customHeight="1" x14ac:dyDescent="0.35">
      <c r="B24" s="222" t="s">
        <v>24</v>
      </c>
      <c r="C24" s="218">
        <v>1373938.82</v>
      </c>
      <c r="D24" s="218">
        <v>76000</v>
      </c>
      <c r="E24" s="218">
        <v>10691000</v>
      </c>
      <c r="F24" s="218">
        <v>3766000</v>
      </c>
      <c r="G24" s="218">
        <v>2060400</v>
      </c>
      <c r="H24" s="218">
        <v>573007.1</v>
      </c>
      <c r="I24" s="218">
        <v>1920774.966</v>
      </c>
      <c r="J24" s="218">
        <v>445213.136</v>
      </c>
      <c r="K24" s="218">
        <v>7199361.5389999999</v>
      </c>
    </row>
    <row r="25" spans="2:11" ht="16" customHeight="1" x14ac:dyDescent="0.35">
      <c r="B25" s="222" t="s">
        <v>25</v>
      </c>
      <c r="C25" s="218">
        <v>1248.4459999999999</v>
      </c>
      <c r="D25" s="218">
        <v>12024.02896</v>
      </c>
      <c r="E25" s="218">
        <v>284085.01063000009</v>
      </c>
      <c r="F25" s="218">
        <v>251634.18497000009</v>
      </c>
      <c r="G25" s="218">
        <v>57590.37412</v>
      </c>
      <c r="H25" s="218">
        <v>1684.660390000003</v>
      </c>
      <c r="I25" s="218">
        <v>0</v>
      </c>
      <c r="J25" s="218">
        <v>65689.847999999998</v>
      </c>
      <c r="K25" s="218">
        <v>40299.841336874997</v>
      </c>
    </row>
    <row r="26" spans="2:11" ht="16" customHeight="1" x14ac:dyDescent="0.35">
      <c r="B26" s="222" t="s">
        <v>26</v>
      </c>
      <c r="C26" s="218">
        <v>65214424.604999997</v>
      </c>
      <c r="D26" s="218">
        <v>1870197.4620999999</v>
      </c>
      <c r="E26" s="218">
        <v>155008494.99978</v>
      </c>
      <c r="F26" s="218">
        <v>163865019.7078121</v>
      </c>
      <c r="G26" s="218">
        <v>116240620.00638179</v>
      </c>
      <c r="H26" s="218">
        <v>4162643.2371899998</v>
      </c>
      <c r="I26" s="218">
        <v>7371677.4139999999</v>
      </c>
      <c r="J26" s="218">
        <v>22128166.210990541</v>
      </c>
      <c r="K26" s="218">
        <v>3979655.64</v>
      </c>
    </row>
    <row r="27" spans="2:11" ht="16" customHeight="1" x14ac:dyDescent="0.35">
      <c r="B27" s="233" t="s">
        <v>173</v>
      </c>
      <c r="C27" s="218">
        <v>0</v>
      </c>
      <c r="D27" s="218">
        <v>0</v>
      </c>
      <c r="E27" s="218">
        <v>0</v>
      </c>
      <c r="F27" s="218">
        <v>352036.26453340001</v>
      </c>
      <c r="G27" s="218">
        <v>0</v>
      </c>
      <c r="H27" s="218">
        <v>0</v>
      </c>
      <c r="I27" s="218">
        <v>0</v>
      </c>
      <c r="J27" s="218">
        <v>0</v>
      </c>
      <c r="K27" s="218">
        <v>0</v>
      </c>
    </row>
    <row r="28" spans="2:11" ht="16" customHeight="1" x14ac:dyDescent="0.35">
      <c r="B28" s="222" t="s">
        <v>28</v>
      </c>
      <c r="C28" s="218">
        <v>1556.963</v>
      </c>
      <c r="D28" s="218">
        <v>0</v>
      </c>
      <c r="E28" s="218">
        <v>535590.66436000005</v>
      </c>
      <c r="F28" s="218">
        <v>649650</v>
      </c>
      <c r="G28" s="218">
        <v>0</v>
      </c>
      <c r="H28" s="218">
        <v>194439.97878</v>
      </c>
      <c r="I28" s="218">
        <v>0</v>
      </c>
      <c r="J28" s="218">
        <v>1181757.828</v>
      </c>
      <c r="K28" s="218">
        <v>0</v>
      </c>
    </row>
    <row r="29" spans="2:11" ht="16" customHeight="1" x14ac:dyDescent="0.35">
      <c r="B29" s="222" t="s">
        <v>29</v>
      </c>
      <c r="C29" s="218">
        <v>0</v>
      </c>
      <c r="D29" s="218">
        <v>0</v>
      </c>
      <c r="E29" s="218">
        <v>747113.95218000002</v>
      </c>
      <c r="F29" s="218">
        <v>2367996.9637507619</v>
      </c>
      <c r="G29" s="218">
        <v>0</v>
      </c>
      <c r="H29" s="218">
        <v>0</v>
      </c>
      <c r="I29" s="218">
        <v>0</v>
      </c>
      <c r="J29" s="218">
        <v>0</v>
      </c>
      <c r="K29" s="218">
        <v>0</v>
      </c>
    </row>
    <row r="30" spans="2:11" ht="16" customHeight="1" x14ac:dyDescent="0.35">
      <c r="B30" s="222" t="s">
        <v>30</v>
      </c>
      <c r="C30" s="218">
        <v>0</v>
      </c>
      <c r="D30" s="218">
        <v>0</v>
      </c>
      <c r="E30" s="218">
        <v>1187168.63402</v>
      </c>
      <c r="F30" s="218">
        <v>419069.82576359378</v>
      </c>
      <c r="G30" s="218">
        <v>0</v>
      </c>
      <c r="H30" s="218">
        <v>192662.24049</v>
      </c>
      <c r="I30" s="218">
        <v>185340.47099999999</v>
      </c>
      <c r="J30" s="218">
        <v>0</v>
      </c>
      <c r="K30" s="218">
        <v>0</v>
      </c>
    </row>
    <row r="31" spans="2:11" ht="16" customHeight="1" x14ac:dyDescent="0.35">
      <c r="B31" s="222" t="s">
        <v>31</v>
      </c>
      <c r="C31" s="218">
        <v>0</v>
      </c>
      <c r="D31" s="218">
        <v>0</v>
      </c>
      <c r="E31" s="218">
        <v>0</v>
      </c>
      <c r="F31" s="218">
        <v>0</v>
      </c>
      <c r="G31" s="218">
        <v>0</v>
      </c>
      <c r="H31" s="218">
        <v>0</v>
      </c>
      <c r="I31" s="218">
        <v>0</v>
      </c>
      <c r="J31" s="218">
        <v>0</v>
      </c>
      <c r="K31" s="218">
        <v>0</v>
      </c>
    </row>
    <row r="32" spans="2:11" ht="16" customHeight="1" x14ac:dyDescent="0.35">
      <c r="B32" s="222" t="s">
        <v>32</v>
      </c>
      <c r="C32" s="218">
        <v>0</v>
      </c>
      <c r="D32" s="218">
        <v>0</v>
      </c>
      <c r="E32" s="218">
        <v>0</v>
      </c>
      <c r="F32" s="218">
        <v>0</v>
      </c>
      <c r="G32" s="218">
        <v>0</v>
      </c>
      <c r="H32" s="218">
        <v>0</v>
      </c>
      <c r="I32" s="218">
        <v>0</v>
      </c>
      <c r="J32" s="218">
        <v>0</v>
      </c>
      <c r="K32" s="218">
        <v>0</v>
      </c>
    </row>
    <row r="33" spans="2:11" ht="16" customHeight="1" x14ac:dyDescent="0.35">
      <c r="B33" s="222" t="s">
        <v>33</v>
      </c>
      <c r="C33" s="218">
        <v>107913.603</v>
      </c>
      <c r="D33" s="218">
        <v>51462.466</v>
      </c>
      <c r="E33" s="218">
        <v>12421367.28613</v>
      </c>
      <c r="F33" s="218">
        <v>8506019.252777651</v>
      </c>
      <c r="G33" s="218">
        <v>1376942.12955</v>
      </c>
      <c r="H33" s="218">
        <v>0</v>
      </c>
      <c r="I33" s="218">
        <v>350670</v>
      </c>
      <c r="J33" s="218">
        <v>2545452.9354500002</v>
      </c>
      <c r="K33" s="218">
        <v>0</v>
      </c>
    </row>
    <row r="34" spans="2:11" ht="16" customHeight="1" x14ac:dyDescent="0.35">
      <c r="B34" s="222" t="s">
        <v>34</v>
      </c>
      <c r="C34" s="218">
        <v>0</v>
      </c>
      <c r="D34" s="218">
        <v>0</v>
      </c>
      <c r="E34" s="218">
        <v>15724.8</v>
      </c>
      <c r="F34" s="218">
        <v>5815118.7948738383</v>
      </c>
      <c r="G34" s="218">
        <v>53.604239999999997</v>
      </c>
      <c r="H34" s="218">
        <v>648574.19999999995</v>
      </c>
      <c r="I34" s="218">
        <v>0</v>
      </c>
      <c r="J34" s="218">
        <v>0</v>
      </c>
      <c r="K34" s="218">
        <v>2140364.9999977951</v>
      </c>
    </row>
    <row r="35" spans="2:11" ht="16" customHeight="1" x14ac:dyDescent="0.35">
      <c r="B35" s="222" t="s">
        <v>35</v>
      </c>
      <c r="C35" s="218">
        <v>0</v>
      </c>
      <c r="D35" s="218">
        <v>0</v>
      </c>
      <c r="E35" s="218">
        <v>1222.5619999999999</v>
      </c>
      <c r="F35" s="218">
        <v>0</v>
      </c>
      <c r="G35" s="218">
        <v>0</v>
      </c>
      <c r="H35" s="218">
        <v>0</v>
      </c>
      <c r="I35" s="218">
        <v>0</v>
      </c>
      <c r="J35" s="218">
        <v>0</v>
      </c>
      <c r="K35" s="218">
        <v>0</v>
      </c>
    </row>
    <row r="36" spans="2:11" ht="16" customHeight="1" x14ac:dyDescent="0.35">
      <c r="B36" s="222" t="s">
        <v>36</v>
      </c>
      <c r="C36" s="218">
        <v>0</v>
      </c>
      <c r="D36" s="218">
        <v>0</v>
      </c>
      <c r="E36" s="218">
        <v>0</v>
      </c>
      <c r="F36" s="218">
        <v>1202622.0789999999</v>
      </c>
      <c r="G36" s="218">
        <v>0</v>
      </c>
      <c r="H36" s="218">
        <v>0</v>
      </c>
      <c r="I36" s="218">
        <v>0</v>
      </c>
      <c r="J36" s="218">
        <v>0</v>
      </c>
      <c r="K36" s="218">
        <v>0</v>
      </c>
    </row>
    <row r="37" spans="2:11" ht="16" customHeight="1" x14ac:dyDescent="0.35">
      <c r="B37" s="222" t="s">
        <v>37</v>
      </c>
      <c r="C37" s="218">
        <v>924.49400000000003</v>
      </c>
      <c r="D37" s="218">
        <v>20002.554479999999</v>
      </c>
      <c r="E37" s="218">
        <v>153948.78687000001</v>
      </c>
      <c r="F37" s="218">
        <v>1079013.49</v>
      </c>
      <c r="G37" s="218">
        <v>83838.858999999997</v>
      </c>
      <c r="H37" s="218">
        <v>7185.7316899999996</v>
      </c>
      <c r="I37" s="218">
        <v>0</v>
      </c>
      <c r="J37" s="218">
        <v>20653.008999999998</v>
      </c>
      <c r="K37" s="218">
        <v>1005202.193503333</v>
      </c>
    </row>
    <row r="38" spans="2:11" ht="16" customHeight="1" x14ac:dyDescent="0.35">
      <c r="B38" s="222" t="s">
        <v>38</v>
      </c>
      <c r="C38" s="218">
        <v>0</v>
      </c>
      <c r="D38" s="218">
        <v>0</v>
      </c>
      <c r="E38" s="218">
        <v>618949.14734000002</v>
      </c>
      <c r="F38" s="218">
        <v>0</v>
      </c>
      <c r="G38" s="218">
        <v>0</v>
      </c>
      <c r="H38" s="218">
        <v>0</v>
      </c>
      <c r="I38" s="218">
        <v>0</v>
      </c>
      <c r="J38" s="218">
        <v>289588.52158</v>
      </c>
      <c r="K38" s="218">
        <v>122123.50900000001</v>
      </c>
    </row>
    <row r="39" spans="2:11" ht="16" customHeight="1" x14ac:dyDescent="0.35">
      <c r="B39" s="222" t="s">
        <v>39</v>
      </c>
      <c r="C39" s="218">
        <v>455250.62300000002</v>
      </c>
      <c r="D39" s="218">
        <v>938344.91466000013</v>
      </c>
      <c r="E39" s="218">
        <v>45014357.734560013</v>
      </c>
      <c r="F39" s="218">
        <v>1244819.4358974961</v>
      </c>
      <c r="G39" s="218">
        <v>356370.16815986409</v>
      </c>
      <c r="H39" s="218">
        <v>321985.30904044432</v>
      </c>
      <c r="I39" s="218">
        <v>2991574.559498786</v>
      </c>
      <c r="J39" s="218">
        <v>4950507.7453899998</v>
      </c>
      <c r="K39" s="218">
        <v>2727663.0002000001</v>
      </c>
    </row>
    <row r="40" spans="2:11" ht="16" customHeight="1" x14ac:dyDescent="0.35">
      <c r="B40" s="222" t="s">
        <v>40</v>
      </c>
      <c r="C40" s="218">
        <v>47407.921999999999</v>
      </c>
      <c r="D40" s="218">
        <v>259388.95548</v>
      </c>
      <c r="E40" s="218">
        <v>-268085.47399999999</v>
      </c>
      <c r="F40" s="218">
        <v>1175323.204750004</v>
      </c>
      <c r="G40" s="218">
        <v>113398.498919996</v>
      </c>
      <c r="H40" s="218">
        <v>48607.287799999991</v>
      </c>
      <c r="I40" s="218">
        <v>874.38300000000004</v>
      </c>
      <c r="J40" s="218">
        <v>771938.71699999995</v>
      </c>
      <c r="K40" s="218">
        <v>269792.99955000001</v>
      </c>
    </row>
    <row r="41" spans="2:11" ht="16" customHeight="1" x14ac:dyDescent="0.35">
      <c r="B41" s="222" t="s">
        <v>41</v>
      </c>
      <c r="C41" s="218">
        <v>0</v>
      </c>
      <c r="D41" s="218">
        <v>0</v>
      </c>
      <c r="E41" s="218">
        <v>0</v>
      </c>
      <c r="F41" s="218">
        <v>0</v>
      </c>
      <c r="G41" s="218">
        <v>0</v>
      </c>
      <c r="H41" s="218">
        <v>0</v>
      </c>
      <c r="I41" s="218">
        <v>0</v>
      </c>
      <c r="J41" s="218">
        <v>0</v>
      </c>
      <c r="K41" s="218">
        <v>0</v>
      </c>
    </row>
    <row r="42" spans="2:11" ht="16" customHeight="1" x14ac:dyDescent="0.35">
      <c r="B42" s="222" t="s">
        <v>42</v>
      </c>
      <c r="C42" s="218">
        <v>39418.514000000003</v>
      </c>
      <c r="D42" s="218">
        <v>542162.958255757</v>
      </c>
      <c r="E42" s="218">
        <v>168008.0460402701</v>
      </c>
      <c r="F42" s="218">
        <v>353314.69923000003</v>
      </c>
      <c r="G42" s="218">
        <v>67859.856225904485</v>
      </c>
      <c r="H42" s="218">
        <v>52972.885999999999</v>
      </c>
      <c r="I42" s="218">
        <v>77968.184390911032</v>
      </c>
      <c r="J42" s="218">
        <v>207976.80931256741</v>
      </c>
      <c r="K42" s="218">
        <v>562222.30299999996</v>
      </c>
    </row>
    <row r="43" spans="2:11" ht="16" customHeight="1" x14ac:dyDescent="0.35">
      <c r="B43" s="222" t="s">
        <v>43</v>
      </c>
      <c r="C43" s="218">
        <v>605.52700000000004</v>
      </c>
      <c r="D43" s="218">
        <v>353230.29687654233</v>
      </c>
      <c r="E43" s="218">
        <v>191735.43518</v>
      </c>
      <c r="F43" s="218">
        <v>1462224.663957383</v>
      </c>
      <c r="G43" s="218">
        <v>41545.929229999958</v>
      </c>
      <c r="H43" s="218">
        <v>71003.807913799988</v>
      </c>
      <c r="I43" s="218">
        <v>658471.87286948622</v>
      </c>
      <c r="J43" s="218">
        <v>286497.31300000002</v>
      </c>
      <c r="K43" s="218">
        <v>111902.2079166667</v>
      </c>
    </row>
    <row r="44" spans="2:11" ht="16" customHeight="1" x14ac:dyDescent="0.35">
      <c r="B44" s="222" t="s">
        <v>44</v>
      </c>
      <c r="C44" s="218">
        <v>16693.980680000001</v>
      </c>
      <c r="D44" s="218">
        <v>26098.47928</v>
      </c>
      <c r="E44" s="218">
        <v>1513082.917581141</v>
      </c>
      <c r="F44" s="218">
        <v>974453.91533999995</v>
      </c>
      <c r="G44" s="218">
        <v>87700.335800000001</v>
      </c>
      <c r="H44" s="218">
        <v>4978.7351600000038</v>
      </c>
      <c r="I44" s="218">
        <v>294431.62430545798</v>
      </c>
      <c r="J44" s="218">
        <v>97023.245999999999</v>
      </c>
      <c r="K44" s="218">
        <v>2576906.212641831</v>
      </c>
    </row>
    <row r="45" spans="2:11" ht="16" customHeight="1" thickBot="1" x14ac:dyDescent="0.4">
      <c r="B45" s="223" t="s">
        <v>45</v>
      </c>
      <c r="C45" s="224">
        <v>67259389.220679998</v>
      </c>
      <c r="D45" s="224">
        <v>4151135.2544223</v>
      </c>
      <c r="E45" s="224">
        <v>228349782.42367139</v>
      </c>
      <c r="F45" s="224">
        <v>193519468.33626619</v>
      </c>
      <c r="G45" s="224">
        <v>121293525.999548</v>
      </c>
      <c r="H45" s="224">
        <v>6284243.8176542446</v>
      </c>
      <c r="I45" s="224">
        <v>13851783.475064641</v>
      </c>
      <c r="J45" s="224">
        <v>33816796.696723111</v>
      </c>
      <c r="K45" s="224">
        <v>21028844.075786501</v>
      </c>
    </row>
    <row r="46" spans="2:11" ht="16" customHeight="1" thickTop="1" x14ac:dyDescent="0.35">
      <c r="B46" s="334" t="s">
        <v>174</v>
      </c>
      <c r="C46" s="332"/>
      <c r="D46" s="332"/>
      <c r="E46" s="332"/>
      <c r="F46" s="335"/>
      <c r="G46" s="335"/>
      <c r="H46" s="335"/>
      <c r="I46" s="335"/>
      <c r="J46" s="329" t="s">
        <v>175</v>
      </c>
      <c r="K46" s="330"/>
    </row>
    <row r="48" spans="2:11" x14ac:dyDescent="0.35">
      <c r="C48" s="226"/>
      <c r="D48" s="226"/>
      <c r="E48" s="226"/>
    </row>
  </sheetData>
  <sheetProtection algorithmName="SHA-512" hashValue="n3SXnSbwOcJ4/dTZkodFSpVaCyRXIDBRsqxKR92bAfh642CBhrW4/sHwNw+F0E3qFTrj/WrMdp6JjZUid2nLlA==" saltValue="0gQLyEvSs4DEXOCaM/Sleg==" spinCount="100000" sheet="1" objects="1" scenarios="1"/>
  <mergeCells count="3">
    <mergeCell ref="B4:K4"/>
    <mergeCell ref="J46:K46"/>
    <mergeCell ref="B46:I46"/>
  </mergeCells>
  <pageMargins left="0.7" right="0.7" top="0.75" bottom="0.75" header="0.3" footer="0.3"/>
  <pageSetup paperSize="9" scale="44"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3">
    <tabColor rgb="FF92D050"/>
    <pageSetUpPr fitToPage="1"/>
  </sheetPr>
  <dimension ref="A3:BI54"/>
  <sheetViews>
    <sheetView showGridLines="0" zoomScale="70" zoomScaleNormal="70" workbookViewId="0">
      <pane xSplit="2" ySplit="5" topLeftCell="G6" activePane="bottomRight" state="frozen"/>
      <selection activeCell="A4" sqref="A4:XFD4"/>
      <selection pane="topRight" activeCell="A4" sqref="A4:XFD4"/>
      <selection pane="bottomLeft" activeCell="A4" sqref="A4:XFD4"/>
      <selection pane="bottomRight" activeCell="M1" sqref="M1:BI1048576"/>
    </sheetView>
  </sheetViews>
  <sheetFormatPr defaultColWidth="9.453125" defaultRowHeight="15" customHeight="1" x14ac:dyDescent="0.35"/>
  <cols>
    <col min="1" max="1" width="12.453125" style="76" customWidth="1"/>
    <col min="2" max="2" width="33.08984375" style="76" bestFit="1" customWidth="1"/>
    <col min="3" max="3" width="21.08984375" style="227" customWidth="1"/>
    <col min="4" max="4" width="21.08984375" style="229" customWidth="1"/>
    <col min="5" max="10" width="21.08984375" style="76" customWidth="1"/>
    <col min="11" max="11" width="21.08984375" style="76" hidden="1" customWidth="1"/>
    <col min="12" max="12" width="21.08984375" style="138" hidden="1" customWidth="1"/>
    <col min="13" max="13" width="14" style="2" hidden="1" customWidth="1"/>
    <col min="14" max="14" width="18" style="2" hidden="1" customWidth="1"/>
    <col min="15" max="15" width="14.54296875" style="2" hidden="1" customWidth="1"/>
    <col min="16" max="16" width="15.08984375" style="2" hidden="1" customWidth="1"/>
    <col min="17" max="17" width="18" style="2" hidden="1" customWidth="1"/>
    <col min="18" max="18" width="17.1796875" style="2" hidden="1" customWidth="1"/>
    <col min="19" max="19" width="18" style="2" hidden="1" customWidth="1"/>
    <col min="20" max="20" width="15.08984375" style="2" hidden="1" customWidth="1"/>
    <col min="21" max="21" width="17" style="2" hidden="1" customWidth="1"/>
    <col min="22" max="22" width="3.90625" style="2" hidden="1" customWidth="1"/>
    <col min="23" max="23" width="7" style="76" hidden="1" customWidth="1"/>
    <col min="24" max="24" width="5" style="76" hidden="1" customWidth="1"/>
    <col min="25" max="25" width="6.453125" style="76" hidden="1" customWidth="1"/>
    <col min="26" max="26" width="3.453125" style="76" hidden="1" customWidth="1"/>
    <col min="27" max="27" width="12.54296875" style="76" hidden="1" customWidth="1"/>
    <col min="28" max="28" width="8" style="76" hidden="1" customWidth="1"/>
    <col min="29" max="30" width="8.54296875" style="76" hidden="1" customWidth="1"/>
    <col min="31" max="31" width="10.54296875" style="76" hidden="1" customWidth="1"/>
    <col min="32" max="32" width="15.453125" style="76" hidden="1" customWidth="1"/>
    <col min="33" max="33" width="12" style="76" hidden="1" customWidth="1"/>
    <col min="34" max="34" width="13.54296875" style="76" hidden="1" customWidth="1"/>
    <col min="35" max="35" width="11.453125" style="76" hidden="1" customWidth="1"/>
    <col min="36" max="61" width="9.453125" style="76" hidden="1" customWidth="1"/>
    <col min="62" max="134" width="9.453125" style="76" customWidth="1"/>
    <col min="135" max="16384" width="9.453125" style="76"/>
  </cols>
  <sheetData>
    <row r="3" spans="1:22" s="275" customFormat="1" ht="21.5" x14ac:dyDescent="0.45">
      <c r="A3" s="280"/>
      <c r="B3" s="281" t="s">
        <v>176</v>
      </c>
      <c r="C3" s="282"/>
      <c r="D3" s="283"/>
      <c r="E3" s="281"/>
      <c r="F3" s="281"/>
      <c r="G3" s="281"/>
      <c r="H3" s="281"/>
      <c r="I3" s="281"/>
      <c r="J3" s="281"/>
      <c r="K3" s="281"/>
      <c r="L3" s="284"/>
    </row>
    <row r="4" spans="1:22" s="275" customFormat="1" ht="22" x14ac:dyDescent="0.5">
      <c r="B4" s="328" t="str">
        <f>_xlfn.CONCAT('Table of Contents'!B13,": ",'Table of Contents'!C13)</f>
        <v>APPENDIX 4 iii: SUMMARY OF LONG TERM INSURANCE BUSINESS BALANCE SHEETS AS AT 31.03.2026</v>
      </c>
      <c r="C4" s="298"/>
      <c r="D4" s="298"/>
      <c r="E4" s="298"/>
      <c r="F4" s="298"/>
      <c r="G4" s="298"/>
      <c r="H4" s="298"/>
      <c r="I4" s="298"/>
      <c r="J4" s="298"/>
      <c r="K4" s="298"/>
      <c r="L4" s="299"/>
      <c r="Q4" s="337" t="s">
        <v>177</v>
      </c>
      <c r="R4" s="338"/>
      <c r="S4" s="338"/>
    </row>
    <row r="5" spans="1:22" ht="62" x14ac:dyDescent="0.35">
      <c r="B5" s="215" t="s">
        <v>87</v>
      </c>
      <c r="C5" s="216" t="s">
        <v>164</v>
      </c>
      <c r="D5" s="216" t="s">
        <v>165</v>
      </c>
      <c r="E5" s="216" t="s">
        <v>166</v>
      </c>
      <c r="F5" s="216" t="s">
        <v>167</v>
      </c>
      <c r="G5" s="216" t="s">
        <v>168</v>
      </c>
      <c r="H5" s="216" t="s">
        <v>169</v>
      </c>
      <c r="I5" s="216" t="s">
        <v>170</v>
      </c>
      <c r="J5" s="216" t="s">
        <v>7</v>
      </c>
      <c r="K5" s="216"/>
      <c r="L5" s="216"/>
      <c r="N5" s="242" t="s">
        <v>178</v>
      </c>
      <c r="O5" s="242" t="s">
        <v>179</v>
      </c>
      <c r="Q5" s="242" t="s">
        <v>178</v>
      </c>
      <c r="R5" s="242" t="s">
        <v>179</v>
      </c>
      <c r="S5" s="242" t="s">
        <v>180</v>
      </c>
    </row>
    <row r="6" spans="1:22" ht="15" customHeight="1" x14ac:dyDescent="0.35">
      <c r="B6" s="217" t="s">
        <v>8</v>
      </c>
      <c r="C6" s="218">
        <v>2946667.35</v>
      </c>
      <c r="D6" s="218">
        <v>600000</v>
      </c>
      <c r="E6" s="218">
        <v>425698.08</v>
      </c>
      <c r="F6" s="218">
        <v>843138.54299999995</v>
      </c>
      <c r="G6" s="218">
        <v>400000</v>
      </c>
      <c r="H6" s="218">
        <v>0</v>
      </c>
      <c r="I6" s="218">
        <v>0</v>
      </c>
      <c r="J6" s="218">
        <v>16139663.42</v>
      </c>
      <c r="K6" s="218"/>
      <c r="L6" s="218"/>
      <c r="N6" s="243">
        <f>SUMIFS('APPENDIX 4 iii'!$B6:$L6,'APPENDIX 4 iii'!$B$5:$L$5,"*total*")-O6</f>
        <v>15139663.42</v>
      </c>
      <c r="O6" s="243">
        <f>SUMIFS('APPENDIX 4 i'!$B6:$K6,'APPENDIX 4 i'!$B$5:$K$5,"*reinsurance*")+
SUMIFS('APPENDIX 4 ii'!$B6:$K6,'APPENDIX 4 ii'!$B$5:$K$5,"*reinsurance*")+
SUMIFS('APPENDIX 4 iii'!$B6:$K6,'APPENDIX 4 iii'!$B$5:$K$5,"*reinsurance*")</f>
        <v>1000000</v>
      </c>
      <c r="Q6" s="243">
        <f>N6+_xlfn.XLOOKUP($B6,'APPENDIX  5 iv'!$B:$B,'APPENDIX  5 iv'!P:P,0,0)+_xlfn.XLOOKUP($B6,'APPENDIX 6'!$B:$B,'APPENDIX 6'!I:I,0,0)</f>
        <v>50105679.734999992</v>
      </c>
      <c r="R6" s="243">
        <f>O6+_xlfn.XLOOKUP($B6,'APPENDIX  5 iv'!$B:$B,'APPENDIX  5 iv'!Q:Q,0,0)+_xlfn.XLOOKUP($B6,'APPENDIX 6'!$B:$B,'APPENDIX 6'!J:J,0,0)</f>
        <v>19101531.359999999</v>
      </c>
      <c r="S6" s="243">
        <f t="shared" ref="S6:S45" si="0">SUM(Q6:R6)</f>
        <v>69207211.094999999</v>
      </c>
      <c r="V6" s="76"/>
    </row>
    <row r="7" spans="1:22" ht="15" customHeight="1" x14ac:dyDescent="0.35">
      <c r="B7" s="217" t="s">
        <v>9</v>
      </c>
      <c r="C7" s="218">
        <v>1160475.7084600001</v>
      </c>
      <c r="D7" s="218">
        <v>0</v>
      </c>
      <c r="E7" s="218">
        <v>3768621.5819999999</v>
      </c>
      <c r="F7" s="218">
        <v>30260</v>
      </c>
      <c r="G7" s="218">
        <v>0</v>
      </c>
      <c r="H7" s="218">
        <v>0</v>
      </c>
      <c r="I7" s="218">
        <v>0</v>
      </c>
      <c r="J7" s="218">
        <v>7755424.9384599999</v>
      </c>
      <c r="K7" s="218"/>
      <c r="L7" s="218"/>
      <c r="N7" s="243">
        <f>SUMIFS('APPENDIX 4 iii'!$B7:$L7,'APPENDIX 4 iii'!$B$5:$L$5,"*total*")-O7</f>
        <v>7755424.9384599999</v>
      </c>
      <c r="O7" s="243">
        <f>SUMIFS('APPENDIX 4 i'!$B7:$K7,'APPENDIX 4 i'!$B$5:$K$5,"*reinsurance*")+
SUMIFS('APPENDIX 4 ii'!$B7:$K7,'APPENDIX 4 ii'!$B$5:$K$5,"*reinsurance*")+
SUMIFS('APPENDIX 4 iii'!$B7:$K7,'APPENDIX 4 iii'!$B$5:$K$5,"*reinsurance*")</f>
        <v>0</v>
      </c>
      <c r="Q7" s="243">
        <f>N7+_xlfn.XLOOKUP($B7,'APPENDIX  5 iv'!$B:$B,'APPENDIX  5 iv'!P:P,0,0)+_xlfn.XLOOKUP($B7,'APPENDIX 6'!$B:$B,'APPENDIX 6'!I:I,0,0)</f>
        <v>12016882.263459999</v>
      </c>
      <c r="R7" s="243">
        <f>O7+_xlfn.XLOOKUP($B7,'APPENDIX  5 iv'!$B:$B,'APPENDIX  5 iv'!Q:Q,0,0)+_xlfn.XLOOKUP($B7,'APPENDIX 6'!$B:$B,'APPENDIX 6'!J:J,0,0)</f>
        <v>10871.242</v>
      </c>
      <c r="S7" s="243">
        <f t="shared" si="0"/>
        <v>12027753.50546</v>
      </c>
      <c r="V7" s="76"/>
    </row>
    <row r="8" spans="1:22" ht="15" customHeight="1" x14ac:dyDescent="0.35">
      <c r="B8" s="217" t="s">
        <v>10</v>
      </c>
      <c r="C8" s="218">
        <v>0</v>
      </c>
      <c r="D8" s="218">
        <v>0</v>
      </c>
      <c r="E8" s="218">
        <v>0</v>
      </c>
      <c r="F8" s="218">
        <v>0</v>
      </c>
      <c r="G8" s="218">
        <v>0</v>
      </c>
      <c r="H8" s="218">
        <v>0</v>
      </c>
      <c r="I8" s="218">
        <v>0</v>
      </c>
      <c r="J8" s="218">
        <v>408860.27100000001</v>
      </c>
      <c r="K8" s="218"/>
      <c r="L8" s="218"/>
      <c r="N8" s="243">
        <f>SUMIFS('APPENDIX 4 iii'!$B8:$L8,'APPENDIX 4 iii'!$B$5:$L$5,"*total*")-O8</f>
        <v>408860.27100000001</v>
      </c>
      <c r="O8" s="243">
        <f>SUMIFS('APPENDIX 4 i'!$B8:$K8,'APPENDIX 4 i'!$B$5:$K$5,"*reinsurance*")+
SUMIFS('APPENDIX 4 ii'!$B8:$K8,'APPENDIX 4 ii'!$B$5:$K$5,"*reinsurance*")+
SUMIFS('APPENDIX 4 iii'!$B8:$K8,'APPENDIX 4 iii'!$B$5:$K$5,"*reinsurance*")</f>
        <v>0</v>
      </c>
      <c r="Q8" s="243">
        <f>N8+_xlfn.XLOOKUP($B8,'APPENDIX  5 iv'!$B:$B,'APPENDIX  5 iv'!P:P,0,0)+_xlfn.XLOOKUP($B8,'APPENDIX 6'!$B:$B,'APPENDIX 6'!I:I,0,0)</f>
        <v>2960333.4893425014</v>
      </c>
      <c r="R8" s="243">
        <f>O8+_xlfn.XLOOKUP($B8,'APPENDIX  5 iv'!$B:$B,'APPENDIX  5 iv'!Q:Q,0,0)+_xlfn.XLOOKUP($B8,'APPENDIX 6'!$B:$B,'APPENDIX 6'!J:J,0,0)</f>
        <v>237108.49299999999</v>
      </c>
      <c r="S8" s="243">
        <f t="shared" si="0"/>
        <v>3197441.9823425012</v>
      </c>
      <c r="V8" s="76"/>
    </row>
    <row r="9" spans="1:22" ht="15" customHeight="1" x14ac:dyDescent="0.35">
      <c r="B9" s="217" t="s">
        <v>171</v>
      </c>
      <c r="C9" s="218">
        <v>-298557.69572523411</v>
      </c>
      <c r="D9" s="218">
        <v>312202.03499999997</v>
      </c>
      <c r="E9" s="218">
        <v>0</v>
      </c>
      <c r="F9" s="218">
        <v>3344067.6233161241</v>
      </c>
      <c r="G9" s="218">
        <v>0</v>
      </c>
      <c r="H9" s="218">
        <v>0</v>
      </c>
      <c r="I9" s="218">
        <v>0</v>
      </c>
      <c r="J9" s="218">
        <v>49229372.331578359</v>
      </c>
      <c r="K9" s="218"/>
      <c r="L9" s="218"/>
      <c r="N9" s="243">
        <f>SUMIFS('APPENDIX 4 iii'!$B9:$L9,'APPENDIX 4 iii'!$B$5:$L$5,"*total*")-O9</f>
        <v>49229372.331578359</v>
      </c>
      <c r="O9" s="243">
        <f>SUMIFS('APPENDIX 4 i'!$B9:$K9,'APPENDIX 4 i'!$B$5:$K$5,"*reinsurance*")+
SUMIFS('APPENDIX 4 ii'!$B9:$K9,'APPENDIX 4 ii'!$B$5:$K$5,"*reinsurance*")+
SUMIFS('APPENDIX 4 iii'!$B9:$K9,'APPENDIX 4 iii'!$B$5:$K$5,"*reinsurance*")</f>
        <v>0</v>
      </c>
      <c r="Q9" s="243">
        <f>N9+_xlfn.XLOOKUP($B9,'APPENDIX  5 iv'!$B:$B,'APPENDIX  5 iv'!P:P,0,0)+_xlfn.XLOOKUP($B9,'APPENDIX 6'!$B:$B,'APPENDIX 6'!I:I,0,0)</f>
        <v>49229372.331578359</v>
      </c>
      <c r="R9" s="243">
        <f>O9+_xlfn.XLOOKUP($B9,'APPENDIX  5 iv'!$B:$B,'APPENDIX  5 iv'!Q:Q,0,0)+_xlfn.XLOOKUP($B9,'APPENDIX 6'!$B:$B,'APPENDIX 6'!J:J,0,0)</f>
        <v>0</v>
      </c>
      <c r="S9" s="243">
        <f t="shared" si="0"/>
        <v>49229372.331578359</v>
      </c>
      <c r="V9" s="76"/>
    </row>
    <row r="10" spans="1:22" ht="15" customHeight="1" x14ac:dyDescent="0.35">
      <c r="B10" s="217" t="s">
        <v>11</v>
      </c>
      <c r="C10" s="218">
        <v>0</v>
      </c>
      <c r="D10" s="218">
        <v>0</v>
      </c>
      <c r="E10" s="218">
        <v>0</v>
      </c>
      <c r="F10" s="218">
        <v>0</v>
      </c>
      <c r="G10" s="218">
        <v>0</v>
      </c>
      <c r="H10" s="218">
        <v>0</v>
      </c>
      <c r="I10" s="218">
        <v>0</v>
      </c>
      <c r="J10" s="218">
        <v>6436101.3057200015</v>
      </c>
      <c r="K10" s="218"/>
      <c r="L10" s="218"/>
      <c r="N10" s="243">
        <f>SUMIFS('APPENDIX 4 iii'!$B10:$L10,'APPENDIX 4 iii'!$B$5:$L$5,"*total*")-O10</f>
        <v>6436101.3057200015</v>
      </c>
      <c r="O10" s="243">
        <f>SUMIFS('APPENDIX 4 i'!$B10:$K10,'APPENDIX 4 i'!$B$5:$K$5,"*reinsurance*")+
SUMIFS('APPENDIX 4 ii'!$B10:$K10,'APPENDIX 4 ii'!$B$5:$K$5,"*reinsurance*")+
SUMIFS('APPENDIX 4 iii'!$B10:$K10,'APPENDIX 4 iii'!$B$5:$K$5,"*reinsurance*")</f>
        <v>0</v>
      </c>
      <c r="Q10" s="243">
        <f>N10+_xlfn.XLOOKUP($B10,'APPENDIX  5 iv'!$B:$B,'APPENDIX  5 iv'!P:P,0,0)+_xlfn.XLOOKUP($B10,'APPENDIX 6'!$B:$B,'APPENDIX 6'!I:I,0,0)</f>
        <v>11981908.601454275</v>
      </c>
      <c r="R10" s="243">
        <f>O10+_xlfn.XLOOKUP($B10,'APPENDIX  5 iv'!$B:$B,'APPENDIX  5 iv'!Q:Q,0,0)+_xlfn.XLOOKUP($B10,'APPENDIX 6'!$B:$B,'APPENDIX 6'!J:J,0,0)</f>
        <v>1314112.0959999999</v>
      </c>
      <c r="S10" s="243">
        <f t="shared" si="0"/>
        <v>13296020.697454274</v>
      </c>
      <c r="V10" s="76"/>
    </row>
    <row r="11" spans="1:22" ht="15" customHeight="1" x14ac:dyDescent="0.35">
      <c r="B11" s="217" t="s">
        <v>12</v>
      </c>
      <c r="C11" s="218">
        <v>118180.7499441051</v>
      </c>
      <c r="D11" s="218">
        <v>257545.70827132749</v>
      </c>
      <c r="E11" s="218">
        <v>-3516609.6846981971</v>
      </c>
      <c r="F11" s="218">
        <v>235067.34963870409</v>
      </c>
      <c r="G11" s="218">
        <v>363638.95816272899</v>
      </c>
      <c r="H11" s="218">
        <v>0</v>
      </c>
      <c r="I11" s="218">
        <v>0</v>
      </c>
      <c r="J11" s="218">
        <v>25472088.007976931</v>
      </c>
      <c r="K11" s="218"/>
      <c r="L11" s="218"/>
      <c r="N11" s="243">
        <f>SUMIFS('APPENDIX 4 iii'!$B11:$L11,'APPENDIX 4 iii'!$B$5:$L$5,"*total*")-O11</f>
        <v>13261593.025201373</v>
      </c>
      <c r="O11" s="243">
        <f>SUMIFS('APPENDIX 4 i'!$B11:$K11,'APPENDIX 4 i'!$B$5:$K$5,"*reinsurance*")+
SUMIFS('APPENDIX 4 ii'!$B11:$K11,'APPENDIX 4 ii'!$B$5:$K$5,"*reinsurance*")+
SUMIFS('APPENDIX 4 iii'!$B11:$K11,'APPENDIX 4 iii'!$B$5:$K$5,"*reinsurance*")</f>
        <v>12210494.982775558</v>
      </c>
      <c r="Q11" s="243">
        <f>N11+_xlfn.XLOOKUP($B11,'APPENDIX  5 iv'!$B:$B,'APPENDIX  5 iv'!P:P,0,0)+_xlfn.XLOOKUP($B11,'APPENDIX 6'!$B:$B,'APPENDIX 6'!I:I,0,0)</f>
        <v>58827892.496826321</v>
      </c>
      <c r="R11" s="243">
        <f>O11+_xlfn.XLOOKUP($B11,'APPENDIX  5 iv'!$B:$B,'APPENDIX  5 iv'!Q:Q,0,0)+_xlfn.XLOOKUP($B11,'APPENDIX 6'!$B:$B,'APPENDIX 6'!J:J,0,0)</f>
        <v>49218054.45789662</v>
      </c>
      <c r="S11" s="243">
        <f t="shared" si="0"/>
        <v>108045946.95472294</v>
      </c>
      <c r="V11" s="76"/>
    </row>
    <row r="12" spans="1:22" ht="15" customHeight="1" x14ac:dyDescent="0.35">
      <c r="B12" s="217" t="s">
        <v>13</v>
      </c>
      <c r="C12" s="218">
        <v>27533.633999999998</v>
      </c>
      <c r="D12" s="218">
        <v>0</v>
      </c>
      <c r="E12" s="218">
        <v>0</v>
      </c>
      <c r="F12" s="218">
        <v>0</v>
      </c>
      <c r="G12" s="218">
        <v>0</v>
      </c>
      <c r="H12" s="218">
        <v>0</v>
      </c>
      <c r="I12" s="218">
        <v>0</v>
      </c>
      <c r="J12" s="218">
        <v>8180327.0943461917</v>
      </c>
      <c r="K12" s="218"/>
      <c r="L12" s="218"/>
      <c r="N12" s="243">
        <f>SUMIFS('APPENDIX 4 iii'!$B12:$L12,'APPENDIX 4 iii'!$B$5:$L$5,"*total*")-O12</f>
        <v>8180327.0943461917</v>
      </c>
      <c r="O12" s="243">
        <f>SUMIFS('APPENDIX 4 i'!$B12:$K12,'APPENDIX 4 i'!$B$5:$K$5,"*reinsurance*")+
SUMIFS('APPENDIX 4 ii'!$B12:$K12,'APPENDIX 4 ii'!$B$5:$K$5,"*reinsurance*")+
SUMIFS('APPENDIX 4 iii'!$B12:$K12,'APPENDIX 4 iii'!$B$5:$K$5,"*reinsurance*")</f>
        <v>0</v>
      </c>
      <c r="Q12" s="243">
        <f>N12+_xlfn.XLOOKUP($B12,'APPENDIX  5 iv'!$B:$B,'APPENDIX  5 iv'!P:P,0,0)+_xlfn.XLOOKUP($B12,'APPENDIX 6'!$B:$B,'APPENDIX 6'!I:I,0,0)</f>
        <v>10749663.450890426</v>
      </c>
      <c r="R12" s="243">
        <f>O12+_xlfn.XLOOKUP($B12,'APPENDIX  5 iv'!$B:$B,'APPENDIX  5 iv'!Q:Q,0,0)+_xlfn.XLOOKUP($B12,'APPENDIX 6'!$B:$B,'APPENDIX 6'!J:J,0,0)</f>
        <v>1593975.67</v>
      </c>
      <c r="S12" s="243">
        <f t="shared" si="0"/>
        <v>12343639.120890426</v>
      </c>
    </row>
    <row r="13" spans="1:22" ht="15" customHeight="1" thickBot="1" x14ac:dyDescent="0.4">
      <c r="B13" s="219" t="s">
        <v>14</v>
      </c>
      <c r="C13" s="220">
        <v>3954299.7466788711</v>
      </c>
      <c r="D13" s="220">
        <v>1169747.743271328</v>
      </c>
      <c r="E13" s="220">
        <v>677709.97730180307</v>
      </c>
      <c r="F13" s="220">
        <v>4452533.5159548279</v>
      </c>
      <c r="G13" s="220">
        <v>763638.95816272905</v>
      </c>
      <c r="H13" s="220">
        <v>0</v>
      </c>
      <c r="I13" s="220">
        <v>0</v>
      </c>
      <c r="J13" s="220">
        <v>113621837.3690815</v>
      </c>
      <c r="K13" s="220"/>
      <c r="L13" s="220"/>
      <c r="N13" s="244">
        <f>SUMIFS('APPENDIX 4 iii'!$B13:$L13,'APPENDIX 4 iii'!$B$5:$L$5,"*total*")-O13</f>
        <v>100411342.38630594</v>
      </c>
      <c r="O13" s="244">
        <f>SUMIFS('APPENDIX 4 i'!$B13:$K13,'APPENDIX 4 i'!$B$5:$K$5,"*reinsurance*")+
SUMIFS('APPENDIX 4 ii'!$B13:$K13,'APPENDIX 4 ii'!$B$5:$K$5,"*reinsurance*")+
SUMIFS('APPENDIX 4 iii'!$B13:$K13,'APPENDIX 4 iii'!$B$5:$K$5,"*reinsurance*")</f>
        <v>13210494.982775558</v>
      </c>
      <c r="Q13" s="244">
        <f>N13+_xlfn.XLOOKUP($B13,'APPENDIX  5 iv'!$B:$B,'APPENDIX  5 iv'!P:P,0,0)+_xlfn.XLOOKUP($B13,'APPENDIX 6'!$B:$B,'APPENDIX 6'!I:I,0,0)</f>
        <v>195871732.36855191</v>
      </c>
      <c r="R13" s="244">
        <f>O13+_xlfn.XLOOKUP($B13,'APPENDIX  5 iv'!$B:$B,'APPENDIX  5 iv'!Q:Q,0,0)+_xlfn.XLOOKUP($B13,'APPENDIX 6'!$B:$B,'APPENDIX 6'!J:J,0,0)</f>
        <v>71475653.318896621</v>
      </c>
      <c r="S13" s="244">
        <f t="shared" si="0"/>
        <v>267347385.68744853</v>
      </c>
    </row>
    <row r="14" spans="1:22" ht="15" customHeight="1" thickTop="1" x14ac:dyDescent="0.35">
      <c r="B14" s="221" t="s">
        <v>172</v>
      </c>
      <c r="C14" s="228">
        <v>674175.28</v>
      </c>
      <c r="D14" s="228">
        <v>0</v>
      </c>
      <c r="E14" s="228">
        <v>0</v>
      </c>
      <c r="F14" s="228">
        <v>0</v>
      </c>
      <c r="G14" s="228">
        <v>0</v>
      </c>
      <c r="H14" s="228">
        <v>0</v>
      </c>
      <c r="I14" s="228">
        <v>0</v>
      </c>
      <c r="J14" s="228">
        <v>73548957.462654948</v>
      </c>
      <c r="K14" s="228"/>
      <c r="L14" s="228"/>
      <c r="N14" s="243">
        <f>SUMIFS('APPENDIX 4 iii'!$B14:$L14,'APPENDIX 4 iii'!$B$5:$L$5,"*total*")-O14</f>
        <v>73548957.462654948</v>
      </c>
      <c r="O14" s="243">
        <f>SUMIFS('APPENDIX 4 i'!$B14:$K14,'APPENDIX 4 i'!$B$5:$K$5,"*reinsurance*")+
SUMIFS('APPENDIX 4 ii'!$B14:$K14,'APPENDIX 4 ii'!$B$5:$K$5,"*reinsurance*")+
SUMIFS('APPENDIX 4 iii'!$B14:$K14,'APPENDIX 4 iii'!$B$5:$K$5,"*reinsurance*")</f>
        <v>0</v>
      </c>
      <c r="Q14" s="243">
        <f>N14+_xlfn.XLOOKUP($B14,'APPENDIX  5 iv'!$B:$B,'APPENDIX  5 iv'!P:P,0,0)+_xlfn.XLOOKUP($B14,'APPENDIX 6'!$B:$B,'APPENDIX 6'!I:I,0,0)</f>
        <v>73548957.462654948</v>
      </c>
      <c r="R14" s="243">
        <f>O14+_xlfn.XLOOKUP($B14,'APPENDIX  5 iv'!$B:$B,'APPENDIX  5 iv'!Q:Q,0,0)+_xlfn.XLOOKUP($B14,'APPENDIX 6'!$B:$B,'APPENDIX 6'!J:J,0,0)</f>
        <v>0</v>
      </c>
      <c r="S14" s="243">
        <f t="shared" si="0"/>
        <v>73548957.462654948</v>
      </c>
    </row>
    <row r="15" spans="1:22" ht="15" customHeight="1" x14ac:dyDescent="0.35">
      <c r="B15" s="222" t="s">
        <v>15</v>
      </c>
      <c r="C15" s="218">
        <v>25409746.614</v>
      </c>
      <c r="D15" s="218">
        <v>20860906.240582932</v>
      </c>
      <c r="E15" s="218">
        <v>6669079.9909581915</v>
      </c>
      <c r="F15" s="218">
        <v>33112743.452750329</v>
      </c>
      <c r="G15" s="218">
        <v>122394.4766352205</v>
      </c>
      <c r="H15" s="218">
        <v>0</v>
      </c>
      <c r="I15" s="218">
        <v>0</v>
      </c>
      <c r="J15" s="218">
        <v>930798757.45468783</v>
      </c>
      <c r="K15" s="218"/>
      <c r="L15" s="218"/>
      <c r="N15" s="243">
        <f>SUMIFS('APPENDIX 4 iii'!$B15:$L15,'APPENDIX 4 iii'!$B$5:$L$5,"*total*")-O15</f>
        <v>927408014.03093326</v>
      </c>
      <c r="O15" s="243">
        <f>SUMIFS('APPENDIX 4 i'!$B15:$K15,'APPENDIX 4 i'!$B$5:$K$5,"*reinsurance*")+
SUMIFS('APPENDIX 4 ii'!$B15:$K15,'APPENDIX 4 ii'!$B$5:$K$5,"*reinsurance*")+
SUMIFS('APPENDIX 4 iii'!$B15:$K15,'APPENDIX 4 iii'!$B$5:$K$5,"*reinsurance*")</f>
        <v>3390743.4237546055</v>
      </c>
      <c r="Q15" s="243">
        <f>N15+_xlfn.XLOOKUP($B15,'APPENDIX  5 iv'!$B:$B,'APPENDIX  5 iv'!P:P,0,0)+_xlfn.XLOOKUP($B15,'APPENDIX 6'!$B:$B,'APPENDIX 6'!I:I,0,0)</f>
        <v>1144899026.7658257</v>
      </c>
      <c r="R15" s="243">
        <f>O15+_xlfn.XLOOKUP($B15,'APPENDIX  5 iv'!$B:$B,'APPENDIX  5 iv'!Q:Q,0,0)+_xlfn.XLOOKUP($B15,'APPENDIX 6'!$B:$B,'APPENDIX 6'!J:J,0,0)</f>
        <v>35965653.18864838</v>
      </c>
      <c r="S15" s="243">
        <f t="shared" si="0"/>
        <v>1180864679.9544742</v>
      </c>
    </row>
    <row r="16" spans="1:22" ht="15" customHeight="1" x14ac:dyDescent="0.35">
      <c r="B16" s="222" t="s">
        <v>16</v>
      </c>
      <c r="C16" s="218">
        <v>0</v>
      </c>
      <c r="D16" s="218">
        <v>0</v>
      </c>
      <c r="E16" s="218">
        <v>0</v>
      </c>
      <c r="F16" s="218">
        <v>0</v>
      </c>
      <c r="G16" s="218">
        <v>0</v>
      </c>
      <c r="H16" s="218">
        <v>0</v>
      </c>
      <c r="I16" s="218">
        <v>0</v>
      </c>
      <c r="J16" s="218">
        <v>162103.90841999999</v>
      </c>
      <c r="K16" s="218"/>
      <c r="L16" s="218"/>
      <c r="N16" s="243">
        <f>SUMIFS('APPENDIX 4 iii'!$B16:$L16,'APPENDIX 4 iii'!$B$5:$L$5,"*total*")-O16</f>
        <v>81150.388680000004</v>
      </c>
      <c r="O16" s="243">
        <f>SUMIFS('APPENDIX 4 i'!$B16:$K16,'APPENDIX 4 i'!$B$5:$K$5,"*reinsurance*")+
SUMIFS('APPENDIX 4 ii'!$B16:$K16,'APPENDIX 4 ii'!$B$5:$K$5,"*reinsurance*")+
SUMIFS('APPENDIX 4 iii'!$B16:$K16,'APPENDIX 4 iii'!$B$5:$K$5,"*reinsurance*")</f>
        <v>80953.519739999989</v>
      </c>
      <c r="Q16" s="243">
        <f>N16+_xlfn.XLOOKUP($B16,'APPENDIX  5 iv'!$B:$B,'APPENDIX  5 iv'!P:P,0,0)+_xlfn.XLOOKUP($B16,'APPENDIX 6'!$B:$B,'APPENDIX 6'!I:I,0,0)</f>
        <v>4415482.66019856</v>
      </c>
      <c r="R16" s="243">
        <f>O16+_xlfn.XLOOKUP($B16,'APPENDIX  5 iv'!$B:$B,'APPENDIX  5 iv'!Q:Q,0,0)+_xlfn.XLOOKUP($B16,'APPENDIX 6'!$B:$B,'APPENDIX 6'!J:J,0,0)</f>
        <v>1473334.067558361</v>
      </c>
      <c r="S16" s="243">
        <f t="shared" si="0"/>
        <v>5888816.7277569212</v>
      </c>
    </row>
    <row r="17" spans="2:19" ht="15" customHeight="1" x14ac:dyDescent="0.35">
      <c r="B17" s="222" t="s">
        <v>17</v>
      </c>
      <c r="C17" s="218">
        <v>0</v>
      </c>
      <c r="D17" s="218">
        <v>0</v>
      </c>
      <c r="E17" s="218">
        <v>0</v>
      </c>
      <c r="F17" s="218">
        <v>0</v>
      </c>
      <c r="G17" s="218">
        <v>0</v>
      </c>
      <c r="H17" s="218">
        <v>0</v>
      </c>
      <c r="I17" s="218">
        <v>0</v>
      </c>
      <c r="J17" s="218">
        <v>0</v>
      </c>
      <c r="K17" s="218"/>
      <c r="L17" s="218"/>
      <c r="N17" s="243">
        <f>SUMIFS('APPENDIX 4 iii'!$B17:$L17,'APPENDIX 4 iii'!$B$5:$L$5,"*total*")-O17</f>
        <v>0</v>
      </c>
      <c r="O17" s="243">
        <f>SUMIFS('APPENDIX 4 i'!$B17:$K17,'APPENDIX 4 i'!$B$5:$K$5,"*reinsurance*")+
SUMIFS('APPENDIX 4 ii'!$B17:$K17,'APPENDIX 4 ii'!$B$5:$K$5,"*reinsurance*")+
SUMIFS('APPENDIX 4 iii'!$B17:$K17,'APPENDIX 4 iii'!$B$5:$K$5,"*reinsurance*")</f>
        <v>0</v>
      </c>
      <c r="Q17" s="243">
        <f>N17+_xlfn.XLOOKUP($B17,'APPENDIX  5 iv'!$B:$B,'APPENDIX  5 iv'!P:P,0,0)+_xlfn.XLOOKUP($B17,'APPENDIX 6'!$B:$B,'APPENDIX 6'!I:I,0,0)</f>
        <v>438424.89718000003</v>
      </c>
      <c r="R17" s="243">
        <f>O17+_xlfn.XLOOKUP($B17,'APPENDIX  5 iv'!$B:$B,'APPENDIX  5 iv'!Q:Q,0,0)+_xlfn.XLOOKUP($B17,'APPENDIX 6'!$B:$B,'APPENDIX 6'!J:J,0,0)</f>
        <v>0</v>
      </c>
      <c r="S17" s="243">
        <f t="shared" si="0"/>
        <v>438424.89718000003</v>
      </c>
    </row>
    <row r="18" spans="2:19" ht="15" customHeight="1" x14ac:dyDescent="0.35">
      <c r="B18" s="222" t="s">
        <v>18</v>
      </c>
      <c r="C18" s="218">
        <v>0</v>
      </c>
      <c r="D18" s="218">
        <v>130055.349</v>
      </c>
      <c r="E18" s="218">
        <v>0</v>
      </c>
      <c r="F18" s="218">
        <v>1433586.083816048</v>
      </c>
      <c r="G18" s="218">
        <v>0</v>
      </c>
      <c r="H18" s="218">
        <v>0</v>
      </c>
      <c r="I18" s="218">
        <v>0</v>
      </c>
      <c r="J18" s="218">
        <v>22319712.061290741</v>
      </c>
      <c r="K18" s="218"/>
      <c r="L18" s="218"/>
      <c r="N18" s="243">
        <f>SUMIFS('APPENDIX 4 iii'!$B18:$L18,'APPENDIX 4 iii'!$B$5:$L$5,"*total*")-O18</f>
        <v>21718965.191030741</v>
      </c>
      <c r="O18" s="243">
        <f>SUMIFS('APPENDIX 4 i'!$B18:$K18,'APPENDIX 4 i'!$B$5:$K$5,"*reinsurance*")+
SUMIFS('APPENDIX 4 ii'!$B18:$K18,'APPENDIX 4 ii'!$B$5:$K$5,"*reinsurance*")+
SUMIFS('APPENDIX 4 iii'!$B18:$K18,'APPENDIX 4 iii'!$B$5:$K$5,"*reinsurance*")</f>
        <v>600746.87026</v>
      </c>
      <c r="Q18" s="243">
        <f>N18+_xlfn.XLOOKUP($B18,'APPENDIX  5 iv'!$B:$B,'APPENDIX  5 iv'!P:P,0,0)+_xlfn.XLOOKUP($B18,'APPENDIX 6'!$B:$B,'APPENDIX 6'!I:I,0,0)</f>
        <v>22830158.982608568</v>
      </c>
      <c r="R18" s="243">
        <f>O18+_xlfn.XLOOKUP($B18,'APPENDIX  5 iv'!$B:$B,'APPENDIX  5 iv'!Q:Q,0,0)+_xlfn.XLOOKUP($B18,'APPENDIX 6'!$B:$B,'APPENDIX 6'!J:J,0,0)</f>
        <v>2354916.3922600001</v>
      </c>
      <c r="S18" s="243">
        <f t="shared" si="0"/>
        <v>25185075.374868568</v>
      </c>
    </row>
    <row r="19" spans="2:19" ht="15" customHeight="1" x14ac:dyDescent="0.35">
      <c r="B19" s="222" t="s">
        <v>19</v>
      </c>
      <c r="C19" s="218">
        <v>1052629.886214504</v>
      </c>
      <c r="D19" s="218">
        <v>321283.97100999998</v>
      </c>
      <c r="E19" s="218">
        <v>41697.059000000001</v>
      </c>
      <c r="F19" s="218">
        <v>521923.7717799985</v>
      </c>
      <c r="G19" s="218">
        <v>0</v>
      </c>
      <c r="H19" s="218">
        <v>0</v>
      </c>
      <c r="I19" s="218">
        <v>0</v>
      </c>
      <c r="J19" s="218">
        <v>10147931.45348046</v>
      </c>
      <c r="K19" s="218"/>
      <c r="L19" s="218"/>
      <c r="N19" s="243">
        <f>SUMIFS('APPENDIX 4 iii'!$B19:$L19,'APPENDIX 4 iii'!$B$5:$L$5,"*total*")-O19</f>
        <v>10126853.759090459</v>
      </c>
      <c r="O19" s="243">
        <f>SUMIFS('APPENDIX 4 i'!$B19:$K19,'APPENDIX 4 i'!$B$5:$K$5,"*reinsurance*")+
SUMIFS('APPENDIX 4 ii'!$B19:$K19,'APPENDIX 4 ii'!$B$5:$K$5,"*reinsurance*")+
SUMIFS('APPENDIX 4 iii'!$B19:$K19,'APPENDIX 4 iii'!$B$5:$K$5,"*reinsurance*")</f>
        <v>21077.694390000001</v>
      </c>
      <c r="Q19" s="243">
        <f>N19+_xlfn.XLOOKUP($B19,'APPENDIX  5 iv'!$B:$B,'APPENDIX  5 iv'!P:P,0,0)+_xlfn.XLOOKUP($B19,'APPENDIX 6'!$B:$B,'APPENDIX 6'!I:I,0,0)</f>
        <v>29359081.052812763</v>
      </c>
      <c r="R19" s="243">
        <f>O19+_xlfn.XLOOKUP($B19,'APPENDIX  5 iv'!$B:$B,'APPENDIX  5 iv'!Q:Q,0,0)+_xlfn.XLOOKUP($B19,'APPENDIX 6'!$B:$B,'APPENDIX 6'!J:J,0,0)</f>
        <v>2976073.7512395573</v>
      </c>
      <c r="S19" s="243">
        <f t="shared" si="0"/>
        <v>32335154.804052319</v>
      </c>
    </row>
    <row r="20" spans="2:19" ht="15" customHeight="1" x14ac:dyDescent="0.35">
      <c r="B20" s="222" t="s">
        <v>20</v>
      </c>
      <c r="C20" s="218">
        <v>693153.93060999678</v>
      </c>
      <c r="D20" s="218">
        <v>116970.9590499976</v>
      </c>
      <c r="E20" s="218">
        <v>434959.53519309609</v>
      </c>
      <c r="F20" s="218">
        <v>449047.96080220438</v>
      </c>
      <c r="G20" s="218">
        <v>8683.0329999999994</v>
      </c>
      <c r="H20" s="218">
        <v>0</v>
      </c>
      <c r="I20" s="218">
        <v>0</v>
      </c>
      <c r="J20" s="218">
        <v>14109175.435124369</v>
      </c>
      <c r="K20" s="218"/>
      <c r="L20" s="218"/>
      <c r="N20" s="243">
        <f>SUMIFS('APPENDIX 4 iii'!$B20:$L20,'APPENDIX 4 iii'!$B$5:$L$5,"*total*")-O20</f>
        <v>14109175.435124369</v>
      </c>
      <c r="O20" s="243">
        <f>SUMIFS('APPENDIX 4 i'!$B20:$K20,'APPENDIX 4 i'!$B$5:$K$5,"*reinsurance*")+
SUMIFS('APPENDIX 4 ii'!$B20:$K20,'APPENDIX 4 ii'!$B$5:$K$5,"*reinsurance*")+
SUMIFS('APPENDIX 4 iii'!$B20:$K20,'APPENDIX 4 iii'!$B$5:$K$5,"*reinsurance*")</f>
        <v>1.192092895507813E-10</v>
      </c>
      <c r="Q20" s="243">
        <f>N20+_xlfn.XLOOKUP($B20,'APPENDIX  5 iv'!$B:$B,'APPENDIX  5 iv'!P:P,0,0)+_xlfn.XLOOKUP($B20,'APPENDIX 6'!$B:$B,'APPENDIX 6'!I:I,0,0)</f>
        <v>21317805.476718355</v>
      </c>
      <c r="R20" s="243">
        <f>O20+_xlfn.XLOOKUP($B20,'APPENDIX  5 iv'!$B:$B,'APPENDIX  5 iv'!Q:Q,0,0)+_xlfn.XLOOKUP($B20,'APPENDIX 6'!$B:$B,'APPENDIX 6'!J:J,0,0)</f>
        <v>763827.32395999879</v>
      </c>
      <c r="S20" s="243">
        <f t="shared" si="0"/>
        <v>22081632.800678354</v>
      </c>
    </row>
    <row r="21" spans="2:19" ht="15" customHeight="1" thickBot="1" x14ac:dyDescent="0.4">
      <c r="B21" s="223" t="s">
        <v>21</v>
      </c>
      <c r="C21" s="224">
        <v>31784005.457503371</v>
      </c>
      <c r="D21" s="224">
        <v>22598964.262914259</v>
      </c>
      <c r="E21" s="224">
        <v>7823446.5624530902</v>
      </c>
      <c r="F21" s="224">
        <v>39969834.78510341</v>
      </c>
      <c r="G21" s="224">
        <v>894716.46779794956</v>
      </c>
      <c r="H21" s="224">
        <v>0</v>
      </c>
      <c r="I21" s="224">
        <v>0</v>
      </c>
      <c r="J21" s="224">
        <v>1164708475.1447401</v>
      </c>
      <c r="K21" s="224"/>
      <c r="L21" s="224"/>
      <c r="N21" s="245">
        <f>SUMIFS('APPENDIX 4 iii'!$B21:$L21,'APPENDIX 4 iii'!$B$5:$L$5,"*total*")-O21</f>
        <v>1147404458.65382</v>
      </c>
      <c r="O21" s="245">
        <f>SUMIFS('APPENDIX 4 i'!$B21:$K21,'APPENDIX 4 i'!$B$5:$K$5,"*reinsurance*")+
SUMIFS('APPENDIX 4 ii'!$B21:$K21,'APPENDIX 4 ii'!$B$5:$K$5,"*reinsurance*")+
SUMIFS('APPENDIX 4 iii'!$B21:$K21,'APPENDIX 4 iii'!$B$5:$K$5,"*reinsurance*")</f>
        <v>17304016.490920171</v>
      </c>
      <c r="Q21" s="245">
        <f>N21+_xlfn.XLOOKUP($B21,'APPENDIX  5 iv'!$B:$B,'APPENDIX  5 iv'!P:P,0,0)+_xlfn.XLOOKUP($B21,'APPENDIX 6'!$B:$B,'APPENDIX 6'!I:I,0,0)</f>
        <v>1492680669.6665511</v>
      </c>
      <c r="R21" s="245">
        <f>O21+_xlfn.XLOOKUP($B21,'APPENDIX  5 iv'!$B:$B,'APPENDIX  5 iv'!Q:Q,0,0)+_xlfn.XLOOKUP($B21,'APPENDIX 6'!$B:$B,'APPENDIX 6'!J:J,0,0)</f>
        <v>115009458.04256295</v>
      </c>
      <c r="S21" s="245">
        <f t="shared" si="0"/>
        <v>1607690127.7091141</v>
      </c>
    </row>
    <row r="22" spans="2:19" ht="15" customHeight="1" thickTop="1" x14ac:dyDescent="0.35">
      <c r="B22" s="225" t="s">
        <v>22</v>
      </c>
      <c r="C22" s="228">
        <v>86314.013769999918</v>
      </c>
      <c r="D22" s="228">
        <v>29376.504000000001</v>
      </c>
      <c r="E22" s="228">
        <v>20555.59362</v>
      </c>
      <c r="F22" s="228">
        <v>0</v>
      </c>
      <c r="G22" s="228">
        <v>6861.7290000000003</v>
      </c>
      <c r="H22" s="228">
        <v>0</v>
      </c>
      <c r="I22" s="228">
        <v>0</v>
      </c>
      <c r="J22" s="228">
        <v>1068318.9560454071</v>
      </c>
      <c r="K22" s="228"/>
      <c r="L22" s="228"/>
      <c r="N22" s="243">
        <f>SUMIFS('APPENDIX 4 iii'!$B22:$L22,'APPENDIX 4 iii'!$B$5:$L$5,"*total*")-O22</f>
        <v>1068318.856045407</v>
      </c>
      <c r="O22" s="243">
        <f>SUMIFS('APPENDIX 4 i'!$B22:$K22,'APPENDIX 4 i'!$B$5:$K$5,"*reinsurance*")+
SUMIFS('APPENDIX 4 ii'!$B22:$K22,'APPENDIX 4 ii'!$B$5:$K$5,"*reinsurance*")+
SUMIFS('APPENDIX 4 iii'!$B22:$K22,'APPENDIX 4 iii'!$B$5:$K$5,"*reinsurance*")</f>
        <v>0.1</v>
      </c>
      <c r="Q22" s="243">
        <f>N22+_xlfn.XLOOKUP($B22,'APPENDIX  5 iv'!$B:$B,'APPENDIX  5 iv'!P:P,0,0)+_xlfn.XLOOKUP($B22,'APPENDIX 6'!$B:$B,'APPENDIX 6'!I:I,0,0)</f>
        <v>2356235.1468896805</v>
      </c>
      <c r="R22" s="243">
        <f>O22+_xlfn.XLOOKUP($B22,'APPENDIX  5 iv'!$B:$B,'APPENDIX  5 iv'!Q:Q,0,0)+_xlfn.XLOOKUP($B22,'APPENDIX 6'!$B:$B,'APPENDIX 6'!J:J,0,0)</f>
        <v>32630.57109999999</v>
      </c>
      <c r="S22" s="243">
        <f t="shared" si="0"/>
        <v>2388865.7179896804</v>
      </c>
    </row>
    <row r="23" spans="2:19" ht="15" customHeight="1" x14ac:dyDescent="0.35">
      <c r="B23" s="222" t="s">
        <v>23</v>
      </c>
      <c r="C23" s="218">
        <v>0</v>
      </c>
      <c r="D23" s="218">
        <v>0</v>
      </c>
      <c r="E23" s="218">
        <v>0</v>
      </c>
      <c r="F23" s="218">
        <v>0</v>
      </c>
      <c r="G23" s="218">
        <v>0</v>
      </c>
      <c r="H23" s="218">
        <v>0</v>
      </c>
      <c r="I23" s="218">
        <v>0</v>
      </c>
      <c r="J23" s="218">
        <v>2294533.5067004249</v>
      </c>
      <c r="K23" s="218"/>
      <c r="L23" s="218"/>
      <c r="N23" s="243">
        <f>SUMIFS('APPENDIX 4 iii'!$B23:$L23,'APPENDIX 4 iii'!$B$5:$L$5,"*total*")-O23</f>
        <v>2294533.5067004249</v>
      </c>
      <c r="O23" s="243">
        <f>SUMIFS('APPENDIX 4 i'!$B23:$K23,'APPENDIX 4 i'!$B$5:$K$5,"*reinsurance*")+
SUMIFS('APPENDIX 4 ii'!$B23:$K23,'APPENDIX 4 ii'!$B$5:$K$5,"*reinsurance*")+
SUMIFS('APPENDIX 4 iii'!$B23:$K23,'APPENDIX 4 iii'!$B$5:$K$5,"*reinsurance*")</f>
        <v>0</v>
      </c>
      <c r="Q23" s="243">
        <f>N23+_xlfn.XLOOKUP($B23,'APPENDIX  5 iv'!$B:$B,'APPENDIX  5 iv'!P:P,0,0)+_xlfn.XLOOKUP($B23,'APPENDIX 6'!$B:$B,'APPENDIX 6'!I:I,0,0)</f>
        <v>7808433.7933504265</v>
      </c>
      <c r="R23" s="243">
        <f>O23+_xlfn.XLOOKUP($B23,'APPENDIX  5 iv'!$B:$B,'APPENDIX  5 iv'!Q:Q,0,0)+_xlfn.XLOOKUP($B23,'APPENDIX 6'!$B:$B,'APPENDIX 6'!J:J,0,0)</f>
        <v>373870.418856</v>
      </c>
      <c r="S23" s="243">
        <f t="shared" si="0"/>
        <v>8182304.2122064261</v>
      </c>
    </row>
    <row r="24" spans="2:19" ht="15" customHeight="1" x14ac:dyDescent="0.35">
      <c r="B24" s="222" t="s">
        <v>24</v>
      </c>
      <c r="C24" s="218">
        <v>2364000</v>
      </c>
      <c r="D24" s="218">
        <v>1706200</v>
      </c>
      <c r="E24" s="218">
        <v>0</v>
      </c>
      <c r="F24" s="218">
        <v>2825000</v>
      </c>
      <c r="G24" s="218">
        <v>0</v>
      </c>
      <c r="H24" s="218">
        <v>0</v>
      </c>
      <c r="I24" s="218">
        <v>0</v>
      </c>
      <c r="J24" s="218">
        <v>55716300.276553608</v>
      </c>
      <c r="K24" s="218"/>
      <c r="L24" s="218"/>
      <c r="N24" s="243">
        <f>SUMIFS('APPENDIX 4 iii'!$B24:$L24,'APPENDIX 4 iii'!$B$5:$L$5,"*total*")-O24</f>
        <v>53795525.31055361</v>
      </c>
      <c r="O24" s="243">
        <f>SUMIFS('APPENDIX 4 i'!$B24:$K24,'APPENDIX 4 i'!$B$5:$K$5,"*reinsurance*")+
SUMIFS('APPENDIX 4 ii'!$B24:$K24,'APPENDIX 4 ii'!$B$5:$K$5,"*reinsurance*")+
SUMIFS('APPENDIX 4 iii'!$B24:$K24,'APPENDIX 4 iii'!$B$5:$K$5,"*reinsurance*")</f>
        <v>1920774.966</v>
      </c>
      <c r="Q24" s="243">
        <f>N24+_xlfn.XLOOKUP($B24,'APPENDIX  5 iv'!$B:$B,'APPENDIX  5 iv'!P:P,0,0)+_xlfn.XLOOKUP($B24,'APPENDIX 6'!$B:$B,'APPENDIX 6'!I:I,0,0)</f>
        <v>76373728.73671478</v>
      </c>
      <c r="R24" s="243">
        <f>O24+_xlfn.XLOOKUP($B24,'APPENDIX  5 iv'!$B:$B,'APPENDIX  5 iv'!Q:Q,0,0)+_xlfn.XLOOKUP($B24,'APPENDIX 6'!$B:$B,'APPENDIX 6'!J:J,0,0)</f>
        <v>14156848.950999999</v>
      </c>
      <c r="S24" s="243">
        <f t="shared" si="0"/>
        <v>90530577.687714785</v>
      </c>
    </row>
    <row r="25" spans="2:19" ht="15" customHeight="1" x14ac:dyDescent="0.35">
      <c r="B25" s="222" t="s">
        <v>25</v>
      </c>
      <c r="C25" s="218">
        <v>30989.118160000118</v>
      </c>
      <c r="D25" s="218">
        <v>43796.398496152091</v>
      </c>
      <c r="E25" s="218">
        <v>31069.286909999999</v>
      </c>
      <c r="F25" s="218">
        <v>81459.988990024402</v>
      </c>
      <c r="G25" s="218">
        <v>1561.1906100000001</v>
      </c>
      <c r="H25" s="218">
        <v>0</v>
      </c>
      <c r="I25" s="218">
        <v>0</v>
      </c>
      <c r="J25" s="218">
        <v>1138479.197942127</v>
      </c>
      <c r="K25" s="218"/>
      <c r="L25" s="218"/>
      <c r="N25" s="243">
        <f>SUMIFS('APPENDIX 4 iii'!$B25:$L25,'APPENDIX 4 iii'!$B$5:$L$5,"*total*")-O25</f>
        <v>1138479.197942127</v>
      </c>
      <c r="O25" s="243">
        <f>SUMIFS('APPENDIX 4 i'!$B25:$K25,'APPENDIX 4 i'!$B$5:$K$5,"*reinsurance*")+
SUMIFS('APPENDIX 4 ii'!$B25:$K25,'APPENDIX 4 ii'!$B$5:$K$5,"*reinsurance*")+
SUMIFS('APPENDIX 4 iii'!$B25:$K25,'APPENDIX 4 iii'!$B$5:$K$5,"*reinsurance*")</f>
        <v>0</v>
      </c>
      <c r="Q25" s="243">
        <f>N25+_xlfn.XLOOKUP($B25,'APPENDIX  5 iv'!$B:$B,'APPENDIX  5 iv'!P:P,0,0)+_xlfn.XLOOKUP($B25,'APPENDIX 6'!$B:$B,'APPENDIX 6'!I:I,0,0)</f>
        <v>2877760.2228466365</v>
      </c>
      <c r="R25" s="243">
        <f>O25+_xlfn.XLOOKUP($B25,'APPENDIX  5 iv'!$B:$B,'APPENDIX  5 iv'!Q:Q,0,0)+_xlfn.XLOOKUP($B25,'APPENDIX 6'!$B:$B,'APPENDIX 6'!J:J,0,0)</f>
        <v>133647.36240433648</v>
      </c>
      <c r="S25" s="243">
        <f t="shared" si="0"/>
        <v>3011407.5852509732</v>
      </c>
    </row>
    <row r="26" spans="2:19" ht="15" customHeight="1" x14ac:dyDescent="0.35">
      <c r="B26" s="222" t="s">
        <v>26</v>
      </c>
      <c r="C26" s="218">
        <v>17706729.883340009</v>
      </c>
      <c r="D26" s="218">
        <v>14142036.657030011</v>
      </c>
      <c r="E26" s="218">
        <v>6534088.9307856271</v>
      </c>
      <c r="F26" s="218">
        <v>34605390.044813357</v>
      </c>
      <c r="G26" s="218">
        <v>151307.46332336191</v>
      </c>
      <c r="H26" s="218">
        <v>0</v>
      </c>
      <c r="I26" s="218">
        <v>0</v>
      </c>
      <c r="J26" s="218">
        <v>871413407.00517225</v>
      </c>
      <c r="K26" s="218"/>
      <c r="L26" s="218"/>
      <c r="N26" s="243">
        <f>SUMIFS('APPENDIX 4 iii'!$B26:$L26,'APPENDIX 4 iii'!$B$5:$L$5,"*total*")-O26</f>
        <v>862647722.20095396</v>
      </c>
      <c r="O26" s="243">
        <f>SUMIFS('APPENDIX 4 i'!$B26:$K26,'APPENDIX 4 i'!$B$5:$K$5,"*reinsurance*")+
SUMIFS('APPENDIX 4 ii'!$B26:$K26,'APPENDIX 4 ii'!$B$5:$K$5,"*reinsurance*")+
SUMIFS('APPENDIX 4 iii'!$B26:$K26,'APPENDIX 4 iii'!$B$5:$K$5,"*reinsurance*")</f>
        <v>8765684.8042183351</v>
      </c>
      <c r="Q26" s="243">
        <f>N26+_xlfn.XLOOKUP($B26,'APPENDIX  5 iv'!$B:$B,'APPENDIX  5 iv'!P:P,0,0)+_xlfn.XLOOKUP($B26,'APPENDIX 6'!$B:$B,'APPENDIX 6'!I:I,0,0)</f>
        <v>987946487.54562068</v>
      </c>
      <c r="R26" s="243">
        <f>O26+_xlfn.XLOOKUP($B26,'APPENDIX  5 iv'!$B:$B,'APPENDIX  5 iv'!Q:Q,0,0)+_xlfn.XLOOKUP($B26,'APPENDIX 6'!$B:$B,'APPENDIX 6'!J:J,0,0)</f>
        <v>34376972.951515436</v>
      </c>
      <c r="S26" s="243">
        <f t="shared" si="0"/>
        <v>1022323460.4971361</v>
      </c>
    </row>
    <row r="27" spans="2:19" ht="15" customHeight="1" x14ac:dyDescent="0.35">
      <c r="B27" s="222" t="s">
        <v>27</v>
      </c>
      <c r="C27" s="218">
        <v>2570257.013629999</v>
      </c>
      <c r="D27" s="218">
        <v>0</v>
      </c>
      <c r="E27" s="218">
        <v>0</v>
      </c>
      <c r="F27" s="218">
        <v>0</v>
      </c>
      <c r="G27" s="218">
        <v>0</v>
      </c>
      <c r="H27" s="218">
        <v>0</v>
      </c>
      <c r="I27" s="218">
        <v>0</v>
      </c>
      <c r="J27" s="218">
        <v>28763570.615723401</v>
      </c>
      <c r="K27" s="218"/>
      <c r="L27" s="218"/>
      <c r="N27" s="243">
        <f>SUMIFS('APPENDIX 4 iii'!$B27:$L27,'APPENDIX 4 iii'!$B$5:$L$5,"*total*")-O27</f>
        <v>28763570.615723401</v>
      </c>
      <c r="O27" s="243">
        <f>SUMIFS('APPENDIX 4 i'!$B27:$K27,'APPENDIX 4 i'!$B$5:$K$5,"*reinsurance*")+
SUMIFS('APPENDIX 4 ii'!$B27:$K27,'APPENDIX 4 ii'!$B$5:$K$5,"*reinsurance*")+
SUMIFS('APPENDIX 4 iii'!$B27:$K27,'APPENDIX 4 iii'!$B$5:$K$5,"*reinsurance*")</f>
        <v>0</v>
      </c>
      <c r="Q27" s="243">
        <f>N27+_xlfn.XLOOKUP($B27,'APPENDIX  5 iv'!$B:$B,'APPENDIX  5 iv'!P:P,0,0)+_xlfn.XLOOKUP($B27,'APPENDIX 6'!$B:$B,'APPENDIX 6'!I:I,0,0)</f>
        <v>30230919.0509574</v>
      </c>
      <c r="R27" s="243">
        <f>O27+_xlfn.XLOOKUP($B27,'APPENDIX  5 iv'!$B:$B,'APPENDIX  5 iv'!Q:Q,0,0)+_xlfn.XLOOKUP($B27,'APPENDIX 6'!$B:$B,'APPENDIX 6'!J:J,0,0)</f>
        <v>284866.19400000002</v>
      </c>
      <c r="S27" s="243">
        <f t="shared" si="0"/>
        <v>30515785.244957399</v>
      </c>
    </row>
    <row r="28" spans="2:19" ht="15" customHeight="1" x14ac:dyDescent="0.35">
      <c r="B28" s="222" t="s">
        <v>28</v>
      </c>
      <c r="C28" s="218">
        <v>0</v>
      </c>
      <c r="D28" s="218">
        <v>0</v>
      </c>
      <c r="E28" s="218">
        <v>0</v>
      </c>
      <c r="F28" s="218">
        <v>0</v>
      </c>
      <c r="G28" s="218">
        <v>0</v>
      </c>
      <c r="H28" s="218">
        <v>0</v>
      </c>
      <c r="I28" s="218">
        <v>0</v>
      </c>
      <c r="J28" s="218">
        <v>2572959.4926900002</v>
      </c>
      <c r="K28" s="218"/>
      <c r="L28" s="218"/>
      <c r="N28" s="243">
        <f>SUMIFS('APPENDIX 4 iii'!$B28:$L28,'APPENDIX 4 iii'!$B$5:$L$5,"*total*")-O28</f>
        <v>2572959.4926900002</v>
      </c>
      <c r="O28" s="243">
        <f>SUMIFS('APPENDIX 4 i'!$B28:$K28,'APPENDIX 4 i'!$B$5:$K$5,"*reinsurance*")+
SUMIFS('APPENDIX 4 ii'!$B28:$K28,'APPENDIX 4 ii'!$B$5:$K$5,"*reinsurance*")+
SUMIFS('APPENDIX 4 iii'!$B28:$K28,'APPENDIX 4 iii'!$B$5:$K$5,"*reinsurance*")</f>
        <v>0</v>
      </c>
      <c r="Q28" s="243">
        <f>N28+_xlfn.XLOOKUP($B28,'APPENDIX  5 iv'!$B:$B,'APPENDIX  5 iv'!P:P,0,0)+_xlfn.XLOOKUP($B28,'APPENDIX 6'!$B:$B,'APPENDIX 6'!I:I,0,0)</f>
        <v>2624186.3106900002</v>
      </c>
      <c r="R28" s="243">
        <f>O28+_xlfn.XLOOKUP($B28,'APPENDIX  5 iv'!$B:$B,'APPENDIX  5 iv'!Q:Q,0,0)+_xlfn.XLOOKUP($B28,'APPENDIX 6'!$B:$B,'APPENDIX 6'!J:J,0,0)</f>
        <v>197995.97013999999</v>
      </c>
      <c r="S28" s="243">
        <f t="shared" si="0"/>
        <v>2822182.2808300001</v>
      </c>
    </row>
    <row r="29" spans="2:19" ht="15" customHeight="1" x14ac:dyDescent="0.35">
      <c r="B29" s="222" t="s">
        <v>29</v>
      </c>
      <c r="C29" s="218">
        <v>0</v>
      </c>
      <c r="D29" s="218">
        <v>0</v>
      </c>
      <c r="E29" s="218">
        <v>0</v>
      </c>
      <c r="F29" s="218">
        <v>0</v>
      </c>
      <c r="G29" s="218">
        <v>0</v>
      </c>
      <c r="H29" s="218">
        <v>0</v>
      </c>
      <c r="I29" s="218">
        <v>0</v>
      </c>
      <c r="J29" s="218">
        <v>13351318.874190761</v>
      </c>
      <c r="K29" s="218"/>
      <c r="L29" s="218"/>
      <c r="N29" s="243">
        <f>SUMIFS('APPENDIX 4 iii'!$B29:$L29,'APPENDIX 4 iii'!$B$5:$L$5,"*total*")-O29</f>
        <v>13351318.874190761</v>
      </c>
      <c r="O29" s="243">
        <f>SUMIFS('APPENDIX 4 i'!$B29:$K29,'APPENDIX 4 i'!$B$5:$K$5,"*reinsurance*")+
SUMIFS('APPENDIX 4 ii'!$B29:$K29,'APPENDIX 4 ii'!$B$5:$K$5,"*reinsurance*")+
SUMIFS('APPENDIX 4 iii'!$B29:$K29,'APPENDIX 4 iii'!$B$5:$K$5,"*reinsurance*")</f>
        <v>0</v>
      </c>
      <c r="Q29" s="243">
        <f>N29+_xlfn.XLOOKUP($B29,'APPENDIX  5 iv'!$B:$B,'APPENDIX  5 iv'!P:P,0,0)+_xlfn.XLOOKUP($B29,'APPENDIX 6'!$B:$B,'APPENDIX 6'!I:I,0,0)</f>
        <v>21100459.094000764</v>
      </c>
      <c r="R29" s="243">
        <f>O29+_xlfn.XLOOKUP($B29,'APPENDIX  5 iv'!$B:$B,'APPENDIX  5 iv'!Q:Q,0,0)+_xlfn.XLOOKUP($B29,'APPENDIX 6'!$B:$B,'APPENDIX 6'!J:J,0,0)</f>
        <v>13666501.635091949</v>
      </c>
      <c r="S29" s="243">
        <f t="shared" si="0"/>
        <v>34766960.729092717</v>
      </c>
    </row>
    <row r="30" spans="2:19" ht="15" customHeight="1" x14ac:dyDescent="0.35">
      <c r="B30" s="222" t="s">
        <v>30</v>
      </c>
      <c r="C30" s="218">
        <v>0</v>
      </c>
      <c r="D30" s="218">
        <v>0</v>
      </c>
      <c r="E30" s="218">
        <v>0</v>
      </c>
      <c r="F30" s="218">
        <v>0</v>
      </c>
      <c r="G30" s="218">
        <v>0</v>
      </c>
      <c r="H30" s="218">
        <v>0</v>
      </c>
      <c r="I30" s="218">
        <v>0</v>
      </c>
      <c r="J30" s="218">
        <v>4466207.1099300366</v>
      </c>
      <c r="K30" s="218"/>
      <c r="L30" s="218"/>
      <c r="N30" s="243">
        <f>SUMIFS('APPENDIX 4 iii'!$B30:$L30,'APPENDIX 4 iii'!$B$5:$L$5,"*total*")-O30</f>
        <v>4074577.472163571</v>
      </c>
      <c r="O30" s="243">
        <f>SUMIFS('APPENDIX 4 i'!$B30:$K30,'APPENDIX 4 i'!$B$5:$K$5,"*reinsurance*")+
SUMIFS('APPENDIX 4 ii'!$B30:$K30,'APPENDIX 4 ii'!$B$5:$K$5,"*reinsurance*")+
SUMIFS('APPENDIX 4 iii'!$B30:$K30,'APPENDIX 4 iii'!$B$5:$K$5,"*reinsurance*")</f>
        <v>391629.63776646578</v>
      </c>
      <c r="Q30" s="243">
        <f>N30+_xlfn.XLOOKUP($B30,'APPENDIX  5 iv'!$B:$B,'APPENDIX  5 iv'!P:P,0,0)+_xlfn.XLOOKUP($B30,'APPENDIX 6'!$B:$B,'APPENDIX 6'!I:I,0,0)</f>
        <v>5269681.6034239726</v>
      </c>
      <c r="R30" s="243">
        <f>O30+_xlfn.XLOOKUP($B30,'APPENDIX  5 iv'!$B:$B,'APPENDIX  5 iv'!Q:Q,0,0)+_xlfn.XLOOKUP($B30,'APPENDIX 6'!$B:$B,'APPENDIX 6'!J:J,0,0)</f>
        <v>1084446.5633635041</v>
      </c>
      <c r="S30" s="243">
        <f t="shared" si="0"/>
        <v>6354128.1667874772</v>
      </c>
    </row>
    <row r="31" spans="2:19" ht="15" customHeight="1" x14ac:dyDescent="0.35">
      <c r="B31" s="222" t="s">
        <v>31</v>
      </c>
      <c r="C31" s="218">
        <v>0</v>
      </c>
      <c r="D31" s="218">
        <v>0</v>
      </c>
      <c r="E31" s="218">
        <v>0</v>
      </c>
      <c r="F31" s="218">
        <v>0</v>
      </c>
      <c r="G31" s="218">
        <v>0</v>
      </c>
      <c r="H31" s="218">
        <v>0</v>
      </c>
      <c r="I31" s="218">
        <v>0</v>
      </c>
      <c r="J31" s="218">
        <v>71829.588675205479</v>
      </c>
      <c r="K31" s="218"/>
      <c r="L31" s="218"/>
      <c r="N31" s="243">
        <f>SUMIFS('APPENDIX 4 iii'!$B31:$L31,'APPENDIX 4 iii'!$B$5:$L$5,"*total*")-O31</f>
        <v>71829.588675205479</v>
      </c>
      <c r="O31" s="243">
        <f>SUMIFS('APPENDIX 4 i'!$B31:$K31,'APPENDIX 4 i'!$B$5:$K$5,"*reinsurance*")+
SUMIFS('APPENDIX 4 ii'!$B31:$K31,'APPENDIX 4 ii'!$B$5:$K$5,"*reinsurance*")+
SUMIFS('APPENDIX 4 iii'!$B31:$K31,'APPENDIX 4 iii'!$B$5:$K$5,"*reinsurance*")</f>
        <v>0</v>
      </c>
      <c r="Q31" s="243">
        <f>N31+_xlfn.XLOOKUP($B31,'APPENDIX  5 iv'!$B:$B,'APPENDIX  5 iv'!P:P,0,0)+_xlfn.XLOOKUP($B31,'APPENDIX 6'!$B:$B,'APPENDIX 6'!I:I,0,0)</f>
        <v>283866.93767520547</v>
      </c>
      <c r="R31" s="243">
        <f>O31+_xlfn.XLOOKUP($B31,'APPENDIX  5 iv'!$B:$B,'APPENDIX  5 iv'!Q:Q,0,0)+_xlfn.XLOOKUP($B31,'APPENDIX 6'!$B:$B,'APPENDIX 6'!J:J,0,0)</f>
        <v>0</v>
      </c>
      <c r="S31" s="243">
        <f t="shared" si="0"/>
        <v>283866.93767520547</v>
      </c>
    </row>
    <row r="32" spans="2:19" ht="15" customHeight="1" x14ac:dyDescent="0.35">
      <c r="B32" s="222" t="s">
        <v>32</v>
      </c>
      <c r="C32" s="218">
        <v>0</v>
      </c>
      <c r="D32" s="218">
        <v>0</v>
      </c>
      <c r="E32" s="218">
        <v>0</v>
      </c>
      <c r="F32" s="218">
        <v>0</v>
      </c>
      <c r="G32" s="218">
        <v>0</v>
      </c>
      <c r="H32" s="218">
        <v>0</v>
      </c>
      <c r="I32" s="218">
        <v>0</v>
      </c>
      <c r="J32" s="218">
        <v>0</v>
      </c>
      <c r="K32" s="218"/>
      <c r="L32" s="218"/>
      <c r="N32" s="243">
        <f>SUMIFS('APPENDIX 4 iii'!$B32:$L32,'APPENDIX 4 iii'!$B$5:$L$5,"*total*")-O32</f>
        <v>0</v>
      </c>
      <c r="O32" s="243">
        <f>SUMIFS('APPENDIX 4 i'!$B32:$K32,'APPENDIX 4 i'!$B$5:$K$5,"*reinsurance*")+
SUMIFS('APPENDIX 4 ii'!$B32:$K32,'APPENDIX 4 ii'!$B$5:$K$5,"*reinsurance*")+
SUMIFS('APPENDIX 4 iii'!$B32:$K32,'APPENDIX 4 iii'!$B$5:$K$5,"*reinsurance*")</f>
        <v>0</v>
      </c>
      <c r="Q32" s="243">
        <f>N32+_xlfn.XLOOKUP($B32,'APPENDIX  5 iv'!$B:$B,'APPENDIX  5 iv'!P:P,0,0)+_xlfn.XLOOKUP($B32,'APPENDIX 6'!$B:$B,'APPENDIX 6'!I:I,0,0)</f>
        <v>0</v>
      </c>
      <c r="R32" s="243">
        <f>O32+_xlfn.XLOOKUP($B32,'APPENDIX  5 iv'!$B:$B,'APPENDIX  5 iv'!Q:Q,0,0)+_xlfn.XLOOKUP($B32,'APPENDIX 6'!$B:$B,'APPENDIX 6'!J:J,0,0)</f>
        <v>0</v>
      </c>
      <c r="S32" s="243">
        <f t="shared" si="0"/>
        <v>0</v>
      </c>
    </row>
    <row r="33" spans="2:19" ht="15" customHeight="1" x14ac:dyDescent="0.35">
      <c r="B33" s="222" t="s">
        <v>33</v>
      </c>
      <c r="C33" s="218">
        <v>1144293.6278937999</v>
      </c>
      <c r="D33" s="218">
        <v>1114803.0674699999</v>
      </c>
      <c r="E33" s="218">
        <v>0</v>
      </c>
      <c r="F33" s="218">
        <v>0</v>
      </c>
      <c r="G33" s="218">
        <v>0</v>
      </c>
      <c r="H33" s="218">
        <v>0</v>
      </c>
      <c r="I33" s="218">
        <v>0</v>
      </c>
      <c r="J33" s="218">
        <v>38017924.099372908</v>
      </c>
      <c r="K33" s="218"/>
      <c r="L33" s="218"/>
      <c r="N33" s="243">
        <f>SUMIFS('APPENDIX 4 iii'!$B33:$L33,'APPENDIX 4 iii'!$B$5:$L$5,"*total*")-O33</f>
        <v>37652349.22075291</v>
      </c>
      <c r="O33" s="243">
        <f>SUMIFS('APPENDIX 4 i'!$B33:$K33,'APPENDIX 4 i'!$B$5:$K$5,"*reinsurance*")+
SUMIFS('APPENDIX 4 ii'!$B33:$K33,'APPENDIX 4 ii'!$B$5:$K$5,"*reinsurance*")+
SUMIFS('APPENDIX 4 iii'!$B33:$K33,'APPENDIX 4 iii'!$B$5:$K$5,"*reinsurance*")</f>
        <v>365574.87861999997</v>
      </c>
      <c r="Q33" s="243">
        <f>N33+_xlfn.XLOOKUP($B33,'APPENDIX  5 iv'!$B:$B,'APPENDIX  5 iv'!P:P,0,0)+_xlfn.XLOOKUP($B33,'APPENDIX 6'!$B:$B,'APPENDIX 6'!I:I,0,0)</f>
        <v>42443564.190340176</v>
      </c>
      <c r="R33" s="243">
        <f>O33+_xlfn.XLOOKUP($B33,'APPENDIX  5 iv'!$B:$B,'APPENDIX  5 iv'!Q:Q,0,0)+_xlfn.XLOOKUP($B33,'APPENDIX 6'!$B:$B,'APPENDIX 6'!J:J,0,0)</f>
        <v>6348933.0663918005</v>
      </c>
      <c r="S33" s="243">
        <f t="shared" si="0"/>
        <v>48792497.25673198</v>
      </c>
    </row>
    <row r="34" spans="2:19" ht="15" customHeight="1" x14ac:dyDescent="0.35">
      <c r="B34" s="222" t="s">
        <v>34</v>
      </c>
      <c r="C34" s="218">
        <v>720974.77027620014</v>
      </c>
      <c r="D34" s="218">
        <v>307597.75599999999</v>
      </c>
      <c r="E34" s="218">
        <v>0</v>
      </c>
      <c r="F34" s="218">
        <v>0</v>
      </c>
      <c r="G34" s="218">
        <v>0</v>
      </c>
      <c r="H34" s="218">
        <v>0</v>
      </c>
      <c r="I34" s="218">
        <v>0</v>
      </c>
      <c r="J34" s="218">
        <v>10675667.054156359</v>
      </c>
      <c r="K34" s="218"/>
      <c r="L34" s="218"/>
      <c r="N34" s="243">
        <f>SUMIFS('APPENDIX 4 iii'!$B34:$L34,'APPENDIX 4 iii'!$B$5:$L$5,"*total*")-O34</f>
        <v>10675667.054156359</v>
      </c>
      <c r="O34" s="243">
        <f>SUMIFS('APPENDIX 4 i'!$B34:$K34,'APPENDIX 4 i'!$B$5:$K$5,"*reinsurance*")+
SUMIFS('APPENDIX 4 ii'!$B34:$K34,'APPENDIX 4 ii'!$B$5:$K$5,"*reinsurance*")+
SUMIFS('APPENDIX 4 iii'!$B34:$K34,'APPENDIX 4 iii'!$B$5:$K$5,"*reinsurance*")</f>
        <v>0</v>
      </c>
      <c r="Q34" s="243">
        <f>N34+_xlfn.XLOOKUP($B34,'APPENDIX  5 iv'!$B:$B,'APPENDIX  5 iv'!P:P,0,0)+_xlfn.XLOOKUP($B34,'APPENDIX 6'!$B:$B,'APPENDIX 6'!I:I,0,0)</f>
        <v>13304905.877762657</v>
      </c>
      <c r="R34" s="243">
        <f>O34+_xlfn.XLOOKUP($B34,'APPENDIX  5 iv'!$B:$B,'APPENDIX  5 iv'!Q:Q,0,0)+_xlfn.XLOOKUP($B34,'APPENDIX 6'!$B:$B,'APPENDIX 6'!J:J,0,0)</f>
        <v>934712.10918999999</v>
      </c>
      <c r="S34" s="243">
        <f t="shared" si="0"/>
        <v>14239617.986952657</v>
      </c>
    </row>
    <row r="35" spans="2:19" ht="15" customHeight="1" x14ac:dyDescent="0.35">
      <c r="B35" s="222" t="s">
        <v>35</v>
      </c>
      <c r="C35" s="218">
        <v>0</v>
      </c>
      <c r="D35" s="218">
        <v>0</v>
      </c>
      <c r="E35" s="218">
        <v>0</v>
      </c>
      <c r="F35" s="218">
        <v>0</v>
      </c>
      <c r="G35" s="218">
        <v>0</v>
      </c>
      <c r="H35" s="218">
        <v>0</v>
      </c>
      <c r="I35" s="218">
        <v>0</v>
      </c>
      <c r="J35" s="218">
        <v>1222.5619999999999</v>
      </c>
      <c r="K35" s="218"/>
      <c r="L35" s="218"/>
      <c r="N35" s="243">
        <f>SUMIFS('APPENDIX 4 iii'!$B35:$L35,'APPENDIX 4 iii'!$B$5:$L$5,"*total*")-O35</f>
        <v>1222.5619999999999</v>
      </c>
      <c r="O35" s="243">
        <f>SUMIFS('APPENDIX 4 i'!$B35:$K35,'APPENDIX 4 i'!$B$5:$K$5,"*reinsurance*")+
SUMIFS('APPENDIX 4 ii'!$B35:$K35,'APPENDIX 4 ii'!$B$5:$K$5,"*reinsurance*")+
SUMIFS('APPENDIX 4 iii'!$B35:$K35,'APPENDIX 4 iii'!$B$5:$K$5,"*reinsurance*")</f>
        <v>0</v>
      </c>
      <c r="Q35" s="243">
        <f>N35+_xlfn.XLOOKUP($B35,'APPENDIX  5 iv'!$B:$B,'APPENDIX  5 iv'!P:P,0,0)+_xlfn.XLOOKUP($B35,'APPENDIX 6'!$B:$B,'APPENDIX 6'!I:I,0,0)</f>
        <v>1624.6619999999998</v>
      </c>
      <c r="R35" s="243">
        <f>O35+_xlfn.XLOOKUP($B35,'APPENDIX  5 iv'!$B:$B,'APPENDIX  5 iv'!Q:Q,0,0)+_xlfn.XLOOKUP($B35,'APPENDIX 6'!$B:$B,'APPENDIX 6'!J:J,0,0)</f>
        <v>80.78</v>
      </c>
      <c r="S35" s="243">
        <f t="shared" si="0"/>
        <v>1705.4419999999998</v>
      </c>
    </row>
    <row r="36" spans="2:19" ht="15" customHeight="1" x14ac:dyDescent="0.35">
      <c r="B36" s="222" t="s">
        <v>36</v>
      </c>
      <c r="C36" s="218">
        <v>0</v>
      </c>
      <c r="D36" s="218">
        <v>0</v>
      </c>
      <c r="E36" s="218">
        <v>0</v>
      </c>
      <c r="F36" s="218">
        <v>0</v>
      </c>
      <c r="G36" s="218">
        <v>0</v>
      </c>
      <c r="H36" s="218">
        <v>0</v>
      </c>
      <c r="I36" s="218">
        <v>0</v>
      </c>
      <c r="J36" s="218">
        <v>1202622.0789999999</v>
      </c>
      <c r="K36" s="218"/>
      <c r="L36" s="218"/>
      <c r="N36" s="243">
        <f>SUMIFS('APPENDIX 4 iii'!$B36:$L36,'APPENDIX 4 iii'!$B$5:$L$5,"*total*")-O36</f>
        <v>1202622.0789999999</v>
      </c>
      <c r="O36" s="243">
        <f>SUMIFS('APPENDIX 4 i'!$B36:$K36,'APPENDIX 4 i'!$B$5:$K$5,"*reinsurance*")+
SUMIFS('APPENDIX 4 ii'!$B36:$K36,'APPENDIX 4 ii'!$B$5:$K$5,"*reinsurance*")+
SUMIFS('APPENDIX 4 iii'!$B36:$K36,'APPENDIX 4 iii'!$B$5:$K$5,"*reinsurance*")</f>
        <v>0</v>
      </c>
      <c r="Q36" s="243">
        <f>N36+_xlfn.XLOOKUP($B36,'APPENDIX  5 iv'!$B:$B,'APPENDIX  5 iv'!P:P,0,0)+_xlfn.XLOOKUP($B36,'APPENDIX 6'!$B:$B,'APPENDIX 6'!I:I,0,0)</f>
        <v>1202622.0789999999</v>
      </c>
      <c r="R36" s="243">
        <f>O36+_xlfn.XLOOKUP($B36,'APPENDIX  5 iv'!$B:$B,'APPENDIX  5 iv'!Q:Q,0,0)+_xlfn.XLOOKUP($B36,'APPENDIX 6'!$B:$B,'APPENDIX 6'!J:J,0,0)</f>
        <v>0</v>
      </c>
      <c r="S36" s="243">
        <f t="shared" si="0"/>
        <v>1202622.0789999999</v>
      </c>
    </row>
    <row r="37" spans="2:19" ht="15" customHeight="1" x14ac:dyDescent="0.35">
      <c r="B37" s="222" t="s">
        <v>37</v>
      </c>
      <c r="C37" s="218">
        <v>44933.682999999997</v>
      </c>
      <c r="D37" s="218">
        <v>523324.86599999998</v>
      </c>
      <c r="E37" s="218">
        <v>4391.4763899999998</v>
      </c>
      <c r="F37" s="218">
        <v>0</v>
      </c>
      <c r="G37" s="218">
        <v>0</v>
      </c>
      <c r="H37" s="218">
        <v>0</v>
      </c>
      <c r="I37" s="218">
        <v>0</v>
      </c>
      <c r="J37" s="218">
        <v>3591329.7818578142</v>
      </c>
      <c r="K37" s="218"/>
      <c r="L37" s="218"/>
      <c r="N37" s="243">
        <f>SUMIFS('APPENDIX 4 iii'!$B37:$L37,'APPENDIX 4 iii'!$B$5:$L$5,"*total*")-O37</f>
        <v>3591329.7818578142</v>
      </c>
      <c r="O37" s="243">
        <f>SUMIFS('APPENDIX 4 i'!$B37:$K37,'APPENDIX 4 i'!$B$5:$K$5,"*reinsurance*")+
SUMIFS('APPENDIX 4 ii'!$B37:$K37,'APPENDIX 4 ii'!$B$5:$K$5,"*reinsurance*")+
SUMIFS('APPENDIX 4 iii'!$B37:$K37,'APPENDIX 4 iii'!$B$5:$K$5,"*reinsurance*")</f>
        <v>0</v>
      </c>
      <c r="Q37" s="243">
        <f>N37+_xlfn.XLOOKUP($B37,'APPENDIX  5 iv'!$B:$B,'APPENDIX  5 iv'!P:P,0,0)+_xlfn.XLOOKUP($B37,'APPENDIX 6'!$B:$B,'APPENDIX 6'!I:I,0,0)</f>
        <v>6757210.0210594069</v>
      </c>
      <c r="R37" s="243">
        <f>O37+_xlfn.XLOOKUP($B37,'APPENDIX  5 iv'!$B:$B,'APPENDIX  5 iv'!Q:Q,0,0)+_xlfn.XLOOKUP($B37,'APPENDIX 6'!$B:$B,'APPENDIX 6'!J:J,0,0)</f>
        <v>49695.772270000001</v>
      </c>
      <c r="S37" s="243">
        <f t="shared" si="0"/>
        <v>6806905.7933294065</v>
      </c>
    </row>
    <row r="38" spans="2:19" ht="15" customHeight="1" x14ac:dyDescent="0.35">
      <c r="B38" s="222" t="s">
        <v>38</v>
      </c>
      <c r="C38" s="218">
        <v>0</v>
      </c>
      <c r="D38" s="218">
        <v>0</v>
      </c>
      <c r="E38" s="218">
        <v>0</v>
      </c>
      <c r="F38" s="218">
        <v>45547.462340000013</v>
      </c>
      <c r="G38" s="218">
        <v>0</v>
      </c>
      <c r="H38" s="218">
        <v>0</v>
      </c>
      <c r="I38" s="218">
        <v>0</v>
      </c>
      <c r="J38" s="218">
        <v>1822977.83195</v>
      </c>
      <c r="K38" s="218"/>
      <c r="L38" s="218"/>
      <c r="N38" s="243">
        <f>SUMIFS('APPENDIX 4 iii'!$B38:$L38,'APPENDIX 4 iii'!$B$5:$L$5,"*total*")-O38</f>
        <v>1822977.83195</v>
      </c>
      <c r="O38" s="243">
        <f>SUMIFS('APPENDIX 4 i'!$B38:$K38,'APPENDIX 4 i'!$B$5:$K$5,"*reinsurance*")+
SUMIFS('APPENDIX 4 ii'!$B38:$K38,'APPENDIX 4 ii'!$B$5:$K$5,"*reinsurance*")+
SUMIFS('APPENDIX 4 iii'!$B38:$K38,'APPENDIX 4 iii'!$B$5:$K$5,"*reinsurance*")</f>
        <v>0</v>
      </c>
      <c r="Q38" s="243">
        <f>N38+_xlfn.XLOOKUP($B38,'APPENDIX  5 iv'!$B:$B,'APPENDIX  5 iv'!P:P,0,0)+_xlfn.XLOOKUP($B38,'APPENDIX 6'!$B:$B,'APPENDIX 6'!I:I,0,0)</f>
        <v>2117149.38325</v>
      </c>
      <c r="R38" s="243">
        <f>O38+_xlfn.XLOOKUP($B38,'APPENDIX  5 iv'!$B:$B,'APPENDIX  5 iv'!Q:Q,0,0)+_xlfn.XLOOKUP($B38,'APPENDIX 6'!$B:$B,'APPENDIX 6'!J:J,0,0)</f>
        <v>1003295.18953</v>
      </c>
      <c r="S38" s="243">
        <f t="shared" si="0"/>
        <v>3120444.57278</v>
      </c>
    </row>
    <row r="39" spans="2:19" ht="15" customHeight="1" x14ac:dyDescent="0.35">
      <c r="B39" s="222" t="s">
        <v>39</v>
      </c>
      <c r="C39" s="218">
        <v>2787626.0936500002</v>
      </c>
      <c r="D39" s="218">
        <v>861729.30045475706</v>
      </c>
      <c r="E39" s="218">
        <v>624882.07390192093</v>
      </c>
      <c r="F39" s="218">
        <v>1184076.141255205</v>
      </c>
      <c r="G39" s="218">
        <v>8031.308</v>
      </c>
      <c r="H39" s="218">
        <v>0</v>
      </c>
      <c r="I39" s="218">
        <v>0</v>
      </c>
      <c r="J39" s="218">
        <v>79441414.055805504</v>
      </c>
      <c r="K39" s="218"/>
      <c r="L39" s="218"/>
      <c r="N39" s="243">
        <f>SUMIFS('APPENDIX 4 iii'!$B39:$L39,'APPENDIX 4 iii'!$B$5:$L$5,"*total*")-O39</f>
        <v>75321436.39463672</v>
      </c>
      <c r="O39" s="243">
        <f>SUMIFS('APPENDIX 4 i'!$B39:$K39,'APPENDIX 4 i'!$B$5:$K$5,"*reinsurance*")+
SUMIFS('APPENDIX 4 ii'!$B39:$K39,'APPENDIX 4 ii'!$B$5:$K$5,"*reinsurance*")+
SUMIFS('APPENDIX 4 iii'!$B39:$K39,'APPENDIX 4 iii'!$B$5:$K$5,"*reinsurance*")</f>
        <v>4119977.6611687858</v>
      </c>
      <c r="Q39" s="243">
        <f>N39+_xlfn.XLOOKUP($B39,'APPENDIX  5 iv'!$B:$B,'APPENDIX  5 iv'!P:P,0,0)+_xlfn.XLOOKUP($B39,'APPENDIX 6'!$B:$B,'APPENDIX 6'!I:I,0,0)</f>
        <v>112841960.39385468</v>
      </c>
      <c r="R39" s="243">
        <f>O39+_xlfn.XLOOKUP($B39,'APPENDIX  5 iv'!$B:$B,'APPENDIX  5 iv'!Q:Q,0,0)+_xlfn.XLOOKUP($B39,'APPENDIX 6'!$B:$B,'APPENDIX 6'!J:J,0,0)</f>
        <v>13109835.477111317</v>
      </c>
      <c r="S39" s="243">
        <f t="shared" si="0"/>
        <v>125951795.87096599</v>
      </c>
    </row>
    <row r="40" spans="2:19" ht="15" customHeight="1" x14ac:dyDescent="0.35">
      <c r="B40" s="222" t="s">
        <v>40</v>
      </c>
      <c r="C40" s="218">
        <v>656728.65198000008</v>
      </c>
      <c r="D40" s="218">
        <v>44911.508000000002</v>
      </c>
      <c r="E40" s="218">
        <v>252769.00023999999</v>
      </c>
      <c r="F40" s="218">
        <v>462515.54913000012</v>
      </c>
      <c r="G40" s="218">
        <v>20359.401999999998</v>
      </c>
      <c r="H40" s="218">
        <v>0</v>
      </c>
      <c r="I40" s="218">
        <v>0</v>
      </c>
      <c r="J40" s="218">
        <v>8417013.7594542298</v>
      </c>
      <c r="K40" s="218"/>
      <c r="L40" s="218"/>
      <c r="N40" s="243">
        <f>SUMIFS('APPENDIX 4 iii'!$B40:$L40,'APPENDIX 4 iii'!$B$5:$L$5,"*total*")-O40</f>
        <v>8331331.6790242298</v>
      </c>
      <c r="O40" s="243">
        <f>SUMIFS('APPENDIX 4 i'!$B40:$K40,'APPENDIX 4 i'!$B$5:$K$5,"*reinsurance*")+
SUMIFS('APPENDIX 4 ii'!$B40:$K40,'APPENDIX 4 ii'!$B$5:$K$5,"*reinsurance*")+
SUMIFS('APPENDIX 4 iii'!$B40:$K40,'APPENDIX 4 iii'!$B$5:$K$5,"*reinsurance*")</f>
        <v>85682.080429999987</v>
      </c>
      <c r="Q40" s="243">
        <f>N40+_xlfn.XLOOKUP($B40,'APPENDIX  5 iv'!$B:$B,'APPENDIX  5 iv'!P:P,0,0)+_xlfn.XLOOKUP($B40,'APPENDIX 6'!$B:$B,'APPENDIX 6'!I:I,0,0)</f>
        <v>16209857.095508361</v>
      </c>
      <c r="R40" s="243">
        <f>O40+_xlfn.XLOOKUP($B40,'APPENDIX  5 iv'!$B:$B,'APPENDIX  5 iv'!Q:Q,0,0)+_xlfn.XLOOKUP($B40,'APPENDIX 6'!$B:$B,'APPENDIX 6'!J:J,0,0)</f>
        <v>1372917.6339</v>
      </c>
      <c r="S40" s="243">
        <f t="shared" si="0"/>
        <v>17582774.729408361</v>
      </c>
    </row>
    <row r="41" spans="2:19" ht="15" customHeight="1" x14ac:dyDescent="0.35">
      <c r="B41" s="222" t="s">
        <v>41</v>
      </c>
      <c r="C41" s="218">
        <v>0</v>
      </c>
      <c r="D41" s="218">
        <v>0</v>
      </c>
      <c r="E41" s="218">
        <v>66558.85993979621</v>
      </c>
      <c r="F41" s="218">
        <v>0</v>
      </c>
      <c r="G41" s="218">
        <v>0</v>
      </c>
      <c r="H41" s="218">
        <v>0</v>
      </c>
      <c r="I41" s="218">
        <v>0</v>
      </c>
      <c r="J41" s="218">
        <v>298844.95193979621</v>
      </c>
      <c r="K41" s="218"/>
      <c r="L41" s="218"/>
      <c r="N41" s="243">
        <f>SUMIFS('APPENDIX 4 iii'!$B41:$L41,'APPENDIX 4 iii'!$B$5:$L$5,"*total*")-O41</f>
        <v>298844.95193979621</v>
      </c>
      <c r="O41" s="243">
        <f>SUMIFS('APPENDIX 4 i'!$B41:$K41,'APPENDIX 4 i'!$B$5:$K$5,"*reinsurance*")+
SUMIFS('APPENDIX 4 ii'!$B41:$K41,'APPENDIX 4 ii'!$B$5:$K$5,"*reinsurance*")+
SUMIFS('APPENDIX 4 iii'!$B41:$K41,'APPENDIX 4 iii'!$B$5:$K$5,"*reinsurance*")</f>
        <v>0</v>
      </c>
      <c r="Q41" s="243">
        <f>N41+_xlfn.XLOOKUP($B41,'APPENDIX  5 iv'!$B:$B,'APPENDIX  5 iv'!P:P,0,0)+_xlfn.XLOOKUP($B41,'APPENDIX 6'!$B:$B,'APPENDIX 6'!I:I,0,0)</f>
        <v>2068739.5800696539</v>
      </c>
      <c r="R41" s="243">
        <f>O41+_xlfn.XLOOKUP($B41,'APPENDIX  5 iv'!$B:$B,'APPENDIX  5 iv'!Q:Q,0,0)+_xlfn.XLOOKUP($B41,'APPENDIX 6'!$B:$B,'APPENDIX 6'!J:J,0,0)</f>
        <v>0</v>
      </c>
      <c r="S41" s="243">
        <f t="shared" si="0"/>
        <v>2068739.5800696539</v>
      </c>
    </row>
    <row r="42" spans="2:19" ht="15" customHeight="1" x14ac:dyDescent="0.35">
      <c r="B42" s="222" t="s">
        <v>42</v>
      </c>
      <c r="C42" s="218">
        <v>1361655.659</v>
      </c>
      <c r="D42" s="218">
        <v>278568.71002073662</v>
      </c>
      <c r="E42" s="218">
        <v>93136.533889676677</v>
      </c>
      <c r="F42" s="218">
        <v>548890.50931999995</v>
      </c>
      <c r="G42" s="218">
        <v>432.16015286631341</v>
      </c>
      <c r="H42" s="218">
        <v>0</v>
      </c>
      <c r="I42" s="218">
        <v>0</v>
      </c>
      <c r="J42" s="218">
        <v>11705575.442457341</v>
      </c>
      <c r="K42" s="218"/>
      <c r="L42" s="218"/>
      <c r="N42" s="243">
        <f>SUMIFS('APPENDIX 4 iii'!$B42:$L42,'APPENDIX 4 iii'!$B$5:$L$5,"*total*")-O42</f>
        <v>11460122.273650192</v>
      </c>
      <c r="O42" s="243">
        <f>SUMIFS('APPENDIX 4 i'!$B42:$K42,'APPENDIX 4 i'!$B$5:$K$5,"*reinsurance*")+
SUMIFS('APPENDIX 4 ii'!$B42:$K42,'APPENDIX 4 ii'!$B$5:$K$5,"*reinsurance*")+
SUMIFS('APPENDIX 4 iii'!$B42:$K42,'APPENDIX 4 iii'!$B$5:$K$5,"*reinsurance*")</f>
        <v>245453.16880714812</v>
      </c>
      <c r="Q42" s="243">
        <f>N42+_xlfn.XLOOKUP($B42,'APPENDIX  5 iv'!$B:$B,'APPENDIX  5 iv'!P:P,0,0)+_xlfn.XLOOKUP($B42,'APPENDIX 6'!$B:$B,'APPENDIX 6'!I:I,0,0)</f>
        <v>75490177.896353364</v>
      </c>
      <c r="R42" s="243">
        <f>O42+_xlfn.XLOOKUP($B42,'APPENDIX  5 iv'!$B:$B,'APPENDIX  5 iv'!Q:Q,0,0)+_xlfn.XLOOKUP($B42,'APPENDIX 6'!$B:$B,'APPENDIX 6'!J:J,0,0)</f>
        <v>5270482.5786174955</v>
      </c>
      <c r="S42" s="243">
        <f t="shared" si="0"/>
        <v>80760660.474970862</v>
      </c>
    </row>
    <row r="43" spans="2:19" ht="15" customHeight="1" x14ac:dyDescent="0.35">
      <c r="B43" s="222" t="s">
        <v>43</v>
      </c>
      <c r="C43" s="218">
        <v>1099804.9106699999</v>
      </c>
      <c r="D43" s="218">
        <v>7105.7250000000004</v>
      </c>
      <c r="E43" s="218">
        <v>90399.508154926545</v>
      </c>
      <c r="F43" s="218">
        <v>181080.72927759081</v>
      </c>
      <c r="G43" s="218">
        <v>706163.21447999997</v>
      </c>
      <c r="H43" s="218">
        <v>0</v>
      </c>
      <c r="I43" s="218">
        <v>0</v>
      </c>
      <c r="J43" s="218">
        <v>16024156.459956819</v>
      </c>
      <c r="K43" s="218"/>
      <c r="L43" s="218"/>
      <c r="N43" s="243">
        <f>SUMIFS('APPENDIX 4 iii'!$B43:$L43,'APPENDIX 4 iii'!$B$5:$L$5,"*total*")-O43</f>
        <v>14909348.89024717</v>
      </c>
      <c r="O43" s="243">
        <f>SUMIFS('APPENDIX 4 i'!$B43:$K43,'APPENDIX 4 i'!$B$5:$K$5,"*reinsurance*")+
SUMIFS('APPENDIX 4 ii'!$B43:$K43,'APPENDIX 4 ii'!$B$5:$K$5,"*reinsurance*")+
SUMIFS('APPENDIX 4 iii'!$B43:$K43,'APPENDIX 4 iii'!$B$5:$K$5,"*reinsurance*")</f>
        <v>1114807.5697096484</v>
      </c>
      <c r="Q43" s="243">
        <f>N43+_xlfn.XLOOKUP($B43,'APPENDIX  5 iv'!$B:$B,'APPENDIX  5 iv'!P:P,0,0)+_xlfn.XLOOKUP($B43,'APPENDIX 6'!$B:$B,'APPENDIX 6'!I:I,0,0)</f>
        <v>59148193.520320408</v>
      </c>
      <c r="R43" s="243">
        <f>O43+_xlfn.XLOOKUP($B43,'APPENDIX  5 iv'!$B:$B,'APPENDIX  5 iv'!Q:Q,0,0)+_xlfn.XLOOKUP($B43,'APPENDIX 6'!$B:$B,'APPENDIX 6'!J:J,0,0)</f>
        <v>13577182.414706428</v>
      </c>
      <c r="S43" s="243">
        <f t="shared" si="0"/>
        <v>72725375.935026839</v>
      </c>
    </row>
    <row r="44" spans="2:19" ht="15" customHeight="1" x14ac:dyDescent="0.35">
      <c r="B44" s="222" t="s">
        <v>44</v>
      </c>
      <c r="C44" s="218">
        <v>1209698.0321333669</v>
      </c>
      <c r="D44" s="218">
        <v>3539513.7706592642</v>
      </c>
      <c r="E44" s="218">
        <v>105595.2986211433</v>
      </c>
      <c r="F44" s="218">
        <v>35874.360289999997</v>
      </c>
      <c r="G44" s="218">
        <v>0</v>
      </c>
      <c r="H44" s="218">
        <v>0</v>
      </c>
      <c r="I44" s="218">
        <v>0</v>
      </c>
      <c r="J44" s="218">
        <v>12652802.441544371</v>
      </c>
      <c r="K44" s="218"/>
      <c r="L44" s="218"/>
      <c r="N44" s="263">
        <f>SUMIFS('APPENDIX 4 iii'!$B44:$L44,'APPENDIX 4 iii'!$B$5:$L$5,"*total*")-O44</f>
        <v>12358370.817238912</v>
      </c>
      <c r="O44" s="243">
        <f>SUMIFS('APPENDIX 4 i'!$B44:$K44,'APPENDIX 4 i'!$B$5:$K$5,"*reinsurance*")+
SUMIFS('APPENDIX 4 ii'!$B44:$K44,'APPENDIX 4 ii'!$B$5:$K$5,"*reinsurance*")+
SUMIFS('APPENDIX 4 iii'!$B44:$K44,'APPENDIX 4 iii'!$B$5:$K$5,"*reinsurance*")</f>
        <v>294431.62430545798</v>
      </c>
      <c r="Q44" s="243">
        <f>N44+_xlfn.XLOOKUP($B44,'APPENDIX  5 iv'!$B:$B,'APPENDIX  5 iv'!P:P,0,0)+_xlfn.XLOOKUP($B44,'APPENDIX 6'!$B:$B,'APPENDIX 6'!I:I,0,0)</f>
        <v>26970567.087911282</v>
      </c>
      <c r="R44" s="243">
        <f>O44+_xlfn.XLOOKUP($B44,'APPENDIX  5 iv'!$B:$B,'APPENDIX  5 iv'!Q:Q,0,0)+_xlfn.XLOOKUP($B44,'APPENDIX 6'!$B:$B,'APPENDIX 6'!J:J,0,0)</f>
        <v>6286881.8410242898</v>
      </c>
      <c r="S44" s="243">
        <f t="shared" si="0"/>
        <v>33257448.928935573</v>
      </c>
    </row>
    <row r="45" spans="2:19" ht="15" customHeight="1" thickBot="1" x14ac:dyDescent="0.4">
      <c r="B45" s="223" t="s">
        <v>45</v>
      </c>
      <c r="C45" s="224">
        <v>31784005.457503371</v>
      </c>
      <c r="D45" s="224">
        <v>22598964.263130918</v>
      </c>
      <c r="E45" s="224">
        <v>7823446.5624530921</v>
      </c>
      <c r="F45" s="224">
        <v>39969834.785416178</v>
      </c>
      <c r="G45" s="224">
        <v>894716.46756622824</v>
      </c>
      <c r="H45" s="224">
        <v>0</v>
      </c>
      <c r="I45" s="224">
        <v>0</v>
      </c>
      <c r="J45" s="224">
        <v>1164708475.1431179</v>
      </c>
      <c r="K45" s="224"/>
      <c r="L45" s="224"/>
      <c r="N45" s="246">
        <f>SUMIFS('APPENDIX 4 iii'!$B45:$L45,'APPENDIX 4 iii'!$B$5:$L$5,"*total*")-O45</f>
        <v>1147404458.652092</v>
      </c>
      <c r="O45" s="246">
        <f>SUMIFS('APPENDIX 4 i'!$B45:$K45,'APPENDIX 4 i'!$B$5:$K$5,"*reinsurance*")+
SUMIFS('APPENDIX 4 ii'!$B45:$K45,'APPENDIX 4 ii'!$B$5:$K$5,"*reinsurance*")+
SUMIFS('APPENDIX 4 iii'!$B45:$K45,'APPENDIX 4 iii'!$B$5:$K$5,"*reinsurance*")</f>
        <v>17304016.491025843</v>
      </c>
      <c r="Q45" s="246">
        <f>N45+_xlfn.XLOOKUP($B45,'APPENDIX  5 iv'!$B:$B,'APPENDIX  5 iv'!P:P,0,0)+_xlfn.XLOOKUP($B45,'APPENDIX 6'!$B:$B,'APPENDIX 6'!I:I,0,0)</f>
        <v>1492680669.6664698</v>
      </c>
      <c r="R45" s="246">
        <f>O45+_xlfn.XLOOKUP($B45,'APPENDIX  5 iv'!$B:$B,'APPENDIX  5 iv'!Q:Q,0,0)+_xlfn.XLOOKUP($B45,'APPENDIX 6'!$B:$B,'APPENDIX 6'!J:J,0,0)</f>
        <v>115009458.04334179</v>
      </c>
      <c r="S45" s="246">
        <f t="shared" si="0"/>
        <v>1607690127.7098117</v>
      </c>
    </row>
    <row r="46" spans="2:19" ht="15" customHeight="1" thickTop="1" x14ac:dyDescent="0.35">
      <c r="B46" s="331" t="s">
        <v>174</v>
      </c>
      <c r="C46" s="335"/>
      <c r="D46" s="339"/>
      <c r="E46" s="332"/>
      <c r="F46" s="332"/>
      <c r="G46" s="332"/>
      <c r="H46" s="332"/>
      <c r="I46" s="332"/>
      <c r="J46" s="332"/>
      <c r="K46" s="332"/>
      <c r="L46" s="340"/>
      <c r="Q46" s="95"/>
      <c r="R46" s="95"/>
      <c r="S46" s="95"/>
    </row>
    <row r="47" spans="2:19" ht="15" customHeight="1" x14ac:dyDescent="0.35">
      <c r="E47" s="229"/>
      <c r="F47" s="229"/>
      <c r="G47" s="229"/>
      <c r="H47" s="229"/>
      <c r="I47" s="229"/>
      <c r="J47" s="229"/>
      <c r="K47" s="229"/>
      <c r="L47" s="229"/>
      <c r="N47" s="95"/>
      <c r="O47" s="95"/>
      <c r="Q47" s="95"/>
      <c r="R47" s="95"/>
      <c r="S47" s="95"/>
    </row>
    <row r="49" spans="12:22" ht="15" customHeight="1" x14ac:dyDescent="0.35">
      <c r="L49" s="230"/>
      <c r="N49" s="247">
        <f>N45-N42-N41-N43-N44-N40-N25-N22-N23</f>
        <v>1095545108.4793038</v>
      </c>
      <c r="O49" s="247">
        <f>O45-O42-O41-O43-O44-O40-O25-O22-O23</f>
        <v>15563641.947773589</v>
      </c>
      <c r="Q49" s="247">
        <f>Q45-Q42-Q41-Q43-Q44-Q40-Q25-Q22-Q23</f>
        <v>1299750705.3232198</v>
      </c>
      <c r="R49" s="247">
        <f>R45-R42-R41-R43-R44-R40-R25-R22-R23</f>
        <v>87961845.222733244</v>
      </c>
      <c r="S49" s="247">
        <f>S45-S42-S41-S43-S44-S40-S25-S22-S23</f>
        <v>1387712550.5459538</v>
      </c>
    </row>
    <row r="50" spans="12:22" ht="15" customHeight="1" x14ac:dyDescent="0.35">
      <c r="N50" s="336" t="s">
        <v>181</v>
      </c>
      <c r="O50" s="308"/>
      <c r="P50" s="336" t="s">
        <v>182</v>
      </c>
      <c r="Q50" s="308"/>
      <c r="R50" s="248" t="s">
        <v>183</v>
      </c>
      <c r="S50" s="336" t="s">
        <v>177</v>
      </c>
      <c r="T50" s="308"/>
      <c r="U50" s="308"/>
    </row>
    <row r="51" spans="12:22" ht="15" customHeight="1" x14ac:dyDescent="0.35">
      <c r="N51" s="249" t="s">
        <v>178</v>
      </c>
      <c r="O51" s="249" t="s">
        <v>179</v>
      </c>
      <c r="P51" s="249" t="s">
        <v>178</v>
      </c>
      <c r="Q51" s="249" t="s">
        <v>179</v>
      </c>
      <c r="R51" s="249" t="s">
        <v>184</v>
      </c>
      <c r="S51" s="249" t="s">
        <v>178</v>
      </c>
      <c r="T51" s="249" t="s">
        <v>179</v>
      </c>
      <c r="U51" s="249" t="s">
        <v>180</v>
      </c>
    </row>
    <row r="52" spans="12:22" ht="15" customHeight="1" x14ac:dyDescent="0.35">
      <c r="M52" s="5" t="s">
        <v>185</v>
      </c>
      <c r="N52" s="95">
        <f>N13</f>
        <v>100411342.38630594</v>
      </c>
      <c r="O52" s="95">
        <f>O13</f>
        <v>13210494.982775558</v>
      </c>
      <c r="P52" s="250">
        <f>'APPENDIX  5 iv'!P12</f>
        <v>94965538.630874321</v>
      </c>
      <c r="Q52" s="250">
        <f>'APPENDIX  5 iv'!Q12</f>
        <v>58265158.336121067</v>
      </c>
      <c r="R52" s="250">
        <f>'APPENDIX 6'!I12</f>
        <v>494851.35137164302</v>
      </c>
      <c r="S52" s="95">
        <f>Q13</f>
        <v>195871732.36855191</v>
      </c>
      <c r="T52" s="95">
        <f>R13</f>
        <v>71475653.318896621</v>
      </c>
      <c r="U52" s="95">
        <f>S13</f>
        <v>267347385.68744853</v>
      </c>
      <c r="V52" s="2" t="str">
        <f>IF(AND(SUM(N52:R52)=SUM(S52:T52),SUM(S52:T52)=U52),"Ok","Check")</f>
        <v>Ok</v>
      </c>
    </row>
    <row r="53" spans="12:22" ht="15" customHeight="1" x14ac:dyDescent="0.35">
      <c r="M53" s="5" t="s">
        <v>186</v>
      </c>
      <c r="N53" s="95">
        <f>N45</f>
        <v>1147404458.652092</v>
      </c>
      <c r="O53" s="95">
        <f>O45</f>
        <v>17304016.491025843</v>
      </c>
      <c r="P53" s="250">
        <f>'APPENDIX  5 iv'!P43</f>
        <v>343675701.16763645</v>
      </c>
      <c r="Q53" s="250">
        <f>'APPENDIX  5 iv'!Q43</f>
        <v>97705441.55231595</v>
      </c>
      <c r="R53" s="250">
        <f>'APPENDIX 6'!I43</f>
        <v>1600509.8467413881</v>
      </c>
      <c r="S53" s="95">
        <f>Q45</f>
        <v>1492680669.6664698</v>
      </c>
      <c r="T53" s="95">
        <f>R45</f>
        <v>115009458.04334179</v>
      </c>
      <c r="U53" s="95">
        <f>S45</f>
        <v>1607690127.7098117</v>
      </c>
      <c r="V53" s="2" t="str">
        <f>IF(AND(SUM(N53:R53)=SUM(S53:T53),SUM(S53:T53)=U53),"Ok","Check")</f>
        <v>Ok</v>
      </c>
    </row>
    <row r="54" spans="12:22" ht="15" customHeight="1" x14ac:dyDescent="0.35">
      <c r="M54" s="5" t="s">
        <v>187</v>
      </c>
      <c r="N54" s="95">
        <f>SUM(N24,N26:N39)</f>
        <v>1095545108.4793043</v>
      </c>
      <c r="O54" s="95">
        <f>SUM(O24,O26:O39)</f>
        <v>15563641.947773587</v>
      </c>
      <c r="P54" s="250">
        <f>SUM('APPENDIX  5 iv'!P22,'APPENDIX  5 iv'!P24:P37)</f>
        <v>205919616.68052542</v>
      </c>
      <c r="Q54" s="250">
        <f>SUM('APPENDIX  5 iv'!Q22,'APPENDIX  5 iv'!Q24:Q37)</f>
        <v>69650542.711830422</v>
      </c>
      <c r="R54" s="250">
        <f>SUM('APPENDIX 6'!I22,'APPENDIX 6'!I24:I37)</f>
        <v>1033640.7265199999</v>
      </c>
      <c r="S54" s="95">
        <f>SUM(Q24,Q26:Q39)</f>
        <v>1302498365.8863499</v>
      </c>
      <c r="T54" s="95">
        <f>SUM(R24,R26:R39)</f>
        <v>85214184.659604013</v>
      </c>
      <c r="U54" s="95">
        <f>SUM(S24,S26:S39)</f>
        <v>1387712550.5459535</v>
      </c>
      <c r="V54" s="2" t="str">
        <f>IF(AND(SUM(N54:R54)=SUM(S54:T54),SUM(S54:T54)=U54),"Ok","Check")</f>
        <v>Ok</v>
      </c>
    </row>
  </sheetData>
  <sheetProtection algorithmName="SHA-512" hashValue="f0qSJIi8hnyyualC9Oafp47LKl0+jMuk5ZHx3rojqklL1LsCMXR8e6lLS2VSseoFM8PsME4KseSGb4bFKJbIpQ==" saltValue="JEE520oOT4k1ZaYe3X9Nmw==" spinCount="100000" sheet="1" objects="1" scenarios="1"/>
  <mergeCells count="6">
    <mergeCell ref="B4:L4"/>
    <mergeCell ref="S50:U50"/>
    <mergeCell ref="Q4:S4"/>
    <mergeCell ref="N50:O50"/>
    <mergeCell ref="P50:Q50"/>
    <mergeCell ref="B46:L46"/>
  </mergeCells>
  <conditionalFormatting sqref="V52:V54">
    <cfRule type="containsText" dxfId="1" priority="1" operator="containsText" text="Ok">
      <formula>NOT(ISERROR(SEARCH("Ok",V52)))</formula>
    </cfRule>
    <cfRule type="containsText" dxfId="0" priority="2" operator="containsText" text="Check">
      <formula>NOT(ISERROR(SEARCH("Check",V52)))</formula>
    </cfRule>
  </conditionalFormatting>
  <pageMargins left="0.7" right="0.7" top="0.75" bottom="0.75" header="0.3" footer="0.3"/>
  <pageSetup paperSize="9" scale="4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2">
    <tabColor rgb="FF92D050"/>
    <pageSetUpPr fitToPage="1"/>
  </sheetPr>
  <dimension ref="B3:L46"/>
  <sheetViews>
    <sheetView showGridLines="0" zoomScale="70" zoomScaleNormal="70" workbookViewId="0">
      <pane xSplit="2" ySplit="5" topLeftCell="C6" activePane="bottomRight" state="frozen"/>
      <selection activeCell="A4" sqref="A4:XFD4"/>
      <selection pane="topRight" activeCell="A4" sqref="A4:XFD4"/>
      <selection pane="bottomLeft" activeCell="A4" sqref="A4:XFD4"/>
      <selection pane="bottomRight" activeCell="D10" sqref="B4:L44"/>
    </sheetView>
  </sheetViews>
  <sheetFormatPr defaultColWidth="9.453125" defaultRowHeight="15" customHeight="1" x14ac:dyDescent="0.35"/>
  <cols>
    <col min="1" max="1" width="16.453125" style="76" customWidth="1"/>
    <col min="2" max="2" width="36.54296875" style="76" customWidth="1"/>
    <col min="3" max="11" width="23.54296875" style="76" customWidth="1"/>
    <col min="12" max="12" width="22" style="76" customWidth="1"/>
    <col min="13" max="111" width="9.453125" style="76" customWidth="1"/>
    <col min="112" max="16384" width="9.453125" style="76"/>
  </cols>
  <sheetData>
    <row r="3" spans="2:12" s="275" customFormat="1" ht="21.5" x14ac:dyDescent="0.45"/>
    <row r="4" spans="2:12" s="275" customFormat="1" ht="22" x14ac:dyDescent="0.5">
      <c r="B4" s="328" t="str">
        <f>_xlfn.CONCAT('Table of Contents'!B14,": ",'Table of Contents'!C14)</f>
        <v>APPENDIX 5 i: SUMMARY OF GENERAL INSURANCE BUSINESS BALANCE SHEETS AS AT 31.03.2026</v>
      </c>
      <c r="C4" s="298"/>
      <c r="D4" s="298"/>
      <c r="E4" s="298"/>
      <c r="F4" s="298"/>
      <c r="G4" s="298"/>
      <c r="H4" s="298"/>
      <c r="I4" s="298"/>
      <c r="J4" s="298"/>
      <c r="K4" s="298"/>
      <c r="L4" s="299"/>
    </row>
    <row r="5" spans="2:12" ht="46.5" x14ac:dyDescent="0.35">
      <c r="B5" s="231" t="s">
        <v>0</v>
      </c>
      <c r="C5" s="232" t="s">
        <v>107</v>
      </c>
      <c r="D5" s="232" t="s">
        <v>108</v>
      </c>
      <c r="E5" s="232" t="s">
        <v>109</v>
      </c>
      <c r="F5" s="232" t="s">
        <v>110</v>
      </c>
      <c r="G5" s="232" t="s">
        <v>111</v>
      </c>
      <c r="H5" s="232" t="s">
        <v>112</v>
      </c>
      <c r="I5" s="232" t="s">
        <v>113</v>
      </c>
      <c r="J5" s="232" t="s">
        <v>143</v>
      </c>
      <c r="K5" s="232" t="s">
        <v>114</v>
      </c>
      <c r="L5" s="232" t="s">
        <v>115</v>
      </c>
    </row>
    <row r="6" spans="2:12" ht="15.5" x14ac:dyDescent="0.35">
      <c r="B6" s="233" t="s">
        <v>8</v>
      </c>
      <c r="C6" s="123">
        <v>1017626.572</v>
      </c>
      <c r="D6" s="123">
        <v>987386</v>
      </c>
      <c r="E6" s="123">
        <v>1250000</v>
      </c>
      <c r="F6" s="123">
        <v>2668000</v>
      </c>
      <c r="G6" s="123">
        <v>1086683.148</v>
      </c>
      <c r="H6" s="123">
        <v>453960.46</v>
      </c>
      <c r="I6" s="123">
        <v>1700000</v>
      </c>
      <c r="J6" s="123">
        <v>1500000</v>
      </c>
      <c r="K6" s="123">
        <v>0</v>
      </c>
      <c r="L6" s="123">
        <v>300000</v>
      </c>
    </row>
    <row r="7" spans="2:12" ht="15" customHeight="1" x14ac:dyDescent="0.35">
      <c r="B7" s="233" t="s">
        <v>188</v>
      </c>
      <c r="C7" s="123">
        <v>460523</v>
      </c>
      <c r="D7" s="123">
        <v>0</v>
      </c>
      <c r="E7" s="123">
        <v>0</v>
      </c>
      <c r="F7" s="123">
        <v>0</v>
      </c>
      <c r="G7" s="123">
        <v>0</v>
      </c>
      <c r="H7" s="123">
        <v>583039.52</v>
      </c>
      <c r="I7" s="123">
        <v>0</v>
      </c>
      <c r="J7" s="123">
        <v>0</v>
      </c>
      <c r="K7" s="123">
        <v>0</v>
      </c>
      <c r="L7" s="123">
        <v>0</v>
      </c>
    </row>
    <row r="8" spans="2:12" ht="15" customHeight="1" x14ac:dyDescent="0.35">
      <c r="B8" s="233" t="s">
        <v>189</v>
      </c>
      <c r="C8" s="123">
        <v>0</v>
      </c>
      <c r="D8" s="123">
        <v>30240.538</v>
      </c>
      <c r="E8" s="123">
        <v>0</v>
      </c>
      <c r="F8" s="123">
        <v>0</v>
      </c>
      <c r="G8" s="123">
        <v>0</v>
      </c>
      <c r="H8" s="123">
        <v>74345</v>
      </c>
      <c r="I8" s="123">
        <v>0</v>
      </c>
      <c r="J8" s="123">
        <v>0</v>
      </c>
      <c r="K8" s="123">
        <v>0</v>
      </c>
      <c r="L8" s="123">
        <v>0</v>
      </c>
    </row>
    <row r="9" spans="2:12" ht="15" customHeight="1" x14ac:dyDescent="0.35">
      <c r="B9" s="233" t="s">
        <v>11</v>
      </c>
      <c r="C9" s="123">
        <v>0</v>
      </c>
      <c r="D9" s="123">
        <v>0</v>
      </c>
      <c r="E9" s="123">
        <v>1165168.173396826</v>
      </c>
      <c r="F9" s="123">
        <v>0</v>
      </c>
      <c r="G9" s="123">
        <v>0</v>
      </c>
      <c r="H9" s="123">
        <v>-86582</v>
      </c>
      <c r="I9" s="123">
        <v>349723.34420984628</v>
      </c>
      <c r="J9" s="123">
        <v>0</v>
      </c>
      <c r="K9" s="123">
        <v>0</v>
      </c>
      <c r="L9" s="123">
        <v>0</v>
      </c>
    </row>
    <row r="10" spans="2:12" ht="15" customHeight="1" x14ac:dyDescent="0.35">
      <c r="B10" s="233" t="s">
        <v>12</v>
      </c>
      <c r="C10" s="123">
        <v>1374944.700526325</v>
      </c>
      <c r="D10" s="123">
        <v>270683.14909478638</v>
      </c>
      <c r="E10" s="123">
        <v>5211241.0238097031</v>
      </c>
      <c r="F10" s="123">
        <v>5795611.3022214808</v>
      </c>
      <c r="G10" s="123">
        <v>306.86500000000001</v>
      </c>
      <c r="H10" s="123">
        <v>-303595.12290216901</v>
      </c>
      <c r="I10" s="123">
        <v>4395349.1283114627</v>
      </c>
      <c r="J10" s="123">
        <v>2237763.6743092551</v>
      </c>
      <c r="K10" s="123">
        <v>0</v>
      </c>
      <c r="L10" s="123">
        <v>-2787343.4807079812</v>
      </c>
    </row>
    <row r="11" spans="2:12" ht="15" customHeight="1" x14ac:dyDescent="0.35">
      <c r="B11" s="233" t="s">
        <v>13</v>
      </c>
      <c r="C11" s="123">
        <v>0</v>
      </c>
      <c r="D11" s="123">
        <v>0</v>
      </c>
      <c r="E11" s="123">
        <v>0</v>
      </c>
      <c r="F11" s="123">
        <v>0</v>
      </c>
      <c r="G11" s="123">
        <v>0</v>
      </c>
      <c r="H11" s="123">
        <v>0</v>
      </c>
      <c r="I11" s="123">
        <v>0</v>
      </c>
      <c r="J11" s="123">
        <v>-87345.33</v>
      </c>
      <c r="K11" s="123">
        <v>0</v>
      </c>
      <c r="L11" s="123">
        <v>0</v>
      </c>
    </row>
    <row r="12" spans="2:12" ht="15" customHeight="1" thickBot="1" x14ac:dyDescent="0.4">
      <c r="B12" s="219" t="s">
        <v>14</v>
      </c>
      <c r="C12" s="234">
        <v>2853094.2725263252</v>
      </c>
      <c r="D12" s="234">
        <v>1288309.687094786</v>
      </c>
      <c r="E12" s="234">
        <v>7626409.1972065298</v>
      </c>
      <c r="F12" s="234">
        <v>8463611.3022214808</v>
      </c>
      <c r="G12" s="234">
        <v>1086990.013</v>
      </c>
      <c r="H12" s="234">
        <v>721167.85709783097</v>
      </c>
      <c r="I12" s="234">
        <v>6445072.4725213088</v>
      </c>
      <c r="J12" s="234">
        <v>3650418.344309255</v>
      </c>
      <c r="K12" s="234">
        <v>0</v>
      </c>
      <c r="L12" s="234">
        <v>-2487343.4807079812</v>
      </c>
    </row>
    <row r="13" spans="2:12" ht="15" customHeight="1" thickTop="1" x14ac:dyDescent="0.35">
      <c r="B13" s="235" t="s">
        <v>15</v>
      </c>
      <c r="C13" s="123">
        <v>6301226.4837290524</v>
      </c>
      <c r="D13" s="123">
        <v>3469223.3553136308</v>
      </c>
      <c r="E13" s="123">
        <v>17111456.046789318</v>
      </c>
      <c r="F13" s="123">
        <v>15867775.86355323</v>
      </c>
      <c r="G13" s="123">
        <v>4482583.00398569</v>
      </c>
      <c r="H13" s="123">
        <v>2714863.7290353212</v>
      </c>
      <c r="I13" s="123">
        <v>16195842.89323174</v>
      </c>
      <c r="J13" s="123">
        <v>6444699.4139999999</v>
      </c>
      <c r="K13" s="123">
        <v>0</v>
      </c>
      <c r="L13" s="123">
        <v>9172659.0321415253</v>
      </c>
    </row>
    <row r="14" spans="2:12" ht="15" customHeight="1" x14ac:dyDescent="0.35">
      <c r="B14" s="233" t="s">
        <v>16</v>
      </c>
      <c r="C14" s="123">
        <v>0</v>
      </c>
      <c r="D14" s="123">
        <v>18.841366667999999</v>
      </c>
      <c r="E14" s="123">
        <v>0</v>
      </c>
      <c r="F14" s="123">
        <v>30824.157127447728</v>
      </c>
      <c r="G14" s="123">
        <v>0</v>
      </c>
      <c r="H14" s="123">
        <v>0</v>
      </c>
      <c r="I14" s="123">
        <v>0</v>
      </c>
      <c r="J14" s="123">
        <v>0</v>
      </c>
      <c r="K14" s="123">
        <v>0</v>
      </c>
      <c r="L14" s="123">
        <v>0</v>
      </c>
    </row>
    <row r="15" spans="2:12" ht="15" customHeight="1" x14ac:dyDescent="0.35">
      <c r="B15" s="233" t="s">
        <v>17</v>
      </c>
      <c r="C15" s="123">
        <v>0</v>
      </c>
      <c r="D15" s="123">
        <v>0</v>
      </c>
      <c r="E15" s="123">
        <v>0</v>
      </c>
      <c r="F15" s="123">
        <v>0</v>
      </c>
      <c r="G15" s="123">
        <v>0</v>
      </c>
      <c r="H15" s="123">
        <v>0</v>
      </c>
      <c r="I15" s="123">
        <v>0</v>
      </c>
      <c r="J15" s="123">
        <v>0</v>
      </c>
      <c r="K15" s="123">
        <v>0</v>
      </c>
      <c r="L15" s="123">
        <v>0</v>
      </c>
    </row>
    <row r="16" spans="2:12" ht="15" customHeight="1" x14ac:dyDescent="0.35">
      <c r="B16" s="233" t="s">
        <v>18</v>
      </c>
      <c r="C16" s="123">
        <v>0</v>
      </c>
      <c r="D16" s="123">
        <v>0</v>
      </c>
      <c r="E16" s="123">
        <v>0</v>
      </c>
      <c r="F16" s="123">
        <v>0</v>
      </c>
      <c r="G16" s="123">
        <v>0</v>
      </c>
      <c r="H16" s="123">
        <v>122344.66015</v>
      </c>
      <c r="I16" s="123">
        <v>0</v>
      </c>
      <c r="J16" s="123">
        <v>51587.241000000002</v>
      </c>
      <c r="K16" s="123">
        <v>0</v>
      </c>
      <c r="L16" s="123">
        <v>0</v>
      </c>
    </row>
    <row r="17" spans="2:12" ht="15" customHeight="1" x14ac:dyDescent="0.35">
      <c r="B17" s="233" t="s">
        <v>19</v>
      </c>
      <c r="C17" s="123">
        <v>355113.83843117458</v>
      </c>
      <c r="D17" s="123">
        <v>229204.96100000001</v>
      </c>
      <c r="E17" s="123">
        <v>1530094.72748165</v>
      </c>
      <c r="F17" s="123">
        <v>1006130.101134278</v>
      </c>
      <c r="G17" s="123">
        <v>19235.169999999998</v>
      </c>
      <c r="H17" s="123">
        <v>517354.41100000002</v>
      </c>
      <c r="I17" s="123">
        <v>704623.17512833991</v>
      </c>
      <c r="J17" s="123">
        <v>202872.7</v>
      </c>
      <c r="K17" s="123">
        <v>0</v>
      </c>
      <c r="L17" s="123">
        <v>330235.69254708668</v>
      </c>
    </row>
    <row r="18" spans="2:12" ht="15" customHeight="1" x14ac:dyDescent="0.35">
      <c r="B18" s="233" t="s">
        <v>20</v>
      </c>
      <c r="C18" s="123">
        <v>493726.59927249869</v>
      </c>
      <c r="D18" s="123">
        <v>58190.01900000024</v>
      </c>
      <c r="E18" s="123">
        <v>155650.11500000101</v>
      </c>
      <c r="F18" s="123">
        <v>708243.11510353105</v>
      </c>
      <c r="G18" s="123">
        <v>274232.97600000002</v>
      </c>
      <c r="H18" s="123">
        <v>15325.848580000011</v>
      </c>
      <c r="I18" s="123">
        <v>85300.976537975192</v>
      </c>
      <c r="J18" s="123">
        <v>217384.07399999999</v>
      </c>
      <c r="K18" s="123">
        <v>0</v>
      </c>
      <c r="L18" s="123">
        <v>94470.126000000004</v>
      </c>
    </row>
    <row r="19" spans="2:12" ht="15" customHeight="1" thickBot="1" x14ac:dyDescent="0.4">
      <c r="B19" s="236" t="s">
        <v>21</v>
      </c>
      <c r="C19" s="237">
        <v>10003161.19395905</v>
      </c>
      <c r="D19" s="237">
        <v>5044946.8637750857</v>
      </c>
      <c r="E19" s="237">
        <v>26423610.086477499</v>
      </c>
      <c r="F19" s="237">
        <v>26076584.539139971</v>
      </c>
      <c r="G19" s="237">
        <v>5863041.1629856899</v>
      </c>
      <c r="H19" s="237">
        <v>4091056.505863152</v>
      </c>
      <c r="I19" s="237">
        <v>23430839.517419361</v>
      </c>
      <c r="J19" s="237">
        <v>10566961.773309261</v>
      </c>
      <c r="K19" s="237">
        <v>0</v>
      </c>
      <c r="L19" s="237">
        <v>7110021.3699806305</v>
      </c>
    </row>
    <row r="20" spans="2:12" ht="15" customHeight="1" thickTop="1" x14ac:dyDescent="0.35">
      <c r="B20" s="235" t="s">
        <v>22</v>
      </c>
      <c r="C20" s="238">
        <v>75652.129570000019</v>
      </c>
      <c r="D20" s="238">
        <v>33713.03</v>
      </c>
      <c r="E20" s="238">
        <v>3620.5160000000001</v>
      </c>
      <c r="F20" s="238">
        <v>77427.614699999976</v>
      </c>
      <c r="G20" s="238">
        <v>0</v>
      </c>
      <c r="H20" s="238">
        <v>8081.7129999999997</v>
      </c>
      <c r="I20" s="238">
        <v>19829.540200000021</v>
      </c>
      <c r="J20" s="238">
        <v>0</v>
      </c>
      <c r="K20" s="238">
        <v>0</v>
      </c>
      <c r="L20" s="238">
        <v>0</v>
      </c>
    </row>
    <row r="21" spans="2:12" ht="15" customHeight="1" x14ac:dyDescent="0.35">
      <c r="B21" s="233" t="s">
        <v>23</v>
      </c>
      <c r="C21" s="238">
        <v>0</v>
      </c>
      <c r="D21" s="238">
        <v>895743.58299999998</v>
      </c>
      <c r="E21" s="238">
        <v>0</v>
      </c>
      <c r="F21" s="238">
        <v>0</v>
      </c>
      <c r="G21" s="238">
        <v>0</v>
      </c>
      <c r="H21" s="238">
        <v>92500</v>
      </c>
      <c r="I21" s="238">
        <v>232537.52965000001</v>
      </c>
      <c r="J21" s="238">
        <v>0</v>
      </c>
      <c r="K21" s="238">
        <v>0</v>
      </c>
      <c r="L21" s="238">
        <v>0</v>
      </c>
    </row>
    <row r="22" spans="2:12" ht="15" customHeight="1" x14ac:dyDescent="0.35">
      <c r="B22" s="233" t="s">
        <v>24</v>
      </c>
      <c r="C22" s="238">
        <v>0</v>
      </c>
      <c r="D22" s="238">
        <v>565500</v>
      </c>
      <c r="E22" s="238">
        <v>1090000</v>
      </c>
      <c r="F22" s="238">
        <v>0</v>
      </c>
      <c r="G22" s="238">
        <v>0</v>
      </c>
      <c r="H22" s="238">
        <v>850631.06796116498</v>
      </c>
      <c r="I22" s="238">
        <v>1555000</v>
      </c>
      <c r="J22" s="238">
        <v>0</v>
      </c>
      <c r="K22" s="238">
        <v>0</v>
      </c>
      <c r="L22" s="238">
        <v>2526203.9312</v>
      </c>
    </row>
    <row r="23" spans="2:12" ht="15" customHeight="1" x14ac:dyDescent="0.35">
      <c r="B23" s="233" t="s">
        <v>25</v>
      </c>
      <c r="C23" s="238">
        <v>58689.028899999998</v>
      </c>
      <c r="D23" s="238">
        <v>71170.274000000005</v>
      </c>
      <c r="E23" s="238">
        <v>56197.297468111581</v>
      </c>
      <c r="F23" s="238">
        <v>112081.7378699999</v>
      </c>
      <c r="G23" s="238">
        <v>248.27799999999999</v>
      </c>
      <c r="H23" s="238">
        <v>5278.2663894747493</v>
      </c>
      <c r="I23" s="238">
        <v>128535.43419786741</v>
      </c>
      <c r="J23" s="238">
        <v>40296.868000000002</v>
      </c>
      <c r="K23" s="238">
        <v>0</v>
      </c>
      <c r="L23" s="238">
        <v>27388.264270631102</v>
      </c>
    </row>
    <row r="24" spans="2:12" ht="15" customHeight="1" x14ac:dyDescent="0.35">
      <c r="B24" s="233" t="s">
        <v>173</v>
      </c>
      <c r="C24" s="238">
        <v>4550292.9546099994</v>
      </c>
      <c r="D24" s="238">
        <v>1422217.642</v>
      </c>
      <c r="E24" s="238">
        <v>10732606.81782217</v>
      </c>
      <c r="F24" s="238">
        <v>15295545.58976746</v>
      </c>
      <c r="G24" s="238">
        <v>757052.13899999997</v>
      </c>
      <c r="H24" s="238">
        <v>231864.43944530841</v>
      </c>
      <c r="I24" s="238">
        <v>7064493.9793299995</v>
      </c>
      <c r="J24" s="238">
        <v>2747660.5631292341</v>
      </c>
      <c r="K24" s="238">
        <v>0</v>
      </c>
      <c r="L24" s="238">
        <v>961640.49715999991</v>
      </c>
    </row>
    <row r="25" spans="2:12" ht="15" customHeight="1" x14ac:dyDescent="0.35">
      <c r="B25" s="233" t="s">
        <v>26</v>
      </c>
      <c r="C25" s="238">
        <v>0</v>
      </c>
      <c r="D25" s="238">
        <v>0</v>
      </c>
      <c r="E25" s="238">
        <v>107390.277</v>
      </c>
      <c r="F25" s="238">
        <v>0</v>
      </c>
      <c r="G25" s="238">
        <v>0</v>
      </c>
      <c r="H25" s="238">
        <v>0</v>
      </c>
      <c r="I25" s="238">
        <v>421977.72523400001</v>
      </c>
      <c r="J25" s="238">
        <v>0</v>
      </c>
      <c r="K25" s="238">
        <v>0</v>
      </c>
      <c r="L25" s="238">
        <v>0</v>
      </c>
    </row>
    <row r="26" spans="2:12" ht="15" customHeight="1" x14ac:dyDescent="0.35">
      <c r="B26" s="233" t="s">
        <v>28</v>
      </c>
      <c r="C26" s="238">
        <v>0</v>
      </c>
      <c r="D26" s="238">
        <v>0</v>
      </c>
      <c r="E26" s="238">
        <v>0</v>
      </c>
      <c r="F26" s="238">
        <v>12993</v>
      </c>
      <c r="G26" s="238">
        <v>0</v>
      </c>
      <c r="H26" s="238">
        <v>0</v>
      </c>
      <c r="I26" s="238">
        <v>0</v>
      </c>
      <c r="J26" s="238">
        <v>0</v>
      </c>
      <c r="K26" s="238">
        <v>0</v>
      </c>
      <c r="L26" s="238">
        <v>0</v>
      </c>
    </row>
    <row r="27" spans="2:12" ht="15" customHeight="1" x14ac:dyDescent="0.35">
      <c r="B27" s="233" t="s">
        <v>29</v>
      </c>
      <c r="C27" s="238">
        <v>542626.57200000004</v>
      </c>
      <c r="D27" s="238">
        <v>0</v>
      </c>
      <c r="E27" s="238">
        <v>481369.51685000001</v>
      </c>
      <c r="F27" s="238">
        <v>250476.89600000001</v>
      </c>
      <c r="G27" s="238">
        <v>0</v>
      </c>
      <c r="H27" s="238">
        <v>20738.215</v>
      </c>
      <c r="I27" s="238">
        <v>0</v>
      </c>
      <c r="J27" s="238">
        <v>0</v>
      </c>
      <c r="K27" s="238">
        <v>0</v>
      </c>
      <c r="L27" s="238">
        <v>0</v>
      </c>
    </row>
    <row r="28" spans="2:12" ht="15" customHeight="1" x14ac:dyDescent="0.35">
      <c r="B28" s="233" t="s">
        <v>30</v>
      </c>
      <c r="C28" s="238">
        <v>0</v>
      </c>
      <c r="D28" s="238">
        <v>0</v>
      </c>
      <c r="E28" s="238">
        <v>845670.87229553657</v>
      </c>
      <c r="F28" s="238">
        <v>0</v>
      </c>
      <c r="G28" s="238">
        <v>0</v>
      </c>
      <c r="H28" s="238">
        <v>0</v>
      </c>
      <c r="I28" s="238">
        <v>3252.7648899999999</v>
      </c>
      <c r="J28" s="238">
        <v>0</v>
      </c>
      <c r="K28" s="238">
        <v>0</v>
      </c>
      <c r="L28" s="238">
        <v>0</v>
      </c>
    </row>
    <row r="29" spans="2:12" ht="15" customHeight="1" x14ac:dyDescent="0.35">
      <c r="B29" s="233" t="s">
        <v>31</v>
      </c>
      <c r="C29" s="238">
        <v>0</v>
      </c>
      <c r="D29" s="238">
        <v>0</v>
      </c>
      <c r="E29" s="238">
        <v>0</v>
      </c>
      <c r="F29" s="238">
        <v>0</v>
      </c>
      <c r="G29" s="238">
        <v>0</v>
      </c>
      <c r="H29" s="238">
        <v>0</v>
      </c>
      <c r="I29" s="238">
        <v>0</v>
      </c>
      <c r="J29" s="238">
        <v>0</v>
      </c>
      <c r="K29" s="238">
        <v>0</v>
      </c>
      <c r="L29" s="238">
        <v>0</v>
      </c>
    </row>
    <row r="30" spans="2:12" ht="15" customHeight="1" x14ac:dyDescent="0.35">
      <c r="B30" s="233" t="s">
        <v>32</v>
      </c>
      <c r="C30" s="238">
        <v>0</v>
      </c>
      <c r="D30" s="238">
        <v>0</v>
      </c>
      <c r="E30" s="238">
        <v>0</v>
      </c>
      <c r="F30" s="238">
        <v>0</v>
      </c>
      <c r="G30" s="238">
        <v>0</v>
      </c>
      <c r="H30" s="238">
        <v>0</v>
      </c>
      <c r="I30" s="238">
        <v>0</v>
      </c>
      <c r="J30" s="238">
        <v>0</v>
      </c>
      <c r="K30" s="238">
        <v>0</v>
      </c>
      <c r="L30" s="238">
        <v>0</v>
      </c>
    </row>
    <row r="31" spans="2:12" ht="15" customHeight="1" x14ac:dyDescent="0.35">
      <c r="B31" s="233" t="s">
        <v>33</v>
      </c>
      <c r="C31" s="238">
        <v>0</v>
      </c>
      <c r="D31" s="238">
        <v>2205.6509999999998</v>
      </c>
      <c r="E31" s="238">
        <v>1215203.1340000001</v>
      </c>
      <c r="F31" s="238">
        <v>0</v>
      </c>
      <c r="G31" s="238">
        <v>0</v>
      </c>
      <c r="H31" s="238">
        <v>0</v>
      </c>
      <c r="I31" s="238">
        <v>473037.56530000002</v>
      </c>
      <c r="J31" s="238">
        <v>0</v>
      </c>
      <c r="K31" s="238">
        <v>0</v>
      </c>
      <c r="L31" s="238">
        <v>0</v>
      </c>
    </row>
    <row r="32" spans="2:12" ht="15" customHeight="1" x14ac:dyDescent="0.35">
      <c r="B32" s="233" t="s">
        <v>34</v>
      </c>
      <c r="C32" s="238">
        <v>0</v>
      </c>
      <c r="D32" s="238">
        <v>0</v>
      </c>
      <c r="E32" s="238">
        <v>58955.4257</v>
      </c>
      <c r="F32" s="238">
        <v>0</v>
      </c>
      <c r="G32" s="238">
        <v>0</v>
      </c>
      <c r="H32" s="238">
        <v>1437.932</v>
      </c>
      <c r="I32" s="238">
        <v>29821.007600000001</v>
      </c>
      <c r="J32" s="238">
        <v>0</v>
      </c>
      <c r="K32" s="238">
        <v>0</v>
      </c>
      <c r="L32" s="238">
        <v>0</v>
      </c>
    </row>
    <row r="33" spans="2:12" ht="15" customHeight="1" x14ac:dyDescent="0.35">
      <c r="B33" s="233" t="s">
        <v>35</v>
      </c>
      <c r="C33" s="238">
        <v>0</v>
      </c>
      <c r="D33" s="238">
        <v>0</v>
      </c>
      <c r="E33" s="238">
        <v>0</v>
      </c>
      <c r="F33" s="238">
        <v>0</v>
      </c>
      <c r="G33" s="238">
        <v>0</v>
      </c>
      <c r="H33" s="238">
        <v>0</v>
      </c>
      <c r="I33" s="238">
        <v>0</v>
      </c>
      <c r="J33" s="238">
        <v>0</v>
      </c>
      <c r="K33" s="238">
        <v>0</v>
      </c>
      <c r="L33" s="238">
        <v>0</v>
      </c>
    </row>
    <row r="34" spans="2:12" ht="15" customHeight="1" x14ac:dyDescent="0.35">
      <c r="B34" s="233" t="s">
        <v>36</v>
      </c>
      <c r="C34" s="238">
        <v>0</v>
      </c>
      <c r="D34" s="238">
        <v>0</v>
      </c>
      <c r="E34" s="238">
        <v>0</v>
      </c>
      <c r="F34" s="238">
        <v>0</v>
      </c>
      <c r="G34" s="238">
        <v>0</v>
      </c>
      <c r="H34" s="238">
        <v>0</v>
      </c>
      <c r="I34" s="238">
        <v>0</v>
      </c>
      <c r="J34" s="238">
        <v>0</v>
      </c>
      <c r="K34" s="238">
        <v>0</v>
      </c>
      <c r="L34" s="238">
        <v>0</v>
      </c>
    </row>
    <row r="35" spans="2:12" ht="15" customHeight="1" x14ac:dyDescent="0.35">
      <c r="B35" s="233" t="s">
        <v>37</v>
      </c>
      <c r="C35" s="238">
        <v>0</v>
      </c>
      <c r="D35" s="238">
        <v>2602.3649999999998</v>
      </c>
      <c r="E35" s="238">
        <v>25113.487609368931</v>
      </c>
      <c r="F35" s="238">
        <v>0</v>
      </c>
      <c r="G35" s="238">
        <v>0</v>
      </c>
      <c r="H35" s="238">
        <v>189144.427</v>
      </c>
      <c r="I35" s="238">
        <v>0</v>
      </c>
      <c r="J35" s="238">
        <v>5217.683</v>
      </c>
      <c r="K35" s="238">
        <v>0</v>
      </c>
      <c r="L35" s="238">
        <v>657164.50597382418</v>
      </c>
    </row>
    <row r="36" spans="2:12" ht="15" customHeight="1" x14ac:dyDescent="0.35">
      <c r="B36" s="233" t="s">
        <v>38</v>
      </c>
      <c r="C36" s="238">
        <v>0</v>
      </c>
      <c r="D36" s="238">
        <v>0</v>
      </c>
      <c r="E36" s="238">
        <v>0</v>
      </c>
      <c r="F36" s="238">
        <v>0</v>
      </c>
      <c r="G36" s="238">
        <v>0</v>
      </c>
      <c r="H36" s="238">
        <v>12951.96011</v>
      </c>
      <c r="I36" s="238">
        <v>25168.036629999999</v>
      </c>
      <c r="J36" s="238">
        <v>0</v>
      </c>
      <c r="K36" s="238">
        <v>0</v>
      </c>
      <c r="L36" s="238">
        <v>0</v>
      </c>
    </row>
    <row r="37" spans="2:12" ht="15" customHeight="1" x14ac:dyDescent="0.35">
      <c r="B37" s="233" t="s">
        <v>39</v>
      </c>
      <c r="C37" s="238">
        <v>1065464.446514186</v>
      </c>
      <c r="D37" s="238">
        <v>101244.02099999999</v>
      </c>
      <c r="E37" s="238">
        <v>2306945.4490970252</v>
      </c>
      <c r="F37" s="238">
        <v>800112.56935957388</v>
      </c>
      <c r="G37" s="238">
        <v>0</v>
      </c>
      <c r="H37" s="238">
        <v>510129.74977402191</v>
      </c>
      <c r="I37" s="238">
        <v>6828941.0337700034</v>
      </c>
      <c r="J37" s="238">
        <v>744340.78946</v>
      </c>
      <c r="K37" s="238">
        <v>0</v>
      </c>
      <c r="L37" s="238">
        <v>514540.34837000002</v>
      </c>
    </row>
    <row r="38" spans="2:12" ht="15" customHeight="1" x14ac:dyDescent="0.35">
      <c r="B38" s="233" t="s">
        <v>40</v>
      </c>
      <c r="C38" s="238">
        <v>795463.88485999999</v>
      </c>
      <c r="D38" s="238">
        <v>244837.44500000001</v>
      </c>
      <c r="E38" s="238">
        <v>978830.01762413373</v>
      </c>
      <c r="F38" s="238">
        <v>241890.39505000011</v>
      </c>
      <c r="G38" s="238">
        <v>439608.571</v>
      </c>
      <c r="H38" s="238">
        <v>33009.630080000003</v>
      </c>
      <c r="I38" s="238">
        <v>632819.65476000402</v>
      </c>
      <c r="J38" s="238">
        <v>126234.58500000001</v>
      </c>
      <c r="K38" s="238">
        <v>0</v>
      </c>
      <c r="L38" s="238">
        <v>246380.35836000001</v>
      </c>
    </row>
    <row r="39" spans="2:12" ht="15" customHeight="1" x14ac:dyDescent="0.35">
      <c r="B39" s="233" t="s">
        <v>41</v>
      </c>
      <c r="C39" s="238">
        <v>0</v>
      </c>
      <c r="D39" s="238">
        <v>-69711.7931987224</v>
      </c>
      <c r="E39" s="238">
        <v>0</v>
      </c>
      <c r="F39" s="238">
        <v>0</v>
      </c>
      <c r="G39" s="238">
        <v>0</v>
      </c>
      <c r="H39" s="238">
        <v>0</v>
      </c>
      <c r="I39" s="238">
        <v>0</v>
      </c>
      <c r="J39" s="238">
        <v>0</v>
      </c>
      <c r="K39" s="238">
        <v>0</v>
      </c>
      <c r="L39" s="238">
        <v>0</v>
      </c>
    </row>
    <row r="40" spans="2:12" ht="15" customHeight="1" x14ac:dyDescent="0.35">
      <c r="B40" s="233" t="s">
        <v>42</v>
      </c>
      <c r="C40" s="238">
        <v>1470827.6736837239</v>
      </c>
      <c r="D40" s="238">
        <v>370968.06892503903</v>
      </c>
      <c r="E40" s="238">
        <v>4381112.9877014318</v>
      </c>
      <c r="F40" s="238">
        <v>4230525.5613003643</v>
      </c>
      <c r="G40" s="238">
        <v>2711026.324</v>
      </c>
      <c r="H40" s="238">
        <v>1076602.5709552111</v>
      </c>
      <c r="I40" s="238">
        <v>1734429.035465952</v>
      </c>
      <c r="J40" s="238">
        <v>2663662.8620000002</v>
      </c>
      <c r="K40" s="238">
        <v>0</v>
      </c>
      <c r="L40" s="238">
        <v>643.91399999999999</v>
      </c>
    </row>
    <row r="41" spans="2:12" ht="15" customHeight="1" x14ac:dyDescent="0.35">
      <c r="B41" s="233" t="s">
        <v>43</v>
      </c>
      <c r="C41" s="238">
        <v>910782.41170999978</v>
      </c>
      <c r="D41" s="238">
        <v>1144460.91289</v>
      </c>
      <c r="E41" s="238">
        <v>3332092.6961497241</v>
      </c>
      <c r="F41" s="238">
        <v>4103707.6941528688</v>
      </c>
      <c r="G41" s="238">
        <v>362969.76044117648</v>
      </c>
      <c r="H41" s="238">
        <v>344396.71571750002</v>
      </c>
      <c r="I41" s="238">
        <v>3764161.540302</v>
      </c>
      <c r="J41" s="238">
        <v>1339157.5418852509</v>
      </c>
      <c r="K41" s="238">
        <v>0</v>
      </c>
      <c r="L41" s="238">
        <v>303040.21719617589</v>
      </c>
    </row>
    <row r="42" spans="2:12" ht="15" customHeight="1" x14ac:dyDescent="0.35">
      <c r="B42" s="233" t="s">
        <v>44</v>
      </c>
      <c r="C42" s="238">
        <v>533362.09211114096</v>
      </c>
      <c r="D42" s="238">
        <v>259995.66399999999</v>
      </c>
      <c r="E42" s="238">
        <v>808501.59115999995</v>
      </c>
      <c r="F42" s="238">
        <v>951823.480939709</v>
      </c>
      <c r="G42" s="238">
        <v>1592136.091</v>
      </c>
      <c r="H42" s="238">
        <v>714289.81845999986</v>
      </c>
      <c r="I42" s="238">
        <v>516834.67008954001</v>
      </c>
      <c r="J42" s="238">
        <v>2900390.8810000001</v>
      </c>
      <c r="K42" s="238">
        <v>0</v>
      </c>
      <c r="L42" s="238">
        <v>1873019.3334999999</v>
      </c>
    </row>
    <row r="43" spans="2:12" ht="15" customHeight="1" thickBot="1" x14ac:dyDescent="0.4">
      <c r="B43" s="236" t="s">
        <v>45</v>
      </c>
      <c r="C43" s="237">
        <v>10003161.19395905</v>
      </c>
      <c r="D43" s="237">
        <v>5044946.8636163166</v>
      </c>
      <c r="E43" s="237">
        <v>26423610.086477499</v>
      </c>
      <c r="F43" s="237">
        <v>26076584.539139971</v>
      </c>
      <c r="G43" s="237">
        <v>5863041.1634411775</v>
      </c>
      <c r="H43" s="237">
        <v>4091056.50589268</v>
      </c>
      <c r="I43" s="237">
        <v>23430839.517419361</v>
      </c>
      <c r="J43" s="237">
        <v>10566961.773474479</v>
      </c>
      <c r="K43" s="237">
        <v>0</v>
      </c>
      <c r="L43" s="237">
        <v>7110021.3700306294</v>
      </c>
    </row>
    <row r="44" spans="2:12" ht="15" customHeight="1" thickTop="1" x14ac:dyDescent="0.35">
      <c r="B44" s="331" t="s">
        <v>190</v>
      </c>
      <c r="C44" s="332"/>
      <c r="D44" s="332"/>
      <c r="E44" s="332"/>
      <c r="F44" s="332"/>
      <c r="G44" s="332"/>
      <c r="H44" s="332"/>
      <c r="I44" s="332"/>
      <c r="J44" s="332"/>
      <c r="K44" s="329" t="s">
        <v>175</v>
      </c>
      <c r="L44" s="330"/>
    </row>
    <row r="45" spans="2:12" ht="15" customHeight="1" x14ac:dyDescent="0.35">
      <c r="C45" s="132"/>
      <c r="D45" s="132"/>
      <c r="E45" s="132"/>
      <c r="F45" s="132"/>
      <c r="G45" s="132"/>
      <c r="H45" s="132"/>
      <c r="I45" s="132"/>
      <c r="J45" s="132"/>
      <c r="K45" s="132"/>
      <c r="L45" s="132"/>
    </row>
    <row r="46" spans="2:12" ht="15" customHeight="1" x14ac:dyDescent="0.35">
      <c r="C46" s="131"/>
      <c r="D46" s="131"/>
      <c r="E46" s="131"/>
      <c r="F46" s="131"/>
      <c r="G46" s="131"/>
      <c r="H46" s="131"/>
      <c r="I46" s="131"/>
      <c r="J46" s="131"/>
      <c r="K46" s="131"/>
      <c r="L46" s="131"/>
    </row>
  </sheetData>
  <sheetProtection algorithmName="SHA-512" hashValue="OnJ2CZgGdG6IqXG3N0akU4NivNhNOcRnatdPILQWEF7xK6QuNbLMfBgzVlpC/NExopcF8JnCg9gz5/pvTVFqMw==" saltValue="18DlfXjl/c0a3GLO0jg94A==" spinCount="100000" sheet="1" objects="1" scenarios="1"/>
  <mergeCells count="3">
    <mergeCell ref="K44:L44"/>
    <mergeCell ref="B4:L4"/>
    <mergeCell ref="B44:J44"/>
  </mergeCells>
  <pageMargins left="0.7" right="0.7" top="0.75" bottom="0.75" header="0.3" footer="0.3"/>
  <pageSetup paperSize="9" scale="43"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3">
    <tabColor rgb="FF92D050"/>
    <pageSetUpPr fitToPage="1"/>
  </sheetPr>
  <dimension ref="B3:L46"/>
  <sheetViews>
    <sheetView showGridLines="0" zoomScale="70" zoomScaleNormal="70" workbookViewId="0">
      <pane xSplit="2" ySplit="5" topLeftCell="Q6" activePane="bottomRight" state="frozen"/>
      <selection activeCell="A4" sqref="A4:XFD4"/>
      <selection pane="topRight" activeCell="A4" sqref="A4:XFD4"/>
      <selection pane="bottomLeft" activeCell="A4" sqref="A4:XFD4"/>
      <selection pane="bottomRight" activeCell="H38" sqref="B3:L44"/>
    </sheetView>
  </sheetViews>
  <sheetFormatPr defaultColWidth="9.453125" defaultRowHeight="15.5" x14ac:dyDescent="0.35"/>
  <cols>
    <col min="1" max="1" width="16.453125" style="76" customWidth="1"/>
    <col min="2" max="2" width="39.7265625" style="76" bestFit="1" customWidth="1"/>
    <col min="3" max="12" width="21.54296875" style="76" customWidth="1"/>
    <col min="13" max="13" width="12.6328125" style="76" customWidth="1"/>
    <col min="14" max="112" width="9.453125" style="76" customWidth="1"/>
    <col min="113" max="16384" width="9.453125" style="76"/>
  </cols>
  <sheetData>
    <row r="3" spans="2:12" s="275" customFormat="1" ht="22" x14ac:dyDescent="0.5">
      <c r="B3" s="341" t="s">
        <v>176</v>
      </c>
      <c r="C3" s="338"/>
      <c r="D3" s="338"/>
      <c r="E3" s="338"/>
      <c r="F3" s="338"/>
      <c r="G3" s="338"/>
      <c r="H3" s="338"/>
      <c r="I3" s="338"/>
      <c r="J3" s="338"/>
      <c r="K3" s="338"/>
      <c r="L3" s="338"/>
    </row>
    <row r="4" spans="2:12" s="275" customFormat="1" ht="22" x14ac:dyDescent="0.5">
      <c r="B4" s="328" t="str">
        <f>_xlfn.CONCAT('Table of Contents'!B15,": ",'Table of Contents'!C15)</f>
        <v>APPENDIX 5 ii: SUMMARY OF GENERAL INSURANCE BUSINESS BALANCE SHEETS AS AT 31.03.2026</v>
      </c>
      <c r="C4" s="298"/>
      <c r="D4" s="298"/>
      <c r="E4" s="298"/>
      <c r="F4" s="298"/>
      <c r="G4" s="298"/>
      <c r="H4" s="298"/>
      <c r="I4" s="298"/>
      <c r="J4" s="298"/>
      <c r="K4" s="298"/>
      <c r="L4" s="299"/>
    </row>
    <row r="5" spans="2:12" ht="62" x14ac:dyDescent="0.35">
      <c r="B5" s="231" t="s">
        <v>0</v>
      </c>
      <c r="C5" s="232" t="s">
        <v>144</v>
      </c>
      <c r="D5" s="232" t="s">
        <v>116</v>
      </c>
      <c r="E5" s="232" t="s">
        <v>117</v>
      </c>
      <c r="F5" s="232" t="s">
        <v>118</v>
      </c>
      <c r="G5" s="232" t="s">
        <v>119</v>
      </c>
      <c r="H5" s="232" t="s">
        <v>120</v>
      </c>
      <c r="I5" s="232" t="s">
        <v>121</v>
      </c>
      <c r="J5" s="232" t="s">
        <v>145</v>
      </c>
      <c r="K5" s="232" t="s">
        <v>122</v>
      </c>
      <c r="L5" s="232" t="s">
        <v>123</v>
      </c>
    </row>
    <row r="6" spans="2:12" ht="16" customHeight="1" x14ac:dyDescent="0.35">
      <c r="B6" s="233" t="s">
        <v>8</v>
      </c>
      <c r="C6" s="123">
        <v>1000000</v>
      </c>
      <c r="D6" s="123">
        <v>600000</v>
      </c>
      <c r="E6" s="123">
        <v>600000</v>
      </c>
      <c r="F6" s="123">
        <v>600000</v>
      </c>
      <c r="G6" s="123">
        <v>810000</v>
      </c>
      <c r="H6" s="123">
        <v>1500000</v>
      </c>
      <c r="I6" s="123">
        <v>1006250</v>
      </c>
      <c r="J6" s="123">
        <v>1000000</v>
      </c>
      <c r="K6" s="123">
        <v>1000000</v>
      </c>
      <c r="L6" s="123">
        <v>800000</v>
      </c>
    </row>
    <row r="7" spans="2:12" ht="16" customHeight="1" x14ac:dyDescent="0.35">
      <c r="B7" s="233" t="s">
        <v>188</v>
      </c>
      <c r="C7" s="123">
        <v>0</v>
      </c>
      <c r="D7" s="123">
        <v>0</v>
      </c>
      <c r="E7" s="123">
        <v>0</v>
      </c>
      <c r="F7" s="123">
        <v>0</v>
      </c>
      <c r="G7" s="123">
        <v>512138.51</v>
      </c>
      <c r="H7" s="123">
        <v>0</v>
      </c>
      <c r="I7" s="123">
        <v>0</v>
      </c>
      <c r="J7" s="123">
        <v>10871.242</v>
      </c>
      <c r="K7" s="123">
        <v>0</v>
      </c>
      <c r="L7" s="123">
        <v>0</v>
      </c>
    </row>
    <row r="8" spans="2:12" ht="16" customHeight="1" x14ac:dyDescent="0.35">
      <c r="B8" s="233" t="s">
        <v>189</v>
      </c>
      <c r="C8" s="123">
        <v>199204.18299999999</v>
      </c>
      <c r="D8" s="123">
        <v>0</v>
      </c>
      <c r="E8" s="123">
        <v>0</v>
      </c>
      <c r="F8" s="123">
        <v>100140.55614250001</v>
      </c>
      <c r="G8" s="123">
        <v>339178.00400000002</v>
      </c>
      <c r="H8" s="123">
        <v>911178.73800000001</v>
      </c>
      <c r="I8" s="123">
        <v>68492.660319999995</v>
      </c>
      <c r="J8" s="123">
        <v>0</v>
      </c>
      <c r="K8" s="123">
        <v>66982.179999999993</v>
      </c>
      <c r="L8" s="123">
        <v>342209.33899999998</v>
      </c>
    </row>
    <row r="9" spans="2:12" ht="16" customHeight="1" x14ac:dyDescent="0.35">
      <c r="B9" s="233" t="s">
        <v>11</v>
      </c>
      <c r="C9" s="123">
        <v>0</v>
      </c>
      <c r="D9" s="123">
        <v>0</v>
      </c>
      <c r="E9" s="123">
        <v>0</v>
      </c>
      <c r="F9" s="123">
        <v>0</v>
      </c>
      <c r="G9" s="123">
        <v>71118.815000000002</v>
      </c>
      <c r="H9" s="123">
        <v>-750000</v>
      </c>
      <c r="I9" s="123">
        <v>21065.589779999998</v>
      </c>
      <c r="J9" s="123">
        <v>0</v>
      </c>
      <c r="K9" s="123">
        <v>600000</v>
      </c>
      <c r="L9" s="123">
        <v>25000</v>
      </c>
    </row>
    <row r="10" spans="2:12" ht="16" customHeight="1" x14ac:dyDescent="0.35">
      <c r="B10" s="233" t="s">
        <v>12</v>
      </c>
      <c r="C10" s="123">
        <v>5106113.4583615391</v>
      </c>
      <c r="D10" s="123">
        <v>239118.57469455499</v>
      </c>
      <c r="E10" s="123">
        <v>41657.303855338352</v>
      </c>
      <c r="F10" s="123">
        <v>738893.10659137042</v>
      </c>
      <c r="G10" s="123">
        <v>222027.57954000009</v>
      </c>
      <c r="H10" s="123">
        <v>8154107.4353278046</v>
      </c>
      <c r="I10" s="123">
        <v>281064.83767478663</v>
      </c>
      <c r="J10" s="123">
        <v>1390983.2776304409</v>
      </c>
      <c r="K10" s="123">
        <v>7440347.4809999997</v>
      </c>
      <c r="L10" s="123">
        <v>249103.6304676116</v>
      </c>
    </row>
    <row r="11" spans="2:12" ht="16" customHeight="1" x14ac:dyDescent="0.35">
      <c r="B11" s="233" t="s">
        <v>13</v>
      </c>
      <c r="C11" s="123">
        <v>0</v>
      </c>
      <c r="D11" s="123">
        <v>0</v>
      </c>
      <c r="E11" s="123">
        <v>0</v>
      </c>
      <c r="F11" s="123">
        <v>0</v>
      </c>
      <c r="G11" s="123">
        <v>-16454.885999999999</v>
      </c>
      <c r="H11" s="123">
        <v>950137.00199999998</v>
      </c>
      <c r="I11" s="123">
        <v>0</v>
      </c>
      <c r="J11" s="123">
        <v>0</v>
      </c>
      <c r="K11" s="123">
        <v>0</v>
      </c>
      <c r="L11" s="123">
        <v>0</v>
      </c>
    </row>
    <row r="12" spans="2:12" ht="16" customHeight="1" thickBot="1" x14ac:dyDescent="0.4">
      <c r="B12" s="219" t="s">
        <v>14</v>
      </c>
      <c r="C12" s="234">
        <v>6305317.6413615393</v>
      </c>
      <c r="D12" s="234">
        <v>839118.5746945549</v>
      </c>
      <c r="E12" s="234">
        <v>641657.30385533837</v>
      </c>
      <c r="F12" s="234">
        <v>1439033.662733871</v>
      </c>
      <c r="G12" s="234">
        <v>1938008.02254</v>
      </c>
      <c r="H12" s="234">
        <v>10765423.1753278</v>
      </c>
      <c r="I12" s="234">
        <v>1376873.0877747859</v>
      </c>
      <c r="J12" s="234">
        <v>2401854.519630441</v>
      </c>
      <c r="K12" s="234">
        <v>9107329.6610000003</v>
      </c>
      <c r="L12" s="234">
        <v>1416312.969467612</v>
      </c>
    </row>
    <row r="13" spans="2:12" ht="16" customHeight="1" thickTop="1" x14ac:dyDescent="0.35">
      <c r="B13" s="235" t="s">
        <v>15</v>
      </c>
      <c r="C13" s="123">
        <v>3385215.2558065639</v>
      </c>
      <c r="D13" s="123">
        <v>862861.1194473959</v>
      </c>
      <c r="E13" s="123">
        <v>1063463.266582167</v>
      </c>
      <c r="F13" s="123">
        <v>5796497.1629999997</v>
      </c>
      <c r="G13" s="123">
        <v>5853555.4196952861</v>
      </c>
      <c r="H13" s="123">
        <v>18634607.934</v>
      </c>
      <c r="I13" s="123">
        <v>6168931.953780001</v>
      </c>
      <c r="J13" s="123">
        <v>3316502.0491903299</v>
      </c>
      <c r="K13" s="123">
        <v>7942529.7400000002</v>
      </c>
      <c r="L13" s="123">
        <v>3033919.3599887281</v>
      </c>
    </row>
    <row r="14" spans="2:12" ht="16" customHeight="1" x14ac:dyDescent="0.35">
      <c r="B14" s="233" t="s">
        <v>16</v>
      </c>
      <c r="C14" s="123">
        <v>161180.33144000001</v>
      </c>
      <c r="D14" s="123">
        <v>0</v>
      </c>
      <c r="E14" s="123">
        <v>0</v>
      </c>
      <c r="F14" s="123">
        <v>0</v>
      </c>
      <c r="G14" s="123">
        <v>0</v>
      </c>
      <c r="H14" s="123">
        <v>3128598.4589999998</v>
      </c>
      <c r="I14" s="123">
        <v>0</v>
      </c>
      <c r="J14" s="123">
        <v>0</v>
      </c>
      <c r="K14" s="123">
        <v>432249.85</v>
      </c>
      <c r="L14" s="123">
        <v>8725.0623785325515</v>
      </c>
    </row>
    <row r="15" spans="2:12" ht="16" customHeight="1" x14ac:dyDescent="0.35">
      <c r="B15" s="233" t="s">
        <v>17</v>
      </c>
      <c r="C15" s="123">
        <v>0</v>
      </c>
      <c r="D15" s="123">
        <v>200000</v>
      </c>
      <c r="E15" s="123">
        <v>200000</v>
      </c>
      <c r="F15" s="123">
        <v>0</v>
      </c>
      <c r="G15" s="123">
        <v>0</v>
      </c>
      <c r="H15" s="123">
        <v>0</v>
      </c>
      <c r="I15" s="123">
        <v>0</v>
      </c>
      <c r="J15" s="123">
        <v>0</v>
      </c>
      <c r="K15" s="123">
        <v>0</v>
      </c>
      <c r="L15" s="123">
        <v>0</v>
      </c>
    </row>
    <row r="16" spans="2:12" ht="16" customHeight="1" x14ac:dyDescent="0.35">
      <c r="B16" s="233" t="s">
        <v>18</v>
      </c>
      <c r="C16" s="123">
        <v>0</v>
      </c>
      <c r="D16" s="123">
        <v>0</v>
      </c>
      <c r="E16" s="123">
        <v>0</v>
      </c>
      <c r="F16" s="123">
        <v>11133.52608</v>
      </c>
      <c r="G16" s="123">
        <v>0</v>
      </c>
      <c r="H16" s="123">
        <v>121943.948</v>
      </c>
      <c r="I16" s="123">
        <v>0</v>
      </c>
      <c r="J16" s="123">
        <v>0</v>
      </c>
      <c r="K16" s="123">
        <v>532885.93999999994</v>
      </c>
      <c r="L16" s="123">
        <v>0</v>
      </c>
    </row>
    <row r="17" spans="2:12" ht="16" customHeight="1" x14ac:dyDescent="0.35">
      <c r="B17" s="233" t="s">
        <v>19</v>
      </c>
      <c r="C17" s="123">
        <v>916987.56065000012</v>
      </c>
      <c r="D17" s="123">
        <v>400523.71581000002</v>
      </c>
      <c r="E17" s="123">
        <v>179915.66691778431</v>
      </c>
      <c r="F17" s="123">
        <v>203287.09125429639</v>
      </c>
      <c r="G17" s="123">
        <v>451158.81800000003</v>
      </c>
      <c r="H17" s="123">
        <v>495050.39</v>
      </c>
      <c r="I17" s="123">
        <v>104132.811</v>
      </c>
      <c r="J17" s="123">
        <v>8570.9359999999997</v>
      </c>
      <c r="K17" s="123">
        <v>957361.01899999997</v>
      </c>
      <c r="L17" s="123">
        <v>65400.603000000003</v>
      </c>
    </row>
    <row r="18" spans="2:12" ht="16" customHeight="1" x14ac:dyDescent="0.35">
      <c r="B18" s="233" t="s">
        <v>20</v>
      </c>
      <c r="C18" s="123">
        <v>96537.150960000508</v>
      </c>
      <c r="D18" s="123">
        <v>62070.317051475817</v>
      </c>
      <c r="E18" s="123">
        <v>4987.4159380018709</v>
      </c>
      <c r="F18" s="123">
        <v>9833.8604899995753</v>
      </c>
      <c r="G18" s="123">
        <v>230250.40843580439</v>
      </c>
      <c r="H18" s="123">
        <v>322648.93800000002</v>
      </c>
      <c r="I18" s="123">
        <v>59682.163999999997</v>
      </c>
      <c r="J18" s="123">
        <v>69336.149000000005</v>
      </c>
      <c r="K18" s="123">
        <v>339106.66100000002</v>
      </c>
      <c r="L18" s="123">
        <v>73996.224725476597</v>
      </c>
    </row>
    <row r="19" spans="2:12" ht="16" customHeight="1" thickBot="1" x14ac:dyDescent="0.4">
      <c r="B19" s="236" t="s">
        <v>21</v>
      </c>
      <c r="C19" s="237">
        <v>10865237.9402181</v>
      </c>
      <c r="D19" s="237">
        <v>2364573.7270034272</v>
      </c>
      <c r="E19" s="237">
        <v>2090023.6532932911</v>
      </c>
      <c r="F19" s="237">
        <v>7459785.3035581661</v>
      </c>
      <c r="G19" s="237">
        <v>8472972.6686710902</v>
      </c>
      <c r="H19" s="237">
        <v>33468272.8443278</v>
      </c>
      <c r="I19" s="237">
        <v>7709620.0165547868</v>
      </c>
      <c r="J19" s="237">
        <v>5796263.6538207699</v>
      </c>
      <c r="K19" s="237">
        <v>19311462.870999999</v>
      </c>
      <c r="L19" s="237">
        <v>4598354.2195603484</v>
      </c>
    </row>
    <row r="20" spans="2:12" ht="16" customHeight="1" thickTop="1" x14ac:dyDescent="0.35">
      <c r="B20" s="235" t="s">
        <v>22</v>
      </c>
      <c r="C20" s="238">
        <v>5620.1034799999888</v>
      </c>
      <c r="D20" s="238">
        <v>7286.2195099999999</v>
      </c>
      <c r="E20" s="238">
        <v>0</v>
      </c>
      <c r="F20" s="238">
        <v>9392.219279997902</v>
      </c>
      <c r="G20" s="238">
        <v>32237.388999999999</v>
      </c>
      <c r="H20" s="238">
        <v>25959.379000000001</v>
      </c>
      <c r="I20" s="238">
        <v>40413.078999999998</v>
      </c>
      <c r="J20" s="238">
        <v>9552.3946200000009</v>
      </c>
      <c r="K20" s="238">
        <v>136851.41800000001</v>
      </c>
      <c r="L20" s="238">
        <v>50300.338000000003</v>
      </c>
    </row>
    <row r="21" spans="2:12" ht="16" customHeight="1" x14ac:dyDescent="0.35">
      <c r="B21" s="233" t="s">
        <v>23</v>
      </c>
      <c r="C21" s="238">
        <v>345469.93831</v>
      </c>
      <c r="D21" s="238">
        <v>0</v>
      </c>
      <c r="E21" s="238">
        <v>0</v>
      </c>
      <c r="F21" s="238">
        <v>215218.99299999999</v>
      </c>
      <c r="G21" s="238">
        <v>542000</v>
      </c>
      <c r="H21" s="238">
        <v>1170000</v>
      </c>
      <c r="I21" s="238">
        <v>440000</v>
      </c>
      <c r="J21" s="238">
        <v>28400.480545999999</v>
      </c>
      <c r="K21" s="238">
        <v>0</v>
      </c>
      <c r="L21" s="238">
        <v>0</v>
      </c>
    </row>
    <row r="22" spans="2:12" ht="16" customHeight="1" x14ac:dyDescent="0.35">
      <c r="B22" s="233" t="s">
        <v>24</v>
      </c>
      <c r="C22" s="238">
        <v>740000</v>
      </c>
      <c r="D22" s="238">
        <v>0</v>
      </c>
      <c r="E22" s="238">
        <v>0</v>
      </c>
      <c r="F22" s="238">
        <v>968831.00800000003</v>
      </c>
      <c r="G22" s="238">
        <v>1000000</v>
      </c>
      <c r="H22" s="238">
        <v>1382999.9990000001</v>
      </c>
      <c r="I22" s="238">
        <v>994500</v>
      </c>
      <c r="J22" s="238">
        <v>0</v>
      </c>
      <c r="K22" s="238">
        <v>2885000</v>
      </c>
      <c r="L22" s="238">
        <v>499000</v>
      </c>
    </row>
    <row r="23" spans="2:12" ht="16" customHeight="1" x14ac:dyDescent="0.35">
      <c r="B23" s="233" t="s">
        <v>25</v>
      </c>
      <c r="C23" s="238">
        <v>10898.97155000004</v>
      </c>
      <c r="D23" s="238">
        <v>1543.556587269406</v>
      </c>
      <c r="E23" s="238">
        <v>1418.989629589041</v>
      </c>
      <c r="F23" s="238">
        <v>25786.87229216667</v>
      </c>
      <c r="G23" s="238">
        <v>84600.265573333323</v>
      </c>
      <c r="H23" s="238">
        <v>67997.210000000006</v>
      </c>
      <c r="I23" s="238">
        <v>140663.614</v>
      </c>
      <c r="J23" s="238">
        <v>26431.77621433646</v>
      </c>
      <c r="K23" s="238">
        <v>69983.646999999997</v>
      </c>
      <c r="L23" s="238">
        <v>104585.014</v>
      </c>
    </row>
    <row r="24" spans="2:12" ht="16" customHeight="1" x14ac:dyDescent="0.35">
      <c r="B24" s="233" t="s">
        <v>26</v>
      </c>
      <c r="C24" s="238">
        <v>4409612.4486539122</v>
      </c>
      <c r="D24" s="238">
        <v>1161402.2678837881</v>
      </c>
      <c r="E24" s="238">
        <v>1270181.5733734199</v>
      </c>
      <c r="F24" s="238">
        <v>3155857.5492546121</v>
      </c>
      <c r="G24" s="238">
        <v>1148458.047057003</v>
      </c>
      <c r="H24" s="238">
        <v>9207771.0419999994</v>
      </c>
      <c r="I24" s="238">
        <v>1567616.044</v>
      </c>
      <c r="J24" s="238">
        <v>1798420.259113793</v>
      </c>
      <c r="K24" s="238">
        <v>6831337.3480000002</v>
      </c>
      <c r="L24" s="238">
        <v>890838.06</v>
      </c>
    </row>
    <row r="25" spans="2:12" ht="16" customHeight="1" x14ac:dyDescent="0.35">
      <c r="B25" s="233" t="s">
        <v>173</v>
      </c>
      <c r="C25" s="238">
        <v>0</v>
      </c>
      <c r="D25" s="238">
        <v>0</v>
      </c>
      <c r="E25" s="238">
        <v>0</v>
      </c>
      <c r="F25" s="238">
        <v>0</v>
      </c>
      <c r="G25" s="238">
        <v>0</v>
      </c>
      <c r="H25" s="238">
        <v>0</v>
      </c>
      <c r="I25" s="238">
        <v>0</v>
      </c>
      <c r="J25" s="238">
        <v>284866.19400000002</v>
      </c>
      <c r="K25" s="238">
        <v>62671.256999999998</v>
      </c>
      <c r="L25" s="238">
        <v>0</v>
      </c>
    </row>
    <row r="26" spans="2:12" ht="16" customHeight="1" x14ac:dyDescent="0.35">
      <c r="B26" s="233" t="s">
        <v>28</v>
      </c>
      <c r="C26" s="238">
        <v>197995.97013999999</v>
      </c>
      <c r="D26" s="238">
        <v>0</v>
      </c>
      <c r="E26" s="238">
        <v>0</v>
      </c>
      <c r="F26" s="238">
        <v>0</v>
      </c>
      <c r="G26" s="238">
        <v>0</v>
      </c>
      <c r="H26" s="238">
        <v>0</v>
      </c>
      <c r="I26" s="238">
        <v>0</v>
      </c>
      <c r="J26" s="238">
        <v>0</v>
      </c>
      <c r="K26" s="238">
        <v>38233.817999999999</v>
      </c>
      <c r="L26" s="238">
        <v>0</v>
      </c>
    </row>
    <row r="27" spans="2:12" ht="16" customHeight="1" x14ac:dyDescent="0.35">
      <c r="B27" s="233" t="s">
        <v>29</v>
      </c>
      <c r="C27" s="238">
        <v>644852.22075999994</v>
      </c>
      <c r="D27" s="238">
        <v>0</v>
      </c>
      <c r="E27" s="238">
        <v>0</v>
      </c>
      <c r="F27" s="238">
        <v>13155.743</v>
      </c>
      <c r="G27" s="238">
        <v>0</v>
      </c>
      <c r="H27" s="238">
        <v>1080779.358</v>
      </c>
      <c r="I27" s="238">
        <v>0</v>
      </c>
      <c r="J27" s="238">
        <v>0</v>
      </c>
      <c r="K27" s="238">
        <v>564243.20499999996</v>
      </c>
      <c r="L27" s="238">
        <v>0</v>
      </c>
    </row>
    <row r="28" spans="2:12" ht="16" customHeight="1" x14ac:dyDescent="0.35">
      <c r="B28" s="233" t="s">
        <v>30</v>
      </c>
      <c r="C28" s="238">
        <v>352014.69133501721</v>
      </c>
      <c r="D28" s="238">
        <v>0</v>
      </c>
      <c r="E28" s="238">
        <v>0</v>
      </c>
      <c r="F28" s="238">
        <v>0</v>
      </c>
      <c r="G28" s="238">
        <v>0</v>
      </c>
      <c r="H28" s="238">
        <v>0</v>
      </c>
      <c r="I28" s="238">
        <v>0</v>
      </c>
      <c r="J28" s="238">
        <v>0</v>
      </c>
      <c r="K28" s="238">
        <v>144109.74799999999</v>
      </c>
      <c r="L28" s="238">
        <v>0</v>
      </c>
    </row>
    <row r="29" spans="2:12" ht="16" customHeight="1" x14ac:dyDescent="0.35">
      <c r="B29" s="233" t="s">
        <v>31</v>
      </c>
      <c r="C29" s="238">
        <v>0</v>
      </c>
      <c r="D29" s="238">
        <v>0</v>
      </c>
      <c r="E29" s="238">
        <v>0</v>
      </c>
      <c r="F29" s="238">
        <v>0</v>
      </c>
      <c r="G29" s="238">
        <v>0</v>
      </c>
      <c r="H29" s="238">
        <v>0</v>
      </c>
      <c r="I29" s="238">
        <v>212037.34899999999</v>
      </c>
      <c r="J29" s="238">
        <v>0</v>
      </c>
      <c r="K29" s="238">
        <v>0</v>
      </c>
      <c r="L29" s="238">
        <v>0</v>
      </c>
    </row>
    <row r="30" spans="2:12" ht="16" customHeight="1" x14ac:dyDescent="0.35">
      <c r="B30" s="233" t="s">
        <v>32</v>
      </c>
      <c r="C30" s="238">
        <v>0</v>
      </c>
      <c r="D30" s="238">
        <v>0</v>
      </c>
      <c r="E30" s="238">
        <v>0</v>
      </c>
      <c r="F30" s="238">
        <v>0</v>
      </c>
      <c r="G30" s="238">
        <v>0</v>
      </c>
      <c r="H30" s="238">
        <v>0</v>
      </c>
      <c r="I30" s="238">
        <v>0</v>
      </c>
      <c r="J30" s="238">
        <v>0</v>
      </c>
      <c r="K30" s="238">
        <v>0</v>
      </c>
      <c r="L30" s="238">
        <v>0</v>
      </c>
    </row>
    <row r="31" spans="2:12" ht="16" customHeight="1" x14ac:dyDescent="0.35">
      <c r="B31" s="233" t="s">
        <v>33</v>
      </c>
      <c r="C31" s="238">
        <v>29811.04016</v>
      </c>
      <c r="D31" s="238">
        <v>0</v>
      </c>
      <c r="E31" s="238">
        <v>0</v>
      </c>
      <c r="F31" s="238">
        <v>104187.3146</v>
      </c>
      <c r="G31" s="238">
        <v>0</v>
      </c>
      <c r="H31" s="238">
        <v>744835.94299999997</v>
      </c>
      <c r="I31" s="238">
        <v>76004.171579999995</v>
      </c>
      <c r="J31" s="238">
        <v>0</v>
      </c>
      <c r="K31" s="238">
        <v>1131260.915</v>
      </c>
      <c r="L31" s="238">
        <v>0</v>
      </c>
    </row>
    <row r="32" spans="2:12" ht="16" customHeight="1" x14ac:dyDescent="0.35">
      <c r="B32" s="233" t="s">
        <v>34</v>
      </c>
      <c r="C32" s="238">
        <v>0</v>
      </c>
      <c r="D32" s="238">
        <v>0</v>
      </c>
      <c r="E32" s="238">
        <v>0</v>
      </c>
      <c r="F32" s="238">
        <v>0</v>
      </c>
      <c r="G32" s="238">
        <v>0</v>
      </c>
      <c r="H32" s="238">
        <v>553337.73</v>
      </c>
      <c r="I32" s="238">
        <v>6526.61</v>
      </c>
      <c r="J32" s="238">
        <v>0</v>
      </c>
      <c r="K32" s="238">
        <v>0</v>
      </c>
      <c r="L32" s="238">
        <v>0</v>
      </c>
    </row>
    <row r="33" spans="2:12" ht="16" customHeight="1" x14ac:dyDescent="0.35">
      <c r="B33" s="233" t="s">
        <v>35</v>
      </c>
      <c r="C33" s="238">
        <v>0</v>
      </c>
      <c r="D33" s="238">
        <v>0</v>
      </c>
      <c r="E33" s="238">
        <v>0</v>
      </c>
      <c r="F33" s="238">
        <v>0</v>
      </c>
      <c r="G33" s="238">
        <v>0</v>
      </c>
      <c r="H33" s="238">
        <v>0</v>
      </c>
      <c r="I33" s="238">
        <v>0</v>
      </c>
      <c r="J33" s="238">
        <v>0</v>
      </c>
      <c r="K33" s="238">
        <v>0</v>
      </c>
      <c r="L33" s="238">
        <v>0</v>
      </c>
    </row>
    <row r="34" spans="2:12" ht="16" customHeight="1" x14ac:dyDescent="0.35">
      <c r="B34" s="233" t="s">
        <v>36</v>
      </c>
      <c r="C34" s="238">
        <v>0</v>
      </c>
      <c r="D34" s="238">
        <v>0</v>
      </c>
      <c r="E34" s="238">
        <v>0</v>
      </c>
      <c r="F34" s="238">
        <v>0</v>
      </c>
      <c r="G34" s="238">
        <v>0</v>
      </c>
      <c r="H34" s="238">
        <v>0</v>
      </c>
      <c r="I34" s="238">
        <v>0</v>
      </c>
      <c r="J34" s="238">
        <v>0</v>
      </c>
      <c r="K34" s="238">
        <v>0</v>
      </c>
      <c r="L34" s="238">
        <v>0</v>
      </c>
    </row>
    <row r="35" spans="2:12" ht="16" customHeight="1" x14ac:dyDescent="0.35">
      <c r="B35" s="233" t="s">
        <v>37</v>
      </c>
      <c r="C35" s="238">
        <v>9867.5409099999997</v>
      </c>
      <c r="D35" s="238">
        <v>0</v>
      </c>
      <c r="E35" s="238">
        <v>0</v>
      </c>
      <c r="F35" s="238">
        <v>11982.877710000001</v>
      </c>
      <c r="G35" s="238">
        <v>3.9840000099502511E-4</v>
      </c>
      <c r="H35" s="238">
        <v>252871.761</v>
      </c>
      <c r="I35" s="238">
        <v>497076.46899999998</v>
      </c>
      <c r="J35" s="238">
        <v>5030.8333600000014</v>
      </c>
      <c r="K35" s="238">
        <v>50151.945</v>
      </c>
      <c r="L35" s="238">
        <v>11228.718999999999</v>
      </c>
    </row>
    <row r="36" spans="2:12" ht="16" customHeight="1" x14ac:dyDescent="0.35">
      <c r="B36" s="233" t="s">
        <v>38</v>
      </c>
      <c r="C36" s="238">
        <v>100917.74153</v>
      </c>
      <c r="D36" s="238">
        <v>0</v>
      </c>
      <c r="E36" s="238">
        <v>0</v>
      </c>
      <c r="F36" s="238">
        <v>2238.7818699999998</v>
      </c>
      <c r="G36" s="238">
        <v>0</v>
      </c>
      <c r="H36" s="238">
        <v>0</v>
      </c>
      <c r="I36" s="238">
        <v>0</v>
      </c>
      <c r="J36" s="238">
        <v>0</v>
      </c>
      <c r="K36" s="238">
        <v>0</v>
      </c>
      <c r="L36" s="238">
        <v>0</v>
      </c>
    </row>
    <row r="37" spans="2:12" ht="16" customHeight="1" x14ac:dyDescent="0.35">
      <c r="B37" s="233" t="s">
        <v>39</v>
      </c>
      <c r="C37" s="238">
        <v>1381264.3098579349</v>
      </c>
      <c r="D37" s="238">
        <v>557785.13530136994</v>
      </c>
      <c r="E37" s="238">
        <v>633133.42214643839</v>
      </c>
      <c r="F37" s="238">
        <v>536180.94563000009</v>
      </c>
      <c r="G37" s="238">
        <v>2646134.5417621988</v>
      </c>
      <c r="H37" s="238">
        <v>1043023.155</v>
      </c>
      <c r="I37" s="238">
        <v>582258.06299999997</v>
      </c>
      <c r="J37" s="238">
        <v>610018.80538205628</v>
      </c>
      <c r="K37" s="238">
        <v>2517299.145</v>
      </c>
      <c r="L37" s="238">
        <v>715353.054</v>
      </c>
    </row>
    <row r="38" spans="2:12" ht="16" customHeight="1" x14ac:dyDescent="0.35">
      <c r="B38" s="233" t="s">
        <v>40</v>
      </c>
      <c r="C38" s="238">
        <v>198475.55369</v>
      </c>
      <c r="D38" s="238">
        <v>6209.3467421680916</v>
      </c>
      <c r="E38" s="238">
        <v>3232.1390000000001</v>
      </c>
      <c r="F38" s="238">
        <v>218863.71358000001</v>
      </c>
      <c r="G38" s="238">
        <v>-58210.013709999977</v>
      </c>
      <c r="H38" s="238">
        <v>217062.98800000001</v>
      </c>
      <c r="I38" s="238">
        <v>116982.3891999999</v>
      </c>
      <c r="J38" s="238">
        <v>365436.77799999999</v>
      </c>
      <c r="K38" s="238">
        <v>77326.577999999994</v>
      </c>
      <c r="L38" s="238">
        <v>400073.37099999998</v>
      </c>
    </row>
    <row r="39" spans="2:12" ht="16" customHeight="1" x14ac:dyDescent="0.35">
      <c r="B39" s="233" t="s">
        <v>41</v>
      </c>
      <c r="C39" s="238">
        <v>0</v>
      </c>
      <c r="D39" s="238">
        <v>0</v>
      </c>
      <c r="E39" s="238">
        <v>0</v>
      </c>
      <c r="F39" s="238">
        <v>0</v>
      </c>
      <c r="G39" s="238">
        <v>0</v>
      </c>
      <c r="H39" s="238">
        <v>1838704.2309999999</v>
      </c>
      <c r="I39" s="238">
        <v>0</v>
      </c>
      <c r="J39" s="238">
        <v>0</v>
      </c>
      <c r="K39" s="238">
        <v>0</v>
      </c>
      <c r="L39" s="238">
        <v>69.050916705308097</v>
      </c>
    </row>
    <row r="40" spans="2:12" ht="16" customHeight="1" x14ac:dyDescent="0.35">
      <c r="B40" s="233" t="s">
        <v>42</v>
      </c>
      <c r="C40" s="238">
        <v>536199.3406312383</v>
      </c>
      <c r="D40" s="238">
        <v>541514.70565421449</v>
      </c>
      <c r="E40" s="238">
        <v>117697.2884345729</v>
      </c>
      <c r="F40" s="238">
        <v>1110988.4055981671</v>
      </c>
      <c r="G40" s="238">
        <v>2268420.0611303002</v>
      </c>
      <c r="H40" s="238">
        <v>11365404.474542821</v>
      </c>
      <c r="I40" s="238">
        <v>2560952.801</v>
      </c>
      <c r="J40" s="238">
        <v>859204.76083671337</v>
      </c>
      <c r="K40" s="238">
        <v>2753006.503</v>
      </c>
      <c r="L40" s="238">
        <v>947135.26785218704</v>
      </c>
    </row>
    <row r="41" spans="2:12" ht="16" customHeight="1" x14ac:dyDescent="0.35">
      <c r="B41" s="233" t="s">
        <v>43</v>
      </c>
      <c r="C41" s="238">
        <v>1859187.57021</v>
      </c>
      <c r="D41" s="238">
        <v>71159.645049999992</v>
      </c>
      <c r="E41" s="238">
        <v>52412.947</v>
      </c>
      <c r="F41" s="238">
        <v>834859.65228000015</v>
      </c>
      <c r="G41" s="238">
        <v>678642.76534400054</v>
      </c>
      <c r="H41" s="238">
        <v>4279439.4989999998</v>
      </c>
      <c r="I41" s="238">
        <v>433017.42477478721</v>
      </c>
      <c r="J41" s="238">
        <v>607635.20772426028</v>
      </c>
      <c r="K41" s="238">
        <v>1338778.5619999999</v>
      </c>
      <c r="L41" s="238">
        <v>887736.08900000004</v>
      </c>
    </row>
    <row r="42" spans="2:12" ht="16" customHeight="1" x14ac:dyDescent="0.35">
      <c r="B42" s="233" t="s">
        <v>44</v>
      </c>
      <c r="C42" s="238">
        <v>43050.499000000003</v>
      </c>
      <c r="D42" s="238">
        <v>17672.850277539641</v>
      </c>
      <c r="E42" s="238">
        <v>11947.293709271329</v>
      </c>
      <c r="F42" s="238">
        <v>252241.22746322249</v>
      </c>
      <c r="G42" s="238">
        <v>130689.61281000001</v>
      </c>
      <c r="H42" s="238">
        <v>238086.07399999999</v>
      </c>
      <c r="I42" s="238">
        <v>41572.002</v>
      </c>
      <c r="J42" s="238">
        <v>1201266.164023611</v>
      </c>
      <c r="K42" s="238">
        <v>711208.78200000001</v>
      </c>
      <c r="L42" s="238">
        <v>92035.255999999994</v>
      </c>
    </row>
    <row r="43" spans="2:12" ht="16" customHeight="1" thickBot="1" x14ac:dyDescent="0.4">
      <c r="B43" s="236" t="s">
        <v>45</v>
      </c>
      <c r="C43" s="237">
        <v>10865237.94021811</v>
      </c>
      <c r="D43" s="237">
        <v>2364573.7270063488</v>
      </c>
      <c r="E43" s="237">
        <v>2090023.6532932911</v>
      </c>
      <c r="F43" s="237">
        <v>7459785.3035581661</v>
      </c>
      <c r="G43" s="237">
        <v>8472972.6693652365</v>
      </c>
      <c r="H43" s="237">
        <v>33468272.843542822</v>
      </c>
      <c r="I43" s="237">
        <v>7709620.0165547868</v>
      </c>
      <c r="J43" s="237">
        <v>5796263.6538207699</v>
      </c>
      <c r="K43" s="237">
        <v>19311462.870999999</v>
      </c>
      <c r="L43" s="237">
        <v>4598354.219768892</v>
      </c>
    </row>
    <row r="44" spans="2:12" ht="16" customHeight="1" thickTop="1" x14ac:dyDescent="0.35">
      <c r="B44" s="331" t="s">
        <v>190</v>
      </c>
      <c r="C44" s="332"/>
      <c r="D44" s="332"/>
      <c r="E44" s="332"/>
      <c r="F44" s="332"/>
      <c r="G44" s="332"/>
      <c r="H44" s="332"/>
      <c r="I44" s="332"/>
      <c r="J44" s="332"/>
      <c r="K44" s="329" t="s">
        <v>175</v>
      </c>
      <c r="L44" s="330"/>
    </row>
    <row r="45" spans="2:12" x14ac:dyDescent="0.35">
      <c r="C45" s="131"/>
      <c r="D45" s="131"/>
      <c r="E45" s="131"/>
      <c r="F45" s="131"/>
      <c r="G45" s="131"/>
      <c r="H45" s="131"/>
      <c r="I45" s="131"/>
      <c r="J45" s="131"/>
      <c r="K45" s="131"/>
      <c r="L45" s="131"/>
    </row>
    <row r="46" spans="2:12" x14ac:dyDescent="0.35">
      <c r="C46" s="131"/>
      <c r="D46" s="131"/>
      <c r="E46" s="131"/>
      <c r="F46" s="131"/>
      <c r="G46" s="131"/>
      <c r="H46" s="131"/>
      <c r="I46" s="131"/>
      <c r="J46" s="131"/>
      <c r="K46" s="131"/>
      <c r="L46" s="131"/>
    </row>
  </sheetData>
  <sheetProtection algorithmName="SHA-512" hashValue="5McdxjO4zcB49L9odUdB4eWedRVmQTsTp/7mUUDjCdqVIQ05L7YpCbtrdrYx85N1O52lgk3YdfUKJ/UgRRLK3Q==" saltValue="0TJUK9QmNNmtdg4PLmug/A==" spinCount="100000" sheet="1" objects="1" scenarios="1"/>
  <mergeCells count="4">
    <mergeCell ref="K44:L44"/>
    <mergeCell ref="B4:L4"/>
    <mergeCell ref="B44:J44"/>
    <mergeCell ref="B3:L3"/>
  </mergeCells>
  <pageMargins left="0.7" right="0.7" top="0.75" bottom="0.75" header="0.3" footer="0.3"/>
  <pageSetup paperSize="9" scale="43"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4">
    <tabColor rgb="FF92D050"/>
    <pageSetUpPr fitToPage="1"/>
  </sheetPr>
  <dimension ref="B3:M48"/>
  <sheetViews>
    <sheetView showGridLines="0" zoomScale="70" zoomScaleNormal="70" workbookViewId="0">
      <pane xSplit="2" ySplit="5" topLeftCell="K32" activePane="bottomRight" state="frozen"/>
      <selection activeCell="B49" sqref="B49:Q49"/>
      <selection pane="topRight" activeCell="B49" sqref="B49:Q49"/>
      <selection pane="bottomLeft" activeCell="B49" sqref="B49:Q49"/>
      <selection pane="bottomRight" activeCell="O39" sqref="O39"/>
    </sheetView>
  </sheetViews>
  <sheetFormatPr defaultColWidth="9.453125" defaultRowHeight="15.5" x14ac:dyDescent="0.35"/>
  <cols>
    <col min="1" max="1" width="16.54296875" style="76" customWidth="1"/>
    <col min="2" max="2" width="37.453125" style="76" customWidth="1"/>
    <col min="3" max="13" width="19.54296875" style="76" customWidth="1"/>
    <col min="14" max="112" width="9.453125" style="76" customWidth="1"/>
    <col min="113" max="16384" width="9.453125" style="76"/>
  </cols>
  <sheetData>
    <row r="3" spans="2:13" s="275" customFormat="1" ht="22" x14ac:dyDescent="0.5">
      <c r="B3" s="341" t="s">
        <v>176</v>
      </c>
      <c r="C3" s="338"/>
      <c r="D3" s="338"/>
      <c r="E3" s="338"/>
      <c r="F3" s="338"/>
      <c r="G3" s="338"/>
      <c r="H3" s="338"/>
      <c r="I3" s="338"/>
      <c r="J3" s="338"/>
      <c r="K3" s="338"/>
      <c r="L3" s="338"/>
      <c r="M3" s="338"/>
    </row>
    <row r="4" spans="2:13" s="275" customFormat="1" ht="22" x14ac:dyDescent="0.5">
      <c r="B4" s="328" t="str">
        <f>_xlfn.CONCAT('Table of Contents'!B16,": ",'Table of Contents'!C16)</f>
        <v>APPENDIX 5 iii: SUMMARY OF GENERAL INSURANCE BUSINESS BALANCE SHEETS AS AT 31.03.2026</v>
      </c>
      <c r="C4" s="298"/>
      <c r="D4" s="298"/>
      <c r="E4" s="298"/>
      <c r="F4" s="298"/>
      <c r="G4" s="298"/>
      <c r="H4" s="298"/>
      <c r="I4" s="298"/>
      <c r="J4" s="298"/>
      <c r="K4" s="298"/>
      <c r="L4" s="298"/>
      <c r="M4" s="299"/>
    </row>
    <row r="5" spans="2:13" ht="46.5" x14ac:dyDescent="0.35">
      <c r="B5" s="231" t="s">
        <v>0</v>
      </c>
      <c r="C5" s="232" t="s">
        <v>124</v>
      </c>
      <c r="D5" s="232" t="s">
        <v>125</v>
      </c>
      <c r="E5" s="232" t="s">
        <v>126</v>
      </c>
      <c r="F5" s="232" t="s">
        <v>146</v>
      </c>
      <c r="G5" s="232" t="s">
        <v>127</v>
      </c>
      <c r="H5" s="232" t="s">
        <v>128</v>
      </c>
      <c r="I5" s="232" t="s">
        <v>129</v>
      </c>
      <c r="J5" s="232" t="s">
        <v>130</v>
      </c>
      <c r="K5" s="232" t="s">
        <v>131</v>
      </c>
      <c r="L5" s="239" t="s">
        <v>132</v>
      </c>
      <c r="M5" s="239" t="s">
        <v>133</v>
      </c>
    </row>
    <row r="6" spans="2:13" ht="15" customHeight="1" x14ac:dyDescent="0.35">
      <c r="B6" s="233" t="s">
        <v>8</v>
      </c>
      <c r="C6" s="123">
        <v>2763720</v>
      </c>
      <c r="D6" s="123">
        <v>600000</v>
      </c>
      <c r="E6" s="123">
        <v>810721.06</v>
      </c>
      <c r="F6" s="123">
        <v>13498981.359999999</v>
      </c>
      <c r="G6" s="123">
        <v>605000</v>
      </c>
      <c r="H6" s="123">
        <v>1500000</v>
      </c>
      <c r="I6" s="123">
        <v>600000</v>
      </c>
      <c r="J6" s="123">
        <v>600000</v>
      </c>
      <c r="K6" s="123">
        <v>895831</v>
      </c>
      <c r="L6" s="123">
        <v>1000000</v>
      </c>
      <c r="M6" s="123">
        <v>688553.90700000001</v>
      </c>
    </row>
    <row r="7" spans="2:13" ht="15" customHeight="1" x14ac:dyDescent="0.35">
      <c r="B7" s="233" t="s">
        <v>188</v>
      </c>
      <c r="C7" s="123">
        <v>0</v>
      </c>
      <c r="D7" s="123">
        <v>1198.2950000000001</v>
      </c>
      <c r="E7" s="123">
        <v>0</v>
      </c>
      <c r="F7" s="123">
        <v>0</v>
      </c>
      <c r="G7" s="123">
        <v>0</v>
      </c>
      <c r="H7" s="123">
        <v>0</v>
      </c>
      <c r="I7" s="123">
        <v>0</v>
      </c>
      <c r="J7" s="123">
        <v>0</v>
      </c>
      <c r="K7" s="123">
        <v>0</v>
      </c>
      <c r="L7" s="123">
        <v>0</v>
      </c>
      <c r="M7" s="123">
        <v>5712</v>
      </c>
    </row>
    <row r="8" spans="2:13" ht="15" customHeight="1" x14ac:dyDescent="0.35">
      <c r="B8" s="233" t="s">
        <v>189</v>
      </c>
      <c r="C8" s="123">
        <v>54390.060129999998</v>
      </c>
      <c r="D8" s="123">
        <v>456853</v>
      </c>
      <c r="E8" s="123">
        <v>10029.49775</v>
      </c>
      <c r="F8" s="123">
        <v>37904.31</v>
      </c>
      <c r="G8" s="123">
        <v>0</v>
      </c>
      <c r="H8" s="123">
        <v>-152930.35699999999</v>
      </c>
      <c r="I8" s="123">
        <v>0</v>
      </c>
      <c r="J8" s="123">
        <v>0</v>
      </c>
      <c r="K8" s="123">
        <v>0</v>
      </c>
      <c r="L8" s="123">
        <v>0</v>
      </c>
      <c r="M8" s="123">
        <v>0</v>
      </c>
    </row>
    <row r="9" spans="2:13" ht="15" customHeight="1" x14ac:dyDescent="0.35">
      <c r="B9" s="233" t="s">
        <v>11</v>
      </c>
      <c r="C9" s="123">
        <v>0</v>
      </c>
      <c r="D9" s="123">
        <v>592976.33100000001</v>
      </c>
      <c r="E9" s="123">
        <v>1672217.273</v>
      </c>
      <c r="F9" s="123">
        <v>1314112.0959999999</v>
      </c>
      <c r="G9" s="123">
        <v>0</v>
      </c>
      <c r="H9" s="123">
        <v>244574</v>
      </c>
      <c r="I9" s="123">
        <v>1220213.0142600001</v>
      </c>
      <c r="J9" s="123">
        <v>170013.6900876</v>
      </c>
      <c r="K9" s="123">
        <v>100378.9</v>
      </c>
      <c r="L9" s="123">
        <v>0</v>
      </c>
      <c r="M9" s="123">
        <v>0</v>
      </c>
    </row>
    <row r="10" spans="2:13" ht="15" customHeight="1" x14ac:dyDescent="0.35">
      <c r="B10" s="233" t="s">
        <v>12</v>
      </c>
      <c r="C10" s="123">
        <v>2442585.9165973989</v>
      </c>
      <c r="D10" s="123">
        <v>2795919.8816854409</v>
      </c>
      <c r="E10" s="123">
        <v>-3949216.7191888602</v>
      </c>
      <c r="F10" s="123">
        <v>25965242.57583281</v>
      </c>
      <c r="G10" s="123">
        <v>657475.83759201027</v>
      </c>
      <c r="H10" s="123">
        <v>3851254.055579999</v>
      </c>
      <c r="I10" s="123">
        <v>-2197953.0473762401</v>
      </c>
      <c r="J10" s="123">
        <v>1640591.4351289349</v>
      </c>
      <c r="K10" s="123">
        <v>-437720.33472485858</v>
      </c>
      <c r="L10" s="123">
        <v>5590792.5847141221</v>
      </c>
      <c r="M10" s="123">
        <v>318901.31737895432</v>
      </c>
    </row>
    <row r="11" spans="2:13" ht="15" customHeight="1" x14ac:dyDescent="0.35">
      <c r="B11" s="233" t="s">
        <v>13</v>
      </c>
      <c r="C11" s="123">
        <v>0</v>
      </c>
      <c r="D11" s="123">
        <v>0</v>
      </c>
      <c r="E11" s="123">
        <v>0</v>
      </c>
      <c r="F11" s="123">
        <v>1681321</v>
      </c>
      <c r="G11" s="123">
        <v>0</v>
      </c>
      <c r="H11" s="123">
        <v>557046.93242000102</v>
      </c>
      <c r="I11" s="123">
        <v>17823.60295</v>
      </c>
      <c r="J11" s="123">
        <v>0</v>
      </c>
      <c r="K11" s="123">
        <v>0</v>
      </c>
      <c r="L11" s="123">
        <v>0</v>
      </c>
      <c r="M11" s="123">
        <v>29527.888999999999</v>
      </c>
    </row>
    <row r="12" spans="2:13" ht="15" customHeight="1" thickBot="1" x14ac:dyDescent="0.4">
      <c r="B12" s="219" t="s">
        <v>14</v>
      </c>
      <c r="C12" s="234">
        <v>5260695.9767274</v>
      </c>
      <c r="D12" s="234">
        <v>4446947.5076854425</v>
      </c>
      <c r="E12" s="234">
        <v>-1456248.888438859</v>
      </c>
      <c r="F12" s="234">
        <v>42497561.341832809</v>
      </c>
      <c r="G12" s="234">
        <v>1262475.8375920099</v>
      </c>
      <c r="H12" s="234">
        <v>5999944.6310000001</v>
      </c>
      <c r="I12" s="234">
        <v>-359916.43016623979</v>
      </c>
      <c r="J12" s="234">
        <v>2410605.1252165348</v>
      </c>
      <c r="K12" s="234">
        <v>558489.56527514139</v>
      </c>
      <c r="L12" s="234">
        <v>6590792.5847141221</v>
      </c>
      <c r="M12" s="234">
        <v>1042695.113378954</v>
      </c>
    </row>
    <row r="13" spans="2:13" ht="15" customHeight="1" thickTop="1" x14ac:dyDescent="0.35">
      <c r="B13" s="235" t="s">
        <v>15</v>
      </c>
      <c r="C13" s="123">
        <v>8308280.6408016235</v>
      </c>
      <c r="D13" s="123">
        <v>7083695.1576554431</v>
      </c>
      <c r="E13" s="123">
        <v>2992167.227346478</v>
      </c>
      <c r="F13" s="123">
        <v>14468912.172300881</v>
      </c>
      <c r="G13" s="123">
        <v>8062992.9014815986</v>
      </c>
      <c r="H13" s="123">
        <v>12261133.154999999</v>
      </c>
      <c r="I13" s="123">
        <v>2633864.7991216411</v>
      </c>
      <c r="J13" s="123">
        <v>3020020.0564980628</v>
      </c>
      <c r="K13" s="123">
        <v>2238469.541430566</v>
      </c>
      <c r="L13" s="123">
        <v>15323175.83636291</v>
      </c>
      <c r="M13" s="123">
        <v>3560958.5414592582</v>
      </c>
    </row>
    <row r="14" spans="2:13" ht="15" customHeight="1" x14ac:dyDescent="0.35">
      <c r="B14" s="233" t="s">
        <v>16</v>
      </c>
      <c r="C14" s="123">
        <v>0</v>
      </c>
      <c r="D14" s="123">
        <v>0</v>
      </c>
      <c r="E14" s="123">
        <v>0</v>
      </c>
      <c r="F14" s="123">
        <v>1231200.216378361</v>
      </c>
      <c r="G14" s="123">
        <v>0</v>
      </c>
      <c r="H14" s="123">
        <v>0</v>
      </c>
      <c r="I14" s="123">
        <v>0</v>
      </c>
      <c r="J14" s="123">
        <v>153957.8323302377</v>
      </c>
      <c r="K14" s="123">
        <v>0</v>
      </c>
      <c r="L14" s="123">
        <v>0</v>
      </c>
      <c r="M14" s="123">
        <v>0</v>
      </c>
    </row>
    <row r="15" spans="2:13" ht="15" customHeight="1" x14ac:dyDescent="0.35">
      <c r="B15" s="233" t="s">
        <v>17</v>
      </c>
      <c r="C15" s="123">
        <v>0</v>
      </c>
      <c r="D15" s="123">
        <v>0</v>
      </c>
      <c r="E15" s="123">
        <v>0</v>
      </c>
      <c r="F15" s="123">
        <v>0</v>
      </c>
      <c r="G15" s="123">
        <v>0</v>
      </c>
      <c r="H15" s="123">
        <v>0</v>
      </c>
      <c r="I15" s="123">
        <v>0</v>
      </c>
      <c r="J15" s="123">
        <v>0</v>
      </c>
      <c r="K15" s="123">
        <v>0</v>
      </c>
      <c r="L15" s="123">
        <v>0</v>
      </c>
      <c r="M15" s="123">
        <v>0</v>
      </c>
    </row>
    <row r="16" spans="2:13" ht="15" customHeight="1" x14ac:dyDescent="0.35">
      <c r="B16" s="233" t="s">
        <v>18</v>
      </c>
      <c r="C16" s="123">
        <v>0</v>
      </c>
      <c r="D16" s="123">
        <v>0</v>
      </c>
      <c r="E16" s="123">
        <v>0</v>
      </c>
      <c r="F16" s="123">
        <v>1702582.281</v>
      </c>
      <c r="G16" s="123">
        <v>0</v>
      </c>
      <c r="H16" s="123">
        <v>101209.47199999999</v>
      </c>
      <c r="I16" s="123">
        <v>0</v>
      </c>
      <c r="J16" s="123">
        <v>0</v>
      </c>
      <c r="K16" s="123">
        <v>0</v>
      </c>
      <c r="L16" s="123">
        <v>23488.854019999999</v>
      </c>
      <c r="M16" s="123">
        <v>48694.997000000003</v>
      </c>
    </row>
    <row r="17" spans="2:13" ht="15" customHeight="1" x14ac:dyDescent="0.35">
      <c r="B17" s="233" t="s">
        <v>19</v>
      </c>
      <c r="C17" s="123">
        <v>-37660.34744000002</v>
      </c>
      <c r="D17" s="123">
        <v>181828.88399999999</v>
      </c>
      <c r="E17" s="123">
        <v>606554.06823999959</v>
      </c>
      <c r="F17" s="123">
        <v>827628.446</v>
      </c>
      <c r="G17" s="123">
        <v>58250.546000000002</v>
      </c>
      <c r="H17" s="123">
        <v>3339313.8470000001</v>
      </c>
      <c r="I17" s="123">
        <v>508455.81800000003</v>
      </c>
      <c r="J17" s="123">
        <v>414847.10985538783</v>
      </c>
      <c r="K17" s="123">
        <v>654118.55278465385</v>
      </c>
      <c r="L17" s="123">
        <v>2817678.1779999998</v>
      </c>
      <c r="M17" s="123">
        <v>224035.788</v>
      </c>
    </row>
    <row r="18" spans="2:13" ht="15" customHeight="1" x14ac:dyDescent="0.35">
      <c r="B18" s="233" t="s">
        <v>20</v>
      </c>
      <c r="C18" s="123">
        <v>996705.11335737561</v>
      </c>
      <c r="D18" s="123">
        <v>27430.537</v>
      </c>
      <c r="E18" s="123">
        <v>73745.434190000291</v>
      </c>
      <c r="F18" s="123">
        <v>362428.27299999812</v>
      </c>
      <c r="G18" s="123">
        <v>221370.80550045971</v>
      </c>
      <c r="H18" s="123">
        <v>201669.81200000001</v>
      </c>
      <c r="I18" s="123">
        <v>55541.369872365001</v>
      </c>
      <c r="J18" s="123">
        <v>194282.85240000029</v>
      </c>
      <c r="K18" s="123">
        <v>62582.117169999838</v>
      </c>
      <c r="L18" s="123">
        <v>1411194.1825462191</v>
      </c>
      <c r="M18" s="123">
        <v>74933.952999999994</v>
      </c>
    </row>
    <row r="19" spans="2:13" ht="15" customHeight="1" thickBot="1" x14ac:dyDescent="0.4">
      <c r="B19" s="236" t="s">
        <v>21</v>
      </c>
      <c r="C19" s="237">
        <v>14528021.383446399</v>
      </c>
      <c r="D19" s="237">
        <v>11739902.086340889</v>
      </c>
      <c r="E19" s="237">
        <v>2216217.8413376189</v>
      </c>
      <c r="F19" s="237">
        <v>61090312.730512053</v>
      </c>
      <c r="G19" s="237">
        <v>9605090.0905740689</v>
      </c>
      <c r="H19" s="237">
        <v>21903270.916999999</v>
      </c>
      <c r="I19" s="237">
        <v>2837945.5568277659</v>
      </c>
      <c r="J19" s="237">
        <v>6193712.9763002237</v>
      </c>
      <c r="K19" s="237">
        <v>3513659.7766603609</v>
      </c>
      <c r="L19" s="237">
        <v>26166329.635643251</v>
      </c>
      <c r="M19" s="237">
        <v>4951318.3928382117</v>
      </c>
    </row>
    <row r="20" spans="2:13" ht="15" customHeight="1" thickTop="1" x14ac:dyDescent="0.35">
      <c r="B20" s="235" t="s">
        <v>22</v>
      </c>
      <c r="C20" s="238">
        <v>117758.18583</v>
      </c>
      <c r="D20" s="238">
        <v>3315.326</v>
      </c>
      <c r="E20" s="238">
        <v>2056.5510899999999</v>
      </c>
      <c r="F20" s="238">
        <v>17457.973000000002</v>
      </c>
      <c r="G20" s="238">
        <v>157967.64457256661</v>
      </c>
      <c r="H20" s="238">
        <v>26164.771000000001</v>
      </c>
      <c r="I20" s="238">
        <v>5941.4226100000014</v>
      </c>
      <c r="J20" s="238">
        <v>300327.73219000001</v>
      </c>
      <c r="K20" s="238">
        <v>0</v>
      </c>
      <c r="L20" s="238">
        <v>47829.883289999991</v>
      </c>
      <c r="M20" s="238">
        <v>86.459000000000003</v>
      </c>
    </row>
    <row r="21" spans="2:13" ht="15" customHeight="1" x14ac:dyDescent="0.35">
      <c r="B21" s="233" t="s">
        <v>23</v>
      </c>
      <c r="C21" s="238">
        <v>0</v>
      </c>
      <c r="D21" s="238">
        <v>800655.02800000005</v>
      </c>
      <c r="E21" s="238">
        <v>104921.795</v>
      </c>
      <c r="F21" s="238">
        <v>0</v>
      </c>
      <c r="G21" s="238">
        <v>0</v>
      </c>
      <c r="H21" s="238">
        <v>274482.19</v>
      </c>
      <c r="I21" s="238">
        <v>0</v>
      </c>
      <c r="J21" s="238">
        <v>0</v>
      </c>
      <c r="K21" s="238">
        <v>0</v>
      </c>
      <c r="L21" s="238">
        <v>0</v>
      </c>
      <c r="M21" s="238">
        <v>130924.39599999999</v>
      </c>
    </row>
    <row r="22" spans="2:13" ht="15" customHeight="1" x14ac:dyDescent="0.35">
      <c r="B22" s="233" t="s">
        <v>24</v>
      </c>
      <c r="C22" s="238">
        <v>0</v>
      </c>
      <c r="D22" s="238">
        <v>1296800</v>
      </c>
      <c r="E22" s="238">
        <v>892000</v>
      </c>
      <c r="F22" s="238">
        <v>11496073.984999999</v>
      </c>
      <c r="G22" s="238">
        <v>668405.03500000003</v>
      </c>
      <c r="H22" s="238">
        <v>424754.28499999997</v>
      </c>
      <c r="I22" s="238">
        <v>0</v>
      </c>
      <c r="J22" s="238">
        <v>0</v>
      </c>
      <c r="K22" s="238">
        <v>440000</v>
      </c>
      <c r="L22" s="238">
        <v>3143000</v>
      </c>
      <c r="M22" s="238">
        <v>745578.1</v>
      </c>
    </row>
    <row r="23" spans="2:13" ht="15" customHeight="1" x14ac:dyDescent="0.35">
      <c r="B23" s="233" t="s">
        <v>25</v>
      </c>
      <c r="C23" s="238">
        <v>85759.861610000007</v>
      </c>
      <c r="D23" s="238">
        <v>56349.873</v>
      </c>
      <c r="E23" s="238">
        <v>9462.0765499999961</v>
      </c>
      <c r="F23" s="238">
        <v>29233.206999999999</v>
      </c>
      <c r="G23" s="238">
        <v>41426.902395275982</v>
      </c>
      <c r="H23" s="238">
        <v>90891.457999999999</v>
      </c>
      <c r="I23" s="238">
        <v>40750.672338484677</v>
      </c>
      <c r="J23" s="238">
        <v>83016.587109999993</v>
      </c>
      <c r="K23" s="238">
        <v>8576.5872178458339</v>
      </c>
      <c r="L23" s="238">
        <v>101048.5432199998</v>
      </c>
      <c r="M23" s="238">
        <v>19203.289000000001</v>
      </c>
    </row>
    <row r="24" spans="2:13" ht="15" customHeight="1" x14ac:dyDescent="0.35">
      <c r="B24" s="233" t="s">
        <v>26</v>
      </c>
      <c r="C24" s="238">
        <v>7859451.0180428252</v>
      </c>
      <c r="D24" s="238">
        <v>3874397.2860228559</v>
      </c>
      <c r="E24" s="238">
        <v>140395.5970117808</v>
      </c>
      <c r="F24" s="238">
        <v>17797107.122000001</v>
      </c>
      <c r="G24" s="238">
        <v>2372237.105</v>
      </c>
      <c r="H24" s="238">
        <v>6051367.1730000004</v>
      </c>
      <c r="I24" s="238">
        <v>925113.68299999996</v>
      </c>
      <c r="J24" s="238">
        <v>2487278.7884499999</v>
      </c>
      <c r="K24" s="238">
        <v>608019.33612999995</v>
      </c>
      <c r="L24" s="238">
        <v>10121201.50711384</v>
      </c>
      <c r="M24" s="238">
        <v>234711.30300000001</v>
      </c>
    </row>
    <row r="25" spans="2:13" ht="15" customHeight="1" x14ac:dyDescent="0.35">
      <c r="B25" s="233" t="s">
        <v>27</v>
      </c>
      <c r="C25" s="238">
        <v>0</v>
      </c>
      <c r="D25" s="238">
        <v>0</v>
      </c>
      <c r="E25" s="238">
        <v>0</v>
      </c>
      <c r="F25" s="238">
        <v>0</v>
      </c>
      <c r="G25" s="238">
        <v>0</v>
      </c>
      <c r="H25" s="238">
        <v>867193.99100000004</v>
      </c>
      <c r="I25" s="238">
        <v>0</v>
      </c>
      <c r="J25" s="238">
        <v>0</v>
      </c>
      <c r="K25" s="238">
        <v>0</v>
      </c>
      <c r="L25" s="238">
        <v>0</v>
      </c>
      <c r="M25" s="238">
        <v>0</v>
      </c>
    </row>
    <row r="26" spans="2:13" ht="15" customHeight="1" x14ac:dyDescent="0.35">
      <c r="B26" s="233" t="s">
        <v>28</v>
      </c>
      <c r="C26" s="238">
        <v>0</v>
      </c>
      <c r="D26" s="238">
        <v>0</v>
      </c>
      <c r="E26" s="238">
        <v>0</v>
      </c>
      <c r="F26" s="238">
        <v>0</v>
      </c>
      <c r="G26" s="238">
        <v>0</v>
      </c>
      <c r="H26" s="238">
        <v>0</v>
      </c>
      <c r="I26" s="238">
        <v>0</v>
      </c>
      <c r="J26" s="238">
        <v>0</v>
      </c>
      <c r="K26" s="238">
        <v>0</v>
      </c>
      <c r="L26" s="238">
        <v>0</v>
      </c>
      <c r="M26" s="238">
        <v>0</v>
      </c>
    </row>
    <row r="27" spans="2:13" ht="15" customHeight="1" x14ac:dyDescent="0.35">
      <c r="B27" s="233" t="s">
        <v>29</v>
      </c>
      <c r="C27" s="238">
        <v>1070886.60721</v>
      </c>
      <c r="D27" s="238">
        <v>105611.35799999999</v>
      </c>
      <c r="E27" s="238">
        <v>124000</v>
      </c>
      <c r="F27" s="238">
        <v>13021649.41433195</v>
      </c>
      <c r="G27" s="238">
        <v>0</v>
      </c>
      <c r="H27" s="238">
        <v>1754383.3130000001</v>
      </c>
      <c r="I27" s="238">
        <v>98159.952749999997</v>
      </c>
      <c r="J27" s="238">
        <v>0</v>
      </c>
      <c r="K27" s="238">
        <v>0</v>
      </c>
      <c r="L27" s="238">
        <v>0</v>
      </c>
      <c r="M27" s="238">
        <v>0</v>
      </c>
    </row>
    <row r="28" spans="2:13" ht="15" customHeight="1" x14ac:dyDescent="0.35">
      <c r="B28" s="233" t="s">
        <v>30</v>
      </c>
      <c r="C28" s="238">
        <v>0</v>
      </c>
      <c r="D28" s="238">
        <v>0</v>
      </c>
      <c r="E28" s="238">
        <v>0</v>
      </c>
      <c r="F28" s="238">
        <v>46435.046000000002</v>
      </c>
      <c r="G28" s="238">
        <v>0</v>
      </c>
      <c r="H28" s="238">
        <v>31323.45</v>
      </c>
      <c r="I28" s="238">
        <v>0</v>
      </c>
      <c r="J28" s="238">
        <v>0</v>
      </c>
      <c r="K28" s="238">
        <v>6512.705074865391</v>
      </c>
      <c r="L28" s="238">
        <v>104332.05499999999</v>
      </c>
      <c r="M28" s="238">
        <v>0</v>
      </c>
    </row>
    <row r="29" spans="2:13" ht="15" customHeight="1" x14ac:dyDescent="0.35">
      <c r="B29" s="233" t="s">
        <v>31</v>
      </c>
      <c r="C29" s="238">
        <v>0</v>
      </c>
      <c r="D29" s="238">
        <v>0</v>
      </c>
      <c r="E29" s="238">
        <v>0</v>
      </c>
      <c r="F29" s="238">
        <v>0</v>
      </c>
      <c r="G29" s="238">
        <v>0</v>
      </c>
      <c r="H29" s="238">
        <v>0</v>
      </c>
      <c r="I29" s="238">
        <v>0</v>
      </c>
      <c r="J29" s="238">
        <v>0</v>
      </c>
      <c r="K29" s="238">
        <v>0</v>
      </c>
      <c r="L29" s="238">
        <v>0</v>
      </c>
      <c r="M29" s="238">
        <v>0</v>
      </c>
    </row>
    <row r="30" spans="2:13" ht="15" customHeight="1" x14ac:dyDescent="0.35">
      <c r="B30" s="233" t="s">
        <v>32</v>
      </c>
      <c r="C30" s="238">
        <v>0</v>
      </c>
      <c r="D30" s="238">
        <v>0</v>
      </c>
      <c r="E30" s="238">
        <v>0</v>
      </c>
      <c r="F30" s="238">
        <v>0</v>
      </c>
      <c r="G30" s="238">
        <v>0</v>
      </c>
      <c r="H30" s="238">
        <v>0</v>
      </c>
      <c r="I30" s="238">
        <v>0</v>
      </c>
      <c r="J30" s="238">
        <v>0</v>
      </c>
      <c r="K30" s="238">
        <v>0</v>
      </c>
      <c r="L30" s="238">
        <v>0</v>
      </c>
      <c r="M30" s="238">
        <v>0</v>
      </c>
    </row>
    <row r="31" spans="2:13" ht="15" customHeight="1" x14ac:dyDescent="0.35">
      <c r="B31" s="233" t="s">
        <v>33</v>
      </c>
      <c r="C31" s="238">
        <v>394418.3603272732</v>
      </c>
      <c r="D31" s="238">
        <v>99038.576289999997</v>
      </c>
      <c r="E31" s="238">
        <v>8836.6949999999997</v>
      </c>
      <c r="F31" s="238">
        <v>5953547.1476118006</v>
      </c>
      <c r="G31" s="238">
        <v>0</v>
      </c>
      <c r="H31" s="238">
        <v>105570.65700000001</v>
      </c>
      <c r="I31" s="238">
        <v>98549.926480000009</v>
      </c>
      <c r="J31" s="238">
        <v>0</v>
      </c>
      <c r="K31" s="238">
        <v>0</v>
      </c>
      <c r="L31" s="238">
        <v>21600.625</v>
      </c>
      <c r="M31" s="238">
        <v>0</v>
      </c>
    </row>
    <row r="32" spans="2:13" ht="15" customHeight="1" x14ac:dyDescent="0.35">
      <c r="B32" s="233" t="s">
        <v>34</v>
      </c>
      <c r="C32" s="238">
        <v>21382.976549999999</v>
      </c>
      <c r="D32" s="238">
        <v>867917.06325999985</v>
      </c>
      <c r="E32" s="238">
        <v>11675.1875</v>
      </c>
      <c r="F32" s="238">
        <v>934712.10918999999</v>
      </c>
      <c r="G32" s="238">
        <v>570417.15599999996</v>
      </c>
      <c r="H32" s="238">
        <v>278373.728</v>
      </c>
      <c r="I32" s="238">
        <v>0</v>
      </c>
      <c r="J32" s="238">
        <v>0</v>
      </c>
      <c r="K32" s="238">
        <v>0</v>
      </c>
      <c r="L32" s="238">
        <v>226465.88199629699</v>
      </c>
      <c r="M32" s="238">
        <v>0</v>
      </c>
    </row>
    <row r="33" spans="2:13" ht="15" customHeight="1" x14ac:dyDescent="0.35">
      <c r="B33" s="233" t="s">
        <v>35</v>
      </c>
      <c r="C33" s="238">
        <v>402.1</v>
      </c>
      <c r="D33" s="238">
        <v>0</v>
      </c>
      <c r="E33" s="238">
        <v>0</v>
      </c>
      <c r="F33" s="238">
        <v>80.78</v>
      </c>
      <c r="G33" s="238">
        <v>0</v>
      </c>
      <c r="H33" s="238">
        <v>0</v>
      </c>
      <c r="I33" s="238">
        <v>0</v>
      </c>
      <c r="J33" s="238">
        <v>0</v>
      </c>
      <c r="K33" s="238">
        <v>0</v>
      </c>
      <c r="L33" s="238">
        <v>0</v>
      </c>
      <c r="M33" s="238">
        <v>0</v>
      </c>
    </row>
    <row r="34" spans="2:13" ht="15" customHeight="1" x14ac:dyDescent="0.35">
      <c r="B34" s="233" t="s">
        <v>36</v>
      </c>
      <c r="C34" s="238">
        <v>0</v>
      </c>
      <c r="D34" s="238">
        <v>0</v>
      </c>
      <c r="E34" s="238">
        <v>0</v>
      </c>
      <c r="F34" s="238">
        <v>0</v>
      </c>
      <c r="G34" s="238">
        <v>0</v>
      </c>
      <c r="H34" s="238">
        <v>0</v>
      </c>
      <c r="I34" s="238">
        <v>0</v>
      </c>
      <c r="J34" s="238">
        <v>0</v>
      </c>
      <c r="K34" s="238">
        <v>0</v>
      </c>
      <c r="L34" s="238">
        <v>0</v>
      </c>
      <c r="M34" s="238">
        <v>0</v>
      </c>
    </row>
    <row r="35" spans="2:13" ht="15" customHeight="1" x14ac:dyDescent="0.35">
      <c r="B35" s="233" t="s">
        <v>37</v>
      </c>
      <c r="C35" s="238">
        <v>0</v>
      </c>
      <c r="D35" s="238">
        <v>18630.769</v>
      </c>
      <c r="E35" s="238">
        <v>0</v>
      </c>
      <c r="F35" s="238">
        <v>0</v>
      </c>
      <c r="G35" s="238">
        <v>1317064.2763700001</v>
      </c>
      <c r="H35" s="238">
        <v>12949.915999999999</v>
      </c>
      <c r="I35" s="238">
        <v>994.90011000000004</v>
      </c>
      <c r="J35" s="238">
        <v>3081.72703</v>
      </c>
      <c r="K35" s="238">
        <v>0</v>
      </c>
      <c r="L35" s="238">
        <v>0</v>
      </c>
      <c r="M35" s="238">
        <v>0</v>
      </c>
    </row>
    <row r="36" spans="2:13" ht="15" customHeight="1" x14ac:dyDescent="0.35">
      <c r="B36" s="233" t="s">
        <v>38</v>
      </c>
      <c r="C36" s="238">
        <v>32244.560819999999</v>
      </c>
      <c r="D36" s="238">
        <v>0</v>
      </c>
      <c r="E36" s="238">
        <v>0</v>
      </c>
      <c r="F36" s="238">
        <v>902377.44799999997</v>
      </c>
      <c r="G36" s="238">
        <v>0</v>
      </c>
      <c r="H36" s="238">
        <v>37937.620000000003</v>
      </c>
      <c r="I36" s="238">
        <v>0</v>
      </c>
      <c r="J36" s="238">
        <v>0</v>
      </c>
      <c r="K36" s="238">
        <v>0</v>
      </c>
      <c r="L36" s="238">
        <v>86108.51486999997</v>
      </c>
      <c r="M36" s="238">
        <v>0</v>
      </c>
    </row>
    <row r="37" spans="2:13" ht="15" customHeight="1" x14ac:dyDescent="0.35">
      <c r="B37" s="233" t="s">
        <v>39</v>
      </c>
      <c r="C37" s="238">
        <v>1138597.4692502909</v>
      </c>
      <c r="D37" s="238">
        <v>403397.27713904891</v>
      </c>
      <c r="E37" s="238">
        <v>24938.792369999999</v>
      </c>
      <c r="F37" s="238">
        <v>2958657.2749999999</v>
      </c>
      <c r="G37" s="238">
        <v>434164.64799999999</v>
      </c>
      <c r="H37" s="238">
        <v>1287914.19</v>
      </c>
      <c r="I37" s="238">
        <v>479219.76741999999</v>
      </c>
      <c r="J37" s="238">
        <v>74286.500270000004</v>
      </c>
      <c r="K37" s="238">
        <v>68838.753925134617</v>
      </c>
      <c r="L37" s="238">
        <v>3202689.6213395731</v>
      </c>
      <c r="M37" s="238">
        <v>1326077.433384615</v>
      </c>
    </row>
    <row r="38" spans="2:13" ht="15" customHeight="1" x14ac:dyDescent="0.35">
      <c r="B38" s="233" t="s">
        <v>40</v>
      </c>
      <c r="C38" s="238">
        <v>0</v>
      </c>
      <c r="D38" s="238">
        <v>82439.971999999994</v>
      </c>
      <c r="E38" s="238">
        <v>10666.934509999661</v>
      </c>
      <c r="F38" s="238">
        <v>500749.56</v>
      </c>
      <c r="G38" s="238">
        <v>555526.73665999994</v>
      </c>
      <c r="H38" s="238">
        <v>795383.35699999996</v>
      </c>
      <c r="I38" s="238">
        <v>12215.105939999999</v>
      </c>
      <c r="J38" s="238">
        <v>116044.40323</v>
      </c>
      <c r="K38" s="238">
        <v>232.66399999999999</v>
      </c>
      <c r="L38" s="238">
        <v>353550.45831999998</v>
      </c>
      <c r="M38" s="238">
        <v>106688.19899999999</v>
      </c>
    </row>
    <row r="39" spans="2:13" ht="15" customHeight="1" x14ac:dyDescent="0.35">
      <c r="B39" s="233" t="s">
        <v>41</v>
      </c>
      <c r="C39" s="238">
        <v>0</v>
      </c>
      <c r="D39" s="238">
        <v>0</v>
      </c>
      <c r="E39" s="238">
        <v>0</v>
      </c>
      <c r="F39" s="238">
        <v>0</v>
      </c>
      <c r="G39" s="238">
        <v>0</v>
      </c>
      <c r="H39" s="238">
        <v>0</v>
      </c>
      <c r="I39" s="238">
        <v>0</v>
      </c>
      <c r="J39" s="238">
        <v>0</v>
      </c>
      <c r="K39" s="238">
        <v>0</v>
      </c>
      <c r="L39" s="238">
        <v>0</v>
      </c>
      <c r="M39" s="238">
        <v>0</v>
      </c>
    </row>
    <row r="40" spans="2:13" ht="15" customHeight="1" x14ac:dyDescent="0.35">
      <c r="B40" s="233" t="s">
        <v>42</v>
      </c>
      <c r="C40" s="238">
        <v>690.63576357378065</v>
      </c>
      <c r="D40" s="238">
        <v>2748446.4153671688</v>
      </c>
      <c r="E40" s="238">
        <v>259775.30784302281</v>
      </c>
      <c r="F40" s="238">
        <v>125595.4008599752</v>
      </c>
      <c r="G40" s="238">
        <v>2553542.883519711</v>
      </c>
      <c r="H40" s="238">
        <v>6439532.4079999998</v>
      </c>
      <c r="I40" s="238">
        <v>571832.83799999999</v>
      </c>
      <c r="J40" s="238">
        <v>1411181.133196352</v>
      </c>
      <c r="K40" s="238">
        <v>1128243.4073275151</v>
      </c>
      <c r="L40" s="238">
        <v>3661967.0282264189</v>
      </c>
      <c r="M40" s="238">
        <v>1303440.6323215689</v>
      </c>
    </row>
    <row r="41" spans="2:13" ht="15" customHeight="1" x14ac:dyDescent="0.35">
      <c r="B41" s="233" t="s">
        <v>43</v>
      </c>
      <c r="C41" s="238">
        <v>3023560.8159741722</v>
      </c>
      <c r="D41" s="238">
        <v>831419.31400000001</v>
      </c>
      <c r="E41" s="238">
        <v>222030.23157000021</v>
      </c>
      <c r="F41" s="238">
        <v>5783229.3586070621</v>
      </c>
      <c r="G41" s="238">
        <v>702762.07744000002</v>
      </c>
      <c r="H41" s="238">
        <v>3412969.747</v>
      </c>
      <c r="I41" s="238">
        <v>349426.52432000003</v>
      </c>
      <c r="J41" s="238">
        <v>1158103.459631948</v>
      </c>
      <c r="K41" s="238">
        <v>679550.98690999998</v>
      </c>
      <c r="L41" s="238">
        <v>4873761.8981298674</v>
      </c>
      <c r="M41" s="238">
        <v>1018281.366</v>
      </c>
    </row>
    <row r="42" spans="2:13" ht="15" customHeight="1" x14ac:dyDescent="0.35">
      <c r="B42" s="233" t="s">
        <v>44</v>
      </c>
      <c r="C42" s="238">
        <v>782868.79208999989</v>
      </c>
      <c r="D42" s="238">
        <v>551483.82799999998</v>
      </c>
      <c r="E42" s="238">
        <v>405458.67289281549</v>
      </c>
      <c r="F42" s="238">
        <v>1523406.9044192201</v>
      </c>
      <c r="G42" s="238">
        <v>231575.62555579079</v>
      </c>
      <c r="H42" s="238">
        <v>12078.663</v>
      </c>
      <c r="I42" s="238">
        <v>255740.76402999999</v>
      </c>
      <c r="J42" s="238">
        <v>560392.64519192302</v>
      </c>
      <c r="K42" s="238">
        <v>573685.336075</v>
      </c>
      <c r="L42" s="238">
        <v>222773.61962000001</v>
      </c>
      <c r="M42" s="238">
        <v>66327.214999999997</v>
      </c>
    </row>
    <row r="43" spans="2:13" ht="15" customHeight="1" thickBot="1" x14ac:dyDescent="0.4">
      <c r="B43" s="236" t="s">
        <v>45</v>
      </c>
      <c r="C43" s="237">
        <v>14528021.383468131</v>
      </c>
      <c r="D43" s="237">
        <v>11739902.08607908</v>
      </c>
      <c r="E43" s="237">
        <v>2216217.8413376189</v>
      </c>
      <c r="F43" s="237">
        <v>61090312.731020011</v>
      </c>
      <c r="G43" s="237">
        <v>9605090.0905133449</v>
      </c>
      <c r="H43" s="237">
        <v>21903270.916999999</v>
      </c>
      <c r="I43" s="237">
        <v>2837945.5569984848</v>
      </c>
      <c r="J43" s="237">
        <v>6193712.9763002237</v>
      </c>
      <c r="K43" s="237">
        <v>3513659.7766603609</v>
      </c>
      <c r="L43" s="237">
        <v>26166329.636126</v>
      </c>
      <c r="M43" s="237">
        <v>4951318.3927061846</v>
      </c>
    </row>
    <row r="44" spans="2:13" ht="15" customHeight="1" thickTop="1" x14ac:dyDescent="0.35">
      <c r="B44" s="331" t="s">
        <v>190</v>
      </c>
      <c r="C44" s="332"/>
      <c r="D44" s="332"/>
      <c r="E44" s="332"/>
      <c r="F44" s="332"/>
      <c r="G44" s="332"/>
      <c r="H44" s="332"/>
      <c r="I44" s="332"/>
      <c r="J44" s="332"/>
      <c r="K44" s="332"/>
      <c r="L44" s="329" t="s">
        <v>175</v>
      </c>
      <c r="M44" s="330"/>
    </row>
    <row r="45" spans="2:13" x14ac:dyDescent="0.35">
      <c r="C45" s="131"/>
      <c r="D45" s="131"/>
      <c r="E45" s="131"/>
      <c r="F45" s="131"/>
      <c r="G45" s="131"/>
      <c r="H45" s="131"/>
      <c r="I45" s="131"/>
      <c r="J45" s="131"/>
      <c r="K45" s="131"/>
      <c r="L45" s="131"/>
      <c r="M45" s="131"/>
    </row>
    <row r="46" spans="2:13" x14ac:dyDescent="0.35">
      <c r="C46" s="131"/>
      <c r="D46" s="131"/>
      <c r="E46" s="131"/>
      <c r="F46" s="131"/>
      <c r="G46" s="131"/>
      <c r="H46" s="131"/>
      <c r="I46" s="131"/>
      <c r="J46" s="131"/>
      <c r="K46" s="131"/>
      <c r="L46" s="131"/>
      <c r="M46" s="131"/>
    </row>
    <row r="48" spans="2:13" x14ac:dyDescent="0.35">
      <c r="C48" s="131"/>
      <c r="D48" s="131"/>
      <c r="E48" s="131"/>
      <c r="F48" s="131"/>
      <c r="G48" s="131"/>
      <c r="H48" s="131"/>
      <c r="I48" s="131"/>
      <c r="J48" s="131"/>
      <c r="K48" s="131"/>
      <c r="L48" s="131"/>
      <c r="M48" s="131"/>
    </row>
  </sheetData>
  <sheetProtection algorithmName="SHA-512" hashValue="ZSBhIpo4WBC/nZmIxpsHSUawRtqySsYXzMUCo3s9BRopTffl6UUQh5COohV+CGnrohiWgH9ShNn9eYVSXW92Aw==" saltValue="vR+rPJ3aunhabtkxhGkPbg==" spinCount="100000" sheet="1" objects="1" scenarios="1"/>
  <mergeCells count="4">
    <mergeCell ref="B3:M3"/>
    <mergeCell ref="B4:M4"/>
    <mergeCell ref="L44:M44"/>
    <mergeCell ref="B44:K44"/>
  </mergeCells>
  <pageMargins left="0.7" right="0.7" top="0.75" bottom="0.75" header="0.3" footer="0.3"/>
  <pageSetup paperSize="9" scale="4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5">
    <tabColor rgb="FF92D050"/>
    <pageSetUpPr fitToPage="1"/>
  </sheetPr>
  <dimension ref="B3:AD46"/>
  <sheetViews>
    <sheetView showGridLines="0" zoomScale="92" zoomScaleNormal="70" workbookViewId="0">
      <pane xSplit="2" ySplit="5" topLeftCell="H49" activePane="bottomRight" state="frozen"/>
      <selection activeCell="A4" sqref="A4:XFD4"/>
      <selection pane="topRight" activeCell="A4" sqref="A4:XFD4"/>
      <selection pane="bottomLeft" activeCell="A4" sqref="A4:XFD4"/>
      <selection pane="bottomRight" activeCell="M1" sqref="M1:AD1048576"/>
    </sheetView>
  </sheetViews>
  <sheetFormatPr defaultColWidth="9.453125" defaultRowHeight="15.5" x14ac:dyDescent="0.35"/>
  <cols>
    <col min="1" max="1" width="18.453125" style="76" customWidth="1"/>
    <col min="2" max="2" width="36.90625" style="76" customWidth="1"/>
    <col min="3" max="8" width="20.81640625" style="76" customWidth="1"/>
    <col min="9" max="12" width="21.453125" style="76" customWidth="1"/>
    <col min="13" max="15" width="21.453125" style="76" hidden="1" customWidth="1"/>
    <col min="16" max="16" width="17.36328125" style="76" hidden="1" customWidth="1"/>
    <col min="17" max="17" width="15.90625" style="76" hidden="1" customWidth="1"/>
    <col min="18" max="18" width="12.81640625" style="76" hidden="1" customWidth="1"/>
    <col min="19" max="30" width="9.453125" style="76" hidden="1" customWidth="1"/>
    <col min="31" max="117" width="9.453125" style="76" customWidth="1"/>
    <col min="118" max="16384" width="9.453125" style="76"/>
  </cols>
  <sheetData>
    <row r="3" spans="2:17" s="275" customFormat="1" ht="21.5" x14ac:dyDescent="0.45">
      <c r="B3" s="280" t="s">
        <v>176</v>
      </c>
    </row>
    <row r="4" spans="2:17" s="275" customFormat="1" ht="22" x14ac:dyDescent="0.5">
      <c r="B4" s="342" t="str">
        <f>_xlfn.CONCAT('Table of Contents'!B17,": ",'Table of Contents'!C17)</f>
        <v>APPENDIX 5 iv: SUMMARY OF GENERAL INSURANCE BUSINESS BALANCE SHEETS AS AT 31.03.2026</v>
      </c>
      <c r="C4" s="343"/>
      <c r="D4" s="343"/>
      <c r="E4" s="343"/>
      <c r="F4" s="343"/>
      <c r="G4" s="343"/>
      <c r="H4" s="343"/>
      <c r="I4" s="343"/>
      <c r="J4" s="343"/>
      <c r="K4" s="343"/>
      <c r="L4" s="343"/>
      <c r="M4" s="273"/>
      <c r="N4" s="274"/>
    </row>
    <row r="5" spans="2:17" ht="62" x14ac:dyDescent="0.35">
      <c r="B5" s="231" t="s">
        <v>0</v>
      </c>
      <c r="C5" s="240" t="s">
        <v>134</v>
      </c>
      <c r="D5" s="240" t="s">
        <v>135</v>
      </c>
      <c r="E5" s="240" t="s">
        <v>136</v>
      </c>
      <c r="F5" s="240" t="s">
        <v>137</v>
      </c>
      <c r="G5" s="240" t="s">
        <v>138</v>
      </c>
      <c r="H5" s="240" t="s">
        <v>139</v>
      </c>
      <c r="I5" s="239" t="s">
        <v>140</v>
      </c>
      <c r="J5" s="239" t="s">
        <v>141</v>
      </c>
      <c r="K5" s="239" t="s">
        <v>147</v>
      </c>
      <c r="L5" s="239" t="s">
        <v>7</v>
      </c>
      <c r="M5" s="239"/>
      <c r="N5" s="239"/>
      <c r="O5" s="258"/>
      <c r="P5" s="232" t="s">
        <v>178</v>
      </c>
      <c r="Q5" s="232" t="s">
        <v>179</v>
      </c>
    </row>
    <row r="6" spans="2:17" ht="17" customHeight="1" x14ac:dyDescent="0.35">
      <c r="B6" s="233" t="s">
        <v>8</v>
      </c>
      <c r="C6" s="233">
        <v>700000</v>
      </c>
      <c r="D6" s="233">
        <v>3907103</v>
      </c>
      <c r="E6" s="233">
        <v>675000</v>
      </c>
      <c r="F6" s="233">
        <v>1239704.2720000001</v>
      </c>
      <c r="G6" s="233">
        <v>600000</v>
      </c>
      <c r="H6" s="233">
        <v>1000000</v>
      </c>
      <c r="I6" s="123">
        <v>0</v>
      </c>
      <c r="J6" s="123">
        <v>0</v>
      </c>
      <c r="K6" s="123">
        <v>1102550</v>
      </c>
      <c r="L6" s="123">
        <v>52667070.778999992</v>
      </c>
      <c r="M6" s="123"/>
      <c r="N6" s="123"/>
      <c r="O6" s="259"/>
      <c r="P6" s="123">
        <f>SUMIFS('APPENDIX  5 iv'!$B6:$O6,'APPENDIX  5 iv'!$B$5:$O$5,"*total*")-Q6</f>
        <v>34565539.418999992</v>
      </c>
      <c r="Q6" s="123">
        <f>SUMIFS('APPENDIX 5 i'!$B6:$O6,'APPENDIX 5 i'!$B$5:$O$5,"*reinsurance*")+
SUMIFS('APPENDIX 5 ii'!$B6:$O6,'APPENDIX 5 ii'!$B$5:$O$5,"*reinsurance*")+
SUMIFS('APPENDIX 5 iii'!$B6:$O6,'APPENDIX 5 iii'!$B$5:$O$5,"*reinsurance*")+
SUMIFS('APPENDIX  5 iv'!$B6:$O6,'APPENDIX  5 iv'!$B$5:$O$5,"*reinsurance*")</f>
        <v>18101531.359999999</v>
      </c>
    </row>
    <row r="7" spans="2:17" ht="17" customHeight="1" x14ac:dyDescent="0.35">
      <c r="B7" s="233" t="s">
        <v>9</v>
      </c>
      <c r="C7" s="233">
        <v>0</v>
      </c>
      <c r="D7" s="233">
        <v>2552745</v>
      </c>
      <c r="E7" s="233">
        <v>0</v>
      </c>
      <c r="F7" s="233">
        <v>146101</v>
      </c>
      <c r="G7" s="233">
        <v>0</v>
      </c>
      <c r="H7" s="233">
        <v>0</v>
      </c>
      <c r="I7" s="123">
        <v>0</v>
      </c>
      <c r="J7" s="123">
        <v>0</v>
      </c>
      <c r="K7" s="123">
        <v>0</v>
      </c>
      <c r="L7" s="123">
        <v>4272328.5669999998</v>
      </c>
      <c r="M7" s="123"/>
      <c r="N7" s="123"/>
      <c r="O7" s="259"/>
      <c r="P7" s="123">
        <f>SUMIFS('APPENDIX  5 iv'!$B7:$O7,'APPENDIX  5 iv'!$B$5:$O$5,"*total*")-Q7</f>
        <v>4261457.3250000002</v>
      </c>
      <c r="Q7" s="123">
        <f>SUMIFS('APPENDIX 5 i'!$B7:$O7,'APPENDIX 5 i'!$B$5:$O$5,"*reinsurance*")+
SUMIFS('APPENDIX 5 ii'!$B7:$O7,'APPENDIX 5 ii'!$B$5:$O$5,"*reinsurance*")+
SUMIFS('APPENDIX 5 iii'!$B7:$O7,'APPENDIX 5 iii'!$B$5:$O$5,"*reinsurance*")+
SUMIFS('APPENDIX  5 iv'!$B7:$O7,'APPENDIX  5 iv'!$B$5:$O$5,"*reinsurance*")</f>
        <v>10871.242</v>
      </c>
    </row>
    <row r="8" spans="2:17" ht="17" customHeight="1" x14ac:dyDescent="0.35">
      <c r="B8" s="233" t="s">
        <v>10</v>
      </c>
      <c r="C8" s="233">
        <v>0</v>
      </c>
      <c r="D8" s="233">
        <v>0</v>
      </c>
      <c r="E8" s="233">
        <v>16000</v>
      </c>
      <c r="F8" s="233">
        <v>25539.216</v>
      </c>
      <c r="G8" s="233">
        <v>208824.78599999999</v>
      </c>
      <c r="H8" s="233">
        <v>0</v>
      </c>
      <c r="I8" s="123">
        <v>0</v>
      </c>
      <c r="J8" s="123">
        <v>0</v>
      </c>
      <c r="K8" s="123">
        <v>0</v>
      </c>
      <c r="L8" s="123">
        <v>2788581.711342501</v>
      </c>
      <c r="M8" s="123"/>
      <c r="N8" s="123"/>
      <c r="O8" s="259"/>
      <c r="P8" s="123">
        <f>SUMIFS('APPENDIX  5 iv'!$B8:$O8,'APPENDIX  5 iv'!$B$5:$O$5,"*total*")-Q8</f>
        <v>2551473.2183425012</v>
      </c>
      <c r="Q8" s="123">
        <f>SUMIFS('APPENDIX 5 i'!$B8:$O8,'APPENDIX 5 i'!$B$5:$O$5,"*reinsurance*")+
SUMIFS('APPENDIX 5 ii'!$B8:$O8,'APPENDIX 5 ii'!$B$5:$O$5,"*reinsurance*")+
SUMIFS('APPENDIX 5 iii'!$B8:$O8,'APPENDIX 5 iii'!$B$5:$O$5,"*reinsurance*")+
SUMIFS('APPENDIX  5 iv'!$B8:$O8,'APPENDIX  5 iv'!$B$5:$O$5,"*reinsurance*")</f>
        <v>237108.49299999999</v>
      </c>
    </row>
    <row r="9" spans="2:17" ht="17" customHeight="1" x14ac:dyDescent="0.35">
      <c r="B9" s="233" t="s">
        <v>11</v>
      </c>
      <c r="C9" s="233">
        <v>60200</v>
      </c>
      <c r="D9" s="233">
        <v>0</v>
      </c>
      <c r="E9" s="233">
        <v>0</v>
      </c>
      <c r="F9" s="233">
        <v>0</v>
      </c>
      <c r="G9" s="233">
        <v>89740.164999999994</v>
      </c>
      <c r="H9" s="233">
        <v>0</v>
      </c>
      <c r="I9" s="123">
        <v>0</v>
      </c>
      <c r="J9" s="123">
        <v>0</v>
      </c>
      <c r="K9" s="123">
        <v>0</v>
      </c>
      <c r="L9" s="123">
        <v>6859919.3917342732</v>
      </c>
      <c r="M9" s="123"/>
      <c r="N9" s="123"/>
      <c r="O9" s="259"/>
      <c r="P9" s="123">
        <f>SUMIFS('APPENDIX  5 iv'!$B9:$O9,'APPENDIX  5 iv'!$B$5:$O$5,"*total*")-Q9</f>
        <v>5545807.2957342733</v>
      </c>
      <c r="Q9" s="123">
        <f>SUMIFS('APPENDIX 5 i'!$B9:$O9,'APPENDIX 5 i'!$B$5:$O$5,"*reinsurance*")+
SUMIFS('APPENDIX 5 ii'!$B9:$O9,'APPENDIX 5 ii'!$B$5:$O$5,"*reinsurance*")+
SUMIFS('APPENDIX 5 iii'!$B9:$O9,'APPENDIX 5 iii'!$B$5:$O$5,"*reinsurance*")+
SUMIFS('APPENDIX  5 iv'!$B9:$O9,'APPENDIX  5 iv'!$B$5:$O$5,"*reinsurance*")</f>
        <v>1314112.0959999999</v>
      </c>
    </row>
    <row r="10" spans="2:17" ht="17" customHeight="1" x14ac:dyDescent="0.35">
      <c r="B10" s="233" t="s">
        <v>12</v>
      </c>
      <c r="C10" s="233">
        <v>602217.90866899665</v>
      </c>
      <c r="D10" s="233">
        <v>-3227847.5914768679</v>
      </c>
      <c r="E10" s="233">
        <v>-11579.210722040591</v>
      </c>
      <c r="F10" s="233">
        <v>-477725.4939657455</v>
      </c>
      <c r="G10" s="233">
        <v>2081032.7826425671</v>
      </c>
      <c r="H10" s="233">
        <v>4469678.1792144356</v>
      </c>
      <c r="I10" s="123">
        <v>0</v>
      </c>
      <c r="J10" s="123">
        <v>0</v>
      </c>
      <c r="K10" s="123">
        <v>2307456.488987023</v>
      </c>
      <c r="L10" s="123">
        <v>82479484.491374373</v>
      </c>
      <c r="M10" s="123"/>
      <c r="N10" s="123"/>
      <c r="O10" s="259"/>
      <c r="P10" s="123">
        <f>SUMIFS('APPENDIX  5 iv'!$B10:$O10,'APPENDIX  5 iv'!$B$5:$O$5,"*total*")-Q10</f>
        <v>45471925.016253307</v>
      </c>
      <c r="Q10" s="123">
        <f>SUMIFS('APPENDIX 5 i'!$B10:$O10,'APPENDIX 5 i'!$B$5:$O$5,"*reinsurance*")+
SUMIFS('APPENDIX 5 ii'!$B10:$O10,'APPENDIX 5 ii'!$B$5:$O$5,"*reinsurance*")+
SUMIFS('APPENDIX 5 iii'!$B10:$O10,'APPENDIX 5 iii'!$B$5:$O$5,"*reinsurance*")+
SUMIFS('APPENDIX  5 iv'!$B10:$O10,'APPENDIX  5 iv'!$B$5:$O$5,"*reinsurance*")</f>
        <v>37007559.475121066</v>
      </c>
    </row>
    <row r="11" spans="2:17" ht="17" customHeight="1" x14ac:dyDescent="0.35">
      <c r="B11" s="233" t="s">
        <v>13</v>
      </c>
      <c r="C11" s="233">
        <v>1031184.44</v>
      </c>
      <c r="D11" s="233">
        <v>71.376174232959741</v>
      </c>
      <c r="E11" s="233">
        <v>0</v>
      </c>
      <c r="F11" s="233">
        <v>0</v>
      </c>
      <c r="G11" s="233">
        <v>0</v>
      </c>
      <c r="H11" s="233">
        <v>0</v>
      </c>
      <c r="I11" s="123">
        <v>0</v>
      </c>
      <c r="J11" s="123">
        <v>0</v>
      </c>
      <c r="K11" s="123">
        <v>0</v>
      </c>
      <c r="L11" s="123">
        <v>4163312.0265442338</v>
      </c>
      <c r="M11" s="123"/>
      <c r="N11" s="123"/>
      <c r="O11" s="259"/>
      <c r="P11" s="123">
        <f>SUMIFS('APPENDIX  5 iv'!$B11:$O11,'APPENDIX  5 iv'!$B$5:$O$5,"*total*")-Q11</f>
        <v>2569336.3565442339</v>
      </c>
      <c r="Q11" s="123">
        <f>SUMIFS('APPENDIX 5 i'!$B11:$O11,'APPENDIX 5 i'!$B$5:$O$5,"*reinsurance*")+
SUMIFS('APPENDIX 5 ii'!$B11:$O11,'APPENDIX 5 ii'!$B$5:$O$5,"*reinsurance*")+
SUMIFS('APPENDIX 5 iii'!$B11:$O11,'APPENDIX 5 iii'!$B$5:$O$5,"*reinsurance*")+
SUMIFS('APPENDIX  5 iv'!$B11:$O11,'APPENDIX  5 iv'!$B$5:$O$5,"*reinsurance*")</f>
        <v>1593975.67</v>
      </c>
    </row>
    <row r="12" spans="2:17" ht="17" customHeight="1" thickBot="1" x14ac:dyDescent="0.4">
      <c r="B12" s="219" t="s">
        <v>14</v>
      </c>
      <c r="C12" s="219">
        <v>2393602.3486689972</v>
      </c>
      <c r="D12" s="219">
        <v>3232071.784697365</v>
      </c>
      <c r="E12" s="219">
        <v>679420.7892779595</v>
      </c>
      <c r="F12" s="219">
        <v>933618.99403425457</v>
      </c>
      <c r="G12" s="219">
        <v>2979597.7336425669</v>
      </c>
      <c r="H12" s="219">
        <v>5469678.1792144356</v>
      </c>
      <c r="I12" s="234">
        <v>0</v>
      </c>
      <c r="J12" s="234">
        <v>0</v>
      </c>
      <c r="K12" s="234">
        <v>3410006.488987023</v>
      </c>
      <c r="L12" s="234">
        <v>153230696.96699539</v>
      </c>
      <c r="M12" s="234"/>
      <c r="N12" s="234"/>
      <c r="O12" s="260"/>
      <c r="P12" s="234">
        <f>SUMIFS('APPENDIX  5 iv'!$B12:$O12,'APPENDIX  5 iv'!$B$5:$O$5,"*total*")-Q12</f>
        <v>94965538.630874321</v>
      </c>
      <c r="Q12" s="234">
        <f>SUMIFS('APPENDIX 5 i'!$B12:$O12,'APPENDIX 5 i'!$B$5:$O$5,"*reinsurance*")+
SUMIFS('APPENDIX 5 ii'!$B12:$O12,'APPENDIX 5 ii'!$B$5:$O$5,"*reinsurance*")+
SUMIFS('APPENDIX 5 iii'!$B12:$O12,'APPENDIX 5 iii'!$B$5:$O$5,"*reinsurance*")+
SUMIFS('APPENDIX  5 iv'!$B12:$O12,'APPENDIX  5 iv'!$B$5:$O$5,"*reinsurance*")</f>
        <v>58265158.336121067</v>
      </c>
    </row>
    <row r="13" spans="2:17" ht="17" customHeight="1" thickTop="1" x14ac:dyDescent="0.35">
      <c r="B13" s="235" t="s">
        <v>15</v>
      </c>
      <c r="C13" s="235">
        <v>2382681.7873403742</v>
      </c>
      <c r="D13" s="235">
        <v>10832689.97497285</v>
      </c>
      <c r="E13" s="235">
        <v>1332180.6421459799</v>
      </c>
      <c r="F13" s="235">
        <v>1383080.893446085</v>
      </c>
      <c r="G13" s="235">
        <v>2498156.482416349</v>
      </c>
      <c r="H13" s="235">
        <v>8083284.6160000004</v>
      </c>
      <c r="I13" s="238">
        <v>0</v>
      </c>
      <c r="J13" s="238">
        <v>0</v>
      </c>
      <c r="K13" s="238">
        <v>4959580.8735960051</v>
      </c>
      <c r="L13" s="238">
        <v>249243738.38264611</v>
      </c>
      <c r="M13" s="238"/>
      <c r="N13" s="238"/>
      <c r="O13" s="259"/>
      <c r="P13" s="123">
        <f>SUMIFS('APPENDIX  5 iv'!$B13:$O13,'APPENDIX  5 iv'!$B$5:$O$5,"*total*")-Q13</f>
        <v>216668828.61775234</v>
      </c>
      <c r="Q13" s="123">
        <f>SUMIFS('APPENDIX 5 i'!$B13:$O13,'APPENDIX 5 i'!$B$5:$O$5,"*reinsurance*")+
SUMIFS('APPENDIX 5 ii'!$B13:$O13,'APPENDIX 5 ii'!$B$5:$O$5,"*reinsurance*")+
SUMIFS('APPENDIX 5 iii'!$B13:$O13,'APPENDIX 5 iii'!$B$5:$O$5,"*reinsurance*")+
SUMIFS('APPENDIX  5 iv'!$B13:$O13,'APPENDIX  5 iv'!$B$5:$O$5,"*reinsurance*")</f>
        <v>32574909.764893778</v>
      </c>
    </row>
    <row r="14" spans="2:17" ht="17" customHeight="1" x14ac:dyDescent="0.35">
      <c r="B14" s="233" t="s">
        <v>16</v>
      </c>
      <c r="C14" s="233">
        <v>0</v>
      </c>
      <c r="D14" s="233">
        <v>547078.40719999815</v>
      </c>
      <c r="E14" s="233">
        <v>0</v>
      </c>
      <c r="F14" s="233">
        <v>27691.879162019999</v>
      </c>
      <c r="G14" s="233">
        <v>0</v>
      </c>
      <c r="H14" s="233">
        <v>0</v>
      </c>
      <c r="I14" s="123">
        <v>0</v>
      </c>
      <c r="J14" s="123">
        <v>0</v>
      </c>
      <c r="K14" s="123">
        <v>0</v>
      </c>
      <c r="L14" s="123">
        <v>5721525.0363832656</v>
      </c>
      <c r="M14" s="123"/>
      <c r="N14" s="123"/>
      <c r="O14" s="259"/>
      <c r="P14" s="123">
        <f>SUMIFS('APPENDIX  5 iv'!$B14:$O14,'APPENDIX  5 iv'!$B$5:$O$5,"*total*")-Q14</f>
        <v>4329144.4885649048</v>
      </c>
      <c r="Q14" s="123">
        <f>SUMIFS('APPENDIX 5 i'!$B14:$O14,'APPENDIX 5 i'!$B$5:$O$5,"*reinsurance*")+
SUMIFS('APPENDIX 5 ii'!$B14:$O14,'APPENDIX 5 ii'!$B$5:$O$5,"*reinsurance*")+
SUMIFS('APPENDIX 5 iii'!$B14:$O14,'APPENDIX 5 iii'!$B$5:$O$5,"*reinsurance*")+
SUMIFS('APPENDIX  5 iv'!$B14:$O14,'APPENDIX  5 iv'!$B$5:$O$5,"*reinsurance*")</f>
        <v>1392380.5478183611</v>
      </c>
    </row>
    <row r="15" spans="2:17" ht="17" customHeight="1" x14ac:dyDescent="0.35">
      <c r="B15" s="233" t="s">
        <v>17</v>
      </c>
      <c r="C15" s="233">
        <v>0</v>
      </c>
      <c r="D15" s="233">
        <v>0</v>
      </c>
      <c r="E15" s="233">
        <v>34950.782330000002</v>
      </c>
      <c r="F15" s="233">
        <v>0</v>
      </c>
      <c r="G15" s="233">
        <v>0</v>
      </c>
      <c r="H15" s="233">
        <v>0</v>
      </c>
      <c r="I15" s="123">
        <v>0</v>
      </c>
      <c r="J15" s="123">
        <v>0</v>
      </c>
      <c r="K15" s="123">
        <v>0</v>
      </c>
      <c r="L15" s="123">
        <v>434950.78233000002</v>
      </c>
      <c r="M15" s="123"/>
      <c r="N15" s="123"/>
      <c r="O15" s="259"/>
      <c r="P15" s="123">
        <f>SUMIFS('APPENDIX  5 iv'!$B15:$O15,'APPENDIX  5 iv'!$B$5:$O$5,"*total*")-Q15</f>
        <v>434950.78233000002</v>
      </c>
      <c r="Q15" s="123">
        <f>SUMIFS('APPENDIX 5 i'!$B15:$O15,'APPENDIX 5 i'!$B$5:$O$5,"*reinsurance*")+
SUMIFS('APPENDIX 5 ii'!$B15:$O15,'APPENDIX 5 ii'!$B$5:$O$5,"*reinsurance*")+
SUMIFS('APPENDIX 5 iii'!$B15:$O15,'APPENDIX 5 iii'!$B$5:$O$5,"*reinsurance*")+
SUMIFS('APPENDIX  5 iv'!$B15:$O15,'APPENDIX  5 iv'!$B$5:$O$5,"*reinsurance*")</f>
        <v>0</v>
      </c>
    </row>
    <row r="16" spans="2:17" ht="17" customHeight="1" x14ac:dyDescent="0.35">
      <c r="B16" s="233" t="s">
        <v>18</v>
      </c>
      <c r="C16" s="233">
        <v>0</v>
      </c>
      <c r="D16" s="233">
        <v>0</v>
      </c>
      <c r="E16" s="233">
        <v>756.59032782604822</v>
      </c>
      <c r="F16" s="233">
        <v>16921.2</v>
      </c>
      <c r="G16" s="233">
        <v>93228.070999999996</v>
      </c>
      <c r="H16" s="233">
        <v>38586.533000000003</v>
      </c>
      <c r="I16" s="123">
        <v>0</v>
      </c>
      <c r="J16" s="123">
        <v>0</v>
      </c>
      <c r="K16" s="123">
        <v>0</v>
      </c>
      <c r="L16" s="123">
        <v>2865363.3135778261</v>
      </c>
      <c r="M16" s="123"/>
      <c r="N16" s="123"/>
      <c r="O16" s="259"/>
      <c r="P16" s="123">
        <f>SUMIFS('APPENDIX  5 iv'!$B16:$O16,'APPENDIX  5 iv'!$B$5:$O$5,"*total*")-Q16</f>
        <v>1111193.7915778263</v>
      </c>
      <c r="Q16" s="123">
        <f>SUMIFS('APPENDIX 5 i'!$B16:$O16,'APPENDIX 5 i'!$B$5:$O$5,"*reinsurance*")+
SUMIFS('APPENDIX 5 ii'!$B16:$O16,'APPENDIX 5 ii'!$B$5:$O$5,"*reinsurance*")+
SUMIFS('APPENDIX 5 iii'!$B16:$O16,'APPENDIX 5 iii'!$B$5:$O$5,"*reinsurance*")+
SUMIFS('APPENDIX  5 iv'!$B16:$O16,'APPENDIX  5 iv'!$B$5:$O$5,"*reinsurance*")</f>
        <v>1754169.5219999999</v>
      </c>
    </row>
    <row r="17" spans="2:17" ht="17" customHeight="1" x14ac:dyDescent="0.35">
      <c r="B17" s="233" t="s">
        <v>19</v>
      </c>
      <c r="C17" s="233">
        <v>641451.45874731068</v>
      </c>
      <c r="D17" s="233">
        <v>1170188.738894</v>
      </c>
      <c r="E17" s="233">
        <v>104998.56319829079</v>
      </c>
      <c r="F17" s="233">
        <v>24178.283251908899</v>
      </c>
      <c r="G17" s="233">
        <v>108806.338</v>
      </c>
      <c r="H17" s="233">
        <v>705453.83499999996</v>
      </c>
      <c r="I17" s="123">
        <v>0</v>
      </c>
      <c r="J17" s="123">
        <v>0</v>
      </c>
      <c r="K17" s="123">
        <v>998936.41419955727</v>
      </c>
      <c r="L17" s="123">
        <v>22026317.910085719</v>
      </c>
      <c r="M17" s="123"/>
      <c r="N17" s="123"/>
      <c r="O17" s="259"/>
      <c r="P17" s="123">
        <f>SUMIFS('APPENDIX  5 iv'!$B17:$O17,'APPENDIX  5 iv'!$B$5:$O$5,"*total*")-Q17</f>
        <v>19071321.853236161</v>
      </c>
      <c r="Q17" s="123">
        <f>SUMIFS('APPENDIX 5 i'!$B17:$O17,'APPENDIX 5 i'!$B$5:$O$5,"*reinsurance*")+
SUMIFS('APPENDIX 5 ii'!$B17:$O17,'APPENDIX 5 ii'!$B$5:$O$5,"*reinsurance*")+
SUMIFS('APPENDIX 5 iii'!$B17:$O17,'APPENDIX 5 iii'!$B$5:$O$5,"*reinsurance*")+
SUMIFS('APPENDIX  5 iv'!$B17:$O17,'APPENDIX  5 iv'!$B$5:$O$5,"*reinsurance*")</f>
        <v>2954996.0568495574</v>
      </c>
    </row>
    <row r="18" spans="2:17" ht="17" customHeight="1" x14ac:dyDescent="0.35">
      <c r="B18" s="233" t="s">
        <v>20</v>
      </c>
      <c r="C18" s="233">
        <v>28568.242999999999</v>
      </c>
      <c r="D18" s="233">
        <v>179041.08058999991</v>
      </c>
      <c r="E18" s="233">
        <v>154064.268592843</v>
      </c>
      <c r="F18" s="233">
        <v>49588.000000000087</v>
      </c>
      <c r="G18" s="233">
        <v>27042.18</v>
      </c>
      <c r="H18" s="233">
        <v>349247.288</v>
      </c>
      <c r="I18" s="123">
        <v>0</v>
      </c>
      <c r="J18" s="123">
        <v>0</v>
      </c>
      <c r="K18" s="123">
        <v>18141.677</v>
      </c>
      <c r="L18" s="123">
        <v>7858550.3263140237</v>
      </c>
      <c r="M18" s="123"/>
      <c r="N18" s="123"/>
      <c r="O18" s="259"/>
      <c r="P18" s="123">
        <f>SUMIFS('APPENDIX  5 iv'!$B18:$O18,'APPENDIX  5 iv'!$B$5:$O$5,"*total*")-Q18</f>
        <v>7094723.0023540249</v>
      </c>
      <c r="Q18" s="123">
        <f>SUMIFS('APPENDIX 5 i'!$B18:$O18,'APPENDIX 5 i'!$B$5:$O$5,"*reinsurance*")+
SUMIFS('APPENDIX 5 ii'!$B18:$O18,'APPENDIX 5 ii'!$B$5:$O$5,"*reinsurance*")+
SUMIFS('APPENDIX 5 iii'!$B18:$O18,'APPENDIX 5 iii'!$B$5:$O$5,"*reinsurance*")+
SUMIFS('APPENDIX  5 iv'!$B18:$O18,'APPENDIX  5 iv'!$B$5:$O$5,"*reinsurance*")</f>
        <v>763827.32395999867</v>
      </c>
    </row>
    <row r="19" spans="2:17" ht="17" customHeight="1" thickBot="1" x14ac:dyDescent="0.4">
      <c r="B19" s="236" t="s">
        <v>21</v>
      </c>
      <c r="C19" s="236">
        <v>5446303.8377566813</v>
      </c>
      <c r="D19" s="236">
        <v>15961069.986354209</v>
      </c>
      <c r="E19" s="236">
        <v>2306371.6358729</v>
      </c>
      <c r="F19" s="236">
        <v>2435079.2498942679</v>
      </c>
      <c r="G19" s="236">
        <v>5706830.8050589161</v>
      </c>
      <c r="H19" s="236">
        <v>14646250.45121444</v>
      </c>
      <c r="I19" s="237">
        <v>0</v>
      </c>
      <c r="J19" s="237">
        <v>0</v>
      </c>
      <c r="K19" s="237">
        <v>9386665.4537825845</v>
      </c>
      <c r="L19" s="237">
        <v>441381142.71833241</v>
      </c>
      <c r="M19" s="237"/>
      <c r="N19" s="237"/>
      <c r="O19" s="260"/>
      <c r="P19" s="237">
        <f>SUMIFS('APPENDIX  5 iv'!$B19:$O19,'APPENDIX  5 iv'!$B$5:$O$5,"*total*")-Q19</f>
        <v>343675701.16668963</v>
      </c>
      <c r="Q19" s="237">
        <f>SUMIFS('APPENDIX 5 i'!$B19:$O19,'APPENDIX 5 i'!$B$5:$O$5,"*reinsurance*")+
SUMIFS('APPENDIX 5 ii'!$B19:$O19,'APPENDIX 5 ii'!$B$5:$O$5,"*reinsurance*")+
SUMIFS('APPENDIX 5 iii'!$B19:$O19,'APPENDIX 5 iii'!$B$5:$O$5,"*reinsurance*")+
SUMIFS('APPENDIX  5 iv'!$B19:$O19,'APPENDIX  5 iv'!$B$5:$O$5,"*reinsurance*")</f>
        <v>97705441.551642776</v>
      </c>
    </row>
    <row r="20" spans="2:17" ht="17" customHeight="1" thickTop="1" x14ac:dyDescent="0.35">
      <c r="B20" s="235" t="s">
        <v>22</v>
      </c>
      <c r="C20" s="235">
        <v>22282.03</v>
      </c>
      <c r="D20" s="235">
        <v>3323.523979999989</v>
      </c>
      <c r="E20" s="235">
        <v>15636.574000000001</v>
      </c>
      <c r="F20" s="235">
        <v>7877.4288183750059</v>
      </c>
      <c r="G20" s="235">
        <v>18469.212</v>
      </c>
      <c r="H20" s="235">
        <v>33686.317999999999</v>
      </c>
      <c r="I20" s="238">
        <v>0</v>
      </c>
      <c r="J20" s="238">
        <v>0</v>
      </c>
      <c r="K20" s="238">
        <v>0</v>
      </c>
      <c r="L20" s="238">
        <v>1316118.11874094</v>
      </c>
      <c r="M20" s="238"/>
      <c r="N20" s="238"/>
      <c r="O20" s="259"/>
      <c r="P20" s="238">
        <f>SUMIFS('APPENDIX  5 iv'!$B20:$O20,'APPENDIX  5 iv'!$B$5:$O$5,"*total*")-Q20</f>
        <v>1283487.64764094</v>
      </c>
      <c r="Q20" s="123">
        <f>SUMIFS('APPENDIX 5 i'!$B20:$O20,'APPENDIX 5 i'!$B$5:$O$5,"*reinsurance*")+
SUMIFS('APPENDIX 5 ii'!$B20:$O20,'APPENDIX 5 ii'!$B$5:$O$5,"*reinsurance*")+
SUMIFS('APPENDIX 5 iii'!$B20:$O20,'APPENDIX 5 iii'!$B$5:$O$5,"*reinsurance*")+
SUMIFS('APPENDIX  5 iv'!$B20:$O20,'APPENDIX  5 iv'!$B$5:$O$5,"*reinsurance*")</f>
        <v>32630.471099999992</v>
      </c>
    </row>
    <row r="21" spans="2:17" ht="17" customHeight="1" x14ac:dyDescent="0.35">
      <c r="B21" s="233" t="s">
        <v>23</v>
      </c>
      <c r="C21" s="235">
        <v>0</v>
      </c>
      <c r="D21" s="235">
        <v>0</v>
      </c>
      <c r="E21" s="235">
        <v>270536.962</v>
      </c>
      <c r="F21" s="235">
        <v>0</v>
      </c>
      <c r="G21" s="235">
        <v>344379.81</v>
      </c>
      <c r="H21" s="235">
        <v>0</v>
      </c>
      <c r="I21" s="238">
        <v>0</v>
      </c>
      <c r="J21" s="238">
        <v>0</v>
      </c>
      <c r="K21" s="238">
        <v>0</v>
      </c>
      <c r="L21" s="238">
        <v>5887770.7055060007</v>
      </c>
      <c r="M21" s="238"/>
      <c r="N21" s="238"/>
      <c r="O21" s="259"/>
      <c r="P21" s="238">
        <f>SUMIFS('APPENDIX  5 iv'!$B21:$O21,'APPENDIX  5 iv'!$B$5:$O$5,"*total*")-Q21</f>
        <v>5513900.2866500011</v>
      </c>
      <c r="Q21" s="123">
        <f>SUMIFS('APPENDIX 5 i'!$B21:$O21,'APPENDIX 5 i'!$B$5:$O$5,"*reinsurance*")+
SUMIFS('APPENDIX 5 ii'!$B21:$O21,'APPENDIX 5 ii'!$B$5:$O$5,"*reinsurance*")+
SUMIFS('APPENDIX 5 iii'!$B21:$O21,'APPENDIX 5 iii'!$B$5:$O$5,"*reinsurance*")+
SUMIFS('APPENDIX  5 iv'!$B21:$O21,'APPENDIX  5 iv'!$B$5:$O$5,"*reinsurance*")</f>
        <v>373870.418856</v>
      </c>
    </row>
    <row r="22" spans="2:17" ht="17" customHeight="1" x14ac:dyDescent="0.35">
      <c r="B22" s="233" t="s">
        <v>24</v>
      </c>
      <c r="C22" s="235">
        <v>620000</v>
      </c>
      <c r="D22" s="235">
        <v>0</v>
      </c>
      <c r="E22" s="235">
        <v>0</v>
      </c>
      <c r="F22" s="235">
        <v>30000</v>
      </c>
      <c r="G22" s="235">
        <v>0</v>
      </c>
      <c r="H22" s="235">
        <v>0</v>
      </c>
      <c r="I22" s="238">
        <v>0</v>
      </c>
      <c r="J22" s="238">
        <v>0</v>
      </c>
      <c r="K22" s="238">
        <v>0</v>
      </c>
      <c r="L22" s="238">
        <v>34814277.411161169</v>
      </c>
      <c r="M22" s="238"/>
      <c r="N22" s="238"/>
      <c r="O22" s="259"/>
      <c r="P22" s="238">
        <f>SUMIFS('APPENDIX  5 iv'!$B22:$O22,'APPENDIX  5 iv'!$B$5:$O$5,"*total*")-Q22</f>
        <v>22578203.42616117</v>
      </c>
      <c r="Q22" s="123">
        <f>SUMIFS('APPENDIX 5 i'!$B22:$O22,'APPENDIX 5 i'!$B$5:$O$5,"*reinsurance*")+
SUMIFS('APPENDIX 5 ii'!$B22:$O22,'APPENDIX 5 ii'!$B$5:$O$5,"*reinsurance*")+
SUMIFS('APPENDIX 5 iii'!$B22:$O22,'APPENDIX 5 iii'!$B$5:$O$5,"*reinsurance*")+
SUMIFS('APPENDIX  5 iv'!$B22:$O22,'APPENDIX  5 iv'!$B$5:$O$5,"*reinsurance*")</f>
        <v>12236073.984999999</v>
      </c>
    </row>
    <row r="23" spans="2:17" ht="17" customHeight="1" x14ac:dyDescent="0.35">
      <c r="B23" s="233" t="s">
        <v>25</v>
      </c>
      <c r="C23" s="235">
        <v>26786.43</v>
      </c>
      <c r="D23" s="235">
        <v>61303.436842481402</v>
      </c>
      <c r="E23" s="235">
        <v>11371.665999999999</v>
      </c>
      <c r="F23" s="235">
        <v>23565.156999999999</v>
      </c>
      <c r="G23" s="235">
        <v>33340.841</v>
      </c>
      <c r="H23" s="235">
        <v>85337.985000000001</v>
      </c>
      <c r="I23" s="238">
        <v>0</v>
      </c>
      <c r="J23" s="238">
        <v>0</v>
      </c>
      <c r="K23" s="238">
        <v>26786.539639999992</v>
      </c>
      <c r="L23" s="238">
        <v>1868006.478866867</v>
      </c>
      <c r="M23" s="238"/>
      <c r="N23" s="238"/>
      <c r="O23" s="259"/>
      <c r="P23" s="238">
        <f>SUMIFS('APPENDIX  5 iv'!$B23:$O23,'APPENDIX  5 iv'!$B$5:$O$5,"*total*")-Q23</f>
        <v>1734359.1164625306</v>
      </c>
      <c r="Q23" s="123">
        <f>SUMIFS('APPENDIX 5 i'!$B23:$O23,'APPENDIX 5 i'!$B$5:$O$5,"*reinsurance*")+
SUMIFS('APPENDIX 5 ii'!$B23:$O23,'APPENDIX 5 ii'!$B$5:$O$5,"*reinsurance*")+
SUMIFS('APPENDIX 5 iii'!$B23:$O23,'APPENDIX 5 iii'!$B$5:$O$5,"*reinsurance*")+
SUMIFS('APPENDIX  5 iv'!$B23:$O23,'APPENDIX  5 iv'!$B$5:$O$5,"*reinsurance*")</f>
        <v>133647.36240433648</v>
      </c>
    </row>
    <row r="24" spans="2:17" ht="17" customHeight="1" x14ac:dyDescent="0.35">
      <c r="B24" s="233" t="s">
        <v>26</v>
      </c>
      <c r="C24" s="235">
        <v>1330242.5551913909</v>
      </c>
      <c r="D24" s="235">
        <v>7895603.282509381</v>
      </c>
      <c r="E24" s="235">
        <v>875928.6874010989</v>
      </c>
      <c r="F24" s="235">
        <v>20606</v>
      </c>
      <c r="G24" s="235">
        <v>2791156.7664306299</v>
      </c>
      <c r="H24" s="235">
        <v>7749375.4349999996</v>
      </c>
      <c r="I24" s="238">
        <v>0</v>
      </c>
      <c r="J24" s="238">
        <v>0</v>
      </c>
      <c r="K24" s="238">
        <v>1606148.317529395</v>
      </c>
      <c r="L24" s="238">
        <v>149945210.22443381</v>
      </c>
      <c r="M24" s="238"/>
      <c r="N24" s="238"/>
      <c r="O24" s="259"/>
      <c r="P24" s="238">
        <f>SUMIFS('APPENDIX  5 iv'!$B24:$O24,'APPENDIX  5 iv'!$B$5:$O$5,"*total*")-Q24</f>
        <v>124333922.07713671</v>
      </c>
      <c r="Q24" s="123">
        <f>SUMIFS('APPENDIX 5 i'!$B25:$O25,'APPENDIX 5 i'!$B$5:$O$5,"*reinsurance*")+
SUMIFS('APPENDIX 5 ii'!$B24:$O24,'APPENDIX 5 ii'!$B$5:$O$5,"*reinsurance*")+
SUMIFS('APPENDIX 5 iii'!$B24:$O24,'APPENDIX 5 iii'!$B$5:$O$5,"*reinsurance*")+
SUMIFS('APPENDIX  5 iv'!$B24:$O24,'APPENDIX  5 iv'!$B$5:$O$5,"*reinsurance*")</f>
        <v>25611288.147297103</v>
      </c>
    </row>
    <row r="25" spans="2:17" ht="17" customHeight="1" x14ac:dyDescent="0.35">
      <c r="B25" s="233" t="s">
        <v>27</v>
      </c>
      <c r="C25" s="235">
        <v>0</v>
      </c>
      <c r="D25" s="235">
        <v>0</v>
      </c>
      <c r="E25" s="235">
        <v>0</v>
      </c>
      <c r="F25" s="235">
        <v>0</v>
      </c>
      <c r="G25" s="235">
        <v>8115.1850000000004</v>
      </c>
      <c r="H25" s="235">
        <v>0</v>
      </c>
      <c r="I25" s="238">
        <v>0</v>
      </c>
      <c r="J25" s="238">
        <v>0</v>
      </c>
      <c r="K25" s="238">
        <v>0</v>
      </c>
      <c r="L25" s="238">
        <v>1752214.6292340001</v>
      </c>
      <c r="M25" s="238"/>
      <c r="N25" s="238"/>
      <c r="O25" s="259"/>
      <c r="P25" s="238">
        <f>SUMIFS('APPENDIX  5 iv'!$B25:$O25,'APPENDIX  5 iv'!$B$5:$O$5,"*total*")-Q25</f>
        <v>1467348.435234</v>
      </c>
      <c r="Q25" s="123">
        <f>SUMIFS('APPENDIX 5 i'!$B26:$O26,'APPENDIX 5 i'!$B$5:$O$5,"*reinsurance*")+
SUMIFS('APPENDIX 5 ii'!$B25:$O25,'APPENDIX 5 ii'!$B$5:$O$5,"*reinsurance*")+
SUMIFS('APPENDIX 5 iii'!$B25:$O25,'APPENDIX 5 iii'!$B$5:$O$5,"*reinsurance*")+
SUMIFS('APPENDIX  5 iv'!$B25:$O25,'APPENDIX  5 iv'!$B$5:$O$5,"*reinsurance*")</f>
        <v>284866.19400000002</v>
      </c>
    </row>
    <row r="26" spans="2:17" ht="17" customHeight="1" x14ac:dyDescent="0.35">
      <c r="B26" s="233" t="s">
        <v>28</v>
      </c>
      <c r="C26" s="235">
        <v>0</v>
      </c>
      <c r="D26" s="235">
        <v>0</v>
      </c>
      <c r="E26" s="235">
        <v>0</v>
      </c>
      <c r="F26" s="235">
        <v>0</v>
      </c>
      <c r="G26" s="235">
        <v>0</v>
      </c>
      <c r="H26" s="235">
        <v>0</v>
      </c>
      <c r="I26" s="238">
        <v>0</v>
      </c>
      <c r="J26" s="238">
        <v>0</v>
      </c>
      <c r="K26" s="238">
        <v>0</v>
      </c>
      <c r="L26" s="238">
        <v>249222.78813999999</v>
      </c>
      <c r="M26" s="238"/>
      <c r="N26" s="238"/>
      <c r="O26" s="259"/>
      <c r="P26" s="238">
        <f>SUMIFS('APPENDIX  5 iv'!$B26:$O26,'APPENDIX  5 iv'!$B$5:$O$5,"*total*")-Q26</f>
        <v>51226.817999999999</v>
      </c>
      <c r="Q26" s="123">
        <f>SUMIFS('APPENDIX 5 i'!$B26:$O26,'APPENDIX 5 i'!$B$5:$O$5,"*reinsurance*")+
SUMIFS('APPENDIX 5 ii'!$B26:$O26,'APPENDIX 5 ii'!$B$5:$O$5,"*reinsurance*")+
SUMIFS('APPENDIX 5 iii'!$B26:$O26,'APPENDIX 5 iii'!$B$5:$O$5,"*reinsurance*")+
SUMIFS('APPENDIX  5 iv'!$B26:$O26,'APPENDIX  5 iv'!$B$5:$O$5,"*reinsurance*")</f>
        <v>197995.97013999999</v>
      </c>
    </row>
    <row r="27" spans="2:17" ht="17" customHeight="1" x14ac:dyDescent="0.35">
      <c r="B27" s="233" t="s">
        <v>29</v>
      </c>
      <c r="C27" s="235">
        <v>1642709.483</v>
      </c>
      <c r="D27" s="235">
        <v>0</v>
      </c>
      <c r="E27" s="235">
        <v>0</v>
      </c>
      <c r="F27" s="235">
        <v>0</v>
      </c>
      <c r="G27" s="235">
        <v>0</v>
      </c>
      <c r="H27" s="235">
        <v>0</v>
      </c>
      <c r="I27" s="238">
        <v>0</v>
      </c>
      <c r="J27" s="238">
        <v>0</v>
      </c>
      <c r="K27" s="238">
        <v>0</v>
      </c>
      <c r="L27" s="238">
        <v>21415641.854901951</v>
      </c>
      <c r="M27" s="238"/>
      <c r="N27" s="238"/>
      <c r="O27" s="259"/>
      <c r="P27" s="238">
        <f>SUMIFS('APPENDIX  5 iv'!$B27:$O27,'APPENDIX  5 iv'!$B$5:$O$5,"*total*")-Q27</f>
        <v>7749140.2198100016</v>
      </c>
      <c r="Q27" s="123">
        <f>SUMIFS('APPENDIX 5 i'!$B27:$O27,'APPENDIX 5 i'!$B$5:$O$5,"*reinsurance*")+
SUMIFS('APPENDIX 5 ii'!$B27:$O27,'APPENDIX 5 ii'!$B$5:$O$5,"*reinsurance*")+
SUMIFS('APPENDIX 5 iii'!$B27:$O27,'APPENDIX 5 iii'!$B$5:$O$5,"*reinsurance*")+
SUMIFS('APPENDIX  5 iv'!$B27:$O27,'APPENDIX  5 iv'!$B$5:$O$5,"*reinsurance*")</f>
        <v>13666501.635091949</v>
      </c>
    </row>
    <row r="28" spans="2:17" ht="17" customHeight="1" x14ac:dyDescent="0.35">
      <c r="B28" s="233" t="s">
        <v>30</v>
      </c>
      <c r="C28" s="235">
        <v>20000</v>
      </c>
      <c r="D28" s="235">
        <v>0</v>
      </c>
      <c r="E28" s="235">
        <v>0</v>
      </c>
      <c r="F28" s="235">
        <v>0</v>
      </c>
      <c r="G28" s="235">
        <v>39902.536</v>
      </c>
      <c r="H28" s="235">
        <v>0</v>
      </c>
      <c r="I28" s="238">
        <v>0</v>
      </c>
      <c r="J28" s="238">
        <v>0</v>
      </c>
      <c r="K28" s="238">
        <v>294367.18826202129</v>
      </c>
      <c r="L28" s="238">
        <v>1887921.0568574399</v>
      </c>
      <c r="M28" s="238"/>
      <c r="N28" s="238"/>
      <c r="O28" s="259"/>
      <c r="P28" s="238">
        <f>SUMIFS('APPENDIX  5 iv'!$B28:$O28,'APPENDIX  5 iv'!$B$5:$O$5,"*total*")-Q28</f>
        <v>1195104.1312604016</v>
      </c>
      <c r="Q28" s="123">
        <f>SUMIFS('APPENDIX 5 i'!$B28:$O28,'APPENDIX 5 i'!$B$5:$O$5,"*reinsurance*")+
SUMIFS('APPENDIX 5 ii'!$B28:$O28,'APPENDIX 5 ii'!$B$5:$O$5,"*reinsurance*")+
SUMIFS('APPENDIX 5 iii'!$B28:$O28,'APPENDIX 5 iii'!$B$5:$O$5,"*reinsurance*")+
SUMIFS('APPENDIX  5 iv'!$B28:$O28,'APPENDIX  5 iv'!$B$5:$O$5,"*reinsurance*")</f>
        <v>692816.92559703847</v>
      </c>
    </row>
    <row r="29" spans="2:17" ht="17" customHeight="1" x14ac:dyDescent="0.35">
      <c r="B29" s="233" t="s">
        <v>31</v>
      </c>
      <c r="C29" s="235">
        <v>0</v>
      </c>
      <c r="D29" s="235">
        <v>0</v>
      </c>
      <c r="E29" s="235">
        <v>0</v>
      </c>
      <c r="F29" s="235">
        <v>0</v>
      </c>
      <c r="G29" s="235">
        <v>0</v>
      </c>
      <c r="H29" s="235">
        <v>0</v>
      </c>
      <c r="I29" s="238">
        <v>0</v>
      </c>
      <c r="J29" s="238">
        <v>0</v>
      </c>
      <c r="K29" s="238">
        <v>0</v>
      </c>
      <c r="L29" s="238">
        <v>212037.34899999999</v>
      </c>
      <c r="M29" s="238"/>
      <c r="N29" s="238"/>
      <c r="O29" s="259"/>
      <c r="P29" s="238">
        <f>SUMIFS('APPENDIX  5 iv'!$B29:$O29,'APPENDIX  5 iv'!$B$5:$O$5,"*total*")-Q29</f>
        <v>212037.34899999999</v>
      </c>
      <c r="Q29" s="123">
        <f>SUMIFS('APPENDIX 5 i'!$B29:$O29,'APPENDIX 5 i'!$B$5:$O$5,"*reinsurance*")+
SUMIFS('APPENDIX 5 ii'!$B29:$O29,'APPENDIX 5 ii'!$B$5:$O$5,"*reinsurance*")+
SUMIFS('APPENDIX 5 iii'!$B29:$O29,'APPENDIX 5 iii'!$B$5:$O$5,"*reinsurance*")+
SUMIFS('APPENDIX  5 iv'!$B29:$O29,'APPENDIX  5 iv'!$B$5:$O$5,"*reinsurance*")</f>
        <v>0</v>
      </c>
    </row>
    <row r="30" spans="2:17" ht="17" customHeight="1" x14ac:dyDescent="0.35">
      <c r="B30" s="233" t="s">
        <v>32</v>
      </c>
      <c r="C30" s="235">
        <v>0</v>
      </c>
      <c r="D30" s="235">
        <v>0</v>
      </c>
      <c r="E30" s="235">
        <v>0</v>
      </c>
      <c r="F30" s="235">
        <v>0</v>
      </c>
      <c r="G30" s="235">
        <v>0</v>
      </c>
      <c r="H30" s="235">
        <v>0</v>
      </c>
      <c r="I30" s="238">
        <v>0</v>
      </c>
      <c r="J30" s="238">
        <v>0</v>
      </c>
      <c r="K30" s="238">
        <v>0</v>
      </c>
      <c r="L30" s="238">
        <v>0</v>
      </c>
      <c r="M30" s="238"/>
      <c r="N30" s="238"/>
      <c r="O30" s="259"/>
      <c r="P30" s="238">
        <f>SUMIFS('APPENDIX  5 iv'!$B30:$O30,'APPENDIX  5 iv'!$B$5:$O$5,"*total*")-Q30</f>
        <v>0</v>
      </c>
      <c r="Q30" s="123">
        <f>SUMIFS('APPENDIX 5 i'!$B30:$O30,'APPENDIX 5 i'!$B$5:$O$5,"*reinsurance*")+
SUMIFS('APPENDIX 5 ii'!$B30:$O30,'APPENDIX 5 ii'!$B$5:$O$5,"*reinsurance*")+
SUMIFS('APPENDIX 5 iii'!$B30:$O30,'APPENDIX 5 iii'!$B$5:$O$5,"*reinsurance*")+
SUMIFS('APPENDIX  5 iv'!$B30:$O30,'APPENDIX  5 iv'!$B$5:$O$5,"*reinsurance*")</f>
        <v>0</v>
      </c>
    </row>
    <row r="31" spans="2:17" ht="17" customHeight="1" x14ac:dyDescent="0.35">
      <c r="B31" s="233" t="s">
        <v>33</v>
      </c>
      <c r="C31" s="235">
        <v>0</v>
      </c>
      <c r="D31" s="235">
        <v>0</v>
      </c>
      <c r="E31" s="235">
        <v>0</v>
      </c>
      <c r="F31" s="235">
        <v>0</v>
      </c>
      <c r="G31" s="235">
        <v>316465.43501000002</v>
      </c>
      <c r="H31" s="235">
        <v>0</v>
      </c>
      <c r="I31" s="238">
        <v>0</v>
      </c>
      <c r="J31" s="238">
        <v>0</v>
      </c>
      <c r="K31" s="238">
        <v>0</v>
      </c>
      <c r="L31" s="238">
        <v>10774573.157359069</v>
      </c>
      <c r="M31" s="238"/>
      <c r="N31" s="238"/>
      <c r="O31" s="259"/>
      <c r="P31" s="238">
        <f>SUMIFS('APPENDIX  5 iv'!$B31:$O31,'APPENDIX  5 iv'!$B$5:$O$5,"*total*")-Q31</f>
        <v>4791214.9695872683</v>
      </c>
      <c r="Q31" s="123">
        <f>SUMIFS('APPENDIX 5 i'!$B31:$O31,'APPENDIX 5 i'!$B$5:$O$5,"*reinsurance*")+
SUMIFS('APPENDIX 5 ii'!$B31:$O31,'APPENDIX 5 ii'!$B$5:$O$5,"*reinsurance*")+
SUMIFS('APPENDIX 5 iii'!$B31:$O31,'APPENDIX 5 iii'!$B$5:$O$5,"*reinsurance*")+
SUMIFS('APPENDIX  5 iv'!$B31:$O31,'APPENDIX  5 iv'!$B$5:$O$5,"*reinsurance*")</f>
        <v>5983358.1877718009</v>
      </c>
    </row>
    <row r="32" spans="2:17" ht="17" customHeight="1" x14ac:dyDescent="0.35">
      <c r="B32" s="233" t="s">
        <v>34</v>
      </c>
      <c r="C32" s="235">
        <v>0</v>
      </c>
      <c r="D32" s="235">
        <v>0</v>
      </c>
      <c r="E32" s="235">
        <v>0</v>
      </c>
      <c r="F32" s="235">
        <v>0</v>
      </c>
      <c r="G32" s="235">
        <v>2928.125</v>
      </c>
      <c r="H32" s="235">
        <v>0</v>
      </c>
      <c r="I32" s="238">
        <v>0</v>
      </c>
      <c r="J32" s="238">
        <v>0</v>
      </c>
      <c r="K32" s="238">
        <v>0</v>
      </c>
      <c r="L32" s="238">
        <v>3563950.9327962971</v>
      </c>
      <c r="M32" s="238"/>
      <c r="N32" s="238"/>
      <c r="O32" s="259"/>
      <c r="P32" s="238">
        <f>SUMIFS('APPENDIX  5 iv'!$B32:$O32,'APPENDIX  5 iv'!$B$5:$O$5,"*total*")-Q32</f>
        <v>2629238.8236062974</v>
      </c>
      <c r="Q32" s="123">
        <f>SUMIFS('APPENDIX 5 i'!$B32:$O32,'APPENDIX 5 i'!$B$5:$O$5,"*reinsurance*")+
SUMIFS('APPENDIX 5 ii'!$B32:$O32,'APPENDIX 5 ii'!$B$5:$O$5,"*reinsurance*")+
SUMIFS('APPENDIX 5 iii'!$B32:$O32,'APPENDIX 5 iii'!$B$5:$O$5,"*reinsurance*")+
SUMIFS('APPENDIX  5 iv'!$B32:$O32,'APPENDIX  5 iv'!$B$5:$O$5,"*reinsurance*")</f>
        <v>934712.10918999999</v>
      </c>
    </row>
    <row r="33" spans="2:18" ht="17" customHeight="1" x14ac:dyDescent="0.35">
      <c r="B33" s="233" t="s">
        <v>35</v>
      </c>
      <c r="C33" s="235">
        <v>0</v>
      </c>
      <c r="D33" s="235">
        <v>0</v>
      </c>
      <c r="E33" s="235">
        <v>0</v>
      </c>
      <c r="F33" s="235">
        <v>0</v>
      </c>
      <c r="G33" s="235">
        <v>0</v>
      </c>
      <c r="H33" s="235">
        <v>0</v>
      </c>
      <c r="I33" s="238">
        <v>0</v>
      </c>
      <c r="J33" s="238">
        <v>0</v>
      </c>
      <c r="K33" s="238">
        <v>0</v>
      </c>
      <c r="L33" s="238">
        <v>482.88</v>
      </c>
      <c r="M33" s="238"/>
      <c r="N33" s="238"/>
      <c r="O33" s="259"/>
      <c r="P33" s="238">
        <f>SUMIFS('APPENDIX  5 iv'!$B33:$O33,'APPENDIX  5 iv'!$B$5:$O$5,"*total*")-Q33</f>
        <v>402.1</v>
      </c>
      <c r="Q33" s="123">
        <f>SUMIFS('APPENDIX 5 i'!$B33:$O33,'APPENDIX 5 i'!$B$5:$O$5,"*reinsurance*")+
SUMIFS('APPENDIX 5 ii'!$B33:$O33,'APPENDIX 5 ii'!$B$5:$O$5,"*reinsurance*")+
SUMIFS('APPENDIX 5 iii'!$B33:$O33,'APPENDIX 5 iii'!$B$5:$O$5,"*reinsurance*")+
SUMIFS('APPENDIX  5 iv'!$B33:$O33,'APPENDIX  5 iv'!$B$5:$O$5,"*reinsurance*")</f>
        <v>80.78</v>
      </c>
    </row>
    <row r="34" spans="2:18" ht="17" customHeight="1" x14ac:dyDescent="0.35">
      <c r="B34" s="233" t="s">
        <v>36</v>
      </c>
      <c r="C34" s="235">
        <v>0</v>
      </c>
      <c r="D34" s="235">
        <v>0</v>
      </c>
      <c r="E34" s="235">
        <v>0</v>
      </c>
      <c r="F34" s="235">
        <v>0</v>
      </c>
      <c r="G34" s="235">
        <v>0</v>
      </c>
      <c r="H34" s="235">
        <v>0</v>
      </c>
      <c r="I34" s="238">
        <v>0</v>
      </c>
      <c r="J34" s="238">
        <v>0</v>
      </c>
      <c r="K34" s="238">
        <v>0</v>
      </c>
      <c r="L34" s="238">
        <v>0</v>
      </c>
      <c r="M34" s="238"/>
      <c r="N34" s="238"/>
      <c r="O34" s="259"/>
      <c r="P34" s="238">
        <f>SUMIFS('APPENDIX  5 iv'!$B34:$O34,'APPENDIX  5 iv'!$B$5:$O$5,"*total*")-Q34</f>
        <v>0</v>
      </c>
      <c r="Q34" s="123">
        <f>SUMIFS('APPENDIX 5 i'!$B34:$O34,'APPENDIX 5 i'!$B$5:$O$5,"*reinsurance*")+
SUMIFS('APPENDIX 5 ii'!$B34:$O34,'APPENDIX 5 ii'!$B$5:$O$5,"*reinsurance*")+
SUMIFS('APPENDIX 5 iii'!$B34:$O34,'APPENDIX 5 iii'!$B$5:$O$5,"*reinsurance*")+
SUMIFS('APPENDIX  5 iv'!$B34:$O34,'APPENDIX  5 iv'!$B$5:$O$5,"*reinsurance*")</f>
        <v>0</v>
      </c>
    </row>
    <row r="35" spans="2:18" ht="17" customHeight="1" x14ac:dyDescent="0.35">
      <c r="B35" s="233" t="s">
        <v>37</v>
      </c>
      <c r="C35" s="235">
        <v>108720.5249999993</v>
      </c>
      <c r="D35" s="235">
        <v>0</v>
      </c>
      <c r="E35" s="235">
        <v>0</v>
      </c>
      <c r="F35" s="235">
        <v>0</v>
      </c>
      <c r="G35" s="235">
        <v>1193.277</v>
      </c>
      <c r="H35" s="235">
        <v>5908.2910000000002</v>
      </c>
      <c r="I35" s="238">
        <v>0</v>
      </c>
      <c r="J35" s="238">
        <v>0</v>
      </c>
      <c r="K35" s="238">
        <v>29579.715</v>
      </c>
      <c r="L35" s="238">
        <v>3215576.0114715928</v>
      </c>
      <c r="M35" s="238"/>
      <c r="N35" s="238"/>
      <c r="O35" s="259"/>
      <c r="P35" s="238">
        <f>SUMIFS('APPENDIX  5 iv'!$B35:$O35,'APPENDIX  5 iv'!$B$5:$O$5,"*total*")-Q35</f>
        <v>3165880.2392015927</v>
      </c>
      <c r="Q35" s="123">
        <f>SUMIFS('APPENDIX 5 i'!$B35:$O35,'APPENDIX 5 i'!$B$5:$O$5,"*reinsurance*")+
SUMIFS('APPENDIX 5 ii'!$B35:$O35,'APPENDIX 5 ii'!$B$5:$O$5,"*reinsurance*")+
SUMIFS('APPENDIX 5 iii'!$B35:$O35,'APPENDIX 5 iii'!$B$5:$O$5,"*reinsurance*")+
SUMIFS('APPENDIX  5 iv'!$B35:$O35,'APPENDIX  5 iv'!$B$5:$O$5,"*reinsurance*")</f>
        <v>49695.772270000001</v>
      </c>
      <c r="R35" s="151"/>
    </row>
    <row r="36" spans="2:18" ht="17" customHeight="1" x14ac:dyDescent="0.35">
      <c r="B36" s="233" t="s">
        <v>38</v>
      </c>
      <c r="C36" s="235">
        <v>0</v>
      </c>
      <c r="D36" s="235">
        <v>0</v>
      </c>
      <c r="E36" s="235">
        <v>0</v>
      </c>
      <c r="F36" s="235">
        <v>0</v>
      </c>
      <c r="G36" s="235">
        <v>6222.63</v>
      </c>
      <c r="H36" s="235">
        <v>91299.447</v>
      </c>
      <c r="I36" s="238">
        <v>0</v>
      </c>
      <c r="J36" s="238">
        <v>0</v>
      </c>
      <c r="K36" s="238">
        <v>0</v>
      </c>
      <c r="L36" s="238">
        <v>1297466.74083</v>
      </c>
      <c r="M36" s="238"/>
      <c r="N36" s="238"/>
      <c r="O36" s="259"/>
      <c r="P36" s="238">
        <f>SUMIFS('APPENDIX  5 iv'!$B36:$O36,'APPENDIX  5 iv'!$B$5:$O$5,"*total*")-Q36</f>
        <v>294171.55130000005</v>
      </c>
      <c r="Q36" s="123">
        <f>SUMIFS('APPENDIX 5 i'!$B36:$O36,'APPENDIX 5 i'!$B$5:$O$5,"*reinsurance*")+
SUMIFS('APPENDIX 5 ii'!$B36:$O36,'APPENDIX 5 ii'!$B$5:$O$5,"*reinsurance*")+
SUMIFS('APPENDIX 5 iii'!$B36:$O36,'APPENDIX 5 iii'!$B$5:$O$5,"*reinsurance*")+
SUMIFS('APPENDIX  5 iv'!$B36:$O36,'APPENDIX  5 iv'!$B$5:$O$5,"*reinsurance*")</f>
        <v>1003295.18953</v>
      </c>
    </row>
    <row r="37" spans="2:18" ht="17" customHeight="1" x14ac:dyDescent="0.35">
      <c r="B37" s="233" t="s">
        <v>39</v>
      </c>
      <c r="C37" s="235">
        <v>400385.19099999999</v>
      </c>
      <c r="D37" s="235">
        <v>1625260.803068606</v>
      </c>
      <c r="E37" s="235">
        <v>229940.85798281</v>
      </c>
      <c r="F37" s="235">
        <v>989462.41737307573</v>
      </c>
      <c r="G37" s="235">
        <v>530518.65498000011</v>
      </c>
      <c r="H37" s="235">
        <v>3877489.0830000001</v>
      </c>
      <c r="I37" s="238">
        <v>0</v>
      </c>
      <c r="J37" s="238">
        <v>0</v>
      </c>
      <c r="K37" s="238">
        <v>3295576.6362425401</v>
      </c>
      <c r="L37" s="238">
        <v>46441584.356170498</v>
      </c>
      <c r="M37" s="238"/>
      <c r="N37" s="238"/>
      <c r="O37" s="259"/>
      <c r="P37" s="238">
        <f>SUMIFS('APPENDIX  5 iv'!$B37:$O37,'APPENDIX  5 iv'!$B$5:$O$5,"*total*")-Q37</f>
        <v>37451726.540227965</v>
      </c>
      <c r="Q37" s="123">
        <f>SUMIFS('APPENDIX 5 i'!$B37:$O37,'APPENDIX 5 i'!$B$5:$O$5,"*reinsurance*")+
SUMIFS('APPENDIX 5 ii'!$B37:$O37,'APPENDIX 5 ii'!$B$5:$O$5,"*reinsurance*")+
SUMIFS('APPENDIX 5 iii'!$B37:$O37,'APPENDIX 5 iii'!$B$5:$O$5,"*reinsurance*")+
SUMIFS('APPENDIX  5 iv'!$B37:$O37,'APPENDIX  5 iv'!$B$5:$O$5,"*reinsurance*")</f>
        <v>8989857.8159425315</v>
      </c>
    </row>
    <row r="38" spans="2:18" ht="17" customHeight="1" x14ac:dyDescent="0.35">
      <c r="B38" s="233" t="s">
        <v>40</v>
      </c>
      <c r="C38" s="235">
        <v>42611.214</v>
      </c>
      <c r="D38" s="235">
        <v>311118.87636000058</v>
      </c>
      <c r="E38" s="235">
        <v>361625.94176000002</v>
      </c>
      <c r="F38" s="235">
        <v>152953.00031</v>
      </c>
      <c r="G38" s="235">
        <v>141050.32</v>
      </c>
      <c r="H38" s="235">
        <v>84569.964999999997</v>
      </c>
      <c r="I38" s="238">
        <v>0</v>
      </c>
      <c r="J38" s="238">
        <v>0</v>
      </c>
      <c r="K38" s="238">
        <v>96339.076780000003</v>
      </c>
      <c r="L38" s="238">
        <v>9008293.1701063067</v>
      </c>
      <c r="M38" s="238"/>
      <c r="N38" s="238"/>
      <c r="O38" s="259"/>
      <c r="P38" s="238">
        <f>SUMIFS('APPENDIX  5 iv'!$B38:$O38,'APPENDIX  5 iv'!$B$5:$O$5,"*total*")-Q38</f>
        <v>7721057.616636307</v>
      </c>
      <c r="Q38" s="123">
        <f>SUMIFS('APPENDIX 5 i'!$B38:$O38,'APPENDIX 5 i'!$B$5:$O$5,"*reinsurance*")+
SUMIFS('APPENDIX 5 ii'!$B38:$O38,'APPENDIX 5 ii'!$B$5:$O$5,"*reinsurance*")+
SUMIFS('APPENDIX 5 iii'!$B38:$O38,'APPENDIX 5 iii'!$B$5:$O$5,"*reinsurance*")+
SUMIFS('APPENDIX  5 iv'!$B38:$O38,'APPENDIX  5 iv'!$B$5:$O$5,"*reinsurance*")</f>
        <v>1287235.5534699999</v>
      </c>
    </row>
    <row r="39" spans="2:18" ht="17" customHeight="1" x14ac:dyDescent="0.35">
      <c r="B39" s="233" t="s">
        <v>41</v>
      </c>
      <c r="C39" s="235">
        <v>0</v>
      </c>
      <c r="D39" s="235">
        <v>0</v>
      </c>
      <c r="E39" s="235">
        <v>0</v>
      </c>
      <c r="F39" s="235">
        <v>0</v>
      </c>
      <c r="G39" s="235">
        <v>0</v>
      </c>
      <c r="H39" s="235">
        <v>0</v>
      </c>
      <c r="I39" s="238">
        <v>0</v>
      </c>
      <c r="J39" s="238">
        <v>0</v>
      </c>
      <c r="K39" s="238">
        <v>0</v>
      </c>
      <c r="L39" s="238">
        <v>1769061.488717983</v>
      </c>
      <c r="M39" s="238"/>
      <c r="N39" s="238"/>
      <c r="O39" s="259"/>
      <c r="P39" s="238">
        <f>SUMIFS('APPENDIX  5 iv'!$B39:$O39,'APPENDIX  5 iv'!$B$5:$O$5,"*total*")-Q39</f>
        <v>1769061.488717983</v>
      </c>
      <c r="Q39" s="123">
        <f>SUMIFS('APPENDIX 5 i'!$B39:$O39,'APPENDIX 5 i'!$B$5:$O$5,"*reinsurance*")+
SUMIFS('APPENDIX 5 ii'!$B39:$O39,'APPENDIX 5 ii'!$B$5:$O$5,"*reinsurance*")+
SUMIFS('APPENDIX 5 iii'!$B39:$O39,'APPENDIX 5 iii'!$B$5:$O$5,"*reinsurance*")+
SUMIFS('APPENDIX  5 iv'!$B39:$O39,'APPENDIX  5 iv'!$B$5:$O$5,"*reinsurance*")</f>
        <v>0</v>
      </c>
    </row>
    <row r="40" spans="2:18" ht="17" customHeight="1" x14ac:dyDescent="0.35">
      <c r="B40" s="233" t="s">
        <v>42</v>
      </c>
      <c r="C40" s="235">
        <v>175765.50746612239</v>
      </c>
      <c r="D40" s="235">
        <v>3375555.2487521851</v>
      </c>
      <c r="E40" s="235">
        <v>54384.863423272371</v>
      </c>
      <c r="F40" s="235">
        <v>601865.31755589752</v>
      </c>
      <c r="G40" s="235">
        <v>779108.86399999994</v>
      </c>
      <c r="H40" s="235">
        <v>1251564.3415532981</v>
      </c>
      <c r="I40" s="238">
        <v>0</v>
      </c>
      <c r="J40" s="238">
        <v>0</v>
      </c>
      <c r="K40" s="238">
        <v>840367.04548242071</v>
      </c>
      <c r="L40" s="238">
        <v>68983181.885370448</v>
      </c>
      <c r="M40" s="238"/>
      <c r="N40" s="238"/>
      <c r="O40" s="259"/>
      <c r="P40" s="238">
        <f>SUMIFS('APPENDIX  5 iv'!$B40:$O40,'APPENDIX  5 iv'!$B$5:$O$5,"*total*")-Q40</f>
        <v>63958152.475560099</v>
      </c>
      <c r="Q40" s="123">
        <f>SUMIFS('APPENDIX 5 i'!$B40:$O40,'APPENDIX 5 i'!$B$5:$O$5,"*reinsurance*")+
SUMIFS('APPENDIX 5 ii'!$B40:$O40,'APPENDIX 5 ii'!$B$5:$O$5,"*reinsurance*")+
SUMIFS('APPENDIX 5 iii'!$B40:$O40,'APPENDIX 5 iii'!$B$5:$O$5,"*reinsurance*")+
SUMIFS('APPENDIX  5 iv'!$B40:$O40,'APPENDIX  5 iv'!$B$5:$O$5,"*reinsurance*")</f>
        <v>5025029.4098103475</v>
      </c>
    </row>
    <row r="41" spans="2:18" ht="17" customHeight="1" x14ac:dyDescent="0.35">
      <c r="B41" s="233" t="s">
        <v>43</v>
      </c>
      <c r="C41" s="235">
        <v>598317.82245519105</v>
      </c>
      <c r="D41" s="235">
        <v>1434534.64475</v>
      </c>
      <c r="E41" s="235">
        <v>454528.85500049999</v>
      </c>
      <c r="F41" s="235">
        <v>470303.96390274662</v>
      </c>
      <c r="G41" s="235">
        <v>635193.02278999996</v>
      </c>
      <c r="H41" s="235">
        <v>1276541.567217092</v>
      </c>
      <c r="I41" s="238">
        <v>0</v>
      </c>
      <c r="J41" s="238">
        <v>0</v>
      </c>
      <c r="K41" s="238">
        <v>2873165.166570208</v>
      </c>
      <c r="L41" s="238">
        <v>56445319.675096527</v>
      </c>
      <c r="M41" s="238"/>
      <c r="N41" s="238"/>
      <c r="O41" s="259"/>
      <c r="P41" s="238">
        <f>SUMIFS('APPENDIX  5 iv'!$B41:$O41,'APPENDIX  5 iv'!$B$5:$O$5,"*total*")-Q41</f>
        <v>43982944.830099747</v>
      </c>
      <c r="Q41" s="123">
        <f>SUMIFS('APPENDIX 5 i'!$B41:$O41,'APPENDIX 5 i'!$B$5:$O$5,"*reinsurance*")+
SUMIFS('APPENDIX 5 ii'!$B41:$O41,'APPENDIX 5 ii'!$B$5:$O$5,"*reinsurance*")+
SUMIFS('APPENDIX 5 iii'!$B41:$O41,'APPENDIX 5 iii'!$B$5:$O$5,"*reinsurance*")+
SUMIFS('APPENDIX  5 iv'!$B41:$O41,'APPENDIX  5 iv'!$B$5:$O$5,"*reinsurance*")</f>
        <v>12462374.84499678</v>
      </c>
    </row>
    <row r="42" spans="2:18" ht="17" customHeight="1" x14ac:dyDescent="0.35">
      <c r="B42" s="233" t="s">
        <v>44</v>
      </c>
      <c r="C42" s="235">
        <v>458483.07983536908</v>
      </c>
      <c r="D42" s="235">
        <v>1254370.1700899999</v>
      </c>
      <c r="E42" s="235">
        <v>32417.228228665608</v>
      </c>
      <c r="F42" s="235">
        <v>138445.965342576</v>
      </c>
      <c r="G42" s="235">
        <v>58786.125999999997</v>
      </c>
      <c r="H42" s="235">
        <v>190478.01800000001</v>
      </c>
      <c r="I42" s="238">
        <v>0</v>
      </c>
      <c r="J42" s="238">
        <v>0</v>
      </c>
      <c r="K42" s="238">
        <v>324335.7682760001</v>
      </c>
      <c r="L42" s="238">
        <v>20533231.80519139</v>
      </c>
      <c r="M42" s="238"/>
      <c r="N42" s="238"/>
      <c r="O42" s="259"/>
      <c r="P42" s="238">
        <f>SUMIFS('APPENDIX  5 iv'!$B42:$O42,'APPENDIX  5 iv'!$B$5:$O$5,"*total*")-Q42</f>
        <v>14540781.588472558</v>
      </c>
      <c r="Q42" s="123">
        <f>SUMIFS('APPENDIX 5 i'!$B42:$O42,'APPENDIX 5 i'!$B$5:$O$5,"*reinsurance*")+
SUMIFS('APPENDIX 5 ii'!$B42:$O42,'APPENDIX 5 ii'!$B$5:$O$5,"*reinsurance*")+
SUMIFS('APPENDIX 5 iii'!$B42:$O42,'APPENDIX 5 iii'!$B$5:$O$5,"*reinsurance*")+
SUMIFS('APPENDIX  5 iv'!$B42:$O42,'APPENDIX  5 iv'!$B$5:$O$5,"*reinsurance*")</f>
        <v>5992450.216718832</v>
      </c>
    </row>
    <row r="43" spans="2:18" ht="17" customHeight="1" thickBot="1" x14ac:dyDescent="0.4">
      <c r="B43" s="236" t="s">
        <v>45</v>
      </c>
      <c r="C43" s="237">
        <v>5446303.8379480736</v>
      </c>
      <c r="D43" s="237">
        <v>15961069.98635266</v>
      </c>
      <c r="E43" s="237">
        <v>2306371.6357963472</v>
      </c>
      <c r="F43" s="237">
        <v>2435079.250302671</v>
      </c>
      <c r="G43" s="237">
        <v>5706830.8052106304</v>
      </c>
      <c r="H43" s="237">
        <v>14646250.450770389</v>
      </c>
      <c r="I43" s="237">
        <v>0</v>
      </c>
      <c r="J43" s="237">
        <v>0</v>
      </c>
      <c r="K43" s="237">
        <v>9386665.4537825845</v>
      </c>
      <c r="L43" s="237">
        <v>441381142.7199524</v>
      </c>
      <c r="M43" s="237"/>
      <c r="N43" s="237"/>
      <c r="O43" s="260"/>
      <c r="P43" s="237">
        <f>SUMIFS('APPENDIX  5 iv'!$B43:$O43,'APPENDIX  5 iv'!$B$5:$O$5,"*total*")-Q43</f>
        <v>343675701.16763645</v>
      </c>
      <c r="Q43" s="237">
        <f>SUMIFS('APPENDIX 5 i'!$B43:$O43,'APPENDIX 5 i'!$B$5:$O$5,"*reinsurance*")+
SUMIFS('APPENDIX 5 ii'!$B43:$O43,'APPENDIX 5 ii'!$B$5:$O$5,"*reinsurance*")+
SUMIFS('APPENDIX 5 iii'!$B43:$O43,'APPENDIX 5 iii'!$B$5:$O$5,"*reinsurance*")+
SUMIFS('APPENDIX  5 iv'!$B43:$O43,'APPENDIX  5 iv'!$B$5:$O$5,"*reinsurance*")</f>
        <v>97705441.55231595</v>
      </c>
    </row>
    <row r="44" spans="2:18" ht="17" customHeight="1" thickTop="1" x14ac:dyDescent="0.35">
      <c r="B44" s="344" t="s">
        <v>46</v>
      </c>
      <c r="C44" s="344"/>
      <c r="D44" s="344"/>
      <c r="E44" s="344"/>
      <c r="F44" s="344"/>
      <c r="G44" s="344"/>
      <c r="H44" s="344"/>
      <c r="I44" s="344"/>
      <c r="J44" s="344"/>
      <c r="K44" s="344"/>
      <c r="L44" s="344"/>
      <c r="M44" s="265"/>
      <c r="N44" s="265"/>
      <c r="P44" s="131"/>
      <c r="Q44" s="131"/>
    </row>
    <row r="45" spans="2:18" x14ac:dyDescent="0.35">
      <c r="I45" s="131"/>
      <c r="J45" s="131"/>
      <c r="K45" s="131"/>
      <c r="L45" s="131"/>
      <c r="M45" s="131"/>
      <c r="N45" s="131"/>
      <c r="O45" s="131"/>
      <c r="P45" s="131"/>
      <c r="Q45" s="131"/>
    </row>
    <row r="46" spans="2:18" x14ac:dyDescent="0.35">
      <c r="C46" s="131"/>
      <c r="D46" s="131"/>
      <c r="E46" s="131"/>
      <c r="F46" s="131"/>
      <c r="G46" s="131"/>
      <c r="H46" s="131"/>
      <c r="I46" s="131"/>
      <c r="J46" s="131"/>
      <c r="K46" s="131"/>
      <c r="L46" s="131"/>
      <c r="M46" s="131"/>
      <c r="N46" s="131"/>
      <c r="P46" s="131"/>
      <c r="Q46" s="131"/>
    </row>
  </sheetData>
  <sheetProtection algorithmName="SHA-512" hashValue="DvPX5ahRawBWQRW5objLbJL8icdtSkoEXQRsx75WH5B5DZLV068ka8I9o7ctG/ZIqYMosFarKDzjoRCL/ERgNw==" saltValue="qcBDutzBCtIxdYYj8bq/vw==" spinCount="100000" sheet="1" objects="1" scenarios="1"/>
  <mergeCells count="2">
    <mergeCell ref="B4:L4"/>
    <mergeCell ref="B44:L44"/>
  </mergeCells>
  <pageMargins left="0.7" right="0.7" top="0.75" bottom="0.75" header="0.3" footer="0.3"/>
  <pageSetup paperSize="9" scale="34"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4">
    <tabColor rgb="FF92D050"/>
    <pageSetUpPr fitToPage="1"/>
  </sheetPr>
  <dimension ref="B3:Q49"/>
  <sheetViews>
    <sheetView showGridLines="0" topLeftCell="E1" zoomScale="70" zoomScaleNormal="70" workbookViewId="0">
      <selection activeCell="B4" sqref="B4:I44"/>
    </sheetView>
  </sheetViews>
  <sheetFormatPr defaultColWidth="9.453125" defaultRowHeight="15.5" x14ac:dyDescent="0.35"/>
  <cols>
    <col min="1" max="1" width="16.453125" style="76" customWidth="1"/>
    <col min="2" max="2" width="36.54296875" style="76" customWidth="1"/>
    <col min="3" max="6" width="23.54296875" style="76" customWidth="1"/>
    <col min="7" max="7" width="23.54296875" style="76" hidden="1" customWidth="1"/>
    <col min="8" max="9" width="23.54296875" style="76" customWidth="1"/>
    <col min="10" max="108" width="9.453125" style="76" customWidth="1"/>
    <col min="109" max="16384" width="9.453125" style="76"/>
  </cols>
  <sheetData>
    <row r="3" spans="2:9" s="275" customFormat="1" ht="21.5" x14ac:dyDescent="0.45"/>
    <row r="4" spans="2:9" s="275" customFormat="1" ht="22" x14ac:dyDescent="0.5">
      <c r="B4" s="328" t="str">
        <f>_xlfn.CONCAT('Table of Contents'!B18,": ",'Table of Contents'!C18)</f>
        <v>APPENDIX 6: SUMMARY OF MICRO INSURANCE BUSINESS BALANCE SHEETS AS AT 31.03.2026</v>
      </c>
      <c r="C4" s="298"/>
      <c r="D4" s="298"/>
      <c r="E4" s="298"/>
      <c r="F4" s="298"/>
      <c r="G4" s="298"/>
      <c r="H4" s="298"/>
      <c r="I4" s="299"/>
    </row>
    <row r="5" spans="2:9" ht="46.5" x14ac:dyDescent="0.35">
      <c r="B5" s="231" t="s">
        <v>0</v>
      </c>
      <c r="C5" s="239" t="s">
        <v>1</v>
      </c>
      <c r="D5" s="239" t="s">
        <v>2</v>
      </c>
      <c r="E5" s="239" t="s">
        <v>3</v>
      </c>
      <c r="F5" s="239" t="s">
        <v>4</v>
      </c>
      <c r="G5" s="239" t="s">
        <v>5</v>
      </c>
      <c r="H5" s="239" t="s">
        <v>6</v>
      </c>
      <c r="I5" s="239" t="s">
        <v>7</v>
      </c>
    </row>
    <row r="6" spans="2:9" ht="16" customHeight="1" x14ac:dyDescent="0.35">
      <c r="B6" s="233" t="s">
        <v>8</v>
      </c>
      <c r="C6" s="123">
        <v>50000</v>
      </c>
      <c r="D6" s="123">
        <v>0</v>
      </c>
      <c r="E6" s="123">
        <v>250476.89600000001</v>
      </c>
      <c r="F6" s="123">
        <v>50000</v>
      </c>
      <c r="G6" s="123">
        <v>0</v>
      </c>
      <c r="H6" s="123">
        <v>50000</v>
      </c>
      <c r="I6" s="123">
        <v>400476.89600000001</v>
      </c>
    </row>
    <row r="7" spans="2:9" ht="16" customHeight="1" x14ac:dyDescent="0.35">
      <c r="B7" s="233" t="s">
        <v>9</v>
      </c>
      <c r="C7" s="123">
        <v>0</v>
      </c>
      <c r="D7" s="123">
        <v>0</v>
      </c>
      <c r="E7" s="123">
        <v>0</v>
      </c>
      <c r="F7" s="123">
        <v>0</v>
      </c>
      <c r="G7" s="123">
        <v>0</v>
      </c>
      <c r="H7" s="123">
        <v>0</v>
      </c>
      <c r="I7" s="123">
        <v>0</v>
      </c>
    </row>
    <row r="8" spans="2:9" ht="16" customHeight="1" x14ac:dyDescent="0.35">
      <c r="B8" s="233" t="s">
        <v>10</v>
      </c>
      <c r="C8" s="123">
        <v>0</v>
      </c>
      <c r="D8" s="123">
        <v>0</v>
      </c>
      <c r="E8" s="123">
        <v>0</v>
      </c>
      <c r="F8" s="123">
        <v>0</v>
      </c>
      <c r="G8" s="123">
        <v>0</v>
      </c>
      <c r="H8" s="123">
        <v>0</v>
      </c>
      <c r="I8" s="123">
        <v>0</v>
      </c>
    </row>
    <row r="9" spans="2:9" ht="16" customHeight="1" x14ac:dyDescent="0.35">
      <c r="B9" s="233" t="s">
        <v>11</v>
      </c>
      <c r="C9" s="123">
        <v>0</v>
      </c>
      <c r="D9" s="123">
        <v>0</v>
      </c>
      <c r="E9" s="123">
        <v>0</v>
      </c>
      <c r="F9" s="123">
        <v>0</v>
      </c>
      <c r="G9" s="123">
        <v>0</v>
      </c>
      <c r="H9" s="123">
        <v>0</v>
      </c>
      <c r="I9" s="123">
        <v>0</v>
      </c>
    </row>
    <row r="10" spans="2:9" ht="16" customHeight="1" x14ac:dyDescent="0.35">
      <c r="B10" s="233" t="s">
        <v>12</v>
      </c>
      <c r="C10" s="123">
        <v>16352.606187625001</v>
      </c>
      <c r="D10" s="123">
        <v>0</v>
      </c>
      <c r="E10" s="123">
        <v>22263.242157465029</v>
      </c>
      <c r="F10" s="123">
        <v>-29819.197323655611</v>
      </c>
      <c r="G10" s="123">
        <v>0</v>
      </c>
      <c r="H10" s="123">
        <v>85577.804350208593</v>
      </c>
      <c r="I10" s="123">
        <v>94374.455371643009</v>
      </c>
    </row>
    <row r="11" spans="2:9" ht="16" customHeight="1" x14ac:dyDescent="0.35">
      <c r="B11" s="233" t="s">
        <v>13</v>
      </c>
      <c r="C11" s="123">
        <v>0</v>
      </c>
      <c r="D11" s="123">
        <v>0</v>
      </c>
      <c r="E11" s="123">
        <v>0</v>
      </c>
      <c r="F11" s="123">
        <v>0</v>
      </c>
      <c r="G11" s="123">
        <v>0</v>
      </c>
      <c r="H11" s="123">
        <v>0</v>
      </c>
      <c r="I11" s="123">
        <v>0</v>
      </c>
    </row>
    <row r="12" spans="2:9" ht="16" customHeight="1" thickBot="1" x14ac:dyDescent="0.4">
      <c r="B12" s="241" t="s">
        <v>14</v>
      </c>
      <c r="C12" s="234">
        <v>66352.606187625002</v>
      </c>
      <c r="D12" s="234">
        <v>0</v>
      </c>
      <c r="E12" s="234">
        <v>272740.13815746497</v>
      </c>
      <c r="F12" s="234">
        <v>20180.802676344389</v>
      </c>
      <c r="G12" s="234">
        <v>0</v>
      </c>
      <c r="H12" s="234">
        <v>135577.80435020861</v>
      </c>
      <c r="I12" s="234">
        <v>494851.35137164302</v>
      </c>
    </row>
    <row r="13" spans="2:9" ht="16" customHeight="1" thickTop="1" x14ac:dyDescent="0.35">
      <c r="B13" s="235" t="s">
        <v>15</v>
      </c>
      <c r="C13" s="123">
        <v>0</v>
      </c>
      <c r="D13" s="123">
        <v>0</v>
      </c>
      <c r="E13" s="123">
        <v>722943.24494518829</v>
      </c>
      <c r="F13" s="123">
        <v>20175.140304955519</v>
      </c>
      <c r="G13" s="123">
        <v>0</v>
      </c>
      <c r="H13" s="123">
        <v>79065.731889999995</v>
      </c>
      <c r="I13" s="123">
        <v>822184.11714014388</v>
      </c>
    </row>
    <row r="14" spans="2:9" ht="16" customHeight="1" x14ac:dyDescent="0.35">
      <c r="B14" s="233" t="s">
        <v>16</v>
      </c>
      <c r="C14" s="123">
        <v>0</v>
      </c>
      <c r="D14" s="123">
        <v>0</v>
      </c>
      <c r="E14" s="123">
        <v>5187.7829536549107</v>
      </c>
      <c r="F14" s="123">
        <v>0</v>
      </c>
      <c r="G14" s="123">
        <v>0</v>
      </c>
      <c r="H14" s="123">
        <v>0</v>
      </c>
      <c r="I14" s="123">
        <v>5187.7829536549107</v>
      </c>
    </row>
    <row r="15" spans="2:9" ht="16" customHeight="1" x14ac:dyDescent="0.35">
      <c r="B15" s="233" t="s">
        <v>17</v>
      </c>
      <c r="C15" s="123">
        <v>0</v>
      </c>
      <c r="D15" s="123">
        <v>0</v>
      </c>
      <c r="E15" s="123">
        <v>0</v>
      </c>
      <c r="F15" s="123">
        <v>0</v>
      </c>
      <c r="G15" s="123">
        <v>0</v>
      </c>
      <c r="H15" s="123">
        <v>3474.1148499999999</v>
      </c>
      <c r="I15" s="123">
        <v>3474.1148499999999</v>
      </c>
    </row>
    <row r="16" spans="2:9" ht="16" customHeight="1" x14ac:dyDescent="0.35">
      <c r="B16" s="233" t="s">
        <v>18</v>
      </c>
      <c r="C16" s="123">
        <v>0</v>
      </c>
      <c r="D16" s="123">
        <v>0</v>
      </c>
      <c r="E16" s="123">
        <v>0</v>
      </c>
      <c r="F16" s="123">
        <v>0</v>
      </c>
      <c r="G16" s="123">
        <v>0</v>
      </c>
      <c r="H16" s="123">
        <v>0</v>
      </c>
      <c r="I16" s="123">
        <v>0</v>
      </c>
    </row>
    <row r="17" spans="2:9" ht="16" customHeight="1" x14ac:dyDescent="0.35">
      <c r="B17" s="233" t="s">
        <v>19</v>
      </c>
      <c r="C17" s="123">
        <v>544.75</v>
      </c>
      <c r="D17" s="123">
        <v>0</v>
      </c>
      <c r="E17" s="123">
        <v>90495.67</v>
      </c>
      <c r="F17" s="123">
        <v>28148.070011413809</v>
      </c>
      <c r="G17" s="123">
        <v>0</v>
      </c>
      <c r="H17" s="123">
        <v>41716.950474725978</v>
      </c>
      <c r="I17" s="123">
        <v>160905.44048613979</v>
      </c>
    </row>
    <row r="18" spans="2:9" ht="16" customHeight="1" x14ac:dyDescent="0.35">
      <c r="B18" s="233" t="s">
        <v>20</v>
      </c>
      <c r="C18" s="123">
        <v>0</v>
      </c>
      <c r="D18" s="123">
        <v>0</v>
      </c>
      <c r="E18" s="123">
        <v>94282.620539999931</v>
      </c>
      <c r="F18" s="123">
        <v>-3.7252902984619141E-12</v>
      </c>
      <c r="G18" s="123">
        <v>0</v>
      </c>
      <c r="H18" s="123">
        <v>19624.418699962851</v>
      </c>
      <c r="I18" s="123">
        <v>113907.0392399628</v>
      </c>
    </row>
    <row r="19" spans="2:9" ht="16" customHeight="1" thickBot="1" x14ac:dyDescent="0.4">
      <c r="B19" s="236" t="s">
        <v>21</v>
      </c>
      <c r="C19" s="237">
        <v>66897.356187625002</v>
      </c>
      <c r="D19" s="237">
        <v>0</v>
      </c>
      <c r="E19" s="237">
        <v>1185649.4565963079</v>
      </c>
      <c r="F19" s="237">
        <v>68504.012992713717</v>
      </c>
      <c r="G19" s="237">
        <v>0</v>
      </c>
      <c r="H19" s="237">
        <v>279459.02026489738</v>
      </c>
      <c r="I19" s="237">
        <v>1600509.8460415441</v>
      </c>
    </row>
    <row r="20" spans="2:9" ht="16" customHeight="1" thickTop="1" x14ac:dyDescent="0.35">
      <c r="B20" s="235" t="s">
        <v>22</v>
      </c>
      <c r="C20" s="238">
        <v>0</v>
      </c>
      <c r="D20" s="238">
        <v>0</v>
      </c>
      <c r="E20" s="238">
        <v>711.42237</v>
      </c>
      <c r="F20" s="238">
        <v>3717.2208333333328</v>
      </c>
      <c r="G20" s="238">
        <v>0</v>
      </c>
      <c r="H20" s="238">
        <v>0</v>
      </c>
      <c r="I20" s="238">
        <v>4428.6432033333331</v>
      </c>
    </row>
    <row r="21" spans="2:9" ht="16" customHeight="1" x14ac:dyDescent="0.35">
      <c r="B21" s="233" t="s">
        <v>23</v>
      </c>
      <c r="C21" s="238">
        <v>0</v>
      </c>
      <c r="D21" s="238">
        <v>0</v>
      </c>
      <c r="E21" s="238">
        <v>0</v>
      </c>
      <c r="F21" s="238">
        <v>0</v>
      </c>
      <c r="G21" s="238">
        <v>0</v>
      </c>
      <c r="H21" s="238">
        <v>0</v>
      </c>
      <c r="I21" s="238">
        <v>0</v>
      </c>
    </row>
    <row r="22" spans="2:9" ht="16" customHeight="1" x14ac:dyDescent="0.35">
      <c r="B22" s="233" t="s">
        <v>24</v>
      </c>
      <c r="C22" s="238">
        <v>0</v>
      </c>
      <c r="D22" s="238">
        <v>0</v>
      </c>
      <c r="E22" s="238">
        <v>0</v>
      </c>
      <c r="F22" s="238">
        <v>0</v>
      </c>
      <c r="G22" s="238">
        <v>0</v>
      </c>
      <c r="H22" s="238">
        <v>0</v>
      </c>
      <c r="I22" s="238">
        <v>0</v>
      </c>
    </row>
    <row r="23" spans="2:9" ht="16" customHeight="1" x14ac:dyDescent="0.35">
      <c r="B23" s="233" t="s">
        <v>25</v>
      </c>
      <c r="C23" s="238">
        <v>0</v>
      </c>
      <c r="D23" s="238">
        <v>0</v>
      </c>
      <c r="E23" s="238">
        <v>1561.24503</v>
      </c>
      <c r="F23" s="238">
        <v>3360.663411979167</v>
      </c>
      <c r="G23" s="238">
        <v>0</v>
      </c>
      <c r="H23" s="238">
        <v>0</v>
      </c>
      <c r="I23" s="238">
        <v>4921.908441979167</v>
      </c>
    </row>
    <row r="24" spans="2:9" ht="16" customHeight="1" x14ac:dyDescent="0.35">
      <c r="B24" s="233" t="s">
        <v>26</v>
      </c>
      <c r="C24" s="238">
        <v>56165</v>
      </c>
      <c r="D24" s="238">
        <v>0</v>
      </c>
      <c r="E24" s="238">
        <v>853741.77500000002</v>
      </c>
      <c r="F24" s="238">
        <v>5219.7925300000006</v>
      </c>
      <c r="G24" s="238">
        <v>0</v>
      </c>
      <c r="H24" s="238">
        <v>49716.7</v>
      </c>
      <c r="I24" s="238">
        <v>964843.26752999995</v>
      </c>
    </row>
    <row r="25" spans="2:9" ht="16" customHeight="1" x14ac:dyDescent="0.35">
      <c r="B25" s="233" t="s">
        <v>27</v>
      </c>
      <c r="C25" s="238">
        <v>0</v>
      </c>
      <c r="D25" s="238">
        <v>0</v>
      </c>
      <c r="E25" s="238">
        <v>0</v>
      </c>
      <c r="F25" s="238">
        <v>0</v>
      </c>
      <c r="G25" s="238">
        <v>0</v>
      </c>
      <c r="H25" s="238">
        <v>0</v>
      </c>
      <c r="I25" s="238">
        <v>0</v>
      </c>
    </row>
    <row r="26" spans="2:9" ht="16" customHeight="1" x14ac:dyDescent="0.35">
      <c r="B26" s="233" t="s">
        <v>28</v>
      </c>
      <c r="C26" s="238">
        <v>0</v>
      </c>
      <c r="D26" s="238">
        <v>0</v>
      </c>
      <c r="E26" s="238">
        <v>0</v>
      </c>
      <c r="F26" s="238">
        <v>0</v>
      </c>
      <c r="G26" s="238">
        <v>0</v>
      </c>
      <c r="H26" s="238">
        <v>0</v>
      </c>
      <c r="I26" s="238">
        <v>0</v>
      </c>
    </row>
    <row r="27" spans="2:9" ht="16" customHeight="1" x14ac:dyDescent="0.35">
      <c r="B27" s="233" t="s">
        <v>29</v>
      </c>
      <c r="C27" s="238">
        <v>0</v>
      </c>
      <c r="D27" s="238">
        <v>0</v>
      </c>
      <c r="E27" s="238">
        <v>0</v>
      </c>
      <c r="F27" s="238">
        <v>0</v>
      </c>
      <c r="G27" s="238">
        <v>0</v>
      </c>
      <c r="H27" s="238">
        <v>0</v>
      </c>
      <c r="I27" s="238">
        <v>0</v>
      </c>
    </row>
    <row r="28" spans="2:9" ht="16" customHeight="1" x14ac:dyDescent="0.35">
      <c r="B28" s="233" t="s">
        <v>30</v>
      </c>
      <c r="C28" s="238">
        <v>0</v>
      </c>
      <c r="D28" s="238">
        <v>0</v>
      </c>
      <c r="E28" s="238">
        <v>0</v>
      </c>
      <c r="F28" s="238">
        <v>0</v>
      </c>
      <c r="G28" s="238">
        <v>0</v>
      </c>
      <c r="H28" s="238">
        <v>0</v>
      </c>
      <c r="I28" s="238">
        <v>0</v>
      </c>
    </row>
    <row r="29" spans="2:9" ht="16" customHeight="1" x14ac:dyDescent="0.35">
      <c r="B29" s="233" t="s">
        <v>31</v>
      </c>
      <c r="C29" s="238">
        <v>0</v>
      </c>
      <c r="D29" s="238">
        <v>0</v>
      </c>
      <c r="E29" s="238">
        <v>0</v>
      </c>
      <c r="F29" s="238">
        <v>0</v>
      </c>
      <c r="G29" s="238">
        <v>0</v>
      </c>
      <c r="H29" s="238">
        <v>0</v>
      </c>
      <c r="I29" s="238">
        <v>0</v>
      </c>
    </row>
    <row r="30" spans="2:9" ht="16" customHeight="1" x14ac:dyDescent="0.35">
      <c r="B30" s="233" t="s">
        <v>32</v>
      </c>
      <c r="C30" s="238">
        <v>0</v>
      </c>
      <c r="D30" s="238">
        <v>0</v>
      </c>
      <c r="E30" s="238">
        <v>0</v>
      </c>
      <c r="F30" s="238">
        <v>0</v>
      </c>
      <c r="G30" s="238">
        <v>0</v>
      </c>
      <c r="H30" s="238">
        <v>0</v>
      </c>
      <c r="I30" s="238">
        <v>0</v>
      </c>
    </row>
    <row r="31" spans="2:9" ht="16" customHeight="1" x14ac:dyDescent="0.35">
      <c r="B31" s="233" t="s">
        <v>33</v>
      </c>
      <c r="C31" s="238">
        <v>0</v>
      </c>
      <c r="D31" s="238">
        <v>0</v>
      </c>
      <c r="E31" s="238">
        <v>0</v>
      </c>
      <c r="F31" s="238">
        <v>0</v>
      </c>
      <c r="G31" s="238">
        <v>0</v>
      </c>
      <c r="H31" s="238">
        <v>0</v>
      </c>
      <c r="I31" s="238">
        <v>0</v>
      </c>
    </row>
    <row r="32" spans="2:9" ht="16" customHeight="1" x14ac:dyDescent="0.35">
      <c r="B32" s="233" t="s">
        <v>34</v>
      </c>
      <c r="C32" s="238">
        <v>0</v>
      </c>
      <c r="D32" s="238">
        <v>0</v>
      </c>
      <c r="E32" s="238">
        <v>0</v>
      </c>
      <c r="F32" s="238">
        <v>0</v>
      </c>
      <c r="G32" s="238">
        <v>0</v>
      </c>
      <c r="H32" s="238">
        <v>0</v>
      </c>
      <c r="I32" s="238">
        <v>0</v>
      </c>
    </row>
    <row r="33" spans="2:9" ht="16" customHeight="1" x14ac:dyDescent="0.35">
      <c r="B33" s="233" t="s">
        <v>35</v>
      </c>
      <c r="C33" s="238">
        <v>0</v>
      </c>
      <c r="D33" s="238">
        <v>0</v>
      </c>
      <c r="E33" s="238">
        <v>0</v>
      </c>
      <c r="F33" s="238">
        <v>0</v>
      </c>
      <c r="G33" s="238">
        <v>0</v>
      </c>
      <c r="H33" s="238">
        <v>0</v>
      </c>
      <c r="I33" s="238">
        <v>0</v>
      </c>
    </row>
    <row r="34" spans="2:9" ht="16" customHeight="1" x14ac:dyDescent="0.35">
      <c r="B34" s="233" t="s">
        <v>36</v>
      </c>
      <c r="C34" s="238">
        <v>0</v>
      </c>
      <c r="D34" s="238">
        <v>0</v>
      </c>
      <c r="E34" s="238">
        <v>0</v>
      </c>
      <c r="F34" s="238">
        <v>0</v>
      </c>
      <c r="G34" s="238">
        <v>0</v>
      </c>
      <c r="H34" s="238">
        <v>0</v>
      </c>
      <c r="I34" s="238">
        <v>0</v>
      </c>
    </row>
    <row r="35" spans="2:9" ht="16" customHeight="1" x14ac:dyDescent="0.35">
      <c r="B35" s="233" t="s">
        <v>37</v>
      </c>
      <c r="C35" s="238">
        <v>0</v>
      </c>
      <c r="D35" s="238">
        <v>0</v>
      </c>
      <c r="E35" s="238">
        <v>0</v>
      </c>
      <c r="F35" s="238">
        <v>0</v>
      </c>
      <c r="G35" s="238">
        <v>0</v>
      </c>
      <c r="H35" s="238">
        <v>0</v>
      </c>
      <c r="I35" s="238">
        <v>0</v>
      </c>
    </row>
    <row r="36" spans="2:9" ht="16" customHeight="1" x14ac:dyDescent="0.35">
      <c r="B36" s="233" t="s">
        <v>38</v>
      </c>
      <c r="C36" s="238">
        <v>0</v>
      </c>
      <c r="D36" s="238">
        <v>0</v>
      </c>
      <c r="E36" s="238">
        <v>0</v>
      </c>
      <c r="F36" s="238">
        <v>0</v>
      </c>
      <c r="G36" s="238">
        <v>0</v>
      </c>
      <c r="H36" s="238">
        <v>0</v>
      </c>
      <c r="I36" s="238">
        <v>0</v>
      </c>
    </row>
    <row r="37" spans="2:9" ht="16" customHeight="1" x14ac:dyDescent="0.35">
      <c r="B37" s="233" t="s">
        <v>39</v>
      </c>
      <c r="C37" s="238">
        <v>0</v>
      </c>
      <c r="D37" s="238">
        <v>0</v>
      </c>
      <c r="E37" s="238">
        <v>30531.322</v>
      </c>
      <c r="F37" s="238">
        <v>0</v>
      </c>
      <c r="G37" s="238">
        <v>0</v>
      </c>
      <c r="H37" s="238">
        <v>38266.136989999992</v>
      </c>
      <c r="I37" s="238">
        <v>68797.458989999985</v>
      </c>
    </row>
    <row r="38" spans="2:9" ht="16" customHeight="1" x14ac:dyDescent="0.35">
      <c r="B38" s="233" t="s">
        <v>40</v>
      </c>
      <c r="C38" s="238">
        <v>8415.4564478249995</v>
      </c>
      <c r="D38" s="238">
        <v>0</v>
      </c>
      <c r="E38" s="238">
        <v>77476.607719999985</v>
      </c>
      <c r="F38" s="238">
        <v>34286.128680000009</v>
      </c>
      <c r="G38" s="238">
        <v>0</v>
      </c>
      <c r="H38" s="238">
        <v>37289.607000000004</v>
      </c>
      <c r="I38" s="238">
        <v>157467.79984782499</v>
      </c>
    </row>
    <row r="39" spans="2:9" ht="16" customHeight="1" x14ac:dyDescent="0.35">
      <c r="B39" s="233" t="s">
        <v>41</v>
      </c>
      <c r="C39" s="238">
        <v>0</v>
      </c>
      <c r="D39" s="238">
        <v>0</v>
      </c>
      <c r="E39" s="238">
        <v>833.13941187484056</v>
      </c>
      <c r="F39" s="238">
        <v>0</v>
      </c>
      <c r="G39" s="238">
        <v>0</v>
      </c>
      <c r="H39" s="238">
        <v>0</v>
      </c>
      <c r="I39" s="238">
        <v>833.13941187484056</v>
      </c>
    </row>
    <row r="40" spans="2:9" ht="16" customHeight="1" x14ac:dyDescent="0.35">
      <c r="B40" s="233" t="s">
        <v>42</v>
      </c>
      <c r="C40" s="238">
        <v>0</v>
      </c>
      <c r="D40" s="238">
        <v>0</v>
      </c>
      <c r="E40" s="238">
        <v>56034.422540164247</v>
      </c>
      <c r="F40" s="238">
        <v>5903.0157931790918</v>
      </c>
      <c r="G40" s="238">
        <v>0</v>
      </c>
      <c r="H40" s="238">
        <v>9965.7088097248015</v>
      </c>
      <c r="I40" s="238">
        <v>71903.147143068141</v>
      </c>
    </row>
    <row r="41" spans="2:9" ht="16" customHeight="1" x14ac:dyDescent="0.35">
      <c r="B41" s="233" t="s">
        <v>43</v>
      </c>
      <c r="C41" s="238">
        <v>2316.9</v>
      </c>
      <c r="D41" s="238">
        <v>0</v>
      </c>
      <c r="E41" s="238">
        <v>108489.33193832421</v>
      </c>
      <c r="F41" s="238">
        <v>8589.9075699999994</v>
      </c>
      <c r="G41" s="238">
        <v>0</v>
      </c>
      <c r="H41" s="238">
        <v>136503.66046517261</v>
      </c>
      <c r="I41" s="238">
        <v>255899.79997349679</v>
      </c>
    </row>
    <row r="42" spans="2:9" ht="16" customHeight="1" x14ac:dyDescent="0.35">
      <c r="B42" s="233" t="s">
        <v>44</v>
      </c>
      <c r="C42" s="238">
        <v>0</v>
      </c>
      <c r="D42" s="238">
        <v>0</v>
      </c>
      <c r="E42" s="238">
        <v>56270.191025588727</v>
      </c>
      <c r="F42" s="238">
        <v>7427.2841742221253</v>
      </c>
      <c r="G42" s="238">
        <v>0</v>
      </c>
      <c r="H42" s="238">
        <v>7717.2070000000003</v>
      </c>
      <c r="I42" s="238">
        <v>71414.682199810864</v>
      </c>
    </row>
    <row r="43" spans="2:9" ht="16" customHeight="1" thickBot="1" x14ac:dyDescent="0.4">
      <c r="B43" s="236" t="s">
        <v>45</v>
      </c>
      <c r="C43" s="237">
        <v>66897.356447825005</v>
      </c>
      <c r="D43" s="237">
        <v>0</v>
      </c>
      <c r="E43" s="237">
        <v>1185649.457035952</v>
      </c>
      <c r="F43" s="237">
        <v>68504.012992713717</v>
      </c>
      <c r="G43" s="237">
        <v>0</v>
      </c>
      <c r="H43" s="237">
        <v>279459.02026489738</v>
      </c>
      <c r="I43" s="237">
        <v>1600509.8467413881</v>
      </c>
    </row>
    <row r="44" spans="2:9" ht="16" customHeight="1" thickTop="1" x14ac:dyDescent="0.35">
      <c r="B44" s="331" t="s">
        <v>46</v>
      </c>
      <c r="C44" s="332"/>
      <c r="D44" s="332"/>
      <c r="E44" s="332"/>
      <c r="F44" s="332"/>
      <c r="G44" s="332"/>
      <c r="H44" s="332"/>
      <c r="I44" s="332"/>
    </row>
    <row r="45" spans="2:9" x14ac:dyDescent="0.35">
      <c r="C45" s="131"/>
      <c r="D45" s="131"/>
      <c r="E45" s="131"/>
      <c r="F45" s="131"/>
      <c r="G45" s="131"/>
      <c r="H45" s="131"/>
      <c r="I45" s="131"/>
    </row>
    <row r="46" spans="2:9" x14ac:dyDescent="0.35">
      <c r="C46" s="131"/>
      <c r="D46" s="131"/>
      <c r="E46" s="131"/>
      <c r="F46" s="131"/>
      <c r="G46" s="131"/>
      <c r="H46" s="131"/>
      <c r="I46" s="131"/>
    </row>
    <row r="49" spans="2:17" ht="21.5" x14ac:dyDescent="0.45">
      <c r="B49" s="275"/>
      <c r="C49" s="275"/>
      <c r="D49" s="275"/>
      <c r="E49" s="275"/>
      <c r="F49" s="275"/>
      <c r="G49" s="275"/>
      <c r="H49" s="275"/>
      <c r="I49" s="275"/>
      <c r="J49" s="275"/>
      <c r="K49" s="275"/>
      <c r="L49" s="275"/>
      <c r="M49" s="275"/>
      <c r="N49" s="275"/>
      <c r="O49" s="275"/>
      <c r="P49" s="275"/>
      <c r="Q49" s="275"/>
    </row>
  </sheetData>
  <sheetProtection algorithmName="SHA-512" hashValue="/0DUZKun6wEvHGTT3rPljch4S5tOTIS3ZLVINPFlYqaLETAVMhpXy+tlpR3/4tpkmgH6/ZOpflJ47xaw5hRnGA==" saltValue="4rm0dsPV8di+KSNmz2aGog==" spinCount="100000" sheet="1" objects="1" scenarios="1"/>
  <mergeCells count="2">
    <mergeCell ref="B44:I44"/>
    <mergeCell ref="B4:I4"/>
  </mergeCells>
  <pageMargins left="0.7" right="0.7" top="0.75" bottom="0.75" header="0.3" footer="0.3"/>
  <pageSetup paperSize="9" scale="43"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tabColor rgb="FF92D050"/>
    <pageSetUpPr fitToPage="1"/>
  </sheetPr>
  <dimension ref="B3:Q49"/>
  <sheetViews>
    <sheetView showGridLines="0" zoomScale="70" zoomScaleNormal="70" workbookViewId="0">
      <pane xSplit="2" ySplit="5" topLeftCell="I6" activePane="bottomRight" state="frozen"/>
      <selection activeCell="A4" sqref="A4:XFD4"/>
      <selection pane="topRight" activeCell="A4" sqref="A4:XFD4"/>
      <selection pane="bottomLeft" activeCell="A4" sqref="A4:XFD4"/>
      <selection pane="bottomRight" activeCell="F15" sqref="B3:L34"/>
    </sheetView>
  </sheetViews>
  <sheetFormatPr defaultColWidth="9.453125" defaultRowHeight="15.5" x14ac:dyDescent="0.35"/>
  <cols>
    <col min="1" max="1" width="14.453125" style="76" customWidth="1"/>
    <col min="2" max="2" width="50" style="76" customWidth="1"/>
    <col min="3" max="3" width="19.6328125" style="76" bestFit="1" customWidth="1"/>
    <col min="4" max="4" width="15.54296875" style="76" customWidth="1"/>
    <col min="5" max="12" width="25.453125" style="76" customWidth="1"/>
    <col min="13" max="13" width="17.453125" style="76" bestFit="1" customWidth="1"/>
    <col min="14" max="14" width="13.54296875" style="76" bestFit="1" customWidth="1"/>
    <col min="15" max="113" width="9.453125" style="76" customWidth="1"/>
    <col min="114" max="16384" width="9.453125" style="76"/>
  </cols>
  <sheetData>
    <row r="3" spans="2:12" s="275" customFormat="1" ht="22" x14ac:dyDescent="0.5">
      <c r="B3" s="328" t="str">
        <f>_xlfn.CONCAT('Table of Contents'!B19,": ",'Table of Contents'!C19)</f>
        <v>APPENDIX 7: SUMMARY OF LONG TERM INSURANCE BUSINESS GROSS PREMIUM INCOME FOR THE PERIOD ENDED 31.03.2026</v>
      </c>
      <c r="C3" s="298"/>
      <c r="D3" s="298"/>
      <c r="E3" s="298"/>
      <c r="F3" s="298"/>
      <c r="G3" s="298"/>
      <c r="H3" s="298"/>
      <c r="I3" s="298"/>
      <c r="J3" s="298"/>
      <c r="K3" s="298"/>
      <c r="L3" s="299"/>
    </row>
    <row r="4" spans="2:12" s="138" customFormat="1" ht="31" x14ac:dyDescent="0.35">
      <c r="B4" s="142" t="s">
        <v>87</v>
      </c>
      <c r="C4" s="66" t="s">
        <v>191</v>
      </c>
      <c r="D4" s="66" t="s">
        <v>192</v>
      </c>
      <c r="E4" s="66" t="s">
        <v>193</v>
      </c>
      <c r="F4" s="66" t="s">
        <v>194</v>
      </c>
      <c r="G4" s="66" t="s">
        <v>195</v>
      </c>
      <c r="H4" s="66" t="s">
        <v>196</v>
      </c>
      <c r="I4" s="66" t="s">
        <v>197</v>
      </c>
      <c r="J4" s="66" t="s">
        <v>187</v>
      </c>
      <c r="K4" s="66" t="s">
        <v>180</v>
      </c>
      <c r="L4" s="66" t="s">
        <v>198</v>
      </c>
    </row>
    <row r="5" spans="2:12" x14ac:dyDescent="0.35">
      <c r="B5" s="300" t="s">
        <v>106</v>
      </c>
      <c r="C5" s="301"/>
      <c r="D5" s="301"/>
      <c r="E5" s="301"/>
      <c r="F5" s="301"/>
      <c r="G5" s="301"/>
      <c r="H5" s="301"/>
      <c r="I5" s="301"/>
      <c r="J5" s="301"/>
      <c r="K5" s="301"/>
      <c r="L5" s="302"/>
    </row>
    <row r="6" spans="2:12" ht="18" customHeight="1" x14ac:dyDescent="0.35">
      <c r="B6" s="67" t="str">
        <f>'APPENDIX 9'!B6</f>
        <v>ABSA LIFE ASSURANCE</v>
      </c>
      <c r="C6" s="123">
        <f>'APPENDIX 9'!D6</f>
        <v>1718647.9450000001</v>
      </c>
      <c r="D6" s="123">
        <f>'APPENDIX 10'!D6</f>
        <v>0</v>
      </c>
      <c r="E6" s="123">
        <f>'APPENDIX 15'!D6</f>
        <v>0</v>
      </c>
      <c r="F6" s="123">
        <f>'APPENDIX 16'!D6</f>
        <v>0</v>
      </c>
      <c r="G6" s="123">
        <f>'APPENDIX 11'!D6</f>
        <v>1658362.87</v>
      </c>
      <c r="H6" s="123">
        <f>'APPENDIX 12'!D6</f>
        <v>425074.02188000007</v>
      </c>
      <c r="I6" s="123">
        <f>'APPENDIX 14'!D6</f>
        <v>0</v>
      </c>
      <c r="J6" s="123">
        <f>'APPENDIX 13'!D6</f>
        <v>0</v>
      </c>
      <c r="K6" s="133">
        <f t="shared" ref="K6:K27" si="0">SUM(C6:J6)</f>
        <v>3802084.8368800003</v>
      </c>
      <c r="L6" s="134">
        <f t="shared" ref="L6:L27" si="1">IFERROR(K6/$K$28,0)*100</f>
        <v>5.217977848466357</v>
      </c>
    </row>
    <row r="7" spans="2:12" ht="18" customHeight="1" x14ac:dyDescent="0.35">
      <c r="B7" s="67" t="str">
        <f>'APPENDIX 9'!B7</f>
        <v xml:space="preserve">APA LIFE ASSURANCE COMPANY </v>
      </c>
      <c r="C7" s="123">
        <f>'APPENDIX 9'!D7</f>
        <v>445344.22934999951</v>
      </c>
      <c r="D7" s="123">
        <f>'APPENDIX 10'!D7</f>
        <v>5112.1580000000004</v>
      </c>
      <c r="E7" s="123">
        <f>'APPENDIX 15'!D7</f>
        <v>50242.991000000002</v>
      </c>
      <c r="F7" s="123">
        <f>'APPENDIX 16'!D7</f>
        <v>493888.598</v>
      </c>
      <c r="G7" s="123">
        <f>'APPENDIX 11'!D7</f>
        <v>618127.89399999997</v>
      </c>
      <c r="H7" s="123">
        <f>'APPENDIX 12'!D7</f>
        <v>371018.22899999999</v>
      </c>
      <c r="I7" s="123">
        <f>'APPENDIX 14'!D7</f>
        <v>0</v>
      </c>
      <c r="J7" s="123">
        <f>'APPENDIX 13'!D7</f>
        <v>3619278.6490000002</v>
      </c>
      <c r="K7" s="133">
        <f t="shared" si="0"/>
        <v>5603012.74835</v>
      </c>
      <c r="L7" s="134">
        <f t="shared" si="1"/>
        <v>7.6895697123782112</v>
      </c>
    </row>
    <row r="8" spans="2:12" ht="18" customHeight="1" x14ac:dyDescent="0.35">
      <c r="B8" s="67" t="str">
        <f>'APPENDIX 9'!B8</f>
        <v>BRITAM LIFE ASSURANCE</v>
      </c>
      <c r="C8" s="123">
        <f>'APPENDIX 9'!D8</f>
        <v>2950229.4851367571</v>
      </c>
      <c r="D8" s="123">
        <f>'APPENDIX 10'!D8</f>
        <v>2387797.2485099989</v>
      </c>
      <c r="E8" s="123">
        <f>'APPENDIX 15'!D8</f>
        <v>1289835.5740799999</v>
      </c>
      <c r="F8" s="123">
        <f>'APPENDIX 16'!D8</f>
        <v>2941220.4508099998</v>
      </c>
      <c r="G8" s="123">
        <f>'APPENDIX 11'!D8</f>
        <v>342902.06965000002</v>
      </c>
      <c r="H8" s="123">
        <f>'APPENDIX 12'!D8</f>
        <v>208986.61483000001</v>
      </c>
      <c r="I8" s="123">
        <f>'APPENDIX 14'!D8</f>
        <v>0</v>
      </c>
      <c r="J8" s="123">
        <f>'APPENDIX 13'!D8</f>
        <v>4527608.8438900057</v>
      </c>
      <c r="K8" s="133">
        <f t="shared" si="0"/>
        <v>14648580.286906762</v>
      </c>
      <c r="L8" s="134">
        <f t="shared" si="1"/>
        <v>20.103698556943293</v>
      </c>
    </row>
    <row r="9" spans="2:12" ht="18" customHeight="1" x14ac:dyDescent="0.35">
      <c r="B9" s="67" t="str">
        <f>'APPENDIX 9'!B9</f>
        <v>CANNON LIFE ASSURANCE (K) LIMITED</v>
      </c>
      <c r="C9" s="123">
        <f>'APPENDIX 9'!D9</f>
        <v>0</v>
      </c>
      <c r="D9" s="123">
        <f>'APPENDIX 10'!D9</f>
        <v>0</v>
      </c>
      <c r="E9" s="123">
        <f>'APPENDIX 15'!D9</f>
        <v>0</v>
      </c>
      <c r="F9" s="123">
        <f>'APPENDIX 16'!D9</f>
        <v>0</v>
      </c>
      <c r="G9" s="123">
        <f>'APPENDIX 11'!D9</f>
        <v>170519.50566222871</v>
      </c>
      <c r="H9" s="123">
        <f>'APPENDIX 12'!D9</f>
        <v>647.25329817993656</v>
      </c>
      <c r="I9" s="123">
        <f>'APPENDIX 14'!D9</f>
        <v>0</v>
      </c>
      <c r="J9" s="123">
        <f>'APPENDIX 13'!D9</f>
        <v>5811.6588000000002</v>
      </c>
      <c r="K9" s="133">
        <f t="shared" si="0"/>
        <v>176978.41776040866</v>
      </c>
      <c r="L9" s="134">
        <f t="shared" si="1"/>
        <v>0.24288502312542781</v>
      </c>
    </row>
    <row r="10" spans="2:12" ht="18" customHeight="1" x14ac:dyDescent="0.35">
      <c r="B10" s="67" t="str">
        <f>'APPENDIX 9'!B10</f>
        <v>CAPEX LIFE ASSURANCE COMPANY</v>
      </c>
      <c r="C10" s="123">
        <f>'APPENDIX 9'!D10</f>
        <v>1211.99</v>
      </c>
      <c r="D10" s="123">
        <f>'APPENDIX 10'!D10</f>
        <v>238776.356</v>
      </c>
      <c r="E10" s="123">
        <f>'APPENDIX 15'!D10</f>
        <v>0</v>
      </c>
      <c r="F10" s="123">
        <f>'APPENDIX 16'!D10</f>
        <v>7382.0123400000002</v>
      </c>
      <c r="G10" s="123">
        <f>'APPENDIX 11'!D10</f>
        <v>455455.78700000001</v>
      </c>
      <c r="H10" s="123">
        <f>'APPENDIX 12'!D10</f>
        <v>19683.293000000001</v>
      </c>
      <c r="I10" s="123">
        <f>'APPENDIX 14'!D10</f>
        <v>0</v>
      </c>
      <c r="J10" s="123">
        <f>'APPENDIX 13'!D10</f>
        <v>0</v>
      </c>
      <c r="K10" s="133">
        <f t="shared" si="0"/>
        <v>722509.43833999999</v>
      </c>
      <c r="L10" s="134">
        <f t="shared" si="1"/>
        <v>0.99157131056015335</v>
      </c>
    </row>
    <row r="11" spans="2:12" ht="18" customHeight="1" x14ac:dyDescent="0.35">
      <c r="B11" s="67" t="str">
        <f>'APPENDIX 9'!B11</f>
        <v>CIC LIFE ASSURANCE COMPANY</v>
      </c>
      <c r="C11" s="123">
        <f>'APPENDIX 9'!D11</f>
        <v>359188.67547000002</v>
      </c>
      <c r="D11" s="123">
        <f>'APPENDIX 10'!D11</f>
        <v>883273.8541900001</v>
      </c>
      <c r="E11" s="123">
        <f>'APPENDIX 15'!D11</f>
        <v>0</v>
      </c>
      <c r="F11" s="123">
        <f>'APPENDIX 16'!D11</f>
        <v>933321.99213000003</v>
      </c>
      <c r="G11" s="123">
        <f>'APPENDIX 11'!D11</f>
        <v>439602.89500000002</v>
      </c>
      <c r="H11" s="123">
        <f>'APPENDIX 12'!D11</f>
        <v>2406625.787</v>
      </c>
      <c r="I11" s="123">
        <f>'APPENDIX 14'!D11</f>
        <v>0</v>
      </c>
      <c r="J11" s="123">
        <f>'APPENDIX 13'!D11</f>
        <v>0</v>
      </c>
      <c r="K11" s="133">
        <f t="shared" si="0"/>
        <v>5022013.2037899997</v>
      </c>
      <c r="L11" s="134">
        <f t="shared" si="1"/>
        <v>6.89220645417935</v>
      </c>
    </row>
    <row r="12" spans="2:12" ht="18" customHeight="1" x14ac:dyDescent="0.35">
      <c r="B12" s="67" t="str">
        <f>'APPENDIX 9'!B12</f>
        <v xml:space="preserve">EQUITY LIFE ASSURANCE </v>
      </c>
      <c r="C12" s="123">
        <f>'APPENDIX 9'!D12</f>
        <v>20.532</v>
      </c>
      <c r="D12" s="123">
        <f>'APPENDIX 10'!D12</f>
        <v>0</v>
      </c>
      <c r="E12" s="123">
        <f>'APPENDIX 15'!D12</f>
        <v>157458.397</v>
      </c>
      <c r="F12" s="123">
        <f>'APPENDIX 16'!D12</f>
        <v>571586.929</v>
      </c>
      <c r="G12" s="123">
        <f>'APPENDIX 11'!D12</f>
        <v>802065.89</v>
      </c>
      <c r="H12" s="123">
        <f>'APPENDIX 12'!D12</f>
        <v>299580.37400000001</v>
      </c>
      <c r="I12" s="123">
        <f>'APPENDIX 14'!D12</f>
        <v>0</v>
      </c>
      <c r="J12" s="123">
        <f>'APPENDIX 13'!D12</f>
        <v>137370.67000000001</v>
      </c>
      <c r="K12" s="133">
        <f t="shared" si="0"/>
        <v>1968082.7920000001</v>
      </c>
      <c r="L12" s="134">
        <f t="shared" si="1"/>
        <v>2.7009950732795653</v>
      </c>
    </row>
    <row r="13" spans="2:12" ht="18" customHeight="1" x14ac:dyDescent="0.35">
      <c r="B13" s="67" t="str">
        <f>'APPENDIX 9'!B13</f>
        <v xml:space="preserve">GA LIFE ASSURANCE COMPANY </v>
      </c>
      <c r="C13" s="123">
        <f>'APPENDIX 9'!D13</f>
        <v>254366.30600000001</v>
      </c>
      <c r="D13" s="123">
        <f>'APPENDIX 10'!D13</f>
        <v>0</v>
      </c>
      <c r="E13" s="123">
        <f>'APPENDIX 15'!D13</f>
        <v>533514.33799999999</v>
      </c>
      <c r="F13" s="123">
        <f>'APPENDIX 16'!D13</f>
        <v>1575120.976</v>
      </c>
      <c r="G13" s="123">
        <f>'APPENDIX 11'!D13</f>
        <v>37309.409</v>
      </c>
      <c r="H13" s="123">
        <f>'APPENDIX 12'!D13</f>
        <v>604.01700000000005</v>
      </c>
      <c r="I13" s="123">
        <f>'APPENDIX 14'!D13</f>
        <v>0</v>
      </c>
      <c r="J13" s="123">
        <f>'APPENDIX 13'!D13</f>
        <v>0</v>
      </c>
      <c r="K13" s="133">
        <f t="shared" si="0"/>
        <v>2400915.0460000001</v>
      </c>
      <c r="L13" s="134">
        <f t="shared" si="1"/>
        <v>3.2950136736975146</v>
      </c>
    </row>
    <row r="14" spans="2:12" ht="18" customHeight="1" x14ac:dyDescent="0.35">
      <c r="B14" s="67" t="str">
        <f>'APPENDIX 9'!B14</f>
        <v>GEMINIA LIFE INSURANCE COMPANY</v>
      </c>
      <c r="C14" s="123">
        <f>'APPENDIX 9'!D14</f>
        <v>19902.857623439999</v>
      </c>
      <c r="D14" s="123">
        <f>'APPENDIX 10'!D14</f>
        <v>0</v>
      </c>
      <c r="E14" s="123">
        <f>'APPENDIX 15'!D14</f>
        <v>40881.616379999992</v>
      </c>
      <c r="F14" s="123">
        <f>'APPENDIX 16'!D14</f>
        <v>679008.90344074438</v>
      </c>
      <c r="G14" s="123">
        <f>'APPENDIX 11'!D14</f>
        <v>162677.35764999999</v>
      </c>
      <c r="H14" s="123">
        <f>'APPENDIX 12'!D14</f>
        <v>145002.75172999999</v>
      </c>
      <c r="I14" s="123">
        <f>'APPENDIX 14'!D14</f>
        <v>0</v>
      </c>
      <c r="J14" s="123">
        <f>'APPENDIX 13'!D14</f>
        <v>218435.74312999999</v>
      </c>
      <c r="K14" s="133">
        <f t="shared" si="0"/>
        <v>1265909.2299541845</v>
      </c>
      <c r="L14" s="134">
        <f t="shared" si="1"/>
        <v>1.7373327012583224</v>
      </c>
    </row>
    <row r="15" spans="2:12" ht="18" customHeight="1" x14ac:dyDescent="0.35">
      <c r="B15" s="67" t="str">
        <f>'APPENDIX 9'!B15</f>
        <v xml:space="preserve">ICEA LION LIFE ASSURANCE </v>
      </c>
      <c r="C15" s="123">
        <f>'APPENDIX 9'!D15</f>
        <v>4784466.4060000004</v>
      </c>
      <c r="D15" s="123">
        <f>'APPENDIX 10'!D15</f>
        <v>954829.79500000004</v>
      </c>
      <c r="E15" s="123">
        <f>'APPENDIX 15'!D15</f>
        <v>2222063.4909999999</v>
      </c>
      <c r="F15" s="123">
        <f>'APPENDIX 16'!D15</f>
        <v>3091787.4049999998</v>
      </c>
      <c r="G15" s="123">
        <f>'APPENDIX 11'!D15</f>
        <v>344659.45500000002</v>
      </c>
      <c r="H15" s="123">
        <f>'APPENDIX 12'!D15</f>
        <v>52408.216999999997</v>
      </c>
      <c r="I15" s="123">
        <f>'APPENDIX 14'!D15</f>
        <v>0</v>
      </c>
      <c r="J15" s="123">
        <f>'APPENDIX 13'!D15</f>
        <v>1022.42</v>
      </c>
      <c r="K15" s="133">
        <f t="shared" si="0"/>
        <v>11451237.188999999</v>
      </c>
      <c r="L15" s="134">
        <f t="shared" si="1"/>
        <v>15.715667733171632</v>
      </c>
    </row>
    <row r="16" spans="2:12" ht="18" customHeight="1" x14ac:dyDescent="0.35">
      <c r="B16" s="67" t="str">
        <f>'APPENDIX 9'!B16</f>
        <v>JUBILEE LIFE INSURANCE</v>
      </c>
      <c r="C16" s="123">
        <f>'APPENDIX 9'!D16</f>
        <v>1206031.60904</v>
      </c>
      <c r="D16" s="123">
        <f>'APPENDIX 10'!D16</f>
        <v>534487.42698999983</v>
      </c>
      <c r="E16" s="123">
        <f>'APPENDIX 15'!D16</f>
        <v>717634.84446299984</v>
      </c>
      <c r="F16" s="123">
        <f>'APPENDIX 16'!D16</f>
        <v>4317417.0045699999</v>
      </c>
      <c r="G16" s="123">
        <f>'APPENDIX 11'!D16</f>
        <v>521039.22343000001</v>
      </c>
      <c r="H16" s="123">
        <f>'APPENDIX 12'!D16</f>
        <v>30943.157859999999</v>
      </c>
      <c r="I16" s="123">
        <f>'APPENDIX 14'!D16</f>
        <v>0</v>
      </c>
      <c r="J16" s="123">
        <f>'APPENDIX 13'!D16</f>
        <v>1042386.9282</v>
      </c>
      <c r="K16" s="133">
        <f t="shared" si="0"/>
        <v>8369940.1945529999</v>
      </c>
      <c r="L16" s="134">
        <f t="shared" si="1"/>
        <v>11.486898478573892</v>
      </c>
    </row>
    <row r="17" spans="2:12" ht="18" customHeight="1" x14ac:dyDescent="0.35">
      <c r="B17" s="67" t="str">
        <f>'APPENDIX 9'!B17</f>
        <v>KENINDIA ASSURANCE COMPANY</v>
      </c>
      <c r="C17" s="123">
        <f>'APPENDIX 9'!D17</f>
        <v>201199.68645000001</v>
      </c>
      <c r="D17" s="123">
        <f>'APPENDIX 10'!D17</f>
        <v>153279.182</v>
      </c>
      <c r="E17" s="123">
        <f>'APPENDIX 15'!D17</f>
        <v>14565.909</v>
      </c>
      <c r="F17" s="123">
        <f>'APPENDIX 16'!D17</f>
        <v>3659648.7850000001</v>
      </c>
      <c r="G17" s="123">
        <f>'APPENDIX 11'!D17</f>
        <v>5263.3530000000001</v>
      </c>
      <c r="H17" s="123">
        <f>'APPENDIX 12'!D17</f>
        <v>4379.6270000000004</v>
      </c>
      <c r="I17" s="123">
        <f>'APPENDIX 14'!D17</f>
        <v>0</v>
      </c>
      <c r="J17" s="123">
        <f>'APPENDIX 13'!D17</f>
        <v>356442.07199999999</v>
      </c>
      <c r="K17" s="133">
        <f t="shared" si="0"/>
        <v>4394778.6144500002</v>
      </c>
      <c r="L17" s="134">
        <f t="shared" si="1"/>
        <v>6.0313902616470036</v>
      </c>
    </row>
    <row r="18" spans="2:12" ht="18" customHeight="1" x14ac:dyDescent="0.35">
      <c r="B18" s="67" t="str">
        <f>'APPENDIX 9'!B18</f>
        <v>KENYA ORIENT LIFE ASSURANCE</v>
      </c>
      <c r="C18" s="123">
        <f>'APPENDIX 9'!D18</f>
        <v>16617.76958</v>
      </c>
      <c r="D18" s="123">
        <f>'APPENDIX 10'!D18</f>
        <v>95951.990999999995</v>
      </c>
      <c r="E18" s="123">
        <f>'APPENDIX 15'!D18</f>
        <v>15897.8552</v>
      </c>
      <c r="F18" s="123">
        <f>'APPENDIX 16'!D18</f>
        <v>61187.894749999999</v>
      </c>
      <c r="G18" s="123">
        <f>'APPENDIX 11'!D18</f>
        <v>41760.788</v>
      </c>
      <c r="H18" s="123">
        <f>'APPENDIX 12'!D18</f>
        <v>120213.57109</v>
      </c>
      <c r="I18" s="123">
        <f>'APPENDIX 14'!D18</f>
        <v>0</v>
      </c>
      <c r="J18" s="123">
        <f>'APPENDIX 13'!D18</f>
        <v>0</v>
      </c>
      <c r="K18" s="133">
        <f t="shared" si="0"/>
        <v>351629.86962000001</v>
      </c>
      <c r="L18" s="134">
        <f t="shared" si="1"/>
        <v>0.48257652031823461</v>
      </c>
    </row>
    <row r="19" spans="2:12" ht="18" customHeight="1" x14ac:dyDescent="0.35">
      <c r="B19" s="67" t="str">
        <f>'APPENDIX 9'!B19</f>
        <v>LIBERTY LIFE ASSURANCE COMPANY</v>
      </c>
      <c r="C19" s="123">
        <f>'APPENDIX 9'!D19</f>
        <v>430979.71100000001</v>
      </c>
      <c r="D19" s="123">
        <f>'APPENDIX 10'!D19</f>
        <v>0</v>
      </c>
      <c r="E19" s="123">
        <f>'APPENDIX 15'!D19</f>
        <v>360247.97786999989</v>
      </c>
      <c r="F19" s="123">
        <f>'APPENDIX 16'!D19</f>
        <v>295791.69906999997</v>
      </c>
      <c r="G19" s="123">
        <f>'APPENDIX 11'!D19</f>
        <v>660538.66863999993</v>
      </c>
      <c r="H19" s="123">
        <f>'APPENDIX 12'!D19</f>
        <v>253903.40911000001</v>
      </c>
      <c r="I19" s="123">
        <f>'APPENDIX 14'!D19</f>
        <v>0</v>
      </c>
      <c r="J19" s="123">
        <f>'APPENDIX 13'!D19</f>
        <v>281277.04829999543</v>
      </c>
      <c r="K19" s="133">
        <f t="shared" si="0"/>
        <v>2282738.5139899948</v>
      </c>
      <c r="L19" s="134">
        <f t="shared" si="1"/>
        <v>3.1328283062760969</v>
      </c>
    </row>
    <row r="20" spans="2:12" ht="18" customHeight="1" x14ac:dyDescent="0.35">
      <c r="B20" s="67" t="str">
        <f>'APPENDIX 9'!B20</f>
        <v>MADISON INSURANCE COMPANY</v>
      </c>
      <c r="C20" s="123">
        <f>'APPENDIX 9'!D20</f>
        <v>321756.14794101479</v>
      </c>
      <c r="D20" s="123">
        <f>'APPENDIX 10'!D20</f>
        <v>0</v>
      </c>
      <c r="E20" s="123">
        <f>'APPENDIX 15'!D20</f>
        <v>49821.899949999977</v>
      </c>
      <c r="F20" s="123">
        <f>'APPENDIX 16'!D20</f>
        <v>165756.56681999989</v>
      </c>
      <c r="G20" s="123">
        <f>'APPENDIX 11'!D20</f>
        <v>323597.90179686202</v>
      </c>
      <c r="H20" s="123">
        <f>'APPENDIX 12'!D20</f>
        <v>254645.31575737291</v>
      </c>
      <c r="I20" s="123">
        <f>'APPENDIX 14'!D20</f>
        <v>0</v>
      </c>
      <c r="J20" s="123">
        <f>'APPENDIX 13'!D20</f>
        <v>393251.30780898512</v>
      </c>
      <c r="K20" s="133">
        <f t="shared" si="0"/>
        <v>1508829.1400742349</v>
      </c>
      <c r="L20" s="134">
        <f t="shared" si="1"/>
        <v>2.0707157698481375</v>
      </c>
    </row>
    <row r="21" spans="2:12" ht="18" customHeight="1" x14ac:dyDescent="0.35">
      <c r="B21" s="67" t="str">
        <f>'APPENDIX 9'!B21</f>
        <v>OLD MUTUAL LIFE ASSURANCE KENYA</v>
      </c>
      <c r="C21" s="123">
        <f>'APPENDIX 9'!D21</f>
        <v>39685.817569999999</v>
      </c>
      <c r="D21" s="123">
        <f>'APPENDIX 10'!D21</f>
        <v>0</v>
      </c>
      <c r="E21" s="123">
        <f>'APPENDIX 15'!D21</f>
        <v>0</v>
      </c>
      <c r="F21" s="123">
        <f>'APPENDIX 16'!D21</f>
        <v>301785.63479999988</v>
      </c>
      <c r="G21" s="123">
        <f>'APPENDIX 11'!D21</f>
        <v>1358866.48709</v>
      </c>
      <c r="H21" s="123">
        <f>'APPENDIX 12'!D21</f>
        <v>0</v>
      </c>
      <c r="I21" s="123">
        <f>'APPENDIX 14'!D21</f>
        <v>0</v>
      </c>
      <c r="J21" s="123">
        <f>'APPENDIX 13'!D21</f>
        <v>437229.43271999998</v>
      </c>
      <c r="K21" s="133">
        <f t="shared" si="0"/>
        <v>2137567.3721799999</v>
      </c>
      <c r="L21" s="134">
        <f t="shared" si="1"/>
        <v>2.9335955603748438</v>
      </c>
    </row>
    <row r="22" spans="2:12" ht="18" customHeight="1" x14ac:dyDescent="0.35">
      <c r="B22" s="67" t="str">
        <f>'APPENDIX 9'!B22</f>
        <v xml:space="preserve">PIONEER ASSURANCE COMPANY </v>
      </c>
      <c r="C22" s="123">
        <f>'APPENDIX 9'!D22</f>
        <v>335033.03000000003</v>
      </c>
      <c r="D22" s="123">
        <f>'APPENDIX 10'!D22</f>
        <v>64271.981</v>
      </c>
      <c r="E22" s="123">
        <f>'APPENDIX 15'!D22</f>
        <v>40698.744700000003</v>
      </c>
      <c r="F22" s="123">
        <f>'APPENDIX 16'!D22</f>
        <v>2324016.9896200011</v>
      </c>
      <c r="G22" s="123">
        <f>'APPENDIX 11'!D22</f>
        <v>251246.65700000001</v>
      </c>
      <c r="H22" s="123">
        <f>'APPENDIX 12'!D22</f>
        <v>204544.052</v>
      </c>
      <c r="I22" s="123">
        <f>'APPENDIX 14'!D22</f>
        <v>0</v>
      </c>
      <c r="J22" s="123">
        <f>'APPENDIX 13'!D22</f>
        <v>114538.41549</v>
      </c>
      <c r="K22" s="133">
        <f t="shared" si="0"/>
        <v>3334349.8698100015</v>
      </c>
      <c r="L22" s="134">
        <f t="shared" si="1"/>
        <v>4.5760587956744727</v>
      </c>
    </row>
    <row r="23" spans="2:12" ht="18" customHeight="1" x14ac:dyDescent="0.35">
      <c r="B23" s="67" t="str">
        <f>'APPENDIX 9'!B23</f>
        <v>PRUDENTIAL LIFE ASSURANCE</v>
      </c>
      <c r="C23" s="123">
        <f>'APPENDIX 9'!D23</f>
        <v>352851.67200000002</v>
      </c>
      <c r="D23" s="123">
        <f>'APPENDIX 10'!D23</f>
        <v>0</v>
      </c>
      <c r="E23" s="123">
        <f>'APPENDIX 15'!D23</f>
        <v>184995.451</v>
      </c>
      <c r="F23" s="123">
        <f>'APPENDIX 16'!D23</f>
        <v>206540.14595000001</v>
      </c>
      <c r="G23" s="123">
        <f>'APPENDIX 11'!D23</f>
        <v>173543.51699999999</v>
      </c>
      <c r="H23" s="123">
        <f>'APPENDIX 12'!D23</f>
        <v>41461.822999999997</v>
      </c>
      <c r="I23" s="123">
        <f>'APPENDIX 14'!D23</f>
        <v>0</v>
      </c>
      <c r="J23" s="123">
        <f>'APPENDIX 13'!D23</f>
        <v>0</v>
      </c>
      <c r="K23" s="133">
        <f t="shared" si="0"/>
        <v>959392.60895000002</v>
      </c>
      <c r="L23" s="134">
        <f t="shared" si="1"/>
        <v>1.3166695632156</v>
      </c>
    </row>
    <row r="24" spans="2:12" ht="18" customHeight="1" x14ac:dyDescent="0.35">
      <c r="B24" s="67" t="str">
        <f>'APPENDIX 9'!B24</f>
        <v>SANLAM LIFE ASSURANCE</v>
      </c>
      <c r="C24" s="123">
        <f>'APPENDIX 9'!D24</f>
        <v>916046.745</v>
      </c>
      <c r="D24" s="123">
        <f>'APPENDIX 10'!D24</f>
        <v>13899.28052</v>
      </c>
      <c r="E24" s="123">
        <f>'APPENDIX 15'!D24</f>
        <v>827812.08409699996</v>
      </c>
      <c r="F24" s="123">
        <f>'APPENDIX 16'!D24</f>
        <v>50750.689952999928</v>
      </c>
      <c r="G24" s="123">
        <f>'APPENDIX 11'!D24</f>
        <v>309632.61061589548</v>
      </c>
      <c r="H24" s="123">
        <f>'APPENDIX 12'!D24</f>
        <v>279973.32766893471</v>
      </c>
      <c r="I24" s="123">
        <f>'APPENDIX 14'!D24</f>
        <v>0</v>
      </c>
      <c r="J24" s="123">
        <f>'APPENDIX 13'!D24</f>
        <v>23625.190999999999</v>
      </c>
      <c r="K24" s="133">
        <f t="shared" si="0"/>
        <v>2421739.9288548301</v>
      </c>
      <c r="L24" s="134">
        <f t="shared" si="1"/>
        <v>3.32359372440532</v>
      </c>
    </row>
    <row r="25" spans="2:12" ht="18" customHeight="1" x14ac:dyDescent="0.35">
      <c r="B25" s="67" t="str">
        <f>'APPENDIX 9'!B25</f>
        <v>STAR DISCOVER LIFE INSURANCE</v>
      </c>
      <c r="C25" s="123">
        <f>'APPENDIX 9'!D25</f>
        <v>0</v>
      </c>
      <c r="D25" s="123">
        <f>'APPENDIX 10'!D25</f>
        <v>0</v>
      </c>
      <c r="E25" s="123">
        <f>'APPENDIX 15'!D25</f>
        <v>0</v>
      </c>
      <c r="F25" s="123">
        <f>'APPENDIX 16'!D25</f>
        <v>0</v>
      </c>
      <c r="G25" s="123">
        <f>'APPENDIX 11'!D25</f>
        <v>42811.841070000002</v>
      </c>
      <c r="H25" s="123">
        <f>'APPENDIX 12'!D25</f>
        <v>0</v>
      </c>
      <c r="I25" s="123">
        <f>'APPENDIX 14'!D25</f>
        <v>0</v>
      </c>
      <c r="J25" s="123">
        <f>'APPENDIX 13'!D25</f>
        <v>0</v>
      </c>
      <c r="K25" s="133">
        <f t="shared" si="0"/>
        <v>42811.841070000002</v>
      </c>
      <c r="L25" s="134">
        <f t="shared" si="1"/>
        <v>5.8754932606563719E-2</v>
      </c>
    </row>
    <row r="26" spans="2:12" ht="18" customHeight="1" x14ac:dyDescent="0.35">
      <c r="B26" s="67" t="str">
        <f>'APPENDIX 9'!B26</f>
        <v>THE KENYAN ALLIANCE INSURANCE</v>
      </c>
      <c r="C26" s="123">
        <f>'APPENDIX 9'!D26</f>
        <v>0</v>
      </c>
      <c r="D26" s="123">
        <f>'APPENDIX 10'!D26</f>
        <v>0</v>
      </c>
      <c r="E26" s="123">
        <f>'APPENDIX 15'!D26</f>
        <v>0</v>
      </c>
      <c r="F26" s="123">
        <f>'APPENDIX 16'!D26</f>
        <v>0</v>
      </c>
      <c r="G26" s="123">
        <f>'APPENDIX 11'!D26</f>
        <v>0</v>
      </c>
      <c r="H26" s="123">
        <f>'APPENDIX 12'!D26</f>
        <v>0</v>
      </c>
      <c r="I26" s="123">
        <f>'APPENDIX 14'!D26</f>
        <v>0</v>
      </c>
      <c r="J26" s="123">
        <f>'APPENDIX 13'!D26</f>
        <v>0</v>
      </c>
      <c r="K26" s="133">
        <f t="shared" si="0"/>
        <v>0</v>
      </c>
      <c r="L26" s="134">
        <f t="shared" si="1"/>
        <v>0</v>
      </c>
    </row>
    <row r="27" spans="2:12" ht="18" customHeight="1" x14ac:dyDescent="0.35">
      <c r="B27" s="67" t="str">
        <f>'APPENDIX 9'!B27</f>
        <v>THE MONARCH INSURANCE</v>
      </c>
      <c r="C27" s="123">
        <f>'APPENDIX 9'!D27</f>
        <v>0</v>
      </c>
      <c r="D27" s="123">
        <f>'APPENDIX 10'!D27</f>
        <v>0</v>
      </c>
      <c r="E27" s="123">
        <f>'APPENDIX 15'!D27</f>
        <v>0</v>
      </c>
      <c r="F27" s="123">
        <f>'APPENDIX 16'!D27</f>
        <v>0</v>
      </c>
      <c r="G27" s="123">
        <f>'APPENDIX 11'!D27</f>
        <v>0</v>
      </c>
      <c r="H27" s="123">
        <f>'APPENDIX 12'!D27</f>
        <v>0</v>
      </c>
      <c r="I27" s="123">
        <f>'APPENDIX 14'!D27</f>
        <v>0</v>
      </c>
      <c r="J27" s="123">
        <f>'APPENDIX 13'!D27</f>
        <v>0</v>
      </c>
      <c r="K27" s="133">
        <f t="shared" si="0"/>
        <v>0</v>
      </c>
      <c r="L27" s="134">
        <f t="shared" si="1"/>
        <v>0</v>
      </c>
    </row>
    <row r="28" spans="2:12" s="138" customFormat="1" ht="18" customHeight="1" x14ac:dyDescent="0.35">
      <c r="B28" s="135" t="s">
        <v>7</v>
      </c>
      <c r="C28" s="136">
        <f t="shared" ref="C28:L28" si="2">SUM(C6:C27)</f>
        <v>14353580.615161212</v>
      </c>
      <c r="D28" s="136">
        <f t="shared" si="2"/>
        <v>5331679.2732099984</v>
      </c>
      <c r="E28" s="136">
        <f t="shared" si="2"/>
        <v>6505671.1737399995</v>
      </c>
      <c r="F28" s="136">
        <f t="shared" si="2"/>
        <v>21676212.677253742</v>
      </c>
      <c r="G28" s="136">
        <f t="shared" si="2"/>
        <v>8719984.1806049868</v>
      </c>
      <c r="H28" s="136">
        <f t="shared" si="2"/>
        <v>5119694.842224489</v>
      </c>
      <c r="I28" s="136">
        <f t="shared" si="2"/>
        <v>0</v>
      </c>
      <c r="J28" s="136">
        <f t="shared" si="2"/>
        <v>11158278.380338989</v>
      </c>
      <c r="K28" s="136">
        <f t="shared" si="2"/>
        <v>72865101.142533422</v>
      </c>
      <c r="L28" s="137">
        <f t="shared" si="2"/>
        <v>99.999999999999972</v>
      </c>
    </row>
    <row r="29" spans="2:12" s="138" customFormat="1" ht="18" customHeight="1" x14ac:dyDescent="0.35">
      <c r="B29" s="346" t="s">
        <v>142</v>
      </c>
      <c r="C29" s="301"/>
      <c r="D29" s="301"/>
      <c r="E29" s="301"/>
      <c r="F29" s="301"/>
      <c r="G29" s="301"/>
      <c r="H29" s="301"/>
      <c r="I29" s="301"/>
      <c r="J29" s="301"/>
      <c r="K29" s="301"/>
      <c r="L29" s="302"/>
    </row>
    <row r="30" spans="2:12" ht="18" customHeight="1" x14ac:dyDescent="0.35">
      <c r="B30" s="67" t="str">
        <f>'APPENDIX 9'!B30</f>
        <v>CONTINENTAL REINSURANCE</v>
      </c>
      <c r="C30" s="123">
        <f>'APPENDIX 9'!D30</f>
        <v>0</v>
      </c>
      <c r="D30" s="123">
        <f>'APPENDIX 10'!D30</f>
        <v>0</v>
      </c>
      <c r="E30" s="123">
        <f>'APPENDIX 15'!D30</f>
        <v>0</v>
      </c>
      <c r="F30" s="123">
        <f>'APPENDIX 16'!F30</f>
        <v>0</v>
      </c>
      <c r="G30" s="123">
        <f>'APPENDIX 11'!D30</f>
        <v>0</v>
      </c>
      <c r="H30" s="123">
        <f>'APPENDIX 12'!D30</f>
        <v>0</v>
      </c>
      <c r="I30" s="123">
        <f>'APPENDIX 14'!D30</f>
        <v>0</v>
      </c>
      <c r="J30" s="123">
        <f>'APPENDIX 13'!D30</f>
        <v>0</v>
      </c>
      <c r="K30" s="133">
        <f>SUM(C30:J30)</f>
        <v>0</v>
      </c>
      <c r="L30" s="134">
        <f>IFERROR(K30/$K$33,0)*100</f>
        <v>0</v>
      </c>
    </row>
    <row r="31" spans="2:12" ht="18" customHeight="1" x14ac:dyDescent="0.35">
      <c r="B31" s="67" t="str">
        <f>'APPENDIX 9'!B31</f>
        <v xml:space="preserve">EAST AFRICA REINSURANCE </v>
      </c>
      <c r="C31" s="123">
        <f>'APPENDIX 9'!D31</f>
        <v>42625.760999075101</v>
      </c>
      <c r="D31" s="123">
        <f>'APPENDIX 10'!D31</f>
        <v>0</v>
      </c>
      <c r="E31" s="123">
        <f>'APPENDIX 15'!D31</f>
        <v>0</v>
      </c>
      <c r="F31" s="123">
        <f>'APPENDIX 16'!F31</f>
        <v>0</v>
      </c>
      <c r="G31" s="123">
        <f>'APPENDIX 11'!D31</f>
        <v>214106.9942084561</v>
      </c>
      <c r="H31" s="123">
        <f>'APPENDIX 12'!D31</f>
        <v>0</v>
      </c>
      <c r="I31" s="123">
        <f>'APPENDIX 14'!D31</f>
        <v>0</v>
      </c>
      <c r="J31" s="123">
        <f>'APPENDIX 13'!D31</f>
        <v>0</v>
      </c>
      <c r="K31" s="133">
        <f>SUM(C31:J31)</f>
        <v>256732.75520753121</v>
      </c>
      <c r="L31" s="134">
        <f>IFERROR(K31/$K$33,0)*100</f>
        <v>26.669977047263409</v>
      </c>
    </row>
    <row r="32" spans="2:12" ht="18" customHeight="1" x14ac:dyDescent="0.35">
      <c r="B32" s="67" t="str">
        <f>'APPENDIX 9'!B32</f>
        <v>KENYA REINSURANCE CORPORATION</v>
      </c>
      <c r="C32" s="123">
        <f>'APPENDIX 9'!D32</f>
        <v>46959.676979999997</v>
      </c>
      <c r="D32" s="123">
        <f>'APPENDIX 10'!D32</f>
        <v>0</v>
      </c>
      <c r="E32" s="123">
        <f>'APPENDIX 15'!D32</f>
        <v>0</v>
      </c>
      <c r="F32" s="123">
        <f>'APPENDIX 16'!F32</f>
        <v>0</v>
      </c>
      <c r="G32" s="123">
        <f>'APPENDIX 11'!D32</f>
        <v>658935.89986000012</v>
      </c>
      <c r="H32" s="123">
        <f>'APPENDIX 12'!D32</f>
        <v>0</v>
      </c>
      <c r="I32" s="123">
        <f>'APPENDIX 14'!D32</f>
        <v>0</v>
      </c>
      <c r="J32" s="123">
        <f>'APPENDIX 13'!D32</f>
        <v>0</v>
      </c>
      <c r="K32" s="133">
        <f>SUM(C32:J32)</f>
        <v>705895.57684000011</v>
      </c>
      <c r="L32" s="134">
        <f>IFERROR(K32/$K$33,0)*100</f>
        <v>73.330022952736584</v>
      </c>
    </row>
    <row r="33" spans="2:12" s="138" customFormat="1" ht="18" customHeight="1" x14ac:dyDescent="0.35">
      <c r="B33" s="135" t="s">
        <v>7</v>
      </c>
      <c r="C33" s="139">
        <f t="shared" ref="C33:L33" si="3">SUM(C30:C32)</f>
        <v>89585.437979075097</v>
      </c>
      <c r="D33" s="140">
        <f t="shared" si="3"/>
        <v>0</v>
      </c>
      <c r="E33" s="140">
        <f t="shared" si="3"/>
        <v>0</v>
      </c>
      <c r="F33" s="140">
        <f t="shared" si="3"/>
        <v>0</v>
      </c>
      <c r="G33" s="140">
        <f t="shared" si="3"/>
        <v>873042.89406845625</v>
      </c>
      <c r="H33" s="140">
        <f t="shared" si="3"/>
        <v>0</v>
      </c>
      <c r="I33" s="140">
        <f t="shared" si="3"/>
        <v>0</v>
      </c>
      <c r="J33" s="140">
        <f t="shared" si="3"/>
        <v>0</v>
      </c>
      <c r="K33" s="140">
        <f t="shared" si="3"/>
        <v>962628.33204753138</v>
      </c>
      <c r="L33" s="141">
        <f t="shared" si="3"/>
        <v>100</v>
      </c>
    </row>
    <row r="34" spans="2:12" ht="18" customHeight="1" x14ac:dyDescent="0.35">
      <c r="B34" s="345" t="s">
        <v>149</v>
      </c>
      <c r="C34" s="324"/>
      <c r="D34" s="324"/>
      <c r="E34" s="324"/>
      <c r="F34" s="324"/>
      <c r="G34" s="324"/>
      <c r="H34" s="324"/>
      <c r="I34" s="324"/>
      <c r="J34" s="324"/>
      <c r="K34" s="324"/>
      <c r="L34" s="324"/>
    </row>
    <row r="49" spans="2:17" ht="21.5" x14ac:dyDescent="0.45">
      <c r="B49" s="275"/>
      <c r="C49" s="275"/>
      <c r="D49" s="275"/>
      <c r="E49" s="275"/>
      <c r="F49" s="275"/>
      <c r="G49" s="275"/>
      <c r="H49" s="275"/>
      <c r="I49" s="275"/>
      <c r="J49" s="275"/>
      <c r="K49" s="275"/>
      <c r="L49" s="275"/>
      <c r="M49" s="275"/>
      <c r="N49" s="275"/>
      <c r="O49" s="275"/>
      <c r="P49" s="275"/>
      <c r="Q49" s="275"/>
    </row>
  </sheetData>
  <sheetProtection algorithmName="SHA-512" hashValue="ORf53sSR7mBY+CvAUbE7FE2z3EduIaHXvHzYhvHl+nM2zZhGead8Fw2KqEtjQqkpyn4+ZQUOojVCYzj7uR/qkA==" saltValue="SGP+S4MFyh4a4S/t7lCslQ==" spinCount="100000" sheet="1" objects="1" scenarios="1"/>
  <mergeCells count="4">
    <mergeCell ref="B5:L5"/>
    <mergeCell ref="B34:L34"/>
    <mergeCell ref="B29:L29"/>
    <mergeCell ref="B3:L3"/>
  </mergeCells>
  <pageMargins left="0.7" right="0.7" top="0.75" bottom="0.75" header="0.3" footer="0.3"/>
  <pageSetup paperSize="9" scale="45"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rgb="FF92D050"/>
    <pageSetUpPr fitToPage="1"/>
  </sheetPr>
  <dimension ref="A3:S49"/>
  <sheetViews>
    <sheetView showGridLines="0" zoomScale="70" zoomScaleNormal="70" workbookViewId="0">
      <pane xSplit="2" ySplit="5" topLeftCell="I6" activePane="bottomRight" state="frozen"/>
      <selection activeCell="A4" sqref="A4:XFD4"/>
      <selection pane="topRight" activeCell="A4" sqref="A4:XFD4"/>
      <selection pane="bottomLeft" activeCell="A4" sqref="A4:XFD4"/>
      <selection pane="bottomRight" activeCell="I12" sqref="B3:M34"/>
    </sheetView>
  </sheetViews>
  <sheetFormatPr defaultColWidth="9.453125" defaultRowHeight="15.5" x14ac:dyDescent="0.35"/>
  <cols>
    <col min="1" max="1" width="16.54296875" style="76" customWidth="1"/>
    <col min="2" max="2" width="56.54296875" style="76" customWidth="1"/>
    <col min="3" max="11" width="25.453125" style="76" customWidth="1"/>
    <col min="12" max="12" width="11.54296875" style="76" hidden="1" customWidth="1"/>
    <col min="13" max="19" width="9.453125" style="76" hidden="1" customWidth="1"/>
    <col min="20" max="111" width="9.453125" style="76" customWidth="1"/>
    <col min="112" max="16384" width="9.453125" style="76"/>
  </cols>
  <sheetData>
    <row r="3" spans="2:13" s="275" customFormat="1" ht="22" x14ac:dyDescent="0.5">
      <c r="B3" s="328" t="str">
        <f>_xlfn.CONCAT('Table of Contents'!B20,": ",'Table of Contents'!C20)</f>
        <v>APPENDIX 8: SUMMARY OF LONG TERM INSURANCE BUSINESS MARKET SHARE PER CLASS FOR THE PERIOD ENDED 31.03.2026</v>
      </c>
      <c r="C3" s="298"/>
      <c r="D3" s="298"/>
      <c r="E3" s="298"/>
      <c r="F3" s="298"/>
      <c r="G3" s="298"/>
      <c r="H3" s="298"/>
      <c r="I3" s="298"/>
      <c r="J3" s="298"/>
      <c r="K3" s="299"/>
    </row>
    <row r="4" spans="2:13" ht="31" x14ac:dyDescent="0.35">
      <c r="B4" s="142" t="s">
        <v>87</v>
      </c>
      <c r="C4" s="66" t="s">
        <v>191</v>
      </c>
      <c r="D4" s="66" t="s">
        <v>192</v>
      </c>
      <c r="E4" s="66" t="s">
        <v>199</v>
      </c>
      <c r="F4" s="66" t="s">
        <v>194</v>
      </c>
      <c r="G4" s="66" t="s">
        <v>195</v>
      </c>
      <c r="H4" s="66" t="s">
        <v>196</v>
      </c>
      <c r="I4" s="66" t="s">
        <v>197</v>
      </c>
      <c r="J4" s="66" t="s">
        <v>187</v>
      </c>
      <c r="K4" s="66" t="s">
        <v>180</v>
      </c>
    </row>
    <row r="5" spans="2:13" ht="17" customHeight="1" x14ac:dyDescent="0.35">
      <c r="B5" s="300" t="s">
        <v>106</v>
      </c>
      <c r="C5" s="301"/>
      <c r="D5" s="301"/>
      <c r="E5" s="301"/>
      <c r="F5" s="301"/>
      <c r="G5" s="301"/>
      <c r="H5" s="301"/>
      <c r="I5" s="301"/>
      <c r="J5" s="301"/>
      <c r="K5" s="302"/>
    </row>
    <row r="6" spans="2:13" ht="17" customHeight="1" x14ac:dyDescent="0.35">
      <c r="B6" s="75" t="str">
        <f>'APPENDIX 9'!B6</f>
        <v>ABSA LIFE ASSURANCE</v>
      </c>
      <c r="C6" s="143">
        <f>IFERROR(('APPENDIX 7'!C6/'APPENDIX 7'!C$28)*100,0)</f>
        <v>11.973653063157281</v>
      </c>
      <c r="D6" s="143">
        <f>IFERROR(('APPENDIX 7'!D6/'APPENDIX 7'!D$28)*100,0)</f>
        <v>0</v>
      </c>
      <c r="E6" s="143">
        <f>IFERROR(('APPENDIX 7'!E6/'APPENDIX 7'!E$28)*100,0)</f>
        <v>0</v>
      </c>
      <c r="F6" s="143">
        <f>IFERROR(('APPENDIX 7'!F6/'APPENDIX 7'!F$28)*100,0)</f>
        <v>0</v>
      </c>
      <c r="G6" s="143">
        <f>IFERROR(('APPENDIX 7'!G6/'APPENDIX 7'!G$28)*100,0)</f>
        <v>19.017957322543491</v>
      </c>
      <c r="H6" s="143">
        <f>IFERROR(('APPENDIX 7'!H6/'APPENDIX 7'!H$28)*100,0)</f>
        <v>8.3027218414312145</v>
      </c>
      <c r="I6" s="143">
        <f>IFERROR(('APPENDIX 7'!I6/'APPENDIX 7'!I$28)*100,0)</f>
        <v>0</v>
      </c>
      <c r="J6" s="143">
        <f>IFERROR(('APPENDIX 7'!J6/'APPENDIX 7'!J$28)*100,0)</f>
        <v>0</v>
      </c>
      <c r="K6" s="144">
        <f>IFERROR(('APPENDIX 7'!K6/'APPENDIX 7'!K$28)*100,0)</f>
        <v>5.217977848466357</v>
      </c>
      <c r="L6" s="76">
        <f t="shared" ref="L6:L27" si="0">RANK(K6,$K$6:$K$27)</f>
        <v>7</v>
      </c>
      <c r="M6" s="76">
        <f>COUNTIF(K6:K27,"&gt;5")</f>
        <v>7</v>
      </c>
    </row>
    <row r="7" spans="2:13" ht="17" customHeight="1" x14ac:dyDescent="0.35">
      <c r="B7" s="145" t="str">
        <f>'APPENDIX 9'!B7</f>
        <v xml:space="preserve">APA LIFE ASSURANCE COMPANY </v>
      </c>
      <c r="C7" s="143">
        <f>IFERROR(('APPENDIX 7'!C7/'APPENDIX 7'!C$28)*100,0)</f>
        <v>3.1026699280846839</v>
      </c>
      <c r="D7" s="143">
        <f>IFERROR(('APPENDIX 7'!D7/'APPENDIX 7'!D$28)*100,0)</f>
        <v>9.5882699202988017E-2</v>
      </c>
      <c r="E7" s="143">
        <f>IFERROR(('APPENDIX 7'!E7/'APPENDIX 7'!E$28)*100,0)</f>
        <v>0.77229527374215812</v>
      </c>
      <c r="F7" s="143">
        <f>IFERROR(('APPENDIX 7'!F7/'APPENDIX 7'!F$28)*100,0)</f>
        <v>2.2784819717065674</v>
      </c>
      <c r="G7" s="143">
        <f>IFERROR(('APPENDIX 7'!G7/'APPENDIX 7'!G$28)*100,0)</f>
        <v>7.0886354974684682</v>
      </c>
      <c r="H7" s="143">
        <f>IFERROR(('APPENDIX 7'!H7/'APPENDIX 7'!H$28)*100,0)</f>
        <v>7.2468817074807124</v>
      </c>
      <c r="I7" s="143">
        <f>IFERROR(('APPENDIX 7'!I7/'APPENDIX 7'!I$28)*100,0)</f>
        <v>0</v>
      </c>
      <c r="J7" s="143">
        <f>IFERROR(('APPENDIX 7'!J7/'APPENDIX 7'!J$28)*100,0)</f>
        <v>32.435816042887133</v>
      </c>
      <c r="K7" s="144">
        <f>IFERROR(('APPENDIX 7'!K7/'APPENDIX 7'!K$28)*100,0)</f>
        <v>7.6895697123782112</v>
      </c>
      <c r="L7" s="76">
        <f t="shared" si="0"/>
        <v>4</v>
      </c>
    </row>
    <row r="8" spans="2:13" ht="17" customHeight="1" x14ac:dyDescent="0.35">
      <c r="B8" s="145" t="str">
        <f>'APPENDIX 9'!B8</f>
        <v>BRITAM LIFE ASSURANCE</v>
      </c>
      <c r="C8" s="143">
        <f>IFERROR(('APPENDIX 7'!C8/'APPENDIX 7'!C$28)*100,0)</f>
        <v>20.55396185966676</v>
      </c>
      <c r="D8" s="143">
        <f>IFERROR(('APPENDIX 7'!D8/'APPENDIX 7'!D$28)*100,0)</f>
        <v>44.785087889812218</v>
      </c>
      <c r="E8" s="143">
        <f>IFERROR(('APPENDIX 7'!E8/'APPENDIX 7'!E$28)*100,0)</f>
        <v>19.826325979806562</v>
      </c>
      <c r="F8" s="143">
        <f>IFERROR(('APPENDIX 7'!F8/'APPENDIX 7'!F$28)*100,0)</f>
        <v>13.568885370350761</v>
      </c>
      <c r="G8" s="143">
        <f>IFERROR(('APPENDIX 7'!G8/'APPENDIX 7'!G$28)*100,0)</f>
        <v>3.9323703179724085</v>
      </c>
      <c r="H8" s="143">
        <f>IFERROR(('APPENDIX 7'!H8/'APPENDIX 7'!H$28)*100,0)</f>
        <v>4.0820131134846322</v>
      </c>
      <c r="I8" s="143">
        <f>IFERROR(('APPENDIX 7'!I8/'APPENDIX 7'!I$28)*100,0)</f>
        <v>0</v>
      </c>
      <c r="J8" s="143">
        <f>IFERROR(('APPENDIX 7'!J8/'APPENDIX 7'!J$28)*100,0)</f>
        <v>40.57623129270285</v>
      </c>
      <c r="K8" s="144">
        <f>IFERROR(('APPENDIX 7'!K8/'APPENDIX 7'!K$28)*100,0)</f>
        <v>20.103698556943293</v>
      </c>
      <c r="L8" s="76">
        <f t="shared" si="0"/>
        <v>1</v>
      </c>
    </row>
    <row r="9" spans="2:13" ht="17" customHeight="1" x14ac:dyDescent="0.35">
      <c r="B9" s="145" t="str">
        <f>'APPENDIX 9'!B9</f>
        <v>CANNON LIFE ASSURANCE (K) LIMITED</v>
      </c>
      <c r="C9" s="143">
        <f>IFERROR(('APPENDIX 7'!C9/'APPENDIX 7'!C$28)*100,0)</f>
        <v>0</v>
      </c>
      <c r="D9" s="143">
        <f>IFERROR(('APPENDIX 7'!D9/'APPENDIX 7'!D$28)*100,0)</f>
        <v>0</v>
      </c>
      <c r="E9" s="143">
        <f>IFERROR(('APPENDIX 7'!E9/'APPENDIX 7'!E$28)*100,0)</f>
        <v>0</v>
      </c>
      <c r="F9" s="143">
        <f>IFERROR(('APPENDIX 7'!F9/'APPENDIX 7'!F$28)*100,0)</f>
        <v>0</v>
      </c>
      <c r="G9" s="143">
        <f>IFERROR(('APPENDIX 7'!G9/'APPENDIX 7'!G$28)*100,0)</f>
        <v>1.9555024657211955</v>
      </c>
      <c r="H9" s="143">
        <f>IFERROR(('APPENDIX 7'!H9/'APPENDIX 7'!H$28)*100,0)</f>
        <v>1.2642419482539066E-2</v>
      </c>
      <c r="I9" s="143">
        <f>IFERROR(('APPENDIX 7'!I9/'APPENDIX 7'!I$28)*100,0)</f>
        <v>0</v>
      </c>
      <c r="J9" s="143">
        <f>IFERROR(('APPENDIX 7'!J9/'APPENDIX 7'!J$28)*100,0)</f>
        <v>5.2083830514931484E-2</v>
      </c>
      <c r="K9" s="144">
        <f>IFERROR(('APPENDIX 7'!K9/'APPENDIX 7'!K$28)*100,0)</f>
        <v>0.24288502312542781</v>
      </c>
      <c r="L9" s="76">
        <f t="shared" si="0"/>
        <v>19</v>
      </c>
    </row>
    <row r="10" spans="2:13" ht="17" customHeight="1" x14ac:dyDescent="0.35">
      <c r="B10" s="145" t="str">
        <f>'APPENDIX 9'!B10</f>
        <v>CAPEX LIFE ASSURANCE COMPANY</v>
      </c>
      <c r="C10" s="143">
        <f>IFERROR(('APPENDIX 7'!C10/'APPENDIX 7'!C$28)*100,0)</f>
        <v>8.4438164420090073E-3</v>
      </c>
      <c r="D10" s="143">
        <f>IFERROR(('APPENDIX 7'!D10/'APPENDIX 7'!D$28)*100,0)</f>
        <v>4.4784456034288418</v>
      </c>
      <c r="E10" s="143">
        <f>IFERROR(('APPENDIX 7'!E10/'APPENDIX 7'!E$28)*100,0)</f>
        <v>0</v>
      </c>
      <c r="F10" s="143">
        <f>IFERROR(('APPENDIX 7'!F10/'APPENDIX 7'!F$28)*100,0)</f>
        <v>3.4055821696870624E-2</v>
      </c>
      <c r="G10" s="143">
        <f>IFERROR(('APPENDIX 7'!G10/'APPENDIX 7'!G$28)*100,0)</f>
        <v>5.2231262989332716</v>
      </c>
      <c r="H10" s="143">
        <f>IFERROR(('APPENDIX 7'!H10/'APPENDIX 7'!H$28)*100,0)</f>
        <v>0.3844622307888898</v>
      </c>
      <c r="I10" s="143">
        <f>IFERROR(('APPENDIX 7'!I10/'APPENDIX 7'!I$28)*100,0)</f>
        <v>0</v>
      </c>
      <c r="J10" s="143">
        <f>IFERROR(('APPENDIX 7'!J10/'APPENDIX 7'!J$28)*100,0)</f>
        <v>0</v>
      </c>
      <c r="K10" s="144">
        <f>IFERROR(('APPENDIX 7'!K10/'APPENDIX 7'!K$28)*100,0)</f>
        <v>0.99157131056015335</v>
      </c>
      <c r="L10" s="76">
        <f t="shared" si="0"/>
        <v>17</v>
      </c>
    </row>
    <row r="11" spans="2:13" ht="17" customHeight="1" x14ac:dyDescent="0.35">
      <c r="B11" s="145" t="str">
        <f>'APPENDIX 9'!B11</f>
        <v>CIC LIFE ASSURANCE COMPANY</v>
      </c>
      <c r="C11" s="143">
        <f>IFERROR(('APPENDIX 7'!C11/'APPENDIX 7'!C$28)*100,0)</f>
        <v>2.5024325643916394</v>
      </c>
      <c r="D11" s="143">
        <f>IFERROR(('APPENDIX 7'!D11/'APPENDIX 7'!D$28)*100,0)</f>
        <v>16.566522645654473</v>
      </c>
      <c r="E11" s="143">
        <f>IFERROR(('APPENDIX 7'!E11/'APPENDIX 7'!E$28)*100,0)</f>
        <v>0</v>
      </c>
      <c r="F11" s="143">
        <f>IFERROR(('APPENDIX 7'!F11/'APPENDIX 7'!F$28)*100,0)</f>
        <v>4.3057429174857447</v>
      </c>
      <c r="G11" s="143">
        <f>IFERROR(('APPENDIX 7'!G11/'APPENDIX 7'!G$28)*100,0)</f>
        <v>5.0413267489379852</v>
      </c>
      <c r="H11" s="143">
        <f>IFERROR(('APPENDIX 7'!H11/'APPENDIX 7'!H$28)*100,0)</f>
        <v>47.007211585179746</v>
      </c>
      <c r="I11" s="143">
        <f>IFERROR(('APPENDIX 7'!I11/'APPENDIX 7'!I$28)*100,0)</f>
        <v>0</v>
      </c>
      <c r="J11" s="143">
        <f>IFERROR(('APPENDIX 7'!J11/'APPENDIX 7'!J$28)*100,0)</f>
        <v>0</v>
      </c>
      <c r="K11" s="144">
        <f>IFERROR(('APPENDIX 7'!K11/'APPENDIX 7'!K$28)*100,0)</f>
        <v>6.89220645417935</v>
      </c>
      <c r="L11" s="76">
        <f t="shared" si="0"/>
        <v>5</v>
      </c>
    </row>
    <row r="12" spans="2:13" ht="17" customHeight="1" x14ac:dyDescent="0.35">
      <c r="B12" s="75" t="str">
        <f>'APPENDIX 9'!B12</f>
        <v xml:space="preserve">EQUITY LIFE ASSURANCE </v>
      </c>
      <c r="C12" s="143">
        <f>IFERROR(('APPENDIX 7'!C12/'APPENDIX 7'!C$28)*100,0)</f>
        <v>1.4304444689092229E-4</v>
      </c>
      <c r="D12" s="143">
        <f>IFERROR(('APPENDIX 7'!D12/'APPENDIX 7'!D$28)*100,0)</f>
        <v>0</v>
      </c>
      <c r="E12" s="143">
        <f>IFERROR(('APPENDIX 7'!E12/'APPENDIX 7'!E$28)*100,0)</f>
        <v>2.4203251716068497</v>
      </c>
      <c r="F12" s="143">
        <f>IFERROR(('APPENDIX 7'!F12/'APPENDIX 7'!F$28)*100,0)</f>
        <v>2.6369317256229143</v>
      </c>
      <c r="G12" s="143">
        <f>IFERROR(('APPENDIX 7'!G12/'APPENDIX 7'!G$28)*100,0)</f>
        <v>9.198020012283477</v>
      </c>
      <c r="H12" s="143">
        <f>IFERROR(('APPENDIX 7'!H12/'APPENDIX 7'!H$28)*100,0)</f>
        <v>5.8515279373532625</v>
      </c>
      <c r="I12" s="143">
        <f>IFERROR(('APPENDIX 7'!I12/'APPENDIX 7'!I$28)*100,0)</f>
        <v>0</v>
      </c>
      <c r="J12" s="143">
        <f>IFERROR(('APPENDIX 7'!J12/'APPENDIX 7'!J$28)*100,0)</f>
        <v>1.2311099017035521</v>
      </c>
      <c r="K12" s="144">
        <f>IFERROR(('APPENDIX 7'!K12/'APPENDIX 7'!K$28)*100,0)</f>
        <v>2.7009950732795653</v>
      </c>
      <c r="L12" s="76">
        <f t="shared" si="0"/>
        <v>13</v>
      </c>
    </row>
    <row r="13" spans="2:13" ht="17" customHeight="1" x14ac:dyDescent="0.35">
      <c r="B13" s="145" t="str">
        <f>'APPENDIX 9'!B13</f>
        <v xml:space="preserve">GA LIFE ASSURANCE COMPANY </v>
      </c>
      <c r="C13" s="143">
        <f>IFERROR(('APPENDIX 7'!C13/'APPENDIX 7'!C$28)*100,0)</f>
        <v>1.7721453121691551</v>
      </c>
      <c r="D13" s="143">
        <f>IFERROR(('APPENDIX 7'!D13/'APPENDIX 7'!D$28)*100,0)</f>
        <v>0</v>
      </c>
      <c r="E13" s="143">
        <f>IFERROR(('APPENDIX 7'!E13/'APPENDIX 7'!E$28)*100,0)</f>
        <v>8.2007578273171724</v>
      </c>
      <c r="F13" s="143">
        <f>IFERROR(('APPENDIX 7'!F13/'APPENDIX 7'!F$28)*100,0)</f>
        <v>7.2665875697597153</v>
      </c>
      <c r="G13" s="143">
        <f>IFERROR(('APPENDIX 7'!G13/'APPENDIX 7'!G$28)*100,0)</f>
        <v>0.42786097115845334</v>
      </c>
      <c r="H13" s="143">
        <f>IFERROR(('APPENDIX 7'!H13/'APPENDIX 7'!H$28)*100,0)</f>
        <v>1.1797910200006312E-2</v>
      </c>
      <c r="I13" s="143">
        <f>IFERROR(('APPENDIX 7'!I13/'APPENDIX 7'!I$28)*100,0)</f>
        <v>0</v>
      </c>
      <c r="J13" s="143">
        <f>IFERROR(('APPENDIX 7'!J13/'APPENDIX 7'!J$28)*100,0)</f>
        <v>0</v>
      </c>
      <c r="K13" s="144">
        <f>IFERROR(('APPENDIX 7'!K13/'APPENDIX 7'!K$28)*100,0)</f>
        <v>3.2950136736975146</v>
      </c>
      <c r="L13" s="76">
        <f t="shared" si="0"/>
        <v>10</v>
      </c>
    </row>
    <row r="14" spans="2:13" ht="17" customHeight="1" x14ac:dyDescent="0.35">
      <c r="B14" s="145" t="str">
        <f>'APPENDIX 9'!B14</f>
        <v>GEMINIA LIFE INSURANCE COMPANY</v>
      </c>
      <c r="C14" s="143">
        <f>IFERROR(('APPENDIX 7'!C14/'APPENDIX 7'!C$28)*100,0)</f>
        <v>0.13866127314892612</v>
      </c>
      <c r="D14" s="143">
        <f>IFERROR(('APPENDIX 7'!D14/'APPENDIX 7'!D$28)*100,0)</f>
        <v>0</v>
      </c>
      <c r="E14" s="143">
        <f>IFERROR(('APPENDIX 7'!E14/'APPENDIX 7'!E$28)*100,0)</f>
        <v>0.62839967296560806</v>
      </c>
      <c r="F14" s="143">
        <f>IFERROR(('APPENDIX 7'!F14/'APPENDIX 7'!F$28)*100,0)</f>
        <v>3.1325071106783913</v>
      </c>
      <c r="G14" s="143">
        <f>IFERROR(('APPENDIX 7'!G14/'APPENDIX 7'!G$28)*100,0)</f>
        <v>1.8655694125205804</v>
      </c>
      <c r="H14" s="143">
        <f>IFERROR(('APPENDIX 7'!H14/'APPENDIX 7'!H$28)*100,0)</f>
        <v>2.8322538002479232</v>
      </c>
      <c r="I14" s="143">
        <f>IFERROR(('APPENDIX 7'!I14/'APPENDIX 7'!I$28)*100,0)</f>
        <v>0</v>
      </c>
      <c r="J14" s="143">
        <f>IFERROR(('APPENDIX 7'!J14/'APPENDIX 7'!J$28)*100,0)</f>
        <v>1.9576115211006582</v>
      </c>
      <c r="K14" s="144">
        <f>IFERROR(('APPENDIX 7'!K14/'APPENDIX 7'!K$28)*100,0)</f>
        <v>1.7373327012583224</v>
      </c>
      <c r="L14" s="76">
        <f t="shared" si="0"/>
        <v>15</v>
      </c>
    </row>
    <row r="15" spans="2:13" ht="17" customHeight="1" x14ac:dyDescent="0.35">
      <c r="B15" s="126" t="str">
        <f>'APPENDIX 9'!B15</f>
        <v xml:space="preserve">ICEA LION LIFE ASSURANCE </v>
      </c>
      <c r="C15" s="143">
        <f>IFERROR(('APPENDIX 7'!C15/'APPENDIX 7'!C$28)*100,0)</f>
        <v>33.332912074540666</v>
      </c>
      <c r="D15" s="143">
        <f>IFERROR(('APPENDIX 7'!D15/'APPENDIX 7'!D$28)*100,0)</f>
        <v>17.908612766670302</v>
      </c>
      <c r="E15" s="143">
        <f>IFERROR(('APPENDIX 7'!E15/'APPENDIX 7'!E$28)*100,0)</f>
        <v>34.155791641749602</v>
      </c>
      <c r="F15" s="143">
        <f>IFERROR(('APPENDIX 7'!F15/'APPENDIX 7'!F$28)*100,0)</f>
        <v>14.263503735799812</v>
      </c>
      <c r="G15" s="143">
        <f>IFERROR(('APPENDIX 7'!G15/'APPENDIX 7'!G$28)*100,0)</f>
        <v>3.9525238562541496</v>
      </c>
      <c r="H15" s="143">
        <f>IFERROR(('APPENDIX 7'!H15/'APPENDIX 7'!H$28)*100,0)</f>
        <v>1.0236589995123384</v>
      </c>
      <c r="I15" s="143">
        <f>IFERROR(('APPENDIX 7'!I15/'APPENDIX 7'!I$28)*100,0)</f>
        <v>0</v>
      </c>
      <c r="J15" s="143">
        <f>IFERROR(('APPENDIX 7'!J15/'APPENDIX 7'!J$28)*100,0)</f>
        <v>9.1628830644834534E-3</v>
      </c>
      <c r="K15" s="144">
        <f>IFERROR(('APPENDIX 7'!K15/'APPENDIX 7'!K$28)*100,0)</f>
        <v>15.715667733171632</v>
      </c>
      <c r="L15" s="76">
        <f t="shared" si="0"/>
        <v>2</v>
      </c>
    </row>
    <row r="16" spans="2:13" ht="17" customHeight="1" x14ac:dyDescent="0.35">
      <c r="B16" s="145" t="str">
        <f>'APPENDIX 9'!B16</f>
        <v>JUBILEE LIFE INSURANCE</v>
      </c>
      <c r="C16" s="143">
        <f>IFERROR(('APPENDIX 7'!C16/'APPENDIX 7'!C$28)*100,0)</f>
        <v>8.4023049117521857</v>
      </c>
      <c r="D16" s="143">
        <f>IFERROR(('APPENDIX 7'!D16/'APPENDIX 7'!D$28)*100,0)</f>
        <v>10.02474829413746</v>
      </c>
      <c r="E16" s="143">
        <f>IFERROR(('APPENDIX 7'!E16/'APPENDIX 7'!E$28)*100,0)</f>
        <v>11.030911727597259</v>
      </c>
      <c r="F16" s="143">
        <f>IFERROR(('APPENDIX 7'!F16/'APPENDIX 7'!F$28)*100,0)</f>
        <v>19.917764550725902</v>
      </c>
      <c r="G16" s="143">
        <f>IFERROR(('APPENDIX 7'!G16/'APPENDIX 7'!G$28)*100,0)</f>
        <v>5.9752312921495534</v>
      </c>
      <c r="H16" s="143">
        <f>IFERROR(('APPENDIX 7'!H16/'APPENDIX 7'!H$28)*100,0)</f>
        <v>0.60439457455154322</v>
      </c>
      <c r="I16" s="143">
        <f>IFERROR(('APPENDIX 7'!I16/'APPENDIX 7'!I$28)*100,0)</f>
        <v>0</v>
      </c>
      <c r="J16" s="143">
        <f>IFERROR(('APPENDIX 7'!J16/'APPENDIX 7'!J$28)*100,0)</f>
        <v>9.3418257966811211</v>
      </c>
      <c r="K16" s="144">
        <f>IFERROR(('APPENDIX 7'!K16/'APPENDIX 7'!K$28)*100,0)</f>
        <v>11.486898478573892</v>
      </c>
      <c r="L16" s="76">
        <f t="shared" si="0"/>
        <v>3</v>
      </c>
    </row>
    <row r="17" spans="1:12" ht="17" customHeight="1" x14ac:dyDescent="0.35">
      <c r="B17" s="145" t="str">
        <f>'APPENDIX 9'!B17</f>
        <v>KENINDIA ASSURANCE COMPANY</v>
      </c>
      <c r="C17" s="143">
        <f>IFERROR(('APPENDIX 7'!C17/'APPENDIX 7'!C$28)*100,0)</f>
        <v>1.4017386451815337</v>
      </c>
      <c r="D17" s="143">
        <f>IFERROR(('APPENDIX 7'!D17/'APPENDIX 7'!D$28)*100,0)</f>
        <v>2.8748762659108063</v>
      </c>
      <c r="E17" s="143">
        <f>IFERROR(('APPENDIX 7'!E17/'APPENDIX 7'!E$28)*100,0)</f>
        <v>0.2238955614417614</v>
      </c>
      <c r="F17" s="143">
        <f>IFERROR(('APPENDIX 7'!F17/'APPENDIX 7'!F$28)*100,0)</f>
        <v>16.883248192339003</v>
      </c>
      <c r="G17" s="143">
        <f>IFERROR(('APPENDIX 7'!G17/'APPENDIX 7'!G$28)*100,0)</f>
        <v>6.0359662253823401E-2</v>
      </c>
      <c r="H17" s="143">
        <f>IFERROR(('APPENDIX 7'!H17/'APPENDIX 7'!H$28)*100,0)</f>
        <v>8.5544688403675795E-2</v>
      </c>
      <c r="I17" s="143">
        <f>IFERROR(('APPENDIX 7'!I17/'APPENDIX 7'!I$28)*100,0)</f>
        <v>0</v>
      </c>
      <c r="J17" s="143">
        <f>IFERROR(('APPENDIX 7'!J17/'APPENDIX 7'!J$28)*100,0)</f>
        <v>3.1944181696349756</v>
      </c>
      <c r="K17" s="144">
        <f>IFERROR(('APPENDIX 7'!K17/'APPENDIX 7'!K$28)*100,0)</f>
        <v>6.0313902616470036</v>
      </c>
      <c r="L17" s="76">
        <f t="shared" si="0"/>
        <v>6</v>
      </c>
    </row>
    <row r="18" spans="1:12" ht="17" customHeight="1" x14ac:dyDescent="0.35">
      <c r="B18" s="145" t="str">
        <f>'APPENDIX 9'!B18</f>
        <v>KENYA ORIENT LIFE ASSURANCE</v>
      </c>
      <c r="C18" s="143">
        <f>IFERROR(('APPENDIX 7'!C18/'APPENDIX 7'!C$28)*100,0)</f>
        <v>0.11577438428462372</v>
      </c>
      <c r="D18" s="143">
        <f>IFERROR(('APPENDIX 7'!D18/'APPENDIX 7'!D$28)*100,0)</f>
        <v>1.7996579704658604</v>
      </c>
      <c r="E18" s="143">
        <f>IFERROR(('APPENDIX 7'!E18/'APPENDIX 7'!E$28)*100,0)</f>
        <v>0.24436917845112349</v>
      </c>
      <c r="F18" s="143">
        <f>IFERROR(('APPENDIX 7'!F18/'APPENDIX 7'!F$28)*100,0)</f>
        <v>0.28228129914137828</v>
      </c>
      <c r="G18" s="143">
        <f>IFERROR(('APPENDIX 7'!G18/'APPENDIX 7'!G$28)*100,0)</f>
        <v>0.47890898807918092</v>
      </c>
      <c r="H18" s="143">
        <f>IFERROR(('APPENDIX 7'!H18/'APPENDIX 7'!H$28)*100,0)</f>
        <v>2.3480612574511888</v>
      </c>
      <c r="I18" s="143">
        <f>IFERROR(('APPENDIX 7'!I18/'APPENDIX 7'!I$28)*100,0)</f>
        <v>0</v>
      </c>
      <c r="J18" s="143">
        <f>IFERROR(('APPENDIX 7'!J18/'APPENDIX 7'!J$28)*100,0)</f>
        <v>0</v>
      </c>
      <c r="K18" s="144">
        <f>IFERROR(('APPENDIX 7'!K18/'APPENDIX 7'!K$28)*100,0)</f>
        <v>0.48257652031823461</v>
      </c>
      <c r="L18" s="76">
        <f t="shared" si="0"/>
        <v>18</v>
      </c>
    </row>
    <row r="19" spans="1:12" ht="17" customHeight="1" x14ac:dyDescent="0.35">
      <c r="B19" s="145" t="str">
        <f>'APPENDIX 9'!B19</f>
        <v>LIBERTY LIFE ASSURANCE COMPANY</v>
      </c>
      <c r="C19" s="143">
        <f>IFERROR(('APPENDIX 7'!C19/'APPENDIX 7'!C$28)*100,0)</f>
        <v>3.0025937259499584</v>
      </c>
      <c r="D19" s="143">
        <f>IFERROR(('APPENDIX 7'!D19/'APPENDIX 7'!D$28)*100,0)</f>
        <v>0</v>
      </c>
      <c r="E19" s="143">
        <f>IFERROR(('APPENDIX 7'!E19/'APPENDIX 7'!E$28)*100,0)</f>
        <v>5.5374452266221663</v>
      </c>
      <c r="F19" s="143">
        <f>IFERROR(('APPENDIX 7'!F19/'APPENDIX 7'!F$28)*100,0)</f>
        <v>1.3645912386733194</v>
      </c>
      <c r="G19" s="143">
        <f>IFERROR(('APPENDIX 7'!G19/'APPENDIX 7'!G$28)*100,0)</f>
        <v>7.5749984742996652</v>
      </c>
      <c r="H19" s="143">
        <f>IFERROR(('APPENDIX 7'!H19/'APPENDIX 7'!H$28)*100,0)</f>
        <v>4.9593465418278697</v>
      </c>
      <c r="I19" s="143">
        <f>IFERROR(('APPENDIX 7'!I19/'APPENDIX 7'!I$28)*100,0)</f>
        <v>0</v>
      </c>
      <c r="J19" s="143">
        <f>IFERROR(('APPENDIX 7'!J19/'APPENDIX 7'!J$28)*100,0)</f>
        <v>2.5207925336905799</v>
      </c>
      <c r="K19" s="144">
        <f>IFERROR(('APPENDIX 7'!K19/'APPENDIX 7'!K$28)*100,0)</f>
        <v>3.1328283062760969</v>
      </c>
      <c r="L19" s="76">
        <f t="shared" si="0"/>
        <v>11</v>
      </c>
    </row>
    <row r="20" spans="1:12" ht="17" customHeight="1" x14ac:dyDescent="0.35">
      <c r="B20" s="145" t="str">
        <f>'APPENDIX 9'!B20</f>
        <v>MADISON INSURANCE COMPANY</v>
      </c>
      <c r="C20" s="143">
        <f>IFERROR(('APPENDIX 7'!C20/'APPENDIX 7'!C$28)*100,0)</f>
        <v>2.2416437860888481</v>
      </c>
      <c r="D20" s="143">
        <f>IFERROR(('APPENDIX 7'!D20/'APPENDIX 7'!D$28)*100,0)</f>
        <v>0</v>
      </c>
      <c r="E20" s="143">
        <f>IFERROR(('APPENDIX 7'!E20/'APPENDIX 7'!E$28)*100,0)</f>
        <v>0.76582259723032109</v>
      </c>
      <c r="F20" s="143">
        <f>IFERROR(('APPENDIX 7'!F20/'APPENDIX 7'!F$28)*100,0)</f>
        <v>0.7646933958806329</v>
      </c>
      <c r="G20" s="143">
        <f>IFERROR(('APPENDIX 7'!G20/'APPENDIX 7'!G$28)*100,0)</f>
        <v>3.7109918446481744</v>
      </c>
      <c r="H20" s="143">
        <f>IFERROR(('APPENDIX 7'!H20/'APPENDIX 7'!H$28)*100,0)</f>
        <v>4.9738377697279015</v>
      </c>
      <c r="I20" s="143">
        <f>IFERROR(('APPENDIX 7'!I20/'APPENDIX 7'!I$28)*100,0)</f>
        <v>0</v>
      </c>
      <c r="J20" s="143">
        <f>IFERROR(('APPENDIX 7'!J20/'APPENDIX 7'!J$28)*100,0)</f>
        <v>3.524300921743432</v>
      </c>
      <c r="K20" s="144">
        <f>IFERROR(('APPENDIX 7'!K20/'APPENDIX 7'!K$28)*100,0)</f>
        <v>2.0707157698481375</v>
      </c>
      <c r="L20" s="76">
        <f t="shared" si="0"/>
        <v>14</v>
      </c>
    </row>
    <row r="21" spans="1:12" ht="17" customHeight="1" x14ac:dyDescent="0.35">
      <c r="B21" s="145" t="str">
        <f>'APPENDIX 9'!B21</f>
        <v>OLD MUTUAL LIFE ASSURANCE KENYA</v>
      </c>
      <c r="C21" s="143">
        <f>IFERROR(('APPENDIX 7'!C21/'APPENDIX 7'!C$28)*100,0)</f>
        <v>0.27648723084525112</v>
      </c>
      <c r="D21" s="143">
        <f>IFERROR(('APPENDIX 7'!D21/'APPENDIX 7'!D$28)*100,0)</f>
        <v>0</v>
      </c>
      <c r="E21" s="143">
        <f>IFERROR(('APPENDIX 7'!E21/'APPENDIX 7'!E$28)*100,0)</f>
        <v>0</v>
      </c>
      <c r="F21" s="143">
        <f>IFERROR(('APPENDIX 7'!F21/'APPENDIX 7'!F$28)*100,0)</f>
        <v>1.3922433743081104</v>
      </c>
      <c r="G21" s="143">
        <f>IFERROR(('APPENDIX 7'!G21/'APPENDIX 7'!G$28)*100,0)</f>
        <v>15.583359544532142</v>
      </c>
      <c r="H21" s="143">
        <f>IFERROR(('APPENDIX 7'!H21/'APPENDIX 7'!H$28)*100,0)</f>
        <v>0</v>
      </c>
      <c r="I21" s="143">
        <f>IFERROR(('APPENDIX 7'!I21/'APPENDIX 7'!I$28)*100,0)</f>
        <v>0</v>
      </c>
      <c r="J21" s="143">
        <f>IFERROR(('APPENDIX 7'!J21/'APPENDIX 7'!J$28)*100,0)</f>
        <v>3.9184309426300308</v>
      </c>
      <c r="K21" s="144">
        <f>IFERROR(('APPENDIX 7'!K21/'APPENDIX 7'!K$28)*100,0)</f>
        <v>2.9335955603748438</v>
      </c>
      <c r="L21" s="76">
        <f t="shared" si="0"/>
        <v>12</v>
      </c>
    </row>
    <row r="22" spans="1:12" ht="17" customHeight="1" x14ac:dyDescent="0.35">
      <c r="B22" s="145" t="str">
        <f>'APPENDIX 9'!B22</f>
        <v xml:space="preserve">PIONEER ASSURANCE COMPANY </v>
      </c>
      <c r="C22" s="143">
        <f>IFERROR(('APPENDIX 7'!C22/'APPENDIX 7'!C$28)*100,0)</f>
        <v>2.3341425319764166</v>
      </c>
      <c r="D22" s="143">
        <f>IFERROR(('APPENDIX 7'!D22/'APPENDIX 7'!D$28)*100,0)</f>
        <v>1.205473504810133</v>
      </c>
      <c r="E22" s="143">
        <f>IFERROR(('APPENDIX 7'!E22/'APPENDIX 7'!E$28)*100,0)</f>
        <v>0.62558871503188784</v>
      </c>
      <c r="F22" s="143">
        <f>IFERROR(('APPENDIX 7'!F22/'APPENDIX 7'!F$28)*100,0)</f>
        <v>10.721508522836848</v>
      </c>
      <c r="G22" s="143">
        <f>IFERROR(('APPENDIX 7'!G22/'APPENDIX 7'!G$28)*100,0)</f>
        <v>2.8812742293595388</v>
      </c>
      <c r="H22" s="143">
        <f>IFERROR(('APPENDIX 7'!H22/'APPENDIX 7'!H$28)*100,0)</f>
        <v>3.9952391363842756</v>
      </c>
      <c r="I22" s="143">
        <f>IFERROR(('APPENDIX 7'!I22/'APPENDIX 7'!I$28)*100,0)</f>
        <v>0</v>
      </c>
      <c r="J22" s="143">
        <f>IFERROR(('APPENDIX 7'!J22/'APPENDIX 7'!J$28)*100,0)</f>
        <v>1.026488241159299</v>
      </c>
      <c r="K22" s="144">
        <f>IFERROR(('APPENDIX 7'!K22/'APPENDIX 7'!K$28)*100,0)</f>
        <v>4.5760587956744727</v>
      </c>
      <c r="L22" s="76">
        <f t="shared" si="0"/>
        <v>8</v>
      </c>
    </row>
    <row r="23" spans="1:12" ht="17" customHeight="1" x14ac:dyDescent="0.35">
      <c r="B23" s="145" t="str">
        <f>'APPENDIX 9'!B23</f>
        <v>PRUDENTIAL LIFE ASSURANCE</v>
      </c>
      <c r="C23" s="143">
        <f>IFERROR(('APPENDIX 7'!C23/'APPENDIX 7'!C$28)*100,0)</f>
        <v>2.4582832776045755</v>
      </c>
      <c r="D23" s="143">
        <f>IFERROR(('APPENDIX 7'!D23/'APPENDIX 7'!D$28)*100,0)</f>
        <v>0</v>
      </c>
      <c r="E23" s="143">
        <f>IFERROR(('APPENDIX 7'!E23/'APPENDIX 7'!E$28)*100,0)</f>
        <v>2.8436028514126277</v>
      </c>
      <c r="F23" s="143">
        <f>IFERROR(('APPENDIX 7'!F23/'APPENDIX 7'!F$28)*100,0)</f>
        <v>0.95284240390728414</v>
      </c>
      <c r="G23" s="143">
        <f>IFERROR(('APPENDIX 7'!G23/'APPENDIX 7'!G$28)*100,0)</f>
        <v>1.99018155773718</v>
      </c>
      <c r="H23" s="143">
        <f>IFERROR(('APPENDIX 7'!H23/'APPENDIX 7'!H$28)*100,0)</f>
        <v>0.80984949841238951</v>
      </c>
      <c r="I23" s="143">
        <f>IFERROR(('APPENDIX 7'!I23/'APPENDIX 7'!I$28)*100,0)</f>
        <v>0</v>
      </c>
      <c r="J23" s="143">
        <f>IFERROR(('APPENDIX 7'!J23/'APPENDIX 7'!J$28)*100,0)</f>
        <v>0</v>
      </c>
      <c r="K23" s="144">
        <f>IFERROR(('APPENDIX 7'!K23/'APPENDIX 7'!K$28)*100,0)</f>
        <v>1.3166695632156</v>
      </c>
      <c r="L23" s="76">
        <f t="shared" si="0"/>
        <v>16</v>
      </c>
    </row>
    <row r="24" spans="1:12" ht="17" customHeight="1" x14ac:dyDescent="0.35">
      <c r="B24" s="145" t="str">
        <f>'APPENDIX 9'!B24</f>
        <v>SANLAM LIFE ASSURANCE</v>
      </c>
      <c r="C24" s="143">
        <f>IFERROR(('APPENDIX 7'!C24/'APPENDIX 7'!C$28)*100,0)</f>
        <v>6.382008570268594</v>
      </c>
      <c r="D24" s="143">
        <f>IFERROR(('APPENDIX 7'!D24/'APPENDIX 7'!D$28)*100,0)</f>
        <v>0.26069235990693379</v>
      </c>
      <c r="E24" s="143">
        <f>IFERROR(('APPENDIX 7'!E24/'APPENDIX 7'!E$28)*100,0)</f>
        <v>12.724468575024902</v>
      </c>
      <c r="F24" s="143">
        <f>IFERROR(('APPENDIX 7'!F24/'APPENDIX 7'!F$28)*100,0)</f>
        <v>0.23413079908676079</v>
      </c>
      <c r="G24" s="143">
        <f>IFERROR(('APPENDIX 7'!G24/'APPENDIX 7'!G$28)*100,0)</f>
        <v>3.5508391323069279</v>
      </c>
      <c r="H24" s="143">
        <f>IFERROR(('APPENDIX 7'!H24/'APPENDIX 7'!H$28)*100,0)</f>
        <v>5.4685549880798625</v>
      </c>
      <c r="I24" s="143">
        <f>IFERROR(('APPENDIX 7'!I24/'APPENDIX 7'!I$28)*100,0)</f>
        <v>0</v>
      </c>
      <c r="J24" s="143">
        <f>IFERROR(('APPENDIX 7'!J24/'APPENDIX 7'!J$28)*100,0)</f>
        <v>0.21172792248692995</v>
      </c>
      <c r="K24" s="144">
        <f>IFERROR(('APPENDIX 7'!K24/'APPENDIX 7'!K$28)*100,0)</f>
        <v>3.32359372440532</v>
      </c>
      <c r="L24" s="76">
        <f t="shared" si="0"/>
        <v>9</v>
      </c>
    </row>
    <row r="25" spans="1:12" ht="17" customHeight="1" x14ac:dyDescent="0.35">
      <c r="B25" s="145" t="str">
        <f>'APPENDIX 9'!B25</f>
        <v>STAR DISCOVER LIFE INSURANCE</v>
      </c>
      <c r="C25" s="143">
        <f>IFERROR(('APPENDIX 7'!C25/'APPENDIX 7'!C$28)*100,0)</f>
        <v>0</v>
      </c>
      <c r="D25" s="143">
        <f>IFERROR(('APPENDIX 7'!D25/'APPENDIX 7'!D$28)*100,0)</f>
        <v>0</v>
      </c>
      <c r="E25" s="143">
        <f>IFERROR(('APPENDIX 7'!E25/'APPENDIX 7'!E$28)*100,0)</f>
        <v>0</v>
      </c>
      <c r="F25" s="143">
        <f>IFERROR(('APPENDIX 7'!F25/'APPENDIX 7'!F$28)*100,0)</f>
        <v>0</v>
      </c>
      <c r="G25" s="143">
        <f>IFERROR(('APPENDIX 7'!G25/'APPENDIX 7'!G$28)*100,0)</f>
        <v>0.4909623708403304</v>
      </c>
      <c r="H25" s="143">
        <f>IFERROR(('APPENDIX 7'!H25/'APPENDIX 7'!H$28)*100,0)</f>
        <v>0</v>
      </c>
      <c r="I25" s="143">
        <f>IFERROR(('APPENDIX 7'!I25/'APPENDIX 7'!I$28)*100,0)</f>
        <v>0</v>
      </c>
      <c r="J25" s="143">
        <f>IFERROR(('APPENDIX 7'!J25/'APPENDIX 7'!J$28)*100,0)</f>
        <v>0</v>
      </c>
      <c r="K25" s="144">
        <f>IFERROR(('APPENDIX 7'!K25/'APPENDIX 7'!K$28)*100,0)</f>
        <v>5.8754932606563719E-2</v>
      </c>
      <c r="L25" s="76">
        <f t="shared" si="0"/>
        <v>20</v>
      </c>
    </row>
    <row r="26" spans="1:12" ht="17" customHeight="1" x14ac:dyDescent="0.35">
      <c r="B26" s="145" t="str">
        <f>'APPENDIX 9'!B26</f>
        <v>THE KENYAN ALLIANCE INSURANCE</v>
      </c>
      <c r="C26" s="143">
        <f>IFERROR(('APPENDIX 7'!C26/'APPENDIX 7'!C$28)*100,0)</f>
        <v>0</v>
      </c>
      <c r="D26" s="143">
        <f>IFERROR(('APPENDIX 7'!D26/'APPENDIX 7'!D$28)*100,0)</f>
        <v>0</v>
      </c>
      <c r="E26" s="143">
        <f>IFERROR(('APPENDIX 7'!E26/'APPENDIX 7'!E$28)*100,0)</f>
        <v>0</v>
      </c>
      <c r="F26" s="143">
        <f>IFERROR(('APPENDIX 7'!F26/'APPENDIX 7'!F$28)*100,0)</f>
        <v>0</v>
      </c>
      <c r="G26" s="143">
        <f>IFERROR(('APPENDIX 7'!G26/'APPENDIX 7'!G$28)*100,0)</f>
        <v>0</v>
      </c>
      <c r="H26" s="143">
        <f>IFERROR(('APPENDIX 7'!H26/'APPENDIX 7'!H$28)*100,0)</f>
        <v>0</v>
      </c>
      <c r="I26" s="143">
        <f>IFERROR(('APPENDIX 7'!I26/'APPENDIX 7'!I$28)*100,0)</f>
        <v>0</v>
      </c>
      <c r="J26" s="143">
        <f>IFERROR(('APPENDIX 7'!J26/'APPENDIX 7'!J$28)*100,0)</f>
        <v>0</v>
      </c>
      <c r="K26" s="144">
        <f>IFERROR(('APPENDIX 7'!K26/'APPENDIX 7'!K$28)*100,0)</f>
        <v>0</v>
      </c>
      <c r="L26" s="76">
        <f t="shared" si="0"/>
        <v>21</v>
      </c>
    </row>
    <row r="27" spans="1:12" ht="17" customHeight="1" x14ac:dyDescent="0.35">
      <c r="B27" s="126" t="str">
        <f>'APPENDIX 9'!B27</f>
        <v>THE MONARCH INSURANCE</v>
      </c>
      <c r="C27" s="143">
        <f>IFERROR(('APPENDIX 7'!C27/'APPENDIX 7'!C$28)*100,0)</f>
        <v>0</v>
      </c>
      <c r="D27" s="143">
        <f>IFERROR(('APPENDIX 7'!D27/'APPENDIX 7'!D$28)*100,0)</f>
        <v>0</v>
      </c>
      <c r="E27" s="143">
        <f>IFERROR(('APPENDIX 7'!E27/'APPENDIX 7'!E$28)*100,0)</f>
        <v>0</v>
      </c>
      <c r="F27" s="143">
        <f>IFERROR(('APPENDIX 7'!F27/'APPENDIX 7'!F$28)*100,0)</f>
        <v>0</v>
      </c>
      <c r="G27" s="143">
        <f>IFERROR(('APPENDIX 7'!G27/'APPENDIX 7'!G$28)*100,0)</f>
        <v>0</v>
      </c>
      <c r="H27" s="143">
        <f>IFERROR(('APPENDIX 7'!H27/'APPENDIX 7'!H$28)*100,0)</f>
        <v>0</v>
      </c>
      <c r="I27" s="143">
        <f>IFERROR(('APPENDIX 7'!I27/'APPENDIX 7'!I$28)*100,0)</f>
        <v>0</v>
      </c>
      <c r="J27" s="143">
        <f>IFERROR(('APPENDIX 7'!J27/'APPENDIX 7'!J$28)*100,0)</f>
        <v>0</v>
      </c>
      <c r="K27" s="144">
        <f>IFERROR(('APPENDIX 7'!K27/'APPENDIX 7'!K$28)*100,0)</f>
        <v>0</v>
      </c>
      <c r="L27" s="76">
        <f t="shared" si="0"/>
        <v>21</v>
      </c>
    </row>
    <row r="28" spans="1:12" s="138" customFormat="1" ht="17" customHeight="1" x14ac:dyDescent="0.35">
      <c r="B28" s="146" t="s">
        <v>7</v>
      </c>
      <c r="C28" s="147">
        <f t="shared" ref="C28:K28" si="1">SUM(C6:C27)</f>
        <v>100</v>
      </c>
      <c r="D28" s="147">
        <f t="shared" si="1"/>
        <v>100</v>
      </c>
      <c r="E28" s="147">
        <f t="shared" si="1"/>
        <v>100</v>
      </c>
      <c r="F28" s="147">
        <f t="shared" si="1"/>
        <v>100</v>
      </c>
      <c r="G28" s="147">
        <f t="shared" si="1"/>
        <v>100</v>
      </c>
      <c r="H28" s="147">
        <f t="shared" si="1"/>
        <v>99.999999999999986</v>
      </c>
      <c r="I28" s="147">
        <f t="shared" si="1"/>
        <v>0</v>
      </c>
      <c r="J28" s="147">
        <f t="shared" si="1"/>
        <v>99.999999999999957</v>
      </c>
      <c r="K28" s="147">
        <f t="shared" si="1"/>
        <v>99.999999999999972</v>
      </c>
    </row>
    <row r="29" spans="1:12" s="138" customFormat="1" ht="17" customHeight="1" x14ac:dyDescent="0.35">
      <c r="B29" s="300" t="s">
        <v>142</v>
      </c>
      <c r="C29" s="301"/>
      <c r="D29" s="301"/>
      <c r="E29" s="301"/>
      <c r="F29" s="301"/>
      <c r="G29" s="301"/>
      <c r="H29" s="301"/>
      <c r="I29" s="301"/>
      <c r="J29" s="301"/>
      <c r="K29" s="302"/>
    </row>
    <row r="30" spans="1:12" ht="17" customHeight="1" x14ac:dyDescent="0.35">
      <c r="A30" s="138"/>
      <c r="B30" s="126" t="str">
        <f>'APPENDIX 9'!B30</f>
        <v>CONTINENTAL REINSURANCE</v>
      </c>
      <c r="C30" s="143">
        <f>IFERROR(('APPENDIX 7'!C30/'APPENDIX 7'!C$33)*100,0)</f>
        <v>0</v>
      </c>
      <c r="D30" s="143">
        <f>IFERROR(('APPENDIX 7'!D30/'APPENDIX 7'!D$33)*100,0)</f>
        <v>0</v>
      </c>
      <c r="E30" s="143">
        <f>IFERROR(('APPENDIX 7'!E30/'APPENDIX 7'!E$33)*100,0)</f>
        <v>0</v>
      </c>
      <c r="F30" s="143">
        <f>IFERROR(('APPENDIX 7'!F30/'APPENDIX 7'!F$33)*100,0)</f>
        <v>0</v>
      </c>
      <c r="G30" s="143">
        <f>IFERROR(('APPENDIX 7'!G30/'APPENDIX 7'!G$33)*100,0)</f>
        <v>0</v>
      </c>
      <c r="H30" s="143">
        <f>IFERROR(('APPENDIX 7'!H30/'APPENDIX 7'!H$33)*100,0)</f>
        <v>0</v>
      </c>
      <c r="I30" s="143">
        <f>IFERROR(('APPENDIX 7'!I30/'APPENDIX 7'!I$33)*100,0)</f>
        <v>0</v>
      </c>
      <c r="J30" s="143">
        <f>IFERROR(('APPENDIX 7'!J30/'APPENDIX 7'!J$33)*100,0)</f>
        <v>0</v>
      </c>
      <c r="K30" s="144">
        <f>IFERROR(('APPENDIX 7'!K30/'APPENDIX 7'!K$33)*100,0)</f>
        <v>0</v>
      </c>
    </row>
    <row r="31" spans="1:12" ht="17" customHeight="1" x14ac:dyDescent="0.35">
      <c r="A31" s="138"/>
      <c r="B31" s="126" t="str">
        <f>'APPENDIX 9'!B31</f>
        <v xml:space="preserve">EAST AFRICA REINSURANCE </v>
      </c>
      <c r="C31" s="143">
        <f>IFERROR(('APPENDIX 7'!C31/'APPENDIX 7'!C$33)*100,0)</f>
        <v>47.581126978506717</v>
      </c>
      <c r="D31" s="143">
        <f>IFERROR(('APPENDIX 7'!D31/'APPENDIX 7'!D$33)*100,0)</f>
        <v>0</v>
      </c>
      <c r="E31" s="143">
        <f>IFERROR(('APPENDIX 7'!E31/'APPENDIX 7'!E$33)*100,0)</f>
        <v>0</v>
      </c>
      <c r="F31" s="143">
        <f>IFERROR(('APPENDIX 7'!F31/'APPENDIX 7'!F$33)*100,0)</f>
        <v>0</v>
      </c>
      <c r="G31" s="143">
        <f>IFERROR(('APPENDIX 7'!G31/'APPENDIX 7'!G$33)*100,0)</f>
        <v>24.524223914210992</v>
      </c>
      <c r="H31" s="143">
        <f>IFERROR(('APPENDIX 7'!H31/'APPENDIX 7'!H$33)*100,0)</f>
        <v>0</v>
      </c>
      <c r="I31" s="143">
        <f>IFERROR(('APPENDIX 7'!I31/'APPENDIX 7'!I$33)*100,0)</f>
        <v>0</v>
      </c>
      <c r="J31" s="143">
        <f>IFERROR(('APPENDIX 7'!J31/'APPENDIX 7'!J$33)*100,0)</f>
        <v>0</v>
      </c>
      <c r="K31" s="144">
        <f>IFERROR(('APPENDIX 7'!K31/'APPENDIX 7'!K$33)*100,0)</f>
        <v>26.669977047263409</v>
      </c>
    </row>
    <row r="32" spans="1:12" ht="17" customHeight="1" x14ac:dyDescent="0.35">
      <c r="A32" s="138"/>
      <c r="B32" s="126" t="str">
        <f>'APPENDIX 9'!B32</f>
        <v>KENYA REINSURANCE CORPORATION</v>
      </c>
      <c r="C32" s="143">
        <f>IFERROR(('APPENDIX 7'!C32/'APPENDIX 7'!C$33)*100,0)</f>
        <v>52.418873021493283</v>
      </c>
      <c r="D32" s="143">
        <f>IFERROR(('APPENDIX 7'!D32/'APPENDIX 7'!D$33)*100,0)</f>
        <v>0</v>
      </c>
      <c r="E32" s="143">
        <f>IFERROR(('APPENDIX 7'!E32/'APPENDIX 7'!E$33)*100,0)</f>
        <v>0</v>
      </c>
      <c r="F32" s="143">
        <f>IFERROR(('APPENDIX 7'!F32/'APPENDIX 7'!F$33)*100,0)</f>
        <v>0</v>
      </c>
      <c r="G32" s="143">
        <f>IFERROR(('APPENDIX 7'!G32/'APPENDIX 7'!G$33)*100,0)</f>
        <v>75.475776085789008</v>
      </c>
      <c r="H32" s="143">
        <f>IFERROR(('APPENDIX 7'!H32/'APPENDIX 7'!H$33)*100,0)</f>
        <v>0</v>
      </c>
      <c r="I32" s="143">
        <f>IFERROR(('APPENDIX 7'!I32/'APPENDIX 7'!I$33)*100,0)</f>
        <v>0</v>
      </c>
      <c r="J32" s="143">
        <f>IFERROR(('APPENDIX 7'!J32/'APPENDIX 7'!J$33)*100,0)</f>
        <v>0</v>
      </c>
      <c r="K32" s="144">
        <f>IFERROR(('APPENDIX 7'!K32/'APPENDIX 7'!K$33)*100,0)</f>
        <v>73.330022952736584</v>
      </c>
    </row>
    <row r="33" spans="2:11" s="138" customFormat="1" ht="17" customHeight="1" x14ac:dyDescent="0.35">
      <c r="B33" s="146" t="s">
        <v>7</v>
      </c>
      <c r="C33" s="147">
        <f t="shared" ref="C33:K33" si="2">SUM(C30:C32)</f>
        <v>100</v>
      </c>
      <c r="D33" s="147">
        <f t="shared" si="2"/>
        <v>0</v>
      </c>
      <c r="E33" s="147">
        <f t="shared" si="2"/>
        <v>0</v>
      </c>
      <c r="F33" s="147">
        <f t="shared" si="2"/>
        <v>0</v>
      </c>
      <c r="G33" s="147">
        <f t="shared" si="2"/>
        <v>100</v>
      </c>
      <c r="H33" s="147">
        <f t="shared" si="2"/>
        <v>0</v>
      </c>
      <c r="I33" s="147">
        <f t="shared" si="2"/>
        <v>0</v>
      </c>
      <c r="J33" s="147">
        <f t="shared" si="2"/>
        <v>0</v>
      </c>
      <c r="K33" s="147">
        <f t="shared" si="2"/>
        <v>100</v>
      </c>
    </row>
    <row r="34" spans="2:11" ht="17" customHeight="1" x14ac:dyDescent="0.35">
      <c r="B34" s="345" t="s">
        <v>200</v>
      </c>
      <c r="C34" s="324"/>
      <c r="D34" s="324"/>
      <c r="E34" s="324"/>
      <c r="F34" s="324"/>
      <c r="G34" s="324"/>
      <c r="H34" s="324"/>
      <c r="I34" s="324"/>
      <c r="J34" s="324"/>
      <c r="K34" s="324"/>
    </row>
    <row r="49" spans="2:17" ht="21.5" x14ac:dyDescent="0.45">
      <c r="B49" s="275"/>
      <c r="C49" s="275"/>
      <c r="D49" s="275"/>
      <c r="E49" s="275"/>
      <c r="F49" s="275"/>
      <c r="G49" s="275"/>
      <c r="H49" s="275"/>
      <c r="I49" s="275"/>
      <c r="J49" s="275"/>
      <c r="K49" s="275"/>
      <c r="L49" s="275"/>
      <c r="M49" s="275"/>
      <c r="N49" s="275"/>
      <c r="O49" s="275"/>
      <c r="P49" s="275"/>
      <c r="Q49" s="275"/>
    </row>
  </sheetData>
  <sheetProtection algorithmName="SHA-512" hashValue="NDb1Z1TsTANnOu+AewmTWzrzjvRJoqdDL/URhg3CCYw8wu+AhAR3LY8RpG/T8kmdIEpRT2hc4i4msWM19ONdHA==" saltValue="XOasO07nIbGHAlz51hT9PQ==" spinCount="100000" sheet="1" objects="1" scenarios="1"/>
  <mergeCells count="4">
    <mergeCell ref="B34:K34"/>
    <mergeCell ref="B29:K29"/>
    <mergeCell ref="B3:K3"/>
    <mergeCell ref="B5:K5"/>
  </mergeCells>
  <pageMargins left="0.7" right="0.7" top="0.75" bottom="0.75" header="0.3" footer="0.3"/>
  <pageSetup paperSize="9" scale="43"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rgb="FF92D050"/>
    <pageSetUpPr fitToPage="1"/>
  </sheetPr>
  <dimension ref="B3:Q49"/>
  <sheetViews>
    <sheetView showGridLines="0" zoomScale="70" zoomScaleNormal="70" workbookViewId="0">
      <pane xSplit="2" ySplit="5" topLeftCell="H6" activePane="bottomRight" state="frozen"/>
      <selection activeCell="A4" sqref="A4:XFD4"/>
      <selection pane="topRight" activeCell="A4" sqref="A4:XFD4"/>
      <selection pane="bottomLeft" activeCell="A4" sqref="A4:XFD4"/>
      <selection pane="bottomRight" activeCell="J8" sqref="B3:Q34"/>
    </sheetView>
  </sheetViews>
  <sheetFormatPr defaultColWidth="14.453125" defaultRowHeight="15.5" x14ac:dyDescent="0.35"/>
  <cols>
    <col min="1" max="1" width="15.54296875" style="76" customWidth="1"/>
    <col min="2" max="2" width="43.54296875" style="76" customWidth="1"/>
    <col min="3" max="16" width="17.54296875" style="76" customWidth="1"/>
    <col min="17" max="17" width="17.54296875" style="138" customWidth="1"/>
    <col min="18" max="116" width="14.453125" style="76" customWidth="1"/>
    <col min="117" max="16384" width="14.453125" style="76"/>
  </cols>
  <sheetData>
    <row r="3" spans="2:17" s="275" customFormat="1" ht="22" x14ac:dyDescent="0.5">
      <c r="B3" s="297" t="str">
        <f>_xlfn.CONCAT('Table of Contents'!B21,": ",'Table of Contents'!C21)</f>
        <v>APPENDIX 9: SUMMARY OF LIFE ASSURANCE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65"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x14ac:dyDescent="0.35">
      <c r="B5" s="347" t="s">
        <v>106</v>
      </c>
      <c r="C5" s="301"/>
      <c r="D5" s="301"/>
      <c r="E5" s="301"/>
      <c r="F5" s="301"/>
      <c r="G5" s="301"/>
      <c r="H5" s="301"/>
      <c r="I5" s="301"/>
      <c r="J5" s="301"/>
      <c r="K5" s="301"/>
      <c r="L5" s="301"/>
      <c r="M5" s="301"/>
      <c r="N5" s="301"/>
      <c r="O5" s="301"/>
      <c r="P5" s="301"/>
      <c r="Q5" s="302"/>
    </row>
    <row r="6" spans="2:17" ht="34.5" customHeight="1" x14ac:dyDescent="0.35">
      <c r="B6" s="126" t="s">
        <v>150</v>
      </c>
      <c r="C6" s="110">
        <v>15935685.70000672</v>
      </c>
      <c r="D6" s="110">
        <v>1718647.9450000001</v>
      </c>
      <c r="E6" s="110">
        <v>1694300.2490000001</v>
      </c>
      <c r="F6" s="110">
        <v>0</v>
      </c>
      <c r="G6" s="110">
        <v>495698.80275999999</v>
      </c>
      <c r="H6" s="110">
        <v>495698.80275999999</v>
      </c>
      <c r="I6" s="110">
        <v>0</v>
      </c>
      <c r="J6" s="110">
        <v>0</v>
      </c>
      <c r="K6" s="110">
        <v>0</v>
      </c>
      <c r="L6" s="110">
        <v>139210.63599000001</v>
      </c>
      <c r="M6" s="110">
        <v>143241.67989070839</v>
      </c>
      <c r="N6" s="110">
        <v>854380.45368899999</v>
      </c>
      <c r="O6" s="110">
        <v>0</v>
      </c>
      <c r="P6" s="110">
        <v>0</v>
      </c>
      <c r="Q6" s="149">
        <v>17706215.284055009</v>
      </c>
    </row>
    <row r="7" spans="2:17" ht="34.5" customHeight="1" x14ac:dyDescent="0.35">
      <c r="B7" s="126" t="s">
        <v>151</v>
      </c>
      <c r="C7" s="110">
        <v>1289607.9350000001</v>
      </c>
      <c r="D7" s="110">
        <v>445344.22934999951</v>
      </c>
      <c r="E7" s="110">
        <v>445344.22934999951</v>
      </c>
      <c r="F7" s="110">
        <v>0</v>
      </c>
      <c r="G7" s="110">
        <v>74362.441054999988</v>
      </c>
      <c r="H7" s="110">
        <v>74362.441054999988</v>
      </c>
      <c r="I7" s="110">
        <v>0</v>
      </c>
      <c r="J7" s="110">
        <v>0</v>
      </c>
      <c r="K7" s="110">
        <v>0</v>
      </c>
      <c r="L7" s="110">
        <v>55778.137017499997</v>
      </c>
      <c r="M7" s="110">
        <v>34279.590014289774</v>
      </c>
      <c r="N7" s="110">
        <v>147628.1503415934</v>
      </c>
      <c r="O7" s="110">
        <v>2137.6753733787241</v>
      </c>
      <c r="P7" s="110">
        <v>0</v>
      </c>
      <c r="Q7" s="149">
        <v>1716022.471231424</v>
      </c>
    </row>
    <row r="8" spans="2:17" ht="34.5" customHeight="1" x14ac:dyDescent="0.35">
      <c r="B8" s="126" t="s">
        <v>152</v>
      </c>
      <c r="C8" s="110">
        <v>50863132.543360002</v>
      </c>
      <c r="D8" s="110">
        <v>2950229.4851367571</v>
      </c>
      <c r="E8" s="110">
        <v>2948514.8330367571</v>
      </c>
      <c r="F8" s="110">
        <v>3860.9589999999998</v>
      </c>
      <c r="G8" s="110">
        <v>2369802.1674367059</v>
      </c>
      <c r="H8" s="110">
        <v>2369802.1674367059</v>
      </c>
      <c r="I8" s="110">
        <v>0</v>
      </c>
      <c r="J8" s="110">
        <v>0</v>
      </c>
      <c r="K8" s="110">
        <v>0</v>
      </c>
      <c r="L8" s="110">
        <v>460564.40246000001</v>
      </c>
      <c r="M8" s="110">
        <v>645333.49199999997</v>
      </c>
      <c r="N8" s="110">
        <v>2373230.497</v>
      </c>
      <c r="O8" s="110">
        <v>44613.843000000001</v>
      </c>
      <c r="P8" s="110">
        <v>0</v>
      </c>
      <c r="Q8" s="149">
        <v>52668424.927500047</v>
      </c>
    </row>
    <row r="9" spans="2:17" ht="34.5" customHeight="1" x14ac:dyDescent="0.35">
      <c r="B9" s="126" t="s">
        <v>153</v>
      </c>
      <c r="C9" s="110">
        <v>0</v>
      </c>
      <c r="D9" s="110">
        <v>0</v>
      </c>
      <c r="E9" s="110">
        <v>0</v>
      </c>
      <c r="F9" s="110">
        <v>0</v>
      </c>
      <c r="G9" s="110">
        <v>0</v>
      </c>
      <c r="H9" s="110">
        <v>0</v>
      </c>
      <c r="I9" s="110">
        <v>0</v>
      </c>
      <c r="J9" s="110">
        <v>0</v>
      </c>
      <c r="K9" s="110">
        <v>0</v>
      </c>
      <c r="L9" s="110">
        <v>0</v>
      </c>
      <c r="M9" s="110">
        <v>0</v>
      </c>
      <c r="N9" s="110">
        <v>0</v>
      </c>
      <c r="O9" s="110">
        <v>0</v>
      </c>
      <c r="P9" s="110">
        <v>0</v>
      </c>
      <c r="Q9" s="149">
        <v>0</v>
      </c>
    </row>
    <row r="10" spans="2:17" ht="34.5" customHeight="1" x14ac:dyDescent="0.35">
      <c r="B10" s="126" t="s">
        <v>154</v>
      </c>
      <c r="C10" s="110">
        <v>31691.750026627171</v>
      </c>
      <c r="D10" s="110">
        <v>1211.99</v>
      </c>
      <c r="E10" s="110">
        <v>1202.375184114283</v>
      </c>
      <c r="F10" s="110">
        <v>0</v>
      </c>
      <c r="G10" s="110">
        <v>1609.8215</v>
      </c>
      <c r="H10" s="110">
        <v>1609.8215</v>
      </c>
      <c r="I10" s="110">
        <v>0</v>
      </c>
      <c r="J10" s="110">
        <v>0</v>
      </c>
      <c r="K10" s="110">
        <v>0</v>
      </c>
      <c r="L10" s="110">
        <v>37.261218411428288</v>
      </c>
      <c r="M10" s="110">
        <v>206.97126857928529</v>
      </c>
      <c r="N10" s="110">
        <v>2.6724973294449481</v>
      </c>
      <c r="O10" s="110">
        <v>0</v>
      </c>
      <c r="P10" s="110">
        <v>0</v>
      </c>
      <c r="Q10" s="149">
        <v>31042.743721080191</v>
      </c>
    </row>
    <row r="11" spans="2:17" ht="34.5" customHeight="1" x14ac:dyDescent="0.35">
      <c r="B11" s="126" t="s">
        <v>155</v>
      </c>
      <c r="C11" s="110">
        <v>5251674.4676882271</v>
      </c>
      <c r="D11" s="110">
        <v>359188.67547000002</v>
      </c>
      <c r="E11" s="110">
        <v>355863.25747000001</v>
      </c>
      <c r="F11" s="110">
        <v>0</v>
      </c>
      <c r="G11" s="110">
        <v>49455.364020000001</v>
      </c>
      <c r="H11" s="110">
        <v>49455.364020000001</v>
      </c>
      <c r="I11" s="110">
        <v>0</v>
      </c>
      <c r="J11" s="110">
        <v>0</v>
      </c>
      <c r="K11" s="110">
        <v>0</v>
      </c>
      <c r="L11" s="110">
        <v>50348.518020000003</v>
      </c>
      <c r="M11" s="110">
        <v>115897.40418</v>
      </c>
      <c r="N11" s="110">
        <v>0</v>
      </c>
      <c r="O11" s="110">
        <v>0</v>
      </c>
      <c r="P11" s="110">
        <v>0</v>
      </c>
      <c r="Q11" s="149">
        <v>5391836.4389382266</v>
      </c>
    </row>
    <row r="12" spans="2:17" ht="34.5" customHeight="1" x14ac:dyDescent="0.35">
      <c r="B12" s="126" t="s">
        <v>156</v>
      </c>
      <c r="C12" s="110">
        <v>0</v>
      </c>
      <c r="D12" s="110">
        <v>20.532</v>
      </c>
      <c r="E12" s="110">
        <v>20.532</v>
      </c>
      <c r="F12" s="110">
        <v>0</v>
      </c>
      <c r="G12" s="110">
        <v>0</v>
      </c>
      <c r="H12" s="110">
        <v>0</v>
      </c>
      <c r="I12" s="110">
        <v>0</v>
      </c>
      <c r="J12" s="110">
        <v>0</v>
      </c>
      <c r="K12" s="110">
        <v>0</v>
      </c>
      <c r="L12" s="110">
        <v>0</v>
      </c>
      <c r="M12" s="110">
        <v>43.268999999999998</v>
      </c>
      <c r="N12" s="110">
        <v>0</v>
      </c>
      <c r="O12" s="110">
        <v>0</v>
      </c>
      <c r="P12" s="110">
        <v>0</v>
      </c>
      <c r="Q12" s="149">
        <v>-22.736999999999998</v>
      </c>
    </row>
    <row r="13" spans="2:17" ht="34.5" customHeight="1" x14ac:dyDescent="0.35">
      <c r="B13" s="126" t="s">
        <v>157</v>
      </c>
      <c r="C13" s="110">
        <v>5879614.6291499985</v>
      </c>
      <c r="D13" s="110">
        <v>254366.30600000001</v>
      </c>
      <c r="E13" s="110">
        <v>254366.30600000001</v>
      </c>
      <c r="F13" s="110">
        <v>0</v>
      </c>
      <c r="G13" s="110">
        <v>78603.741999999998</v>
      </c>
      <c r="H13" s="110">
        <v>78603.741999999998</v>
      </c>
      <c r="I13" s="110">
        <v>0</v>
      </c>
      <c r="J13" s="110">
        <v>0</v>
      </c>
      <c r="K13" s="110">
        <v>0</v>
      </c>
      <c r="L13" s="110">
        <v>2091.58</v>
      </c>
      <c r="M13" s="110">
        <v>70.527000000000001</v>
      </c>
      <c r="N13" s="110">
        <v>295872.79100000003</v>
      </c>
      <c r="O13" s="110">
        <v>0</v>
      </c>
      <c r="P13" s="110">
        <v>0</v>
      </c>
      <c r="Q13" s="149">
        <v>6349087.8771500001</v>
      </c>
    </row>
    <row r="14" spans="2:17" ht="34.5" customHeight="1" x14ac:dyDescent="0.35">
      <c r="B14" s="126" t="s">
        <v>158</v>
      </c>
      <c r="C14" s="110">
        <v>483491.07500000001</v>
      </c>
      <c r="D14" s="110">
        <v>19902.857623439999</v>
      </c>
      <c r="E14" s="110">
        <v>19902.857623439999</v>
      </c>
      <c r="F14" s="110">
        <v>0</v>
      </c>
      <c r="G14" s="110">
        <v>8480.9175799999994</v>
      </c>
      <c r="H14" s="110">
        <v>8480.9175799999994</v>
      </c>
      <c r="I14" s="110">
        <v>0</v>
      </c>
      <c r="J14" s="110">
        <v>0</v>
      </c>
      <c r="K14" s="110">
        <v>0</v>
      </c>
      <c r="L14" s="110">
        <v>3900.7018200000002</v>
      </c>
      <c r="M14" s="110">
        <v>4667.9512505135162</v>
      </c>
      <c r="N14" s="110">
        <v>0</v>
      </c>
      <c r="O14" s="110">
        <v>0</v>
      </c>
      <c r="P14" s="110">
        <v>0</v>
      </c>
      <c r="Q14" s="149">
        <v>486344.36197292648</v>
      </c>
    </row>
    <row r="15" spans="2:17" ht="34.5" customHeight="1" x14ac:dyDescent="0.35">
      <c r="B15" s="126" t="s">
        <v>159</v>
      </c>
      <c r="C15" s="110">
        <v>29002090.734000001</v>
      </c>
      <c r="D15" s="110">
        <v>4784466.4060000004</v>
      </c>
      <c r="E15" s="110">
        <v>4761982.3645059885</v>
      </c>
      <c r="F15" s="110">
        <v>0</v>
      </c>
      <c r="G15" s="110">
        <v>979048.5785676667</v>
      </c>
      <c r="H15" s="110">
        <v>783737.66029766668</v>
      </c>
      <c r="I15" s="110">
        <v>195310.91826999999</v>
      </c>
      <c r="J15" s="110">
        <v>0</v>
      </c>
      <c r="K15" s="110">
        <v>0</v>
      </c>
      <c r="L15" s="110">
        <v>510191.91035119758</v>
      </c>
      <c r="M15" s="110">
        <v>441276.58558996301</v>
      </c>
      <c r="N15" s="110">
        <v>1227982.7339999999</v>
      </c>
      <c r="O15" s="110">
        <v>0</v>
      </c>
      <c r="P15" s="110">
        <v>83982.893620000003</v>
      </c>
      <c r="Q15" s="149">
        <v>32977555.86437716</v>
      </c>
    </row>
    <row r="16" spans="2:17" ht="34.5" customHeight="1" x14ac:dyDescent="0.35">
      <c r="B16" s="126" t="s">
        <v>160</v>
      </c>
      <c r="C16" s="110">
        <v>14833573.32563406</v>
      </c>
      <c r="D16" s="110">
        <v>1206031.60904</v>
      </c>
      <c r="E16" s="110">
        <v>1202398.2372975</v>
      </c>
      <c r="F16" s="110">
        <v>0</v>
      </c>
      <c r="G16" s="110">
        <v>1378586.9177000001</v>
      </c>
      <c r="H16" s="110">
        <v>1378586.9177000001</v>
      </c>
      <c r="I16" s="110">
        <v>0</v>
      </c>
      <c r="J16" s="110">
        <v>0</v>
      </c>
      <c r="K16" s="110">
        <v>0</v>
      </c>
      <c r="L16" s="110">
        <v>245637.62283202959</v>
      </c>
      <c r="M16" s="110">
        <v>218035.65766</v>
      </c>
      <c r="N16" s="110">
        <v>727044.27947320347</v>
      </c>
      <c r="O16" s="110">
        <v>3871.4086165508961</v>
      </c>
      <c r="P16" s="110">
        <v>0</v>
      </c>
      <c r="Q16" s="149">
        <v>14916884.23559618</v>
      </c>
    </row>
    <row r="17" spans="2:17" ht="34.5" customHeight="1" x14ac:dyDescent="0.35">
      <c r="B17" s="126" t="s">
        <v>161</v>
      </c>
      <c r="C17" s="110">
        <v>3629622.7196943201</v>
      </c>
      <c r="D17" s="110">
        <v>201199.68645000001</v>
      </c>
      <c r="E17" s="110">
        <v>201199.68645000001</v>
      </c>
      <c r="F17" s="110">
        <v>0</v>
      </c>
      <c r="G17" s="110">
        <v>222903.82281180419</v>
      </c>
      <c r="H17" s="110">
        <v>222903.82281180419</v>
      </c>
      <c r="I17" s="110">
        <v>0</v>
      </c>
      <c r="J17" s="110">
        <v>0</v>
      </c>
      <c r="K17" s="110">
        <v>0</v>
      </c>
      <c r="L17" s="110">
        <v>25625.356</v>
      </c>
      <c r="M17" s="110">
        <v>88031.96996389312</v>
      </c>
      <c r="N17" s="110">
        <v>192688.48601736649</v>
      </c>
      <c r="O17" s="110">
        <v>2862.0039999999999</v>
      </c>
      <c r="P17" s="110">
        <v>80121.930250000005</v>
      </c>
      <c r="Q17" s="149">
        <v>3603965.8091359888</v>
      </c>
    </row>
    <row r="18" spans="2:17" ht="34.5" customHeight="1" x14ac:dyDescent="0.35">
      <c r="B18" s="126" t="s">
        <v>162</v>
      </c>
      <c r="C18" s="110">
        <v>143072.85544539421</v>
      </c>
      <c r="D18" s="110">
        <v>16617.76958</v>
      </c>
      <c r="E18" s="110">
        <v>16570.332579999998</v>
      </c>
      <c r="F18" s="110">
        <v>0</v>
      </c>
      <c r="G18" s="110">
        <v>8910.6155999999992</v>
      </c>
      <c r="H18" s="110">
        <v>8910.6155999999992</v>
      </c>
      <c r="I18" s="110">
        <v>0</v>
      </c>
      <c r="J18" s="110">
        <v>0</v>
      </c>
      <c r="K18" s="110">
        <v>0</v>
      </c>
      <c r="L18" s="110">
        <v>3420.9214000000002</v>
      </c>
      <c r="M18" s="110">
        <v>10860.669176519999</v>
      </c>
      <c r="N18" s="110">
        <v>9325.9140000000007</v>
      </c>
      <c r="O18" s="110">
        <v>0</v>
      </c>
      <c r="P18" s="110">
        <v>0</v>
      </c>
      <c r="Q18" s="149">
        <v>145776.89584887421</v>
      </c>
    </row>
    <row r="19" spans="2:17" ht="34.5" customHeight="1" x14ac:dyDescent="0.35">
      <c r="B19" s="126" t="s">
        <v>163</v>
      </c>
      <c r="C19" s="110">
        <v>10773112.47688484</v>
      </c>
      <c r="D19" s="110">
        <v>430979.71100000001</v>
      </c>
      <c r="E19" s="110">
        <v>409050.647</v>
      </c>
      <c r="F19" s="110">
        <v>0</v>
      </c>
      <c r="G19" s="110">
        <v>304742.46234000003</v>
      </c>
      <c r="H19" s="110">
        <v>304742.46234000003</v>
      </c>
      <c r="I19" s="110">
        <v>0</v>
      </c>
      <c r="J19" s="110">
        <v>0</v>
      </c>
      <c r="K19" s="110">
        <v>0</v>
      </c>
      <c r="L19" s="110">
        <v>35450.927000000003</v>
      </c>
      <c r="M19" s="110">
        <v>74122.898000000001</v>
      </c>
      <c r="N19" s="110">
        <v>368630.38900000002</v>
      </c>
      <c r="O19" s="110">
        <v>12807.728999999999</v>
      </c>
      <c r="P19" s="110">
        <v>0</v>
      </c>
      <c r="Q19" s="149">
        <v>11123669.49654484</v>
      </c>
    </row>
    <row r="20" spans="2:17" ht="34.5" customHeight="1" x14ac:dyDescent="0.35">
      <c r="B20" s="150" t="s">
        <v>127</v>
      </c>
      <c r="C20" s="110">
        <v>4380581.2690963633</v>
      </c>
      <c r="D20" s="110">
        <v>321756.14794101479</v>
      </c>
      <c r="E20" s="110">
        <v>320726.23984453478</v>
      </c>
      <c r="F20" s="110">
        <v>0</v>
      </c>
      <c r="G20" s="110">
        <v>603331.69541053311</v>
      </c>
      <c r="H20" s="110">
        <v>603331.69541053311</v>
      </c>
      <c r="I20" s="110">
        <v>0</v>
      </c>
      <c r="J20" s="110">
        <v>0</v>
      </c>
      <c r="K20" s="110">
        <v>0</v>
      </c>
      <c r="L20" s="110">
        <v>45312.129273288963</v>
      </c>
      <c r="M20" s="110">
        <v>142732.21018420419</v>
      </c>
      <c r="N20" s="110">
        <v>52813.179457010177</v>
      </c>
      <c r="O20" s="110">
        <v>3456.8295534014478</v>
      </c>
      <c r="P20" s="110">
        <v>0</v>
      </c>
      <c r="Q20" s="149">
        <v>3959287.8239764799</v>
      </c>
    </row>
    <row r="21" spans="2:17" ht="34.5" customHeight="1" x14ac:dyDescent="0.35">
      <c r="B21" s="150" t="s">
        <v>164</v>
      </c>
      <c r="C21" s="110">
        <v>614855.85027251602</v>
      </c>
      <c r="D21" s="110">
        <v>39685.817569999999</v>
      </c>
      <c r="E21" s="110">
        <v>24140.564200000001</v>
      </c>
      <c r="F21" s="110">
        <v>-1576.430833749987</v>
      </c>
      <c r="G21" s="110">
        <v>341.30399999997019</v>
      </c>
      <c r="H21" s="110">
        <v>341.30399999997019</v>
      </c>
      <c r="I21" s="110">
        <v>0</v>
      </c>
      <c r="J21" s="110">
        <v>0</v>
      </c>
      <c r="K21" s="110">
        <v>0</v>
      </c>
      <c r="L21" s="110">
        <v>-6127.3410100000001</v>
      </c>
      <c r="M21" s="110">
        <v>9856.1990318829448</v>
      </c>
      <c r="N21" s="110">
        <v>36883.856224698029</v>
      </c>
      <c r="O21" s="110">
        <v>0</v>
      </c>
      <c r="P21" s="110">
        <v>0</v>
      </c>
      <c r="Q21" s="149">
        <v>670233.67784158105</v>
      </c>
    </row>
    <row r="22" spans="2:17" ht="34.5" customHeight="1" x14ac:dyDescent="0.35">
      <c r="B22" s="126" t="s">
        <v>165</v>
      </c>
      <c r="C22" s="110">
        <v>1599576.1787203699</v>
      </c>
      <c r="D22" s="110">
        <v>335033.03000000003</v>
      </c>
      <c r="E22" s="110">
        <v>332636.45699999999</v>
      </c>
      <c r="F22" s="110">
        <v>0</v>
      </c>
      <c r="G22" s="110">
        <v>167272.796</v>
      </c>
      <c r="H22" s="110">
        <v>167272.796</v>
      </c>
      <c r="I22" s="110">
        <v>0</v>
      </c>
      <c r="J22" s="110">
        <v>0</v>
      </c>
      <c r="K22" s="110">
        <v>0</v>
      </c>
      <c r="L22" s="110">
        <v>69539.032000000007</v>
      </c>
      <c r="M22" s="110">
        <v>68372.075968847013</v>
      </c>
      <c r="N22" s="110">
        <v>55648.192929791272</v>
      </c>
      <c r="O22" s="110">
        <v>0</v>
      </c>
      <c r="P22" s="110">
        <v>0</v>
      </c>
      <c r="Q22" s="149">
        <v>1682676.924681315</v>
      </c>
    </row>
    <row r="23" spans="2:17" ht="34.5" customHeight="1" x14ac:dyDescent="0.35">
      <c r="B23" s="126" t="s">
        <v>166</v>
      </c>
      <c r="C23" s="110">
        <v>1249649.1269905211</v>
      </c>
      <c r="D23" s="110">
        <v>352851.67200000002</v>
      </c>
      <c r="E23" s="110">
        <v>313193.07299999997</v>
      </c>
      <c r="F23" s="110">
        <v>4620.9340000000002</v>
      </c>
      <c r="G23" s="110">
        <v>66059.710999999996</v>
      </c>
      <c r="H23" s="110">
        <v>66059.710999999996</v>
      </c>
      <c r="I23" s="110">
        <v>0</v>
      </c>
      <c r="J23" s="110">
        <v>0</v>
      </c>
      <c r="K23" s="110">
        <v>0</v>
      </c>
      <c r="L23" s="110">
        <v>84123.115000000005</v>
      </c>
      <c r="M23" s="110">
        <v>171215.88119399999</v>
      </c>
      <c r="N23" s="110">
        <v>179241.24400000001</v>
      </c>
      <c r="O23" s="110">
        <v>0</v>
      </c>
      <c r="P23" s="110">
        <v>0</v>
      </c>
      <c r="Q23" s="149">
        <v>1425305.670796521</v>
      </c>
    </row>
    <row r="24" spans="2:17" ht="34.5" customHeight="1" x14ac:dyDescent="0.35">
      <c r="B24" s="126" t="s">
        <v>167</v>
      </c>
      <c r="C24" s="110">
        <v>9295849.4797521513</v>
      </c>
      <c r="D24" s="110">
        <v>916046.745</v>
      </c>
      <c r="E24" s="110">
        <v>883158.80253496999</v>
      </c>
      <c r="F24" s="110">
        <v>0</v>
      </c>
      <c r="G24" s="110">
        <v>389087.85097000003</v>
      </c>
      <c r="H24" s="110">
        <v>389087.85097000003</v>
      </c>
      <c r="I24" s="110">
        <v>0</v>
      </c>
      <c r="J24" s="110">
        <v>0</v>
      </c>
      <c r="K24" s="110">
        <v>0</v>
      </c>
      <c r="L24" s="110">
        <v>116294.12664724</v>
      </c>
      <c r="M24" s="110">
        <v>216646.23711115509</v>
      </c>
      <c r="N24" s="110">
        <v>616589.35942000011</v>
      </c>
      <c r="O24" s="110">
        <v>0</v>
      </c>
      <c r="P24" s="110">
        <v>0</v>
      </c>
      <c r="Q24" s="149">
        <v>10073569.42697873</v>
      </c>
    </row>
    <row r="25" spans="2:17" ht="34.5" customHeight="1" x14ac:dyDescent="0.35">
      <c r="B25" s="126" t="s">
        <v>168</v>
      </c>
      <c r="C25" s="110">
        <v>0</v>
      </c>
      <c r="D25" s="110">
        <v>0</v>
      </c>
      <c r="E25" s="110">
        <v>0</v>
      </c>
      <c r="F25" s="110">
        <v>0</v>
      </c>
      <c r="G25" s="110">
        <v>0</v>
      </c>
      <c r="H25" s="110">
        <v>0</v>
      </c>
      <c r="I25" s="110">
        <v>0</v>
      </c>
      <c r="J25" s="110">
        <v>0</v>
      </c>
      <c r="K25" s="110">
        <v>0</v>
      </c>
      <c r="L25" s="110">
        <v>0</v>
      </c>
      <c r="M25" s="110">
        <v>0</v>
      </c>
      <c r="N25" s="110">
        <v>0</v>
      </c>
      <c r="O25" s="110">
        <v>0</v>
      </c>
      <c r="P25" s="110">
        <v>0</v>
      </c>
      <c r="Q25" s="149">
        <v>0</v>
      </c>
    </row>
    <row r="26" spans="2:17" ht="34.5" customHeight="1" x14ac:dyDescent="0.35">
      <c r="B26" s="126" t="s">
        <v>169</v>
      </c>
      <c r="C26" s="110">
        <v>0</v>
      </c>
      <c r="D26" s="110">
        <v>0</v>
      </c>
      <c r="E26" s="110">
        <v>0</v>
      </c>
      <c r="F26" s="110">
        <v>0</v>
      </c>
      <c r="G26" s="110">
        <v>0</v>
      </c>
      <c r="H26" s="110">
        <v>0</v>
      </c>
      <c r="I26" s="110">
        <v>0</v>
      </c>
      <c r="J26" s="110">
        <v>0</v>
      </c>
      <c r="K26" s="110">
        <v>0</v>
      </c>
      <c r="L26" s="110">
        <v>0</v>
      </c>
      <c r="M26" s="110">
        <v>0</v>
      </c>
      <c r="N26" s="110">
        <v>0</v>
      </c>
      <c r="O26" s="110">
        <v>0</v>
      </c>
      <c r="P26" s="110">
        <v>0</v>
      </c>
      <c r="Q26" s="149">
        <v>0</v>
      </c>
    </row>
    <row r="27" spans="2:17" ht="34.5" customHeight="1" x14ac:dyDescent="0.35">
      <c r="B27" s="126" t="s">
        <v>170</v>
      </c>
      <c r="C27" s="110">
        <v>0</v>
      </c>
      <c r="D27" s="110">
        <v>0</v>
      </c>
      <c r="E27" s="110">
        <v>0</v>
      </c>
      <c r="F27" s="110">
        <v>0</v>
      </c>
      <c r="G27" s="110">
        <v>0</v>
      </c>
      <c r="H27" s="110">
        <v>0</v>
      </c>
      <c r="I27" s="110">
        <v>0</v>
      </c>
      <c r="J27" s="110">
        <v>0</v>
      </c>
      <c r="K27" s="110">
        <v>0</v>
      </c>
      <c r="L27" s="110">
        <v>0</v>
      </c>
      <c r="M27" s="110">
        <v>0</v>
      </c>
      <c r="N27" s="110">
        <v>0</v>
      </c>
      <c r="O27" s="110">
        <v>0</v>
      </c>
      <c r="P27" s="110">
        <v>0</v>
      </c>
      <c r="Q27" s="149">
        <v>0</v>
      </c>
    </row>
    <row r="28" spans="2:17" ht="34.5" customHeight="1" x14ac:dyDescent="0.35">
      <c r="B28" s="135" t="s">
        <v>7</v>
      </c>
      <c r="C28" s="118">
        <f t="shared" ref="C28:Q28" si="0">SUM(C6:C27)</f>
        <v>155256882.11672211</v>
      </c>
      <c r="D28" s="118">
        <f t="shared" si="0"/>
        <v>14353580.615161212</v>
      </c>
      <c r="E28" s="118">
        <f t="shared" si="0"/>
        <v>14184571.044077305</v>
      </c>
      <c r="F28" s="118">
        <f t="shared" si="0"/>
        <v>6905.4621662500131</v>
      </c>
      <c r="G28" s="118">
        <f t="shared" si="0"/>
        <v>7198299.0107517103</v>
      </c>
      <c r="H28" s="118">
        <f t="shared" si="0"/>
        <v>7002988.09248171</v>
      </c>
      <c r="I28" s="118">
        <f t="shared" si="0"/>
        <v>195310.91826999999</v>
      </c>
      <c r="J28" s="118">
        <f t="shared" si="0"/>
        <v>0</v>
      </c>
      <c r="K28" s="118">
        <f t="shared" si="0"/>
        <v>0</v>
      </c>
      <c r="L28" s="118">
        <f t="shared" si="0"/>
        <v>1841399.0360196673</v>
      </c>
      <c r="M28" s="118">
        <f t="shared" si="0"/>
        <v>2384891.2684845561</v>
      </c>
      <c r="N28" s="118">
        <f t="shared" si="0"/>
        <v>7137962.1990499925</v>
      </c>
      <c r="O28" s="118">
        <f t="shared" si="0"/>
        <v>69749.489543331059</v>
      </c>
      <c r="P28" s="118">
        <f t="shared" si="0"/>
        <v>164104.82387000002</v>
      </c>
      <c r="Q28" s="118">
        <f t="shared" si="0"/>
        <v>164927877.19334638</v>
      </c>
    </row>
    <row r="29" spans="2:17" ht="34.5" customHeight="1" x14ac:dyDescent="0.35">
      <c r="B29" s="347" t="s">
        <v>142</v>
      </c>
      <c r="C29" s="301"/>
      <c r="D29" s="301"/>
      <c r="E29" s="301"/>
      <c r="F29" s="301"/>
      <c r="G29" s="301"/>
      <c r="H29" s="301"/>
      <c r="I29" s="301"/>
      <c r="J29" s="301"/>
      <c r="K29" s="301"/>
      <c r="L29" s="301"/>
      <c r="M29" s="301"/>
      <c r="N29" s="301"/>
      <c r="O29" s="301"/>
      <c r="P29" s="301"/>
      <c r="Q29" s="302"/>
    </row>
    <row r="30" spans="2:17" ht="34.5" customHeight="1" x14ac:dyDescent="0.35">
      <c r="B30" s="126" t="s">
        <v>143</v>
      </c>
      <c r="C30" s="110">
        <v>0</v>
      </c>
      <c r="D30" s="110">
        <v>0</v>
      </c>
      <c r="E30" s="110">
        <v>0</v>
      </c>
      <c r="F30" s="110">
        <v>0</v>
      </c>
      <c r="G30" s="110">
        <v>0</v>
      </c>
      <c r="H30" s="110">
        <v>0</v>
      </c>
      <c r="I30" s="110">
        <v>0</v>
      </c>
      <c r="J30" s="110">
        <v>0</v>
      </c>
      <c r="K30" s="110">
        <v>0</v>
      </c>
      <c r="L30" s="110">
        <v>0</v>
      </c>
      <c r="M30" s="110">
        <v>0</v>
      </c>
      <c r="N30" s="110">
        <v>0</v>
      </c>
      <c r="O30" s="110">
        <v>0</v>
      </c>
      <c r="P30" s="110">
        <v>0</v>
      </c>
      <c r="Q30" s="149">
        <v>0</v>
      </c>
    </row>
    <row r="31" spans="2:17" ht="34.5" customHeight="1" x14ac:dyDescent="0.35">
      <c r="B31" s="126" t="s">
        <v>144</v>
      </c>
      <c r="C31" s="110">
        <v>249027.23772329881</v>
      </c>
      <c r="D31" s="110">
        <v>42625.760999075101</v>
      </c>
      <c r="E31" s="110">
        <v>38691.032301839841</v>
      </c>
      <c r="F31" s="110">
        <v>0</v>
      </c>
      <c r="G31" s="110">
        <v>5983.585941174958</v>
      </c>
      <c r="H31" s="110">
        <v>5983.585941174958</v>
      </c>
      <c r="I31" s="110">
        <v>0</v>
      </c>
      <c r="J31" s="110">
        <v>0</v>
      </c>
      <c r="K31" s="110">
        <v>0</v>
      </c>
      <c r="L31" s="110">
        <v>9917.2047710740444</v>
      </c>
      <c r="M31" s="110">
        <v>2497.2055052000001</v>
      </c>
      <c r="N31" s="110">
        <v>6768.7470042384784</v>
      </c>
      <c r="O31" s="110">
        <v>320.38750980000009</v>
      </c>
      <c r="P31" s="110">
        <v>0</v>
      </c>
      <c r="Q31" s="149">
        <v>275768.63330212818</v>
      </c>
    </row>
    <row r="32" spans="2:17" ht="34.5" customHeight="1" x14ac:dyDescent="0.35">
      <c r="B32" s="126" t="s">
        <v>146</v>
      </c>
      <c r="C32" s="110">
        <v>521444.69413999998</v>
      </c>
      <c r="D32" s="110">
        <v>46959.676979999997</v>
      </c>
      <c r="E32" s="110">
        <v>46959.676979999997</v>
      </c>
      <c r="F32" s="110">
        <v>0</v>
      </c>
      <c r="G32" s="110">
        <v>9027.1796300000005</v>
      </c>
      <c r="H32" s="110">
        <v>9027.1796300000005</v>
      </c>
      <c r="I32" s="110">
        <v>0</v>
      </c>
      <c r="J32" s="110">
        <v>0</v>
      </c>
      <c r="K32" s="110">
        <v>0</v>
      </c>
      <c r="L32" s="110">
        <v>12480.38409</v>
      </c>
      <c r="M32" s="110">
        <v>1751.139421176566</v>
      </c>
      <c r="N32" s="110">
        <v>8034.576</v>
      </c>
      <c r="O32" s="110">
        <v>0</v>
      </c>
      <c r="P32" s="110">
        <v>0</v>
      </c>
      <c r="Q32" s="149">
        <v>553180.24397882342</v>
      </c>
    </row>
    <row r="33" spans="2:17" s="2" customFormat="1" ht="34" customHeight="1" x14ac:dyDescent="0.3">
      <c r="B33" s="25" t="s">
        <v>7</v>
      </c>
      <c r="C33" s="257">
        <f t="shared" ref="C33:Q33" si="1">SUM(C30:C32)</f>
        <v>770471.93186329876</v>
      </c>
      <c r="D33" s="257">
        <f t="shared" si="1"/>
        <v>89585.437979075097</v>
      </c>
      <c r="E33" s="257">
        <f t="shared" si="1"/>
        <v>85650.709281839838</v>
      </c>
      <c r="F33" s="257">
        <f t="shared" si="1"/>
        <v>0</v>
      </c>
      <c r="G33" s="257">
        <f t="shared" si="1"/>
        <v>15010.765571174958</v>
      </c>
      <c r="H33" s="257">
        <f t="shared" si="1"/>
        <v>15010.765571174958</v>
      </c>
      <c r="I33" s="257">
        <f t="shared" si="1"/>
        <v>0</v>
      </c>
      <c r="J33" s="257">
        <f t="shared" si="1"/>
        <v>0</v>
      </c>
      <c r="K33" s="257">
        <f t="shared" si="1"/>
        <v>0</v>
      </c>
      <c r="L33" s="257">
        <f t="shared" si="1"/>
        <v>22397.588861074044</v>
      </c>
      <c r="M33" s="257">
        <f t="shared" si="1"/>
        <v>4248.344926376566</v>
      </c>
      <c r="N33" s="257">
        <f t="shared" si="1"/>
        <v>14803.323004238478</v>
      </c>
      <c r="O33" s="257">
        <f t="shared" si="1"/>
        <v>320.38750980000009</v>
      </c>
      <c r="P33" s="257">
        <f t="shared" si="1"/>
        <v>0</v>
      </c>
      <c r="Q33" s="257">
        <f t="shared" si="1"/>
        <v>828948.87728095159</v>
      </c>
    </row>
    <row r="34" spans="2:17" ht="34.5" customHeight="1" x14ac:dyDescent="0.35">
      <c r="B34" s="303" t="s">
        <v>149</v>
      </c>
      <c r="C34" s="324"/>
      <c r="D34" s="324"/>
      <c r="E34" s="324"/>
      <c r="F34" s="324"/>
      <c r="G34" s="324"/>
      <c r="H34" s="324"/>
      <c r="I34" s="324"/>
      <c r="J34" s="324"/>
      <c r="K34" s="324"/>
      <c r="L34" s="324"/>
      <c r="M34" s="324"/>
      <c r="N34" s="324"/>
      <c r="O34" s="324"/>
      <c r="P34" s="324"/>
      <c r="Q34" s="324"/>
    </row>
    <row r="35" spans="2:17" x14ac:dyDescent="0.35">
      <c r="C35" s="151"/>
      <c r="D35" s="151"/>
      <c r="E35" s="151"/>
      <c r="F35" s="151"/>
      <c r="G35" s="151"/>
      <c r="H35" s="151"/>
      <c r="I35" s="151"/>
      <c r="J35" s="151"/>
      <c r="K35" s="151"/>
      <c r="L35" s="151"/>
      <c r="M35" s="151"/>
      <c r="N35" s="151"/>
      <c r="O35" s="151"/>
      <c r="P35" s="151"/>
      <c r="Q35" s="151"/>
    </row>
    <row r="49" spans="2:17" ht="21.5" x14ac:dyDescent="0.45">
      <c r="B49" s="275"/>
      <c r="C49" s="275"/>
      <c r="D49" s="275"/>
      <c r="E49" s="275"/>
      <c r="F49" s="275"/>
      <c r="G49" s="275"/>
      <c r="H49" s="275"/>
      <c r="I49" s="275"/>
      <c r="J49" s="275"/>
      <c r="K49" s="275"/>
      <c r="L49" s="275"/>
      <c r="M49" s="275"/>
      <c r="N49" s="275"/>
      <c r="O49" s="275"/>
      <c r="P49" s="275"/>
      <c r="Q49" s="290"/>
    </row>
  </sheetData>
  <sheetProtection algorithmName="SHA-512" hashValue="jF9+GPiUovDxDkLLMDsR1V3zu3oGp706mDTDY9jOwRIuqRGXHq3G2rixmgQDmNxFIUShSPFd1Wzk+ztbsMFEig==" saltValue="5xRcBBa8cfbYL0m/g3Kl5A==" spinCount="100000" sheet="1" objects="1" scenarios="1"/>
  <mergeCells count="4">
    <mergeCell ref="B34:Q34"/>
    <mergeCell ref="B29:Q29"/>
    <mergeCell ref="B3:Q3"/>
    <mergeCell ref="B5:Q5"/>
  </mergeCells>
  <pageMargins left="0.7" right="0.7" top="0.75" bottom="0.75" header="0.3" footer="0.3"/>
  <pageSetup paperSize="9" scale="4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rgb="FF92D050"/>
    <pageSetUpPr fitToPage="1"/>
  </sheetPr>
  <dimension ref="B3:Q49"/>
  <sheetViews>
    <sheetView showGridLines="0" zoomScale="70" zoomScaleNormal="70" workbookViewId="0">
      <pane xSplit="2" ySplit="5" topLeftCell="Q29" activePane="bottomRight" state="frozen"/>
      <selection activeCell="A4" sqref="A4:XFD4"/>
      <selection pane="topRight" activeCell="A4" sqref="A4:XFD4"/>
      <selection pane="bottomLeft" activeCell="A4" sqref="A4:XFD4"/>
      <selection pane="bottomRight" activeCell="O31" sqref="B3:Q34"/>
    </sheetView>
  </sheetViews>
  <sheetFormatPr defaultColWidth="14.453125" defaultRowHeight="15.5" x14ac:dyDescent="0.35"/>
  <cols>
    <col min="1" max="1" width="16.453125" style="76" customWidth="1"/>
    <col min="2" max="2" width="46" style="76" customWidth="1"/>
    <col min="3" max="16" width="17.54296875" style="76" customWidth="1"/>
    <col min="17" max="17" width="17.54296875" style="138" customWidth="1"/>
    <col min="18" max="116" width="14.453125" style="76" customWidth="1"/>
    <col min="117" max="16384" width="14.453125" style="76"/>
  </cols>
  <sheetData>
    <row r="3" spans="2:17" s="275" customFormat="1" ht="22" x14ac:dyDescent="0.5">
      <c r="B3" s="297" t="str">
        <f>_xlfn.CONCAT('Table of Contents'!B22,": ",'Table of Contents'!C22)</f>
        <v>APPENDIX 10: SUMMARY OF ANNUITIES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65"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x14ac:dyDescent="0.35">
      <c r="B5" s="347" t="s">
        <v>106</v>
      </c>
      <c r="C5" s="301"/>
      <c r="D5" s="301"/>
      <c r="E5" s="301"/>
      <c r="F5" s="301"/>
      <c r="G5" s="301"/>
      <c r="H5" s="301"/>
      <c r="I5" s="301"/>
      <c r="J5" s="301"/>
      <c r="K5" s="301"/>
      <c r="L5" s="301"/>
      <c r="M5" s="301"/>
      <c r="N5" s="301"/>
      <c r="O5" s="301"/>
      <c r="P5" s="301"/>
      <c r="Q5" s="302"/>
    </row>
    <row r="6" spans="2:17" ht="34.5" customHeight="1" x14ac:dyDescent="0.35">
      <c r="B6" s="126" t="s">
        <v>150</v>
      </c>
      <c r="C6" s="110">
        <v>0</v>
      </c>
      <c r="D6" s="110">
        <v>0</v>
      </c>
      <c r="E6" s="110">
        <v>0</v>
      </c>
      <c r="F6" s="110">
        <v>0</v>
      </c>
      <c r="G6" s="110">
        <v>0</v>
      </c>
      <c r="H6" s="110">
        <v>0</v>
      </c>
      <c r="I6" s="110">
        <v>0</v>
      </c>
      <c r="J6" s="110">
        <v>0</v>
      </c>
      <c r="K6" s="110">
        <v>0</v>
      </c>
      <c r="L6" s="110">
        <v>0</v>
      </c>
      <c r="M6" s="110">
        <v>0</v>
      </c>
      <c r="N6" s="110">
        <v>0</v>
      </c>
      <c r="O6" s="110">
        <v>0</v>
      </c>
      <c r="P6" s="110">
        <v>0</v>
      </c>
      <c r="Q6" s="149">
        <v>0</v>
      </c>
    </row>
    <row r="7" spans="2:17" ht="34.5" customHeight="1" x14ac:dyDescent="0.35">
      <c r="B7" s="126" t="s">
        <v>151</v>
      </c>
      <c r="C7" s="110">
        <v>1023473.894</v>
      </c>
      <c r="D7" s="110">
        <v>5112.1580000000004</v>
      </c>
      <c r="E7" s="110">
        <v>5112.1580000000004</v>
      </c>
      <c r="F7" s="110">
        <v>0</v>
      </c>
      <c r="G7" s="110">
        <v>28078.109</v>
      </c>
      <c r="H7" s="110">
        <v>28078.109</v>
      </c>
      <c r="I7" s="110">
        <v>0</v>
      </c>
      <c r="J7" s="110">
        <v>0</v>
      </c>
      <c r="K7" s="110">
        <v>0</v>
      </c>
      <c r="L7" s="110">
        <v>0</v>
      </c>
      <c r="M7" s="110">
        <v>2809.6919710288889</v>
      </c>
      <c r="N7" s="110">
        <v>32414.933602522698</v>
      </c>
      <c r="O7" s="110">
        <v>-2807.13526294752</v>
      </c>
      <c r="P7" s="110">
        <v>0</v>
      </c>
      <c r="Q7" s="149">
        <v>1032920.3198944411</v>
      </c>
    </row>
    <row r="8" spans="2:17" ht="34.5" customHeight="1" x14ac:dyDescent="0.35">
      <c r="B8" s="126" t="s">
        <v>152</v>
      </c>
      <c r="C8" s="110">
        <v>33926902.995300002</v>
      </c>
      <c r="D8" s="110">
        <v>2387797.2485099989</v>
      </c>
      <c r="E8" s="110">
        <v>2387797.2485099989</v>
      </c>
      <c r="F8" s="110">
        <v>0</v>
      </c>
      <c r="G8" s="110">
        <v>1039680.50956</v>
      </c>
      <c r="H8" s="110">
        <v>1039680.50956</v>
      </c>
      <c r="I8" s="110">
        <v>0</v>
      </c>
      <c r="J8" s="110">
        <v>0</v>
      </c>
      <c r="K8" s="110">
        <v>0</v>
      </c>
      <c r="L8" s="110">
        <v>51433.347999999998</v>
      </c>
      <c r="M8" s="110">
        <v>27910.899000000001</v>
      </c>
      <c r="N8" s="110">
        <v>2517310.9709999999</v>
      </c>
      <c r="O8" s="110">
        <v>11185.610828186491</v>
      </c>
      <c r="P8" s="110">
        <v>0</v>
      </c>
      <c r="Q8" s="149">
        <v>37701800.847421817</v>
      </c>
    </row>
    <row r="9" spans="2:17" ht="34.5" customHeight="1" x14ac:dyDescent="0.35">
      <c r="B9" s="126" t="s">
        <v>153</v>
      </c>
      <c r="C9" s="110">
        <v>10223.214</v>
      </c>
      <c r="D9" s="110">
        <v>0</v>
      </c>
      <c r="E9" s="110">
        <v>0</v>
      </c>
      <c r="F9" s="110">
        <v>0</v>
      </c>
      <c r="G9" s="110">
        <v>327.37725</v>
      </c>
      <c r="H9" s="110">
        <v>327.37725</v>
      </c>
      <c r="I9" s="110">
        <v>0</v>
      </c>
      <c r="J9" s="110">
        <v>0</v>
      </c>
      <c r="K9" s="110">
        <v>0</v>
      </c>
      <c r="L9" s="110">
        <v>0</v>
      </c>
      <c r="M9" s="110">
        <v>0</v>
      </c>
      <c r="N9" s="110">
        <v>0</v>
      </c>
      <c r="O9" s="110">
        <v>0</v>
      </c>
      <c r="P9" s="110">
        <v>0</v>
      </c>
      <c r="Q9" s="149">
        <v>9895.8367500000004</v>
      </c>
    </row>
    <row r="10" spans="2:17" ht="34.5" customHeight="1" x14ac:dyDescent="0.35">
      <c r="B10" s="126" t="s">
        <v>154</v>
      </c>
      <c r="C10" s="110">
        <v>872585.04969131667</v>
      </c>
      <c r="D10" s="110">
        <v>238776.356</v>
      </c>
      <c r="E10" s="110">
        <v>238776.356</v>
      </c>
      <c r="F10" s="110">
        <v>0</v>
      </c>
      <c r="G10" s="110">
        <v>119540.48264</v>
      </c>
      <c r="H10" s="110">
        <v>119540.48264</v>
      </c>
      <c r="I10" s="110">
        <v>0</v>
      </c>
      <c r="J10" s="110">
        <v>0</v>
      </c>
      <c r="K10" s="110">
        <v>0</v>
      </c>
      <c r="L10" s="110">
        <v>10888.550999999999</v>
      </c>
      <c r="M10" s="110">
        <v>40475.258254650747</v>
      </c>
      <c r="N10" s="110">
        <v>522.63302214196767</v>
      </c>
      <c r="O10" s="110">
        <v>0</v>
      </c>
      <c r="P10" s="110">
        <v>0</v>
      </c>
      <c r="Q10" s="149">
        <v>940979.74681880791</v>
      </c>
    </row>
    <row r="11" spans="2:17" ht="34.5" customHeight="1" x14ac:dyDescent="0.35">
      <c r="B11" s="126" t="s">
        <v>155</v>
      </c>
      <c r="C11" s="110">
        <v>3176782.8477162928</v>
      </c>
      <c r="D11" s="110">
        <v>883273.8541900001</v>
      </c>
      <c r="E11" s="110">
        <v>883273.8541900001</v>
      </c>
      <c r="F11" s="110">
        <v>0</v>
      </c>
      <c r="G11" s="110">
        <v>17613.78412</v>
      </c>
      <c r="H11" s="110">
        <v>17613.78412</v>
      </c>
      <c r="I11" s="110">
        <v>0</v>
      </c>
      <c r="J11" s="110">
        <v>0</v>
      </c>
      <c r="K11" s="110">
        <v>0</v>
      </c>
      <c r="L11" s="110">
        <v>17613.78412</v>
      </c>
      <c r="M11" s="110">
        <v>18448.717990000001</v>
      </c>
      <c r="N11" s="110">
        <v>0</v>
      </c>
      <c r="O11" s="110">
        <v>0</v>
      </c>
      <c r="P11" s="110">
        <v>0</v>
      </c>
      <c r="Q11" s="149">
        <v>4006380.415676293</v>
      </c>
    </row>
    <row r="12" spans="2:17" ht="34.5" customHeight="1" x14ac:dyDescent="0.35">
      <c r="B12" s="126" t="s">
        <v>156</v>
      </c>
      <c r="C12" s="110">
        <v>0</v>
      </c>
      <c r="D12" s="110">
        <v>0</v>
      </c>
      <c r="E12" s="110">
        <v>0</v>
      </c>
      <c r="F12" s="110">
        <v>0</v>
      </c>
      <c r="G12" s="110">
        <v>0</v>
      </c>
      <c r="H12" s="110">
        <v>0</v>
      </c>
      <c r="I12" s="110">
        <v>0</v>
      </c>
      <c r="J12" s="110">
        <v>0</v>
      </c>
      <c r="K12" s="110">
        <v>0</v>
      </c>
      <c r="L12" s="110">
        <v>0</v>
      </c>
      <c r="M12" s="110">
        <v>0</v>
      </c>
      <c r="N12" s="110">
        <v>0</v>
      </c>
      <c r="O12" s="110">
        <v>0</v>
      </c>
      <c r="P12" s="110">
        <v>0</v>
      </c>
      <c r="Q12" s="149">
        <v>0</v>
      </c>
    </row>
    <row r="13" spans="2:17" ht="34.5" customHeight="1" x14ac:dyDescent="0.35">
      <c r="B13" s="126" t="s">
        <v>157</v>
      </c>
      <c r="C13" s="110">
        <v>0</v>
      </c>
      <c r="D13" s="110">
        <v>0</v>
      </c>
      <c r="E13" s="110">
        <v>0</v>
      </c>
      <c r="F13" s="110">
        <v>0</v>
      </c>
      <c r="G13" s="110">
        <v>0</v>
      </c>
      <c r="H13" s="110">
        <v>0</v>
      </c>
      <c r="I13" s="110">
        <v>0</v>
      </c>
      <c r="J13" s="110">
        <v>0</v>
      </c>
      <c r="K13" s="110">
        <v>0</v>
      </c>
      <c r="L13" s="110">
        <v>0</v>
      </c>
      <c r="M13" s="110">
        <v>0</v>
      </c>
      <c r="N13" s="110">
        <v>0</v>
      </c>
      <c r="O13" s="110">
        <v>0</v>
      </c>
      <c r="P13" s="110">
        <v>0</v>
      </c>
      <c r="Q13" s="149">
        <v>0</v>
      </c>
    </row>
    <row r="14" spans="2:17" ht="34.5" customHeight="1" x14ac:dyDescent="0.35">
      <c r="B14" s="126" t="s">
        <v>158</v>
      </c>
      <c r="C14" s="110">
        <v>0</v>
      </c>
      <c r="D14" s="110">
        <v>0</v>
      </c>
      <c r="E14" s="110">
        <v>0</v>
      </c>
      <c r="F14" s="110">
        <v>0</v>
      </c>
      <c r="G14" s="110">
        <v>0</v>
      </c>
      <c r="H14" s="110">
        <v>0</v>
      </c>
      <c r="I14" s="110">
        <v>0</v>
      </c>
      <c r="J14" s="110">
        <v>0</v>
      </c>
      <c r="K14" s="110">
        <v>0</v>
      </c>
      <c r="L14" s="110">
        <v>0</v>
      </c>
      <c r="M14" s="110">
        <v>0</v>
      </c>
      <c r="N14" s="110">
        <v>0</v>
      </c>
      <c r="O14" s="110">
        <v>0</v>
      </c>
      <c r="P14" s="110">
        <v>0</v>
      </c>
      <c r="Q14" s="149">
        <v>0</v>
      </c>
    </row>
    <row r="15" spans="2:17" ht="34.5" customHeight="1" x14ac:dyDescent="0.35">
      <c r="B15" s="126" t="s">
        <v>159</v>
      </c>
      <c r="C15" s="110">
        <v>26623035.776000001</v>
      </c>
      <c r="D15" s="110">
        <v>954829.79500000004</v>
      </c>
      <c r="E15" s="110">
        <v>954829.79500000004</v>
      </c>
      <c r="F15" s="110">
        <v>0</v>
      </c>
      <c r="G15" s="110">
        <v>715256.33218999999</v>
      </c>
      <c r="H15" s="110">
        <v>15542.352559999999</v>
      </c>
      <c r="I15" s="110">
        <v>0</v>
      </c>
      <c r="J15" s="110">
        <v>0</v>
      </c>
      <c r="K15" s="110">
        <v>699713.97962999996</v>
      </c>
      <c r="L15" s="110">
        <v>20640.7166</v>
      </c>
      <c r="M15" s="110">
        <v>13741.53027989868</v>
      </c>
      <c r="N15" s="110">
        <v>1965226.5619999999</v>
      </c>
      <c r="O15" s="110">
        <v>0</v>
      </c>
      <c r="P15" s="110">
        <v>105000</v>
      </c>
      <c r="Q15" s="149">
        <v>28688453.5539301</v>
      </c>
    </row>
    <row r="16" spans="2:17" ht="34.5" customHeight="1" x14ac:dyDescent="0.35">
      <c r="B16" s="126" t="s">
        <v>160</v>
      </c>
      <c r="C16" s="110">
        <v>15560173.90697843</v>
      </c>
      <c r="D16" s="110">
        <v>534487.42698999983</v>
      </c>
      <c r="E16" s="110">
        <v>534487.42698999983</v>
      </c>
      <c r="F16" s="110">
        <v>0</v>
      </c>
      <c r="G16" s="110">
        <v>474993.75300000003</v>
      </c>
      <c r="H16" s="110">
        <v>474993.75300000003</v>
      </c>
      <c r="I16" s="110">
        <v>0</v>
      </c>
      <c r="J16" s="110">
        <v>0</v>
      </c>
      <c r="K16" s="110">
        <v>0</v>
      </c>
      <c r="L16" s="110">
        <v>10955.2916508</v>
      </c>
      <c r="M16" s="110">
        <v>6419.9318999999996</v>
      </c>
      <c r="N16" s="110">
        <v>1188420.844</v>
      </c>
      <c r="O16" s="110">
        <v>3421.2959999999998</v>
      </c>
      <c r="P16" s="110">
        <v>0</v>
      </c>
      <c r="Q16" s="149">
        <v>16787291.905417629</v>
      </c>
    </row>
    <row r="17" spans="2:17" ht="34.5" customHeight="1" x14ac:dyDescent="0.35">
      <c r="B17" s="126" t="s">
        <v>161</v>
      </c>
      <c r="C17" s="110">
        <v>5697573.95929066</v>
      </c>
      <c r="D17" s="110">
        <v>153279.182</v>
      </c>
      <c r="E17" s="110">
        <v>153279.182</v>
      </c>
      <c r="F17" s="110">
        <v>0</v>
      </c>
      <c r="G17" s="110">
        <v>241319.75399999999</v>
      </c>
      <c r="H17" s="110">
        <v>241319.75399999999</v>
      </c>
      <c r="I17" s="110">
        <v>0</v>
      </c>
      <c r="J17" s="110">
        <v>0</v>
      </c>
      <c r="K17" s="110">
        <v>0</v>
      </c>
      <c r="L17" s="110">
        <v>2541.5836399999998</v>
      </c>
      <c r="M17" s="110">
        <v>3618.0862143999998</v>
      </c>
      <c r="N17" s="110">
        <v>192266.54409489999</v>
      </c>
      <c r="O17" s="110">
        <v>0</v>
      </c>
      <c r="P17" s="110">
        <v>0</v>
      </c>
      <c r="Q17" s="149">
        <v>5795640.2615311602</v>
      </c>
    </row>
    <row r="18" spans="2:17" ht="34.5" customHeight="1" x14ac:dyDescent="0.35">
      <c r="B18" s="126" t="s">
        <v>162</v>
      </c>
      <c r="C18" s="110">
        <v>1776676.110516221</v>
      </c>
      <c r="D18" s="110">
        <v>95951.990999999995</v>
      </c>
      <c r="E18" s="110">
        <v>95951.990999999995</v>
      </c>
      <c r="F18" s="110">
        <v>0</v>
      </c>
      <c r="G18" s="110">
        <v>65202.506340000007</v>
      </c>
      <c r="H18" s="110">
        <v>65202.506340000007</v>
      </c>
      <c r="I18" s="110">
        <v>0</v>
      </c>
      <c r="J18" s="110">
        <v>0</v>
      </c>
      <c r="K18" s="110">
        <v>0</v>
      </c>
      <c r="L18" s="110">
        <v>3315.22</v>
      </c>
      <c r="M18" s="110">
        <v>2338.0281483999988</v>
      </c>
      <c r="N18" s="110">
        <v>33006.131000000001</v>
      </c>
      <c r="O18" s="110">
        <v>0</v>
      </c>
      <c r="P18" s="110">
        <v>0</v>
      </c>
      <c r="Q18" s="149">
        <v>1834778.478027822</v>
      </c>
    </row>
    <row r="19" spans="2:17" ht="34.5" customHeight="1" x14ac:dyDescent="0.35">
      <c r="B19" s="150" t="s">
        <v>163</v>
      </c>
      <c r="C19" s="110">
        <v>985937.86965000001</v>
      </c>
      <c r="D19" s="110">
        <v>0</v>
      </c>
      <c r="E19" s="110">
        <v>0</v>
      </c>
      <c r="F19" s="110">
        <v>0</v>
      </c>
      <c r="G19" s="110">
        <v>4311.1049999999996</v>
      </c>
      <c r="H19" s="110">
        <v>0</v>
      </c>
      <c r="I19" s="110">
        <v>0</v>
      </c>
      <c r="J19" s="110">
        <v>0</v>
      </c>
      <c r="K19" s="110">
        <v>4311.1049999999996</v>
      </c>
      <c r="L19" s="110">
        <v>0</v>
      </c>
      <c r="M19" s="110">
        <v>463.74</v>
      </c>
      <c r="N19" s="110">
        <v>16820.317999999999</v>
      </c>
      <c r="O19" s="110">
        <v>44.468000000000004</v>
      </c>
      <c r="P19" s="110">
        <v>0</v>
      </c>
      <c r="Q19" s="149">
        <v>997938.87465000001</v>
      </c>
    </row>
    <row r="20" spans="2:17" ht="34.5" customHeight="1" x14ac:dyDescent="0.35">
      <c r="B20" s="150" t="s">
        <v>127</v>
      </c>
      <c r="C20" s="110">
        <v>4357473.6322626397</v>
      </c>
      <c r="D20" s="110">
        <v>0</v>
      </c>
      <c r="E20" s="110">
        <v>0</v>
      </c>
      <c r="F20" s="110">
        <v>0</v>
      </c>
      <c r="G20" s="110">
        <v>266130.41466000001</v>
      </c>
      <c r="H20" s="110">
        <v>266130.41466000001</v>
      </c>
      <c r="I20" s="110">
        <v>0</v>
      </c>
      <c r="J20" s="110">
        <v>0</v>
      </c>
      <c r="K20" s="110">
        <v>0</v>
      </c>
      <c r="L20" s="110">
        <v>0</v>
      </c>
      <c r="M20" s="110">
        <v>7210.0000089481528</v>
      </c>
      <c r="N20" s="110">
        <v>40499.973188787037</v>
      </c>
      <c r="O20" s="110">
        <v>2650.881951633422</v>
      </c>
      <c r="P20" s="110">
        <v>0</v>
      </c>
      <c r="Q20" s="149">
        <v>4121982.3088308452</v>
      </c>
    </row>
    <row r="21" spans="2:17" ht="34.5" customHeight="1" x14ac:dyDescent="0.35">
      <c r="B21" s="126" t="s">
        <v>164</v>
      </c>
      <c r="C21" s="110">
        <v>1569047.3524172071</v>
      </c>
      <c r="D21" s="110">
        <v>0</v>
      </c>
      <c r="E21" s="110">
        <v>0</v>
      </c>
      <c r="F21" s="110">
        <v>0</v>
      </c>
      <c r="G21" s="110">
        <v>31977.114000000001</v>
      </c>
      <c r="H21" s="110">
        <v>31977.114000000001</v>
      </c>
      <c r="I21" s="110">
        <v>0</v>
      </c>
      <c r="J21" s="110">
        <v>0</v>
      </c>
      <c r="K21" s="110">
        <v>0</v>
      </c>
      <c r="L21" s="110">
        <v>0</v>
      </c>
      <c r="M21" s="110">
        <v>2518.8117676833072</v>
      </c>
      <c r="N21" s="110">
        <v>53092.174873637683</v>
      </c>
      <c r="O21" s="110">
        <v>0</v>
      </c>
      <c r="P21" s="110">
        <v>0</v>
      </c>
      <c r="Q21" s="149">
        <v>1587643.6015231621</v>
      </c>
    </row>
    <row r="22" spans="2:17" ht="34.5" customHeight="1" x14ac:dyDescent="0.35">
      <c r="B22" s="126" t="s">
        <v>165</v>
      </c>
      <c r="C22" s="110">
        <v>407889.2868</v>
      </c>
      <c r="D22" s="110">
        <v>64271.981</v>
      </c>
      <c r="E22" s="110">
        <v>64271.981</v>
      </c>
      <c r="F22" s="110">
        <v>0</v>
      </c>
      <c r="G22" s="110">
        <v>21957.464</v>
      </c>
      <c r="H22" s="110">
        <v>21957.464</v>
      </c>
      <c r="I22" s="110">
        <v>0</v>
      </c>
      <c r="J22" s="110">
        <v>0</v>
      </c>
      <c r="K22" s="110">
        <v>0</v>
      </c>
      <c r="L22" s="110">
        <v>1285.4396200000001</v>
      </c>
      <c r="M22" s="110">
        <v>1977.2353735562001</v>
      </c>
      <c r="N22" s="110">
        <v>2283.8935241034501</v>
      </c>
      <c r="O22" s="110">
        <v>0</v>
      </c>
      <c r="P22" s="110">
        <v>0</v>
      </c>
      <c r="Q22" s="149">
        <v>449225.02233054728</v>
      </c>
    </row>
    <row r="23" spans="2:17" ht="34.5" customHeight="1" x14ac:dyDescent="0.35">
      <c r="B23" s="126" t="s">
        <v>166</v>
      </c>
      <c r="C23" s="110">
        <v>0</v>
      </c>
      <c r="D23" s="110">
        <v>0</v>
      </c>
      <c r="E23" s="110">
        <v>0</v>
      </c>
      <c r="F23" s="110">
        <v>0</v>
      </c>
      <c r="G23" s="110">
        <v>0</v>
      </c>
      <c r="H23" s="110">
        <v>0</v>
      </c>
      <c r="I23" s="110">
        <v>0</v>
      </c>
      <c r="J23" s="110">
        <v>0</v>
      </c>
      <c r="K23" s="110">
        <v>0</v>
      </c>
      <c r="L23" s="110">
        <v>0</v>
      </c>
      <c r="M23" s="110">
        <v>0</v>
      </c>
      <c r="N23" s="110">
        <v>0</v>
      </c>
      <c r="O23" s="110">
        <v>0</v>
      </c>
      <c r="P23" s="110">
        <v>0</v>
      </c>
      <c r="Q23" s="149">
        <v>0</v>
      </c>
    </row>
    <row r="24" spans="2:17" ht="34.5" customHeight="1" x14ac:dyDescent="0.35">
      <c r="B24" s="126" t="s">
        <v>167</v>
      </c>
      <c r="C24" s="110">
        <v>18246565.540502291</v>
      </c>
      <c r="D24" s="110">
        <v>13899.28052</v>
      </c>
      <c r="E24" s="110">
        <v>13899.28052</v>
      </c>
      <c r="F24" s="110">
        <v>0</v>
      </c>
      <c r="G24" s="110">
        <v>457723.73796</v>
      </c>
      <c r="H24" s="110">
        <v>457723.73796</v>
      </c>
      <c r="I24" s="110">
        <v>0</v>
      </c>
      <c r="J24" s="110">
        <v>0</v>
      </c>
      <c r="K24" s="110">
        <v>0</v>
      </c>
      <c r="L24" s="110">
        <v>215.33658</v>
      </c>
      <c r="M24" s="110">
        <v>9604.9998589999977</v>
      </c>
      <c r="N24" s="110">
        <v>1152078.69496</v>
      </c>
      <c r="O24" s="110">
        <v>0</v>
      </c>
      <c r="P24" s="110">
        <v>0</v>
      </c>
      <c r="Q24" s="149">
        <v>18944999.441583291</v>
      </c>
    </row>
    <row r="25" spans="2:17" ht="34.5" customHeight="1" x14ac:dyDescent="0.35">
      <c r="B25" s="126" t="s">
        <v>168</v>
      </c>
      <c r="C25" s="110">
        <v>0</v>
      </c>
      <c r="D25" s="110">
        <v>0</v>
      </c>
      <c r="E25" s="110">
        <v>0</v>
      </c>
      <c r="F25" s="110">
        <v>0</v>
      </c>
      <c r="G25" s="110">
        <v>0</v>
      </c>
      <c r="H25" s="110">
        <v>0</v>
      </c>
      <c r="I25" s="110">
        <v>0</v>
      </c>
      <c r="J25" s="110">
        <v>0</v>
      </c>
      <c r="K25" s="110">
        <v>0</v>
      </c>
      <c r="L25" s="110">
        <v>0</v>
      </c>
      <c r="M25" s="110">
        <v>0</v>
      </c>
      <c r="N25" s="110">
        <v>0</v>
      </c>
      <c r="O25" s="110">
        <v>0</v>
      </c>
      <c r="P25" s="110">
        <v>0</v>
      </c>
      <c r="Q25" s="149">
        <v>0</v>
      </c>
    </row>
    <row r="26" spans="2:17" ht="34.5" customHeight="1" x14ac:dyDescent="0.35">
      <c r="B26" s="126" t="s">
        <v>169</v>
      </c>
      <c r="C26" s="110">
        <v>0</v>
      </c>
      <c r="D26" s="110">
        <v>0</v>
      </c>
      <c r="E26" s="110">
        <v>0</v>
      </c>
      <c r="F26" s="110">
        <v>0</v>
      </c>
      <c r="G26" s="110">
        <v>0</v>
      </c>
      <c r="H26" s="110">
        <v>0</v>
      </c>
      <c r="I26" s="110">
        <v>0</v>
      </c>
      <c r="J26" s="110">
        <v>0</v>
      </c>
      <c r="K26" s="110">
        <v>0</v>
      </c>
      <c r="L26" s="110">
        <v>0</v>
      </c>
      <c r="M26" s="110">
        <v>0</v>
      </c>
      <c r="N26" s="110">
        <v>0</v>
      </c>
      <c r="O26" s="110">
        <v>0</v>
      </c>
      <c r="P26" s="110">
        <v>0</v>
      </c>
      <c r="Q26" s="149">
        <v>0</v>
      </c>
    </row>
    <row r="27" spans="2:17" ht="34.5" customHeight="1" x14ac:dyDescent="0.35">
      <c r="B27" s="126" t="s">
        <v>170</v>
      </c>
      <c r="C27" s="110">
        <v>0</v>
      </c>
      <c r="D27" s="110">
        <v>0</v>
      </c>
      <c r="E27" s="110">
        <v>0</v>
      </c>
      <c r="F27" s="110">
        <v>0</v>
      </c>
      <c r="G27" s="110">
        <v>0</v>
      </c>
      <c r="H27" s="110">
        <v>0</v>
      </c>
      <c r="I27" s="110">
        <v>0</v>
      </c>
      <c r="J27" s="110">
        <v>0</v>
      </c>
      <c r="K27" s="110">
        <v>0</v>
      </c>
      <c r="L27" s="110">
        <v>0</v>
      </c>
      <c r="M27" s="110">
        <v>0</v>
      </c>
      <c r="N27" s="110">
        <v>0</v>
      </c>
      <c r="O27" s="110">
        <v>0</v>
      </c>
      <c r="P27" s="110">
        <v>0</v>
      </c>
      <c r="Q27" s="149">
        <v>0</v>
      </c>
    </row>
    <row r="28" spans="2:17" ht="34.5" customHeight="1" x14ac:dyDescent="0.35">
      <c r="B28" s="135" t="s">
        <v>7</v>
      </c>
      <c r="C28" s="118">
        <f t="shared" ref="C28:Q28" si="0">SUM(C6:C27)</f>
        <v>114234341.43512507</v>
      </c>
      <c r="D28" s="118">
        <f t="shared" si="0"/>
        <v>5331679.2732099984</v>
      </c>
      <c r="E28" s="118">
        <f t="shared" si="0"/>
        <v>5331679.2732099984</v>
      </c>
      <c r="F28" s="118">
        <f t="shared" si="0"/>
        <v>0</v>
      </c>
      <c r="G28" s="118">
        <f t="shared" si="0"/>
        <v>3484112.4437200008</v>
      </c>
      <c r="H28" s="118">
        <f t="shared" si="0"/>
        <v>2780087.3590900004</v>
      </c>
      <c r="I28" s="118">
        <f t="shared" si="0"/>
        <v>0</v>
      </c>
      <c r="J28" s="118">
        <f t="shared" si="0"/>
        <v>0</v>
      </c>
      <c r="K28" s="118">
        <f t="shared" si="0"/>
        <v>704025.08462999994</v>
      </c>
      <c r="L28" s="118">
        <f t="shared" si="0"/>
        <v>118889.27121080001</v>
      </c>
      <c r="M28" s="118">
        <f t="shared" si="0"/>
        <v>137536.93076756599</v>
      </c>
      <c r="N28" s="118">
        <f t="shared" si="0"/>
        <v>7193943.6732660923</v>
      </c>
      <c r="O28" s="118">
        <f t="shared" si="0"/>
        <v>14495.121516872394</v>
      </c>
      <c r="P28" s="118">
        <f t="shared" si="0"/>
        <v>105000</v>
      </c>
      <c r="Q28" s="118">
        <f t="shared" si="0"/>
        <v>122899930.61438592</v>
      </c>
    </row>
    <row r="29" spans="2:17" ht="34.5" customHeight="1" x14ac:dyDescent="0.35">
      <c r="B29" s="347" t="s">
        <v>142</v>
      </c>
      <c r="C29" s="301"/>
      <c r="D29" s="301"/>
      <c r="E29" s="301"/>
      <c r="F29" s="301"/>
      <c r="G29" s="301"/>
      <c r="H29" s="301"/>
      <c r="I29" s="301"/>
      <c r="J29" s="301"/>
      <c r="K29" s="301"/>
      <c r="L29" s="301"/>
      <c r="M29" s="301"/>
      <c r="N29" s="301"/>
      <c r="O29" s="301"/>
      <c r="P29" s="301"/>
      <c r="Q29" s="302"/>
    </row>
    <row r="30" spans="2:17" ht="34.5" customHeight="1" x14ac:dyDescent="0.35">
      <c r="B30" s="126" t="s">
        <v>143</v>
      </c>
      <c r="C30" s="110">
        <v>0</v>
      </c>
      <c r="D30" s="110">
        <v>0</v>
      </c>
      <c r="E30" s="110">
        <v>0</v>
      </c>
      <c r="F30" s="110">
        <v>0</v>
      </c>
      <c r="G30" s="110">
        <v>0</v>
      </c>
      <c r="H30" s="110">
        <v>0</v>
      </c>
      <c r="I30" s="110">
        <v>0</v>
      </c>
      <c r="J30" s="110">
        <v>0</v>
      </c>
      <c r="K30" s="110">
        <v>0</v>
      </c>
      <c r="L30" s="110">
        <v>0</v>
      </c>
      <c r="M30" s="110">
        <v>0</v>
      </c>
      <c r="N30" s="110">
        <v>0</v>
      </c>
      <c r="O30" s="110">
        <v>0</v>
      </c>
      <c r="P30" s="110">
        <v>0</v>
      </c>
      <c r="Q30" s="149">
        <v>0</v>
      </c>
    </row>
    <row r="31" spans="2:17" ht="34.5" customHeight="1" x14ac:dyDescent="0.35">
      <c r="B31" s="126" t="s">
        <v>144</v>
      </c>
      <c r="C31" s="110">
        <v>0</v>
      </c>
      <c r="D31" s="110">
        <v>0</v>
      </c>
      <c r="E31" s="110">
        <v>0</v>
      </c>
      <c r="F31" s="110">
        <v>0</v>
      </c>
      <c r="G31" s="110">
        <v>0</v>
      </c>
      <c r="H31" s="110">
        <v>0</v>
      </c>
      <c r="I31" s="110">
        <v>0</v>
      </c>
      <c r="J31" s="110">
        <v>0</v>
      </c>
      <c r="K31" s="110">
        <v>0</v>
      </c>
      <c r="L31" s="110">
        <v>0</v>
      </c>
      <c r="M31" s="110">
        <v>0</v>
      </c>
      <c r="N31" s="110">
        <v>0</v>
      </c>
      <c r="O31" s="110">
        <v>0</v>
      </c>
      <c r="P31" s="110">
        <v>0</v>
      </c>
      <c r="Q31" s="149">
        <v>0</v>
      </c>
    </row>
    <row r="32" spans="2:17" ht="34.5" customHeight="1" x14ac:dyDescent="0.35">
      <c r="B32" s="126" t="s">
        <v>146</v>
      </c>
      <c r="C32" s="110">
        <v>0</v>
      </c>
      <c r="D32" s="110">
        <v>0</v>
      </c>
      <c r="E32" s="110">
        <v>0</v>
      </c>
      <c r="F32" s="110">
        <v>0</v>
      </c>
      <c r="G32" s="110">
        <v>0</v>
      </c>
      <c r="H32" s="110">
        <v>0</v>
      </c>
      <c r="I32" s="110">
        <v>0</v>
      </c>
      <c r="J32" s="110">
        <v>0</v>
      </c>
      <c r="K32" s="110">
        <v>0</v>
      </c>
      <c r="L32" s="110">
        <v>0</v>
      </c>
      <c r="M32" s="110">
        <v>0</v>
      </c>
      <c r="N32" s="110">
        <v>0</v>
      </c>
      <c r="O32" s="110">
        <v>0</v>
      </c>
      <c r="P32" s="110">
        <v>0</v>
      </c>
      <c r="Q32" s="149">
        <v>0</v>
      </c>
    </row>
    <row r="33" spans="2:17" ht="34.5" customHeight="1" x14ac:dyDescent="0.35">
      <c r="B33" s="135" t="s">
        <v>7</v>
      </c>
      <c r="C33" s="118">
        <f t="shared" ref="C33:Q33" si="1">SUM(C30:C32)</f>
        <v>0</v>
      </c>
      <c r="D33" s="118">
        <f t="shared" si="1"/>
        <v>0</v>
      </c>
      <c r="E33" s="118">
        <f t="shared" si="1"/>
        <v>0</v>
      </c>
      <c r="F33" s="118">
        <f t="shared" si="1"/>
        <v>0</v>
      </c>
      <c r="G33" s="118">
        <f t="shared" si="1"/>
        <v>0</v>
      </c>
      <c r="H33" s="118">
        <f t="shared" si="1"/>
        <v>0</v>
      </c>
      <c r="I33" s="118">
        <f t="shared" si="1"/>
        <v>0</v>
      </c>
      <c r="J33" s="118">
        <f t="shared" si="1"/>
        <v>0</v>
      </c>
      <c r="K33" s="118">
        <f t="shared" si="1"/>
        <v>0</v>
      </c>
      <c r="L33" s="118">
        <f t="shared" si="1"/>
        <v>0</v>
      </c>
      <c r="M33" s="118">
        <f t="shared" si="1"/>
        <v>0</v>
      </c>
      <c r="N33" s="118">
        <f t="shared" si="1"/>
        <v>0</v>
      </c>
      <c r="O33" s="118">
        <f t="shared" si="1"/>
        <v>0</v>
      </c>
      <c r="P33" s="118">
        <f t="shared" si="1"/>
        <v>0</v>
      </c>
      <c r="Q33" s="118">
        <f t="shared" si="1"/>
        <v>0</v>
      </c>
    </row>
    <row r="34" spans="2:17" ht="34.5" customHeight="1" x14ac:dyDescent="0.35">
      <c r="B34" s="303" t="s">
        <v>149</v>
      </c>
      <c r="C34" s="324"/>
      <c r="D34" s="324"/>
      <c r="E34" s="324"/>
      <c r="F34" s="324"/>
      <c r="G34" s="324"/>
      <c r="H34" s="324"/>
      <c r="I34" s="324"/>
      <c r="J34" s="324"/>
      <c r="K34" s="324"/>
      <c r="L34" s="324"/>
      <c r="M34" s="324"/>
      <c r="N34" s="324"/>
      <c r="O34" s="324"/>
      <c r="P34" s="324"/>
      <c r="Q34" s="324"/>
    </row>
    <row r="49" spans="2:17" ht="21.5" x14ac:dyDescent="0.45">
      <c r="B49" s="275"/>
      <c r="C49" s="275"/>
      <c r="D49" s="275"/>
      <c r="E49" s="275"/>
      <c r="F49" s="275"/>
      <c r="G49" s="275"/>
      <c r="H49" s="275"/>
      <c r="I49" s="275"/>
      <c r="J49" s="275"/>
      <c r="K49" s="275"/>
      <c r="L49" s="275"/>
      <c r="M49" s="275"/>
      <c r="N49" s="275"/>
      <c r="O49" s="275"/>
      <c r="P49" s="275"/>
      <c r="Q49" s="290"/>
    </row>
  </sheetData>
  <sheetProtection algorithmName="SHA-512" hashValue="Ubd6GPXBMfGyII6TFfsTaUjWHDV/NRkCrZ5r6scMK8+njqawxfxJ71goPqZrV3yy5SQGaiMt4Z2k6fVbmxBetA==" saltValue="CYX9VUKUiFG7mIuusdY53w==" spinCount="100000" sheet="1" objects="1" scenarios="1"/>
  <mergeCells count="4">
    <mergeCell ref="B34:Q34"/>
    <mergeCell ref="B29:Q29"/>
    <mergeCell ref="B3:Q3"/>
    <mergeCell ref="B5:Q5"/>
  </mergeCells>
  <pageMargins left="0.7" right="0.7" top="0.75" bottom="0.75" header="0.3" footer="0.3"/>
  <pageSetup paperSize="9" scale="4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pageSetUpPr fitToPage="1"/>
  </sheetPr>
  <dimension ref="B3:Q49"/>
  <sheetViews>
    <sheetView showGridLines="0" zoomScale="70" zoomScaleNormal="70" workbookViewId="0">
      <pane xSplit="2" ySplit="5" topLeftCell="C6" activePane="bottomRight" state="frozen"/>
      <selection activeCell="A4" sqref="A4:XFD4"/>
      <selection pane="topRight" activeCell="A4" sqref="A4:XFD4"/>
      <selection pane="bottomLeft" activeCell="A4" sqref="A4:XFD4"/>
      <selection pane="bottomRight" activeCell="D9" sqref="B3:Q34"/>
    </sheetView>
  </sheetViews>
  <sheetFormatPr defaultColWidth="15.54296875" defaultRowHeight="15.5" x14ac:dyDescent="0.35"/>
  <cols>
    <col min="1" max="1" width="15.54296875" style="76" customWidth="1"/>
    <col min="2" max="2" width="42.54296875" style="76" customWidth="1"/>
    <col min="3" max="8" width="18.453125" style="76" customWidth="1"/>
    <col min="9" max="9" width="15.54296875" style="76" customWidth="1"/>
    <col min="10" max="10" width="13" style="76" customWidth="1"/>
    <col min="11" max="11" width="15.54296875" style="76" customWidth="1"/>
    <col min="12" max="16" width="18.453125" style="76" customWidth="1"/>
    <col min="17" max="17" width="18.453125" style="138" customWidth="1"/>
    <col min="18" max="116" width="15.54296875" style="76" customWidth="1"/>
    <col min="117" max="16384" width="15.54296875" style="76"/>
  </cols>
  <sheetData>
    <row r="3" spans="2:17" s="275" customFormat="1" ht="22" x14ac:dyDescent="0.5">
      <c r="B3" s="297" t="str">
        <f>_xlfn.CONCAT('Table of Contents'!B23,": ",'Table of Contents'!C23)</f>
        <v>APPENDIX 11: SUMMARY OF GROUP LIFE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65" t="s">
        <v>87</v>
      </c>
      <c r="C4" s="66" t="s">
        <v>201</v>
      </c>
      <c r="D4" s="66" t="s">
        <v>202</v>
      </c>
      <c r="E4" s="66" t="s">
        <v>203</v>
      </c>
      <c r="F4" s="66" t="s">
        <v>204</v>
      </c>
      <c r="G4" s="66" t="s">
        <v>205</v>
      </c>
      <c r="H4" s="66" t="s">
        <v>206</v>
      </c>
      <c r="I4" s="66" t="s">
        <v>207</v>
      </c>
      <c r="J4" s="66" t="s">
        <v>208</v>
      </c>
      <c r="K4" s="66" t="s">
        <v>209</v>
      </c>
      <c r="L4" s="66" t="s">
        <v>210</v>
      </c>
      <c r="M4" s="66" t="s">
        <v>211</v>
      </c>
      <c r="N4" s="66" t="s">
        <v>212</v>
      </c>
      <c r="O4" s="66" t="s">
        <v>213</v>
      </c>
      <c r="P4" s="66" t="s">
        <v>214</v>
      </c>
      <c r="Q4" s="66" t="s">
        <v>215</v>
      </c>
    </row>
    <row r="5" spans="2:17" x14ac:dyDescent="0.35">
      <c r="B5" s="300" t="s">
        <v>106</v>
      </c>
      <c r="C5" s="301"/>
      <c r="D5" s="301"/>
      <c r="E5" s="301"/>
      <c r="F5" s="301"/>
      <c r="G5" s="301"/>
      <c r="H5" s="301"/>
      <c r="I5" s="301"/>
      <c r="J5" s="301"/>
      <c r="K5" s="301"/>
      <c r="L5" s="301"/>
      <c r="M5" s="301"/>
      <c r="N5" s="301"/>
      <c r="O5" s="301"/>
      <c r="P5" s="301"/>
      <c r="Q5" s="302"/>
    </row>
    <row r="6" spans="2:17" ht="34.5" customHeight="1" x14ac:dyDescent="0.35">
      <c r="B6" s="126" t="s">
        <v>150</v>
      </c>
      <c r="C6" s="110">
        <v>752012.89544802578</v>
      </c>
      <c r="D6" s="110">
        <v>1658362.87</v>
      </c>
      <c r="E6" s="110">
        <v>844221.31699999981</v>
      </c>
      <c r="F6" s="110">
        <v>0</v>
      </c>
      <c r="G6" s="110">
        <v>294109.42319000012</v>
      </c>
      <c r="H6" s="110">
        <v>294109.42319000012</v>
      </c>
      <c r="I6" s="110">
        <v>0</v>
      </c>
      <c r="J6" s="110">
        <v>0</v>
      </c>
      <c r="K6" s="110">
        <v>0</v>
      </c>
      <c r="L6" s="110">
        <v>41490.671000000002</v>
      </c>
      <c r="M6" s="110">
        <v>108304.6847954137</v>
      </c>
      <c r="N6" s="110">
        <v>18986.232304199999</v>
      </c>
      <c r="O6" s="110">
        <v>0</v>
      </c>
      <c r="P6" s="110">
        <v>0</v>
      </c>
      <c r="Q6" s="149">
        <v>1171315.6657668119</v>
      </c>
    </row>
    <row r="7" spans="2:17" ht="34.5" customHeight="1" x14ac:dyDescent="0.35">
      <c r="B7" s="126" t="s">
        <v>151</v>
      </c>
      <c r="C7" s="110">
        <v>1082258.9950000001</v>
      </c>
      <c r="D7" s="110">
        <v>618127.89399999997</v>
      </c>
      <c r="E7" s="110">
        <v>349888.53914390731</v>
      </c>
      <c r="F7" s="110">
        <v>0</v>
      </c>
      <c r="G7" s="110">
        <v>34584.836569999992</v>
      </c>
      <c r="H7" s="110">
        <v>34584.836569999992</v>
      </c>
      <c r="I7" s="110">
        <v>0</v>
      </c>
      <c r="J7" s="110">
        <v>0</v>
      </c>
      <c r="K7" s="110">
        <v>0</v>
      </c>
      <c r="L7" s="110">
        <v>178046.08385180781</v>
      </c>
      <c r="M7" s="110">
        <v>37488.168175443418</v>
      </c>
      <c r="N7" s="110">
        <v>18489.627719941971</v>
      </c>
      <c r="O7" s="110">
        <v>2301.804084772557</v>
      </c>
      <c r="P7" s="110">
        <v>0</v>
      </c>
      <c r="Q7" s="149">
        <v>1198216.2691818259</v>
      </c>
    </row>
    <row r="8" spans="2:17" ht="34.5" customHeight="1" x14ac:dyDescent="0.35">
      <c r="B8" s="126" t="s">
        <v>152</v>
      </c>
      <c r="C8" s="110">
        <v>3419881.3069099998</v>
      </c>
      <c r="D8" s="110">
        <v>342902.06965000002</v>
      </c>
      <c r="E8" s="110">
        <v>355614.54755300598</v>
      </c>
      <c r="F8" s="110">
        <v>0</v>
      </c>
      <c r="G8" s="110">
        <v>98900.159800000198</v>
      </c>
      <c r="H8" s="110">
        <v>98900.159800000198</v>
      </c>
      <c r="I8" s="110">
        <v>0</v>
      </c>
      <c r="J8" s="110">
        <v>0</v>
      </c>
      <c r="K8" s="110">
        <v>0</v>
      </c>
      <c r="L8" s="110">
        <v>15042.642540000001</v>
      </c>
      <c r="M8" s="110">
        <v>123165.09</v>
      </c>
      <c r="N8" s="110">
        <v>172331.823</v>
      </c>
      <c r="O8" s="110">
        <v>-251.47800000000001</v>
      </c>
      <c r="P8" s="110">
        <v>0</v>
      </c>
      <c r="Q8" s="149">
        <v>3710971.2631230061</v>
      </c>
    </row>
    <row r="9" spans="2:17" ht="34.5" customHeight="1" x14ac:dyDescent="0.35">
      <c r="B9" s="126" t="s">
        <v>153</v>
      </c>
      <c r="C9" s="110">
        <v>270325.61376036011</v>
      </c>
      <c r="D9" s="110">
        <v>170519.50566222871</v>
      </c>
      <c r="E9" s="110">
        <v>93580.761729554753</v>
      </c>
      <c r="F9" s="110">
        <v>0</v>
      </c>
      <c r="G9" s="110">
        <v>-345.41752665278318</v>
      </c>
      <c r="H9" s="110">
        <v>-345.41752665278318</v>
      </c>
      <c r="I9" s="110">
        <v>0</v>
      </c>
      <c r="J9" s="110">
        <v>0</v>
      </c>
      <c r="K9" s="110">
        <v>0</v>
      </c>
      <c r="L9" s="110">
        <v>-1599.1085542119561</v>
      </c>
      <c r="M9" s="110">
        <v>27614.514999999999</v>
      </c>
      <c r="N9" s="110">
        <v>13838.786</v>
      </c>
      <c r="O9" s="110">
        <v>0</v>
      </c>
      <c r="P9" s="110">
        <v>0</v>
      </c>
      <c r="Q9" s="149">
        <v>352075.17257077963</v>
      </c>
    </row>
    <row r="10" spans="2:17" ht="34.5" customHeight="1" x14ac:dyDescent="0.35">
      <c r="B10" s="126" t="s">
        <v>154</v>
      </c>
      <c r="C10" s="110">
        <v>108947.6067669421</v>
      </c>
      <c r="D10" s="110">
        <v>455455.78700000001</v>
      </c>
      <c r="E10" s="110">
        <v>385481.35588224378</v>
      </c>
      <c r="F10" s="110">
        <v>0</v>
      </c>
      <c r="G10" s="110">
        <v>133767.94714999999</v>
      </c>
      <c r="H10" s="110">
        <v>133767.94714999999</v>
      </c>
      <c r="I10" s="110">
        <v>0</v>
      </c>
      <c r="J10" s="110">
        <v>0</v>
      </c>
      <c r="K10" s="110">
        <v>0</v>
      </c>
      <c r="L10" s="110">
        <v>69258.833820371059</v>
      </c>
      <c r="M10" s="110">
        <v>59928.528537420978</v>
      </c>
      <c r="N10" s="110">
        <v>783.40774352016024</v>
      </c>
      <c r="O10" s="110">
        <v>0</v>
      </c>
      <c r="P10" s="110">
        <v>0</v>
      </c>
      <c r="Q10" s="149">
        <v>232257.06088491401</v>
      </c>
    </row>
    <row r="11" spans="2:17" ht="34.5" customHeight="1" x14ac:dyDescent="0.35">
      <c r="B11" s="126" t="s">
        <v>155</v>
      </c>
      <c r="C11" s="110">
        <v>340340.32030741742</v>
      </c>
      <c r="D11" s="110">
        <v>439602.89500000002</v>
      </c>
      <c r="E11" s="110">
        <v>366388.13199999998</v>
      </c>
      <c r="F11" s="110">
        <v>0</v>
      </c>
      <c r="G11" s="110">
        <v>224351.481</v>
      </c>
      <c r="H11" s="110">
        <v>224351.481</v>
      </c>
      <c r="I11" s="110">
        <v>0</v>
      </c>
      <c r="J11" s="110">
        <v>0</v>
      </c>
      <c r="K11" s="110">
        <v>0</v>
      </c>
      <c r="L11" s="110">
        <v>25584.151000000002</v>
      </c>
      <c r="M11" s="110">
        <v>36426.456071482367</v>
      </c>
      <c r="N11" s="110">
        <v>0</v>
      </c>
      <c r="O11" s="110">
        <v>0</v>
      </c>
      <c r="P11" s="110">
        <v>0</v>
      </c>
      <c r="Q11" s="149">
        <v>420366.36423593498</v>
      </c>
    </row>
    <row r="12" spans="2:17" ht="34.5" customHeight="1" x14ac:dyDescent="0.35">
      <c r="B12" s="126" t="s">
        <v>156</v>
      </c>
      <c r="C12" s="110">
        <v>1100244.727783625</v>
      </c>
      <c r="D12" s="110">
        <v>802065.89</v>
      </c>
      <c r="E12" s="110">
        <v>287062.40955789422</v>
      </c>
      <c r="F12" s="110">
        <v>0</v>
      </c>
      <c r="G12" s="110">
        <v>8618.6507510869578</v>
      </c>
      <c r="H12" s="110">
        <v>8618.6507510869578</v>
      </c>
      <c r="I12" s="110">
        <v>0</v>
      </c>
      <c r="J12" s="110">
        <v>0</v>
      </c>
      <c r="K12" s="110">
        <v>0</v>
      </c>
      <c r="L12" s="110">
        <v>-13730.22199875502</v>
      </c>
      <c r="M12" s="110">
        <v>34871.123230694597</v>
      </c>
      <c r="N12" s="110">
        <v>118036.1229565674</v>
      </c>
      <c r="O12" s="110">
        <v>0</v>
      </c>
      <c r="P12" s="110">
        <v>0</v>
      </c>
      <c r="Q12" s="149">
        <v>1475583.70831506</v>
      </c>
    </row>
    <row r="13" spans="2:17" ht="34.5" customHeight="1" x14ac:dyDescent="0.35">
      <c r="B13" s="126" t="s">
        <v>157</v>
      </c>
      <c r="C13" s="110">
        <v>49766.62672717384</v>
      </c>
      <c r="D13" s="110">
        <v>37309.409</v>
      </c>
      <c r="E13" s="110">
        <v>986.86099999999999</v>
      </c>
      <c r="F13" s="110">
        <v>0</v>
      </c>
      <c r="G13" s="110">
        <v>1954.727000000001</v>
      </c>
      <c r="H13" s="110">
        <v>1954.727000000001</v>
      </c>
      <c r="I13" s="110">
        <v>0</v>
      </c>
      <c r="J13" s="110">
        <v>0</v>
      </c>
      <c r="K13" s="110">
        <v>0</v>
      </c>
      <c r="L13" s="110">
        <v>-7319.2550000000001</v>
      </c>
      <c r="M13" s="110">
        <v>8866.9419999999991</v>
      </c>
      <c r="N13" s="110">
        <v>1508.8969999999999</v>
      </c>
      <c r="O13" s="110">
        <v>0</v>
      </c>
      <c r="P13" s="110">
        <v>0</v>
      </c>
      <c r="Q13" s="149">
        <v>48759.970727173837</v>
      </c>
    </row>
    <row r="14" spans="2:17" ht="34.5" customHeight="1" x14ac:dyDescent="0.35">
      <c r="B14" s="126" t="s">
        <v>158</v>
      </c>
      <c r="C14" s="110">
        <v>734894.49600000004</v>
      </c>
      <c r="D14" s="110">
        <v>162677.35764999999</v>
      </c>
      <c r="E14" s="110">
        <v>162677.35764999999</v>
      </c>
      <c r="F14" s="110">
        <v>0</v>
      </c>
      <c r="G14" s="110">
        <v>248061.02196675929</v>
      </c>
      <c r="H14" s="110">
        <v>21267.922849999959</v>
      </c>
      <c r="I14" s="110">
        <v>226793.09911675929</v>
      </c>
      <c r="J14" s="110">
        <v>0</v>
      </c>
      <c r="K14" s="110">
        <v>0</v>
      </c>
      <c r="L14" s="110">
        <v>18069.036080000002</v>
      </c>
      <c r="M14" s="110">
        <v>34852.522219313512</v>
      </c>
      <c r="N14" s="110">
        <v>0</v>
      </c>
      <c r="O14" s="110">
        <v>0</v>
      </c>
      <c r="P14" s="110">
        <v>0</v>
      </c>
      <c r="Q14" s="149">
        <v>596589.2733839273</v>
      </c>
    </row>
    <row r="15" spans="2:17" ht="34.5" customHeight="1" x14ac:dyDescent="0.35">
      <c r="B15" s="126" t="s">
        <v>159</v>
      </c>
      <c r="C15" s="110">
        <v>447081.27399999998</v>
      </c>
      <c r="D15" s="110">
        <v>344659.45500000002</v>
      </c>
      <c r="E15" s="110">
        <v>208243.37806673671</v>
      </c>
      <c r="F15" s="110">
        <v>0</v>
      </c>
      <c r="G15" s="110">
        <v>45880.63426560162</v>
      </c>
      <c r="H15" s="110">
        <v>45880.63426560162</v>
      </c>
      <c r="I15" s="110">
        <v>0</v>
      </c>
      <c r="J15" s="110">
        <v>0</v>
      </c>
      <c r="K15" s="110">
        <v>0</v>
      </c>
      <c r="L15" s="110">
        <v>-22137.96697665266</v>
      </c>
      <c r="M15" s="110">
        <v>48306.4579562707</v>
      </c>
      <c r="N15" s="110">
        <v>20644.888999999999</v>
      </c>
      <c r="O15" s="110">
        <v>0</v>
      </c>
      <c r="P15" s="110">
        <v>13135.691000000001</v>
      </c>
      <c r="Q15" s="149">
        <v>590784.72482151701</v>
      </c>
    </row>
    <row r="16" spans="2:17" ht="34.5" customHeight="1" x14ac:dyDescent="0.35">
      <c r="B16" s="126" t="s">
        <v>160</v>
      </c>
      <c r="C16" s="110">
        <v>333545.04901033791</v>
      </c>
      <c r="D16" s="110">
        <v>521039.22343000001</v>
      </c>
      <c r="E16" s="110">
        <v>312013.38979673391</v>
      </c>
      <c r="F16" s="110">
        <v>0</v>
      </c>
      <c r="G16" s="110">
        <v>31783.981341999981</v>
      </c>
      <c r="H16" s="110">
        <v>31783.981341999981</v>
      </c>
      <c r="I16" s="110">
        <v>0</v>
      </c>
      <c r="J16" s="110">
        <v>0</v>
      </c>
      <c r="K16" s="110">
        <v>0</v>
      </c>
      <c r="L16" s="110">
        <v>-13021.72183956564</v>
      </c>
      <c r="M16" s="110">
        <v>37406.402399999999</v>
      </c>
      <c r="N16" s="110">
        <v>49925.384140387949</v>
      </c>
      <c r="O16" s="110">
        <v>354.21713947604502</v>
      </c>
      <c r="P16" s="110">
        <v>0</v>
      </c>
      <c r="Q16" s="149">
        <v>638960.94390554924</v>
      </c>
    </row>
    <row r="17" spans="2:17" ht="34.5" customHeight="1" x14ac:dyDescent="0.35">
      <c r="B17" s="126" t="s">
        <v>161</v>
      </c>
      <c r="C17" s="110">
        <v>102782.144796938</v>
      </c>
      <c r="D17" s="110">
        <v>5263.3530000000001</v>
      </c>
      <c r="E17" s="110">
        <v>-29575.27</v>
      </c>
      <c r="F17" s="110">
        <v>0</v>
      </c>
      <c r="G17" s="110">
        <v>-9086.3880000000008</v>
      </c>
      <c r="H17" s="110">
        <v>-9086.3880000000008</v>
      </c>
      <c r="I17" s="110">
        <v>0</v>
      </c>
      <c r="J17" s="110">
        <v>0</v>
      </c>
      <c r="K17" s="110">
        <v>0</v>
      </c>
      <c r="L17" s="110">
        <v>-8222.2016000000003</v>
      </c>
      <c r="M17" s="110">
        <v>4937.0786130311662</v>
      </c>
      <c r="N17" s="110">
        <v>2143.8736624255712</v>
      </c>
      <c r="O17" s="110">
        <v>0</v>
      </c>
      <c r="P17" s="110">
        <v>0</v>
      </c>
      <c r="Q17" s="149">
        <v>87722.259446332406</v>
      </c>
    </row>
    <row r="18" spans="2:17" ht="34.5" customHeight="1" x14ac:dyDescent="0.35">
      <c r="B18" s="126" t="s">
        <v>162</v>
      </c>
      <c r="C18" s="110">
        <v>103246.2413589215</v>
      </c>
      <c r="D18" s="110">
        <v>41760.788</v>
      </c>
      <c r="E18" s="110">
        <v>16299.22746</v>
      </c>
      <c r="F18" s="110">
        <v>0</v>
      </c>
      <c r="G18" s="110">
        <v>6800.7650000000003</v>
      </c>
      <c r="H18" s="110">
        <v>6800.7650000000003</v>
      </c>
      <c r="I18" s="110">
        <v>0</v>
      </c>
      <c r="J18" s="110">
        <v>0</v>
      </c>
      <c r="K18" s="110">
        <v>0</v>
      </c>
      <c r="L18" s="110">
        <v>-3958.50434</v>
      </c>
      <c r="M18" s="110">
        <v>8479.8654360799992</v>
      </c>
      <c r="N18" s="110">
        <v>4011.3</v>
      </c>
      <c r="O18" s="110">
        <v>0</v>
      </c>
      <c r="P18" s="110">
        <v>0</v>
      </c>
      <c r="Q18" s="149">
        <v>112234.6427228415</v>
      </c>
    </row>
    <row r="19" spans="2:17" ht="34.5" customHeight="1" x14ac:dyDescent="0.35">
      <c r="B19" s="150" t="s">
        <v>163</v>
      </c>
      <c r="C19" s="110">
        <v>770798.0996440053</v>
      </c>
      <c r="D19" s="110">
        <v>660538.66863999993</v>
      </c>
      <c r="E19" s="110">
        <v>517360.27263999998</v>
      </c>
      <c r="F19" s="110">
        <v>0</v>
      </c>
      <c r="G19" s="110">
        <v>75240.456909999994</v>
      </c>
      <c r="H19" s="110">
        <v>75240.456909999994</v>
      </c>
      <c r="I19" s="110">
        <v>0</v>
      </c>
      <c r="J19" s="110">
        <v>0</v>
      </c>
      <c r="K19" s="110">
        <v>0</v>
      </c>
      <c r="L19" s="110">
        <v>109643.83705</v>
      </c>
      <c r="M19" s="110">
        <v>43467.306700000001</v>
      </c>
      <c r="N19" s="110">
        <v>18907.71040215651</v>
      </c>
      <c r="O19" s="110">
        <v>3134.9095252195439</v>
      </c>
      <c r="P19" s="110">
        <v>0</v>
      </c>
      <c r="Q19" s="149">
        <v>1075579.572500942</v>
      </c>
    </row>
    <row r="20" spans="2:17" ht="34.5" customHeight="1" x14ac:dyDescent="0.35">
      <c r="B20" s="150" t="s">
        <v>127</v>
      </c>
      <c r="C20" s="110">
        <v>-160012.02613466201</v>
      </c>
      <c r="D20" s="110">
        <v>323597.90179686202</v>
      </c>
      <c r="E20" s="110">
        <v>267159.22193456162</v>
      </c>
      <c r="F20" s="110">
        <v>0</v>
      </c>
      <c r="G20" s="110">
        <v>156065.0313885496</v>
      </c>
      <c r="H20" s="110">
        <v>156065.0313885496</v>
      </c>
      <c r="I20" s="110">
        <v>0</v>
      </c>
      <c r="J20" s="110">
        <v>0</v>
      </c>
      <c r="K20" s="110">
        <v>0</v>
      </c>
      <c r="L20" s="110">
        <v>-15617.525208453389</v>
      </c>
      <c r="M20" s="110">
        <v>25905.000032150059</v>
      </c>
      <c r="N20" s="110">
        <v>5576.9109666779023</v>
      </c>
      <c r="O20" s="110">
        <v>365.03067689748559</v>
      </c>
      <c r="P20" s="110">
        <v>0</v>
      </c>
      <c r="Q20" s="149">
        <v>-53993.430122566271</v>
      </c>
    </row>
    <row r="21" spans="2:17" ht="34.5" customHeight="1" x14ac:dyDescent="0.35">
      <c r="B21" s="126" t="s">
        <v>164</v>
      </c>
      <c r="C21" s="110">
        <v>4456091.343001253</v>
      </c>
      <c r="D21" s="110">
        <v>1358866.48709</v>
      </c>
      <c r="E21" s="110">
        <v>970433.78703546408</v>
      </c>
      <c r="F21" s="110">
        <v>-427505.24905251258</v>
      </c>
      <c r="G21" s="110">
        <v>327034.54427944089</v>
      </c>
      <c r="H21" s="110">
        <v>327034.54427944089</v>
      </c>
      <c r="I21" s="110">
        <v>0</v>
      </c>
      <c r="J21" s="110">
        <v>0</v>
      </c>
      <c r="K21" s="110">
        <v>0</v>
      </c>
      <c r="L21" s="110">
        <v>90971.244451946841</v>
      </c>
      <c r="M21" s="110">
        <v>168027.14479112579</v>
      </c>
      <c r="N21" s="110">
        <v>123002.4031369865</v>
      </c>
      <c r="O21" s="110">
        <v>0</v>
      </c>
      <c r="P21" s="110">
        <v>0</v>
      </c>
      <c r="Q21" s="149">
        <v>4535989.350598678</v>
      </c>
    </row>
    <row r="22" spans="2:17" ht="34.5" customHeight="1" x14ac:dyDescent="0.35">
      <c r="B22" s="126" t="s">
        <v>165</v>
      </c>
      <c r="C22" s="110">
        <v>1306432.7430066969</v>
      </c>
      <c r="D22" s="110">
        <v>251246.65700000001</v>
      </c>
      <c r="E22" s="110">
        <v>179216.182</v>
      </c>
      <c r="F22" s="110">
        <v>0</v>
      </c>
      <c r="G22" s="110">
        <v>103118.86564439449</v>
      </c>
      <c r="H22" s="110">
        <v>103118.86564439449</v>
      </c>
      <c r="I22" s="110">
        <v>0</v>
      </c>
      <c r="J22" s="110">
        <v>0</v>
      </c>
      <c r="K22" s="110">
        <v>0</v>
      </c>
      <c r="L22" s="110">
        <v>45928.686000000002</v>
      </c>
      <c r="M22" s="110">
        <v>59317.061206685998</v>
      </c>
      <c r="N22" s="110">
        <v>2004.8878367725499</v>
      </c>
      <c r="O22" s="110">
        <v>0</v>
      </c>
      <c r="P22" s="110">
        <v>0</v>
      </c>
      <c r="Q22" s="149">
        <v>1279289.199992389</v>
      </c>
    </row>
    <row r="23" spans="2:17" ht="34.5" customHeight="1" x14ac:dyDescent="0.35">
      <c r="B23" s="126" t="s">
        <v>166</v>
      </c>
      <c r="C23" s="110">
        <v>715348.7616705246</v>
      </c>
      <c r="D23" s="110">
        <v>173543.51699999999</v>
      </c>
      <c r="E23" s="110">
        <v>132571.24900000001</v>
      </c>
      <c r="F23" s="110">
        <v>0</v>
      </c>
      <c r="G23" s="110">
        <v>105761.7988</v>
      </c>
      <c r="H23" s="110">
        <v>105761.7988</v>
      </c>
      <c r="I23" s="110">
        <v>0</v>
      </c>
      <c r="J23" s="110">
        <v>0</v>
      </c>
      <c r="K23" s="110">
        <v>0</v>
      </c>
      <c r="L23" s="110">
        <v>11633.911</v>
      </c>
      <c r="M23" s="110">
        <v>85607.940597000008</v>
      </c>
      <c r="N23" s="110">
        <v>20000</v>
      </c>
      <c r="O23" s="110">
        <v>0</v>
      </c>
      <c r="P23" s="110">
        <v>0</v>
      </c>
      <c r="Q23" s="149">
        <v>664916.36027352465</v>
      </c>
    </row>
    <row r="24" spans="2:17" ht="34.5" customHeight="1" x14ac:dyDescent="0.35">
      <c r="B24" s="126" t="s">
        <v>167</v>
      </c>
      <c r="C24" s="110">
        <v>76270.133589231686</v>
      </c>
      <c r="D24" s="110">
        <v>309632.61061589548</v>
      </c>
      <c r="E24" s="110">
        <v>143352.82340507879</v>
      </c>
      <c r="F24" s="110">
        <v>0</v>
      </c>
      <c r="G24" s="110">
        <v>53774.855421019907</v>
      </c>
      <c r="H24" s="110">
        <v>53774.855421019907</v>
      </c>
      <c r="I24" s="110">
        <v>0</v>
      </c>
      <c r="J24" s="110">
        <v>0</v>
      </c>
      <c r="K24" s="110">
        <v>0</v>
      </c>
      <c r="L24" s="110">
        <v>6207.4341631904763</v>
      </c>
      <c r="M24" s="110">
        <v>48303.56404174499</v>
      </c>
      <c r="N24" s="110">
        <v>7325.4661553240494</v>
      </c>
      <c r="O24" s="110">
        <v>0</v>
      </c>
      <c r="P24" s="110">
        <v>0</v>
      </c>
      <c r="Q24" s="149">
        <v>118662.56952367919</v>
      </c>
    </row>
    <row r="25" spans="2:17" ht="34.5" customHeight="1" x14ac:dyDescent="0.35">
      <c r="B25" s="126" t="s">
        <v>168</v>
      </c>
      <c r="C25" s="110">
        <v>404275.2773739323</v>
      </c>
      <c r="D25" s="110">
        <v>42811.841070000002</v>
      </c>
      <c r="E25" s="110">
        <v>42811.841070000002</v>
      </c>
      <c r="F25" s="110">
        <v>0</v>
      </c>
      <c r="G25" s="110">
        <v>6570.1629999999996</v>
      </c>
      <c r="H25" s="110">
        <v>6570.1629999999996</v>
      </c>
      <c r="I25" s="110">
        <v>0</v>
      </c>
      <c r="J25" s="110">
        <v>0</v>
      </c>
      <c r="K25" s="110">
        <v>0</v>
      </c>
      <c r="L25" s="110">
        <v>3425.6649000000002</v>
      </c>
      <c r="M25" s="110">
        <v>-1032.52845</v>
      </c>
      <c r="N25" s="110">
        <v>4367.41485730769</v>
      </c>
      <c r="O25" s="110">
        <v>0</v>
      </c>
      <c r="P25" s="110">
        <v>0</v>
      </c>
      <c r="Q25" s="149">
        <v>442491.23385124002</v>
      </c>
    </row>
    <row r="26" spans="2:17" ht="34.5" customHeight="1" x14ac:dyDescent="0.35">
      <c r="B26" s="126" t="s">
        <v>169</v>
      </c>
      <c r="C26" s="110">
        <v>0</v>
      </c>
      <c r="D26" s="110">
        <v>0</v>
      </c>
      <c r="E26" s="110">
        <v>0</v>
      </c>
      <c r="F26" s="110">
        <v>0</v>
      </c>
      <c r="G26" s="110">
        <v>0</v>
      </c>
      <c r="H26" s="110">
        <v>0</v>
      </c>
      <c r="I26" s="110">
        <v>0</v>
      </c>
      <c r="J26" s="110">
        <v>0</v>
      </c>
      <c r="K26" s="110">
        <v>0</v>
      </c>
      <c r="L26" s="110">
        <v>0</v>
      </c>
      <c r="M26" s="110">
        <v>0</v>
      </c>
      <c r="N26" s="110">
        <v>0</v>
      </c>
      <c r="O26" s="110">
        <v>0</v>
      </c>
      <c r="P26" s="110">
        <v>0</v>
      </c>
      <c r="Q26" s="149">
        <v>0</v>
      </c>
    </row>
    <row r="27" spans="2:17" ht="34.5" customHeight="1" x14ac:dyDescent="0.35">
      <c r="B27" s="126" t="s">
        <v>170</v>
      </c>
      <c r="C27" s="110">
        <v>0</v>
      </c>
      <c r="D27" s="110">
        <v>0</v>
      </c>
      <c r="E27" s="110">
        <v>0</v>
      </c>
      <c r="F27" s="110">
        <v>0</v>
      </c>
      <c r="G27" s="110">
        <v>0</v>
      </c>
      <c r="H27" s="110">
        <v>0</v>
      </c>
      <c r="I27" s="110">
        <v>0</v>
      </c>
      <c r="J27" s="110">
        <v>0</v>
      </c>
      <c r="K27" s="110">
        <v>0</v>
      </c>
      <c r="L27" s="110">
        <v>0</v>
      </c>
      <c r="M27" s="110">
        <v>0</v>
      </c>
      <c r="N27" s="110">
        <v>0</v>
      </c>
      <c r="O27" s="110">
        <v>0</v>
      </c>
      <c r="P27" s="110">
        <v>0</v>
      </c>
      <c r="Q27" s="149">
        <v>0</v>
      </c>
    </row>
    <row r="28" spans="2:17" ht="34.5" customHeight="1" x14ac:dyDescent="0.35">
      <c r="B28" s="135" t="s">
        <v>7</v>
      </c>
      <c r="C28" s="140">
        <f t="shared" ref="C28:Q28" si="0">SUM(C6:C27)</f>
        <v>16414531.630020725</v>
      </c>
      <c r="D28" s="140">
        <f t="shared" si="0"/>
        <v>8719984.1806049868</v>
      </c>
      <c r="E28" s="140">
        <f t="shared" si="0"/>
        <v>5605787.3839251818</v>
      </c>
      <c r="F28" s="140">
        <f t="shared" si="0"/>
        <v>-427505.24905251258</v>
      </c>
      <c r="G28" s="140">
        <f t="shared" si="0"/>
        <v>1946947.5379522</v>
      </c>
      <c r="H28" s="140">
        <f t="shared" si="0"/>
        <v>1720154.4388354407</v>
      </c>
      <c r="I28" s="140">
        <f t="shared" si="0"/>
        <v>226793.09911675929</v>
      </c>
      <c r="J28" s="140">
        <f t="shared" si="0"/>
        <v>0</v>
      </c>
      <c r="K28" s="140">
        <f t="shared" si="0"/>
        <v>0</v>
      </c>
      <c r="L28" s="140">
        <f t="shared" si="0"/>
        <v>529695.69033967739</v>
      </c>
      <c r="M28" s="140">
        <f t="shared" si="0"/>
        <v>1000243.3233538573</v>
      </c>
      <c r="N28" s="140">
        <f t="shared" si="0"/>
        <v>601885.13688226824</v>
      </c>
      <c r="O28" s="140">
        <f t="shared" si="0"/>
        <v>5904.4834263656321</v>
      </c>
      <c r="P28" s="118">
        <f t="shared" si="0"/>
        <v>13135.691000000001</v>
      </c>
      <c r="Q28" s="140">
        <f t="shared" si="0"/>
        <v>18698772.175703563</v>
      </c>
    </row>
    <row r="29" spans="2:17" ht="34.5" customHeight="1" x14ac:dyDescent="0.35">
      <c r="B29" s="300" t="s">
        <v>142</v>
      </c>
      <c r="C29" s="301"/>
      <c r="D29" s="301"/>
      <c r="E29" s="301"/>
      <c r="F29" s="301"/>
      <c r="G29" s="301"/>
      <c r="H29" s="301"/>
      <c r="I29" s="301"/>
      <c r="J29" s="301"/>
      <c r="K29" s="301"/>
      <c r="L29" s="301"/>
      <c r="M29" s="301"/>
      <c r="N29" s="301"/>
      <c r="O29" s="301"/>
      <c r="P29" s="301"/>
      <c r="Q29" s="302"/>
    </row>
    <row r="30" spans="2:17" ht="34.5" customHeight="1" x14ac:dyDescent="0.35">
      <c r="B30" s="126" t="s">
        <v>143</v>
      </c>
      <c r="C30" s="110">
        <v>0</v>
      </c>
      <c r="D30" s="110">
        <v>0</v>
      </c>
      <c r="E30" s="110">
        <v>0</v>
      </c>
      <c r="F30" s="110">
        <v>0</v>
      </c>
      <c r="G30" s="110">
        <v>0</v>
      </c>
      <c r="H30" s="110">
        <v>0</v>
      </c>
      <c r="I30" s="110">
        <v>0</v>
      </c>
      <c r="J30" s="110">
        <v>0</v>
      </c>
      <c r="K30" s="110">
        <v>0</v>
      </c>
      <c r="L30" s="110">
        <v>0</v>
      </c>
      <c r="M30" s="110">
        <v>0</v>
      </c>
      <c r="N30" s="110">
        <v>0</v>
      </c>
      <c r="O30" s="110">
        <v>0</v>
      </c>
      <c r="P30" s="110">
        <v>0</v>
      </c>
      <c r="Q30" s="149">
        <v>0</v>
      </c>
    </row>
    <row r="31" spans="2:17" ht="34.5" customHeight="1" x14ac:dyDescent="0.35">
      <c r="B31" s="126" t="s">
        <v>144</v>
      </c>
      <c r="C31" s="110">
        <v>1315939.5458626731</v>
      </c>
      <c r="D31" s="110">
        <v>214106.9942084561</v>
      </c>
      <c r="E31" s="110">
        <v>161562.34961879041</v>
      </c>
      <c r="F31" s="110">
        <v>0</v>
      </c>
      <c r="G31" s="110">
        <v>77356.337359978526</v>
      </c>
      <c r="H31" s="110">
        <v>77356.337359978526</v>
      </c>
      <c r="I31" s="110">
        <v>0</v>
      </c>
      <c r="J31" s="110">
        <v>0</v>
      </c>
      <c r="K31" s="110">
        <v>0</v>
      </c>
      <c r="L31" s="110">
        <v>36598.952816709243</v>
      </c>
      <c r="M31" s="110">
        <v>22474.8495468</v>
      </c>
      <c r="N31" s="110">
        <v>60918.723038146301</v>
      </c>
      <c r="O31" s="110">
        <v>2883.487588200001</v>
      </c>
      <c r="P31" s="110">
        <v>0</v>
      </c>
      <c r="Q31" s="149">
        <v>1399106.9912079221</v>
      </c>
    </row>
    <row r="32" spans="2:17" ht="34.5" customHeight="1" x14ac:dyDescent="0.35">
      <c r="B32" s="126" t="s">
        <v>146</v>
      </c>
      <c r="C32" s="110">
        <v>8891836.7015799992</v>
      </c>
      <c r="D32" s="110">
        <v>658935.89986000012</v>
      </c>
      <c r="E32" s="110">
        <v>658935.89986000012</v>
      </c>
      <c r="F32" s="110">
        <v>0</v>
      </c>
      <c r="G32" s="110">
        <v>466412.93257999961</v>
      </c>
      <c r="H32" s="110">
        <v>466412.93257999961</v>
      </c>
      <c r="I32" s="110">
        <v>0</v>
      </c>
      <c r="J32" s="110">
        <v>0</v>
      </c>
      <c r="K32" s="110">
        <v>0</v>
      </c>
      <c r="L32" s="110">
        <v>225726.57657000021</v>
      </c>
      <c r="M32" s="110">
        <v>15760.25757882343</v>
      </c>
      <c r="N32" s="110">
        <v>235287.712</v>
      </c>
      <c r="O32" s="110">
        <v>0</v>
      </c>
      <c r="P32" s="110">
        <v>0</v>
      </c>
      <c r="Q32" s="149">
        <v>9078160.5467111766</v>
      </c>
    </row>
    <row r="33" spans="2:17" ht="34.5" customHeight="1" x14ac:dyDescent="0.35">
      <c r="B33" s="135" t="s">
        <v>7</v>
      </c>
      <c r="C33" s="140">
        <f t="shared" ref="C33:Q33" si="1">SUM(C30:C32)</f>
        <v>10207776.247442672</v>
      </c>
      <c r="D33" s="140">
        <f t="shared" si="1"/>
        <v>873042.89406845625</v>
      </c>
      <c r="E33" s="140">
        <f t="shared" si="1"/>
        <v>820498.24947879056</v>
      </c>
      <c r="F33" s="140">
        <f t="shared" si="1"/>
        <v>0</v>
      </c>
      <c r="G33" s="140">
        <f t="shared" si="1"/>
        <v>543769.26993997814</v>
      </c>
      <c r="H33" s="140">
        <f t="shared" si="1"/>
        <v>543769.26993997814</v>
      </c>
      <c r="I33" s="140">
        <f t="shared" si="1"/>
        <v>0</v>
      </c>
      <c r="J33" s="140">
        <f t="shared" si="1"/>
        <v>0</v>
      </c>
      <c r="K33" s="140">
        <f t="shared" si="1"/>
        <v>0</v>
      </c>
      <c r="L33" s="140">
        <f t="shared" si="1"/>
        <v>262325.52938670944</v>
      </c>
      <c r="M33" s="140">
        <f t="shared" si="1"/>
        <v>38235.107125623428</v>
      </c>
      <c r="N33" s="140">
        <f t="shared" si="1"/>
        <v>296206.43503814633</v>
      </c>
      <c r="O33" s="140">
        <f t="shared" si="1"/>
        <v>2883.487588200001</v>
      </c>
      <c r="P33" s="140">
        <f t="shared" si="1"/>
        <v>0</v>
      </c>
      <c r="Q33" s="140">
        <f t="shared" si="1"/>
        <v>10477267.537919099</v>
      </c>
    </row>
    <row r="34" spans="2:17" ht="34.5" customHeight="1" x14ac:dyDescent="0.35">
      <c r="B34" s="303" t="s">
        <v>149</v>
      </c>
      <c r="C34" s="324"/>
      <c r="D34" s="324"/>
      <c r="E34" s="324"/>
      <c r="F34" s="324"/>
      <c r="G34" s="324"/>
      <c r="H34" s="324"/>
      <c r="I34" s="324"/>
      <c r="J34" s="324"/>
      <c r="K34" s="324"/>
      <c r="L34" s="324"/>
      <c r="M34" s="324"/>
      <c r="N34" s="324"/>
      <c r="O34" s="324"/>
      <c r="P34" s="324"/>
      <c r="Q34" s="324"/>
    </row>
    <row r="35" spans="2:17" x14ac:dyDescent="0.35">
      <c r="C35" s="151"/>
      <c r="Q35" s="76"/>
    </row>
    <row r="36" spans="2:17" x14ac:dyDescent="0.35">
      <c r="Q36" s="76"/>
    </row>
    <row r="49" spans="2:17" ht="21.5" x14ac:dyDescent="0.45">
      <c r="B49" s="275"/>
      <c r="C49" s="275"/>
      <c r="D49" s="275"/>
      <c r="E49" s="275"/>
      <c r="F49" s="275"/>
      <c r="G49" s="275"/>
      <c r="H49" s="275"/>
      <c r="I49" s="275"/>
      <c r="J49" s="275"/>
      <c r="K49" s="275"/>
      <c r="L49" s="275"/>
      <c r="M49" s="275"/>
      <c r="N49" s="275"/>
      <c r="O49" s="275"/>
      <c r="P49" s="275"/>
      <c r="Q49" s="290"/>
    </row>
  </sheetData>
  <sheetProtection algorithmName="SHA-512" hashValue="qh9trPp3zbfAbB1m71kW2EA1g969pqUcaZ7cEdFZGqKz4RcrGXKw2wRP1VHbbq0z7mxXARuC1PrCDU0193MpYg==" saltValue="5l7rNxNqjDEjeHuDxnO50w==" spinCount="100000" sheet="1" objects="1" scenarios="1"/>
  <mergeCells count="4">
    <mergeCell ref="B34:Q34"/>
    <mergeCell ref="B29:Q29"/>
    <mergeCell ref="B3:Q3"/>
    <mergeCell ref="B5:Q5"/>
  </mergeCells>
  <pageMargins left="0.7" right="0.7" top="0.75" bottom="0.75" header="0.3" footer="0.3"/>
  <pageSetup paperSize="9" scale="4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tabColor rgb="FF92D050"/>
    <pageSetUpPr fitToPage="1"/>
  </sheetPr>
  <dimension ref="B3:Q49"/>
  <sheetViews>
    <sheetView showGridLines="0" zoomScale="70" zoomScaleNormal="55" workbookViewId="0">
      <pane xSplit="2" ySplit="5" topLeftCell="J27" activePane="bottomRight" state="frozen"/>
      <selection activeCell="A4" sqref="A4:XFD4"/>
      <selection pane="topRight" activeCell="A4" sqref="A4:XFD4"/>
      <selection pane="bottomLeft" activeCell="A4" sqref="A4:XFD4"/>
      <selection pane="bottomRight" activeCell="K30" sqref="B3:Q34"/>
    </sheetView>
  </sheetViews>
  <sheetFormatPr defaultColWidth="15.54296875" defaultRowHeight="15.5" x14ac:dyDescent="0.35"/>
  <cols>
    <col min="1" max="1" width="15.54296875" style="76" customWidth="1"/>
    <col min="2" max="2" width="47.6328125" style="76" bestFit="1" customWidth="1"/>
    <col min="3" max="16" width="21" style="76" customWidth="1"/>
    <col min="17" max="17" width="21" style="138" customWidth="1"/>
    <col min="18" max="116" width="15.54296875" style="76" customWidth="1"/>
    <col min="117" max="16384" width="15.54296875" style="76"/>
  </cols>
  <sheetData>
    <row r="3" spans="2:17" s="275" customFormat="1" ht="22" x14ac:dyDescent="0.5">
      <c r="B3" s="297" t="str">
        <f>_xlfn.CONCAT('Table of Contents'!B24,": ",'Table of Contents'!C24)</f>
        <v>APPENDIX 12: SUMMARY OF GROUP CREDIT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152"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x14ac:dyDescent="0.35">
      <c r="B5" s="300" t="s">
        <v>106</v>
      </c>
      <c r="C5" s="301"/>
      <c r="D5" s="301"/>
      <c r="E5" s="301"/>
      <c r="F5" s="301"/>
      <c r="G5" s="301"/>
      <c r="H5" s="301"/>
      <c r="I5" s="301"/>
      <c r="J5" s="301"/>
      <c r="K5" s="301"/>
      <c r="L5" s="301"/>
      <c r="M5" s="301"/>
      <c r="N5" s="301"/>
      <c r="O5" s="301"/>
      <c r="P5" s="301"/>
      <c r="Q5" s="302"/>
    </row>
    <row r="6" spans="2:17" ht="34.5" customHeight="1" x14ac:dyDescent="0.35">
      <c r="B6" s="67" t="s">
        <v>150</v>
      </c>
      <c r="C6" s="110">
        <v>1999808.254162051</v>
      </c>
      <c r="D6" s="110">
        <v>425074.02188000007</v>
      </c>
      <c r="E6" s="110">
        <v>328214.88288000011</v>
      </c>
      <c r="F6" s="110">
        <v>0</v>
      </c>
      <c r="G6" s="110">
        <v>78578.031780000005</v>
      </c>
      <c r="H6" s="110">
        <v>78578.031780000005</v>
      </c>
      <c r="I6" s="110">
        <v>0</v>
      </c>
      <c r="J6" s="110">
        <v>0</v>
      </c>
      <c r="K6" s="110">
        <v>0</v>
      </c>
      <c r="L6" s="110">
        <v>241816.11051999999</v>
      </c>
      <c r="M6" s="110">
        <v>97823.586266825296</v>
      </c>
      <c r="N6" s="110">
        <v>75944.92921680001</v>
      </c>
      <c r="O6" s="110">
        <v>0</v>
      </c>
      <c r="P6" s="110">
        <v>0</v>
      </c>
      <c r="Q6" s="149">
        <v>1985750.337692026</v>
      </c>
    </row>
    <row r="7" spans="2:17" ht="34.5" customHeight="1" x14ac:dyDescent="0.35">
      <c r="B7" s="126" t="s">
        <v>151</v>
      </c>
      <c r="C7" s="110">
        <v>741624.35800000001</v>
      </c>
      <c r="D7" s="110">
        <v>371018.22899999999</v>
      </c>
      <c r="E7" s="110">
        <v>319402.76199999999</v>
      </c>
      <c r="F7" s="110">
        <v>0</v>
      </c>
      <c r="G7" s="110">
        <v>131431.56482056301</v>
      </c>
      <c r="H7" s="110">
        <v>131431.56482056301</v>
      </c>
      <c r="I7" s="110">
        <v>0</v>
      </c>
      <c r="J7" s="110">
        <v>0</v>
      </c>
      <c r="K7" s="110">
        <v>0</v>
      </c>
      <c r="L7" s="110">
        <v>87465.526865345353</v>
      </c>
      <c r="M7" s="110">
        <v>25441.111370585531</v>
      </c>
      <c r="N7" s="110">
        <v>12507.828588908949</v>
      </c>
      <c r="O7" s="110">
        <v>0</v>
      </c>
      <c r="P7" s="110">
        <v>0</v>
      </c>
      <c r="Q7" s="149">
        <v>829196.74553241499</v>
      </c>
    </row>
    <row r="8" spans="2:17" ht="34.5" customHeight="1" x14ac:dyDescent="0.35">
      <c r="B8" s="126" t="s">
        <v>152</v>
      </c>
      <c r="C8" s="110">
        <v>-217453.38524999999</v>
      </c>
      <c r="D8" s="110">
        <v>208986.61483000001</v>
      </c>
      <c r="E8" s="110">
        <v>198163.62020953171</v>
      </c>
      <c r="F8" s="110">
        <v>0</v>
      </c>
      <c r="G8" s="110">
        <v>63198.752849999997</v>
      </c>
      <c r="H8" s="110">
        <v>63198.752849999997</v>
      </c>
      <c r="I8" s="110">
        <v>0</v>
      </c>
      <c r="J8" s="110">
        <v>0</v>
      </c>
      <c r="K8" s="110">
        <v>0</v>
      </c>
      <c r="L8" s="110">
        <v>14078.67517</v>
      </c>
      <c r="M8" s="110">
        <v>84044.854999999996</v>
      </c>
      <c r="N8" s="110">
        <v>46563.81</v>
      </c>
      <c r="O8" s="110">
        <v>716.89400000000001</v>
      </c>
      <c r="P8" s="110">
        <v>0</v>
      </c>
      <c r="Q8" s="149">
        <v>-134765.13206046831</v>
      </c>
    </row>
    <row r="9" spans="2:17" ht="34.5" customHeight="1" x14ac:dyDescent="0.35">
      <c r="B9" s="126" t="s">
        <v>153</v>
      </c>
      <c r="C9" s="110">
        <v>-2118.5584681984451</v>
      </c>
      <c r="D9" s="110">
        <v>647.25329817993656</v>
      </c>
      <c r="E9" s="110">
        <v>612.11329817993658</v>
      </c>
      <c r="F9" s="110">
        <v>0</v>
      </c>
      <c r="G9" s="110">
        <v>2071.6170000000002</v>
      </c>
      <c r="H9" s="110">
        <v>2071.6170000000002</v>
      </c>
      <c r="I9" s="110">
        <v>0</v>
      </c>
      <c r="J9" s="110">
        <v>0</v>
      </c>
      <c r="K9" s="110">
        <v>0</v>
      </c>
      <c r="L9" s="110">
        <v>42.75456606472364</v>
      </c>
      <c r="M9" s="110">
        <v>4132.7089999999998</v>
      </c>
      <c r="N9" s="110">
        <v>2071.0729999999999</v>
      </c>
      <c r="O9" s="110">
        <v>0</v>
      </c>
      <c r="P9" s="110">
        <v>0</v>
      </c>
      <c r="Q9" s="149">
        <v>-5682.4527360832317</v>
      </c>
    </row>
    <row r="10" spans="2:17" ht="34.5" customHeight="1" x14ac:dyDescent="0.35">
      <c r="B10" s="126" t="s">
        <v>154</v>
      </c>
      <c r="C10" s="110">
        <v>12706.818340474339</v>
      </c>
      <c r="D10" s="110">
        <v>19683.293000000001</v>
      </c>
      <c r="E10" s="110">
        <v>12290.532886758219</v>
      </c>
      <c r="F10" s="110">
        <v>0</v>
      </c>
      <c r="G10" s="110">
        <v>15294.922850000001</v>
      </c>
      <c r="H10" s="110">
        <v>15294.922850000001</v>
      </c>
      <c r="I10" s="110">
        <v>0</v>
      </c>
      <c r="J10" s="110">
        <v>0</v>
      </c>
      <c r="K10" s="110">
        <v>0</v>
      </c>
      <c r="L10" s="110">
        <v>1340.527501689555</v>
      </c>
      <c r="M10" s="110">
        <v>3336.5379393489752</v>
      </c>
      <c r="N10" s="110">
        <v>43.082737008427138</v>
      </c>
      <c r="O10" s="110">
        <v>0</v>
      </c>
      <c r="P10" s="110">
        <v>0</v>
      </c>
      <c r="Q10" s="149">
        <v>5068.4456732024637</v>
      </c>
    </row>
    <row r="11" spans="2:17" ht="34.5" customHeight="1" x14ac:dyDescent="0.35">
      <c r="B11" s="126" t="s">
        <v>155</v>
      </c>
      <c r="C11" s="110">
        <v>9038374.3554298375</v>
      </c>
      <c r="D11" s="110">
        <v>2406625.787</v>
      </c>
      <c r="E11" s="110">
        <v>1871233.186</v>
      </c>
      <c r="F11" s="110">
        <v>0</v>
      </c>
      <c r="G11" s="110">
        <v>0</v>
      </c>
      <c r="H11" s="110">
        <v>0</v>
      </c>
      <c r="I11" s="110">
        <v>0</v>
      </c>
      <c r="J11" s="110">
        <v>0</v>
      </c>
      <c r="K11" s="110">
        <v>0</v>
      </c>
      <c r="L11" s="110">
        <v>408304.75400000002</v>
      </c>
      <c r="M11" s="110">
        <v>341487.98171851772</v>
      </c>
      <c r="N11" s="110">
        <v>0</v>
      </c>
      <c r="O11" s="110">
        <v>0</v>
      </c>
      <c r="P11" s="110">
        <v>0</v>
      </c>
      <c r="Q11" s="149">
        <v>10159814.80571132</v>
      </c>
    </row>
    <row r="12" spans="2:17" ht="34.5" customHeight="1" x14ac:dyDescent="0.35">
      <c r="B12" s="126" t="s">
        <v>156</v>
      </c>
      <c r="C12" s="110">
        <v>8566374.8593891021</v>
      </c>
      <c r="D12" s="110">
        <v>299580.37400000001</v>
      </c>
      <c r="E12" s="110">
        <v>326365.20699999999</v>
      </c>
      <c r="F12" s="110">
        <v>0</v>
      </c>
      <c r="G12" s="110">
        <v>69640.57966815769</v>
      </c>
      <c r="H12" s="110">
        <v>69640.57966815769</v>
      </c>
      <c r="I12" s="110">
        <v>0</v>
      </c>
      <c r="J12" s="110">
        <v>0</v>
      </c>
      <c r="K12" s="110">
        <v>0</v>
      </c>
      <c r="L12" s="110">
        <v>2629.3745581066528</v>
      </c>
      <c r="M12" s="110">
        <v>136208.25805218649</v>
      </c>
      <c r="N12" s="110">
        <v>244484.59474340989</v>
      </c>
      <c r="O12" s="110">
        <v>0</v>
      </c>
      <c r="P12" s="110">
        <v>0</v>
      </c>
      <c r="Q12" s="149">
        <v>8928746.4488540608</v>
      </c>
    </row>
    <row r="13" spans="2:17" ht="34.5" customHeight="1" x14ac:dyDescent="0.35">
      <c r="B13" s="126" t="s">
        <v>157</v>
      </c>
      <c r="C13" s="110">
        <v>1820.1959260317949</v>
      </c>
      <c r="D13" s="110">
        <v>604.01700000000005</v>
      </c>
      <c r="E13" s="110">
        <v>9.4649999999999999</v>
      </c>
      <c r="F13" s="110">
        <v>0</v>
      </c>
      <c r="G13" s="110">
        <v>82.134</v>
      </c>
      <c r="H13" s="110">
        <v>82.134</v>
      </c>
      <c r="I13" s="110">
        <v>0</v>
      </c>
      <c r="J13" s="110">
        <v>0</v>
      </c>
      <c r="K13" s="110">
        <v>0</v>
      </c>
      <c r="L13" s="110">
        <v>-169.44800000000001</v>
      </c>
      <c r="M13" s="110">
        <v>143.55099999999999</v>
      </c>
      <c r="N13" s="110">
        <v>24.428000000000001</v>
      </c>
      <c r="O13" s="110">
        <v>0</v>
      </c>
      <c r="P13" s="110">
        <v>0</v>
      </c>
      <c r="Q13" s="149">
        <v>1797.8519260317951</v>
      </c>
    </row>
    <row r="14" spans="2:17" ht="34.5" customHeight="1" x14ac:dyDescent="0.35">
      <c r="B14" s="126" t="s">
        <v>158</v>
      </c>
      <c r="C14" s="110">
        <v>570152.99300000002</v>
      </c>
      <c r="D14" s="110">
        <v>145002.75172999999</v>
      </c>
      <c r="E14" s="110">
        <v>108230.39672999999</v>
      </c>
      <c r="F14" s="110">
        <v>0</v>
      </c>
      <c r="G14" s="110">
        <v>147845.53055291949</v>
      </c>
      <c r="H14" s="110">
        <v>17272.63364999996</v>
      </c>
      <c r="I14" s="110">
        <v>130572.8969029196</v>
      </c>
      <c r="J14" s="110">
        <v>0</v>
      </c>
      <c r="K14" s="110">
        <v>0</v>
      </c>
      <c r="L14" s="110">
        <v>11057.210069999999</v>
      </c>
      <c r="M14" s="110">
        <v>24072.60907651965</v>
      </c>
      <c r="N14" s="110">
        <v>0</v>
      </c>
      <c r="O14" s="110">
        <v>0</v>
      </c>
      <c r="P14" s="110">
        <v>0</v>
      </c>
      <c r="Q14" s="149">
        <v>495408.04003056081</v>
      </c>
    </row>
    <row r="15" spans="2:17" ht="34.5" customHeight="1" x14ac:dyDescent="0.35">
      <c r="B15" s="126" t="s">
        <v>159</v>
      </c>
      <c r="C15" s="110">
        <v>92416.921000000002</v>
      </c>
      <c r="D15" s="110">
        <v>52408.216999999997</v>
      </c>
      <c r="E15" s="110">
        <v>41527.131117736972</v>
      </c>
      <c r="F15" s="110">
        <v>0</v>
      </c>
      <c r="G15" s="110">
        <v>50781.870147209607</v>
      </c>
      <c r="H15" s="110">
        <v>50781.870147209607</v>
      </c>
      <c r="I15" s="110">
        <v>0</v>
      </c>
      <c r="J15" s="110">
        <v>0</v>
      </c>
      <c r="K15" s="110">
        <v>0</v>
      </c>
      <c r="L15" s="110">
        <v>1549.433953547395</v>
      </c>
      <c r="M15" s="110">
        <v>38362.044170321351</v>
      </c>
      <c r="N15" s="110">
        <v>9668.1910000000007</v>
      </c>
      <c r="O15" s="110">
        <v>0</v>
      </c>
      <c r="P15" s="110">
        <v>7881.415</v>
      </c>
      <c r="Q15" s="149">
        <v>45037.479846658607</v>
      </c>
    </row>
    <row r="16" spans="2:17" ht="34.5" customHeight="1" x14ac:dyDescent="0.35">
      <c r="B16" s="126" t="s">
        <v>160</v>
      </c>
      <c r="C16" s="110">
        <v>361051.35337280488</v>
      </c>
      <c r="D16" s="110">
        <v>30943.157859999999</v>
      </c>
      <c r="E16" s="110">
        <v>7081.0532321873452</v>
      </c>
      <c r="F16" s="110">
        <v>0</v>
      </c>
      <c r="G16" s="110">
        <v>4204.1561900000679</v>
      </c>
      <c r="H16" s="110">
        <v>4204.1561900000679</v>
      </c>
      <c r="I16" s="110">
        <v>0</v>
      </c>
      <c r="J16" s="110">
        <v>0</v>
      </c>
      <c r="K16" s="110">
        <v>0</v>
      </c>
      <c r="L16" s="110">
        <v>416.14886764407709</v>
      </c>
      <c r="M16" s="110">
        <v>6385.5787099999998</v>
      </c>
      <c r="N16" s="110">
        <v>10586.8721729032</v>
      </c>
      <c r="O16" s="110">
        <v>78.239273978051685</v>
      </c>
      <c r="P16" s="110">
        <v>0</v>
      </c>
      <c r="Q16" s="149">
        <v>367635.15573627321</v>
      </c>
    </row>
    <row r="17" spans="2:17" ht="34.5" customHeight="1" x14ac:dyDescent="0.35">
      <c r="B17" s="126" t="s">
        <v>161</v>
      </c>
      <c r="C17" s="110">
        <v>6147.6033722642296</v>
      </c>
      <c r="D17" s="110">
        <v>4379.6270000000004</v>
      </c>
      <c r="E17" s="110">
        <v>4020.2570000000001</v>
      </c>
      <c r="F17" s="110">
        <v>0</v>
      </c>
      <c r="G17" s="110">
        <v>737.08799999999997</v>
      </c>
      <c r="H17" s="110">
        <v>737.08799999999997</v>
      </c>
      <c r="I17" s="110">
        <v>0</v>
      </c>
      <c r="J17" s="110">
        <v>0</v>
      </c>
      <c r="K17" s="110">
        <v>0</v>
      </c>
      <c r="L17" s="110">
        <v>312.89499999999998</v>
      </c>
      <c r="M17" s="110">
        <v>4108.1354229688332</v>
      </c>
      <c r="N17" s="110">
        <v>128.2293240997686</v>
      </c>
      <c r="O17" s="110">
        <v>0</v>
      </c>
      <c r="P17" s="110">
        <v>0</v>
      </c>
      <c r="Q17" s="149">
        <v>5137.9712733951656</v>
      </c>
    </row>
    <row r="18" spans="2:17" ht="34.5" customHeight="1" x14ac:dyDescent="0.35">
      <c r="B18" s="126" t="s">
        <v>162</v>
      </c>
      <c r="C18" s="110">
        <v>1115157.9502273819</v>
      </c>
      <c r="D18" s="110">
        <v>120213.57109</v>
      </c>
      <c r="E18" s="110">
        <v>95209.381250000006</v>
      </c>
      <c r="F18" s="110">
        <v>0</v>
      </c>
      <c r="G18" s="110">
        <v>31292.697</v>
      </c>
      <c r="H18" s="110">
        <v>31292.697</v>
      </c>
      <c r="I18" s="110">
        <v>0</v>
      </c>
      <c r="J18" s="110">
        <v>0</v>
      </c>
      <c r="K18" s="110">
        <v>0</v>
      </c>
      <c r="L18" s="110">
        <v>2423.0144371999991</v>
      </c>
      <c r="M18" s="110">
        <v>58909.908654029983</v>
      </c>
      <c r="N18" s="110">
        <v>37673.574432760201</v>
      </c>
      <c r="O18" s="110">
        <v>0</v>
      </c>
      <c r="P18" s="110">
        <v>0</v>
      </c>
      <c r="Q18" s="149">
        <v>1155415.2858189121</v>
      </c>
    </row>
    <row r="19" spans="2:17" ht="34.5" customHeight="1" x14ac:dyDescent="0.35">
      <c r="B19" s="150" t="s">
        <v>163</v>
      </c>
      <c r="C19" s="110">
        <v>858862.31078437099</v>
      </c>
      <c r="D19" s="110">
        <v>253903.40911000001</v>
      </c>
      <c r="E19" s="110">
        <v>233088.04711000001</v>
      </c>
      <c r="F19" s="110">
        <v>0</v>
      </c>
      <c r="G19" s="110">
        <v>103950.41675999999</v>
      </c>
      <c r="H19" s="110">
        <v>103950.41675999999</v>
      </c>
      <c r="I19" s="110">
        <v>0</v>
      </c>
      <c r="J19" s="110">
        <v>0</v>
      </c>
      <c r="K19" s="110">
        <v>0</v>
      </c>
      <c r="L19" s="110">
        <v>67866.756110000002</v>
      </c>
      <c r="M19" s="110">
        <v>39132.15</v>
      </c>
      <c r="N19" s="110">
        <v>11323.147000000001</v>
      </c>
      <c r="O19" s="110">
        <v>3213.2660000000001</v>
      </c>
      <c r="P19" s="110">
        <v>0</v>
      </c>
      <c r="Q19" s="149">
        <v>889110.91602437105</v>
      </c>
    </row>
    <row r="20" spans="2:17" ht="34.5" customHeight="1" x14ac:dyDescent="0.35">
      <c r="B20" s="150" t="s">
        <v>127</v>
      </c>
      <c r="C20" s="110">
        <v>504069.09058045439</v>
      </c>
      <c r="D20" s="110">
        <v>254645.31575737291</v>
      </c>
      <c r="E20" s="110">
        <v>152943.65191886661</v>
      </c>
      <c r="F20" s="110">
        <v>0</v>
      </c>
      <c r="G20" s="110">
        <v>16889.099301450409</v>
      </c>
      <c r="H20" s="110">
        <v>16889.099301450409</v>
      </c>
      <c r="I20" s="110">
        <v>0</v>
      </c>
      <c r="J20" s="110">
        <v>0</v>
      </c>
      <c r="K20" s="110">
        <v>0</v>
      </c>
      <c r="L20" s="110">
        <v>-25756.665982353112</v>
      </c>
      <c r="M20" s="110">
        <v>21841.000027106329</v>
      </c>
      <c r="N20" s="110">
        <v>4979.450630824108</v>
      </c>
      <c r="O20" s="110">
        <v>325.92455666009829</v>
      </c>
      <c r="P20" s="110">
        <v>0</v>
      </c>
      <c r="Q20" s="149">
        <v>648692.83522728155</v>
      </c>
    </row>
    <row r="21" spans="2:17" ht="34.5" customHeight="1" x14ac:dyDescent="0.35">
      <c r="B21" s="126" t="s">
        <v>164</v>
      </c>
      <c r="C21" s="110">
        <v>0</v>
      </c>
      <c r="D21" s="110">
        <v>0</v>
      </c>
      <c r="E21" s="110">
        <v>0</v>
      </c>
      <c r="F21" s="110">
        <v>0</v>
      </c>
      <c r="G21" s="110">
        <v>0</v>
      </c>
      <c r="H21" s="110">
        <v>0</v>
      </c>
      <c r="I21" s="110">
        <v>0</v>
      </c>
      <c r="J21" s="110">
        <v>0</v>
      </c>
      <c r="K21" s="110">
        <v>0</v>
      </c>
      <c r="L21" s="110">
        <v>0</v>
      </c>
      <c r="M21" s="110">
        <v>0</v>
      </c>
      <c r="N21" s="110">
        <v>0</v>
      </c>
      <c r="O21" s="110">
        <v>0</v>
      </c>
      <c r="P21" s="110">
        <v>0</v>
      </c>
      <c r="Q21" s="149">
        <v>0</v>
      </c>
    </row>
    <row r="22" spans="2:17" ht="34.5" customHeight="1" x14ac:dyDescent="0.35">
      <c r="B22" s="126" t="s">
        <v>165</v>
      </c>
      <c r="C22" s="110">
        <v>306178.24798918911</v>
      </c>
      <c r="D22" s="110">
        <v>204544.052</v>
      </c>
      <c r="E22" s="110">
        <v>155105.73000000001</v>
      </c>
      <c r="F22" s="110">
        <v>0</v>
      </c>
      <c r="G22" s="110">
        <v>54855.828355605481</v>
      </c>
      <c r="H22" s="110">
        <v>54855.828355605481</v>
      </c>
      <c r="I22" s="110">
        <v>0</v>
      </c>
      <c r="J22" s="110">
        <v>0</v>
      </c>
      <c r="K22" s="110">
        <v>0</v>
      </c>
      <c r="L22" s="110">
        <v>0</v>
      </c>
      <c r="M22" s="110">
        <v>17795.1183620058</v>
      </c>
      <c r="N22" s="110">
        <v>1885.3139707735941</v>
      </c>
      <c r="O22" s="110">
        <v>0</v>
      </c>
      <c r="P22" s="110">
        <v>0</v>
      </c>
      <c r="Q22" s="149">
        <v>390518.34524235141</v>
      </c>
    </row>
    <row r="23" spans="2:17" ht="34.5" customHeight="1" x14ac:dyDescent="0.35">
      <c r="B23" s="126" t="s">
        <v>166</v>
      </c>
      <c r="C23" s="110">
        <v>584384.27937235089</v>
      </c>
      <c r="D23" s="110">
        <v>41461.822999999997</v>
      </c>
      <c r="E23" s="110">
        <v>33455.599000000002</v>
      </c>
      <c r="F23" s="110">
        <v>0</v>
      </c>
      <c r="G23" s="110">
        <v>63735.128960000002</v>
      </c>
      <c r="H23" s="110">
        <v>63735.128960000002</v>
      </c>
      <c r="I23" s="110">
        <v>0</v>
      </c>
      <c r="J23" s="110">
        <v>0</v>
      </c>
      <c r="K23" s="110">
        <v>0</v>
      </c>
      <c r="L23" s="110">
        <v>3481.4639999999999</v>
      </c>
      <c r="M23" s="110">
        <v>28535.980199000009</v>
      </c>
      <c r="N23" s="110">
        <v>10000</v>
      </c>
      <c r="O23" s="110">
        <v>0</v>
      </c>
      <c r="P23" s="110">
        <v>0</v>
      </c>
      <c r="Q23" s="149">
        <v>532087.30521335092</v>
      </c>
    </row>
    <row r="24" spans="2:17" ht="34.5" customHeight="1" x14ac:dyDescent="0.35">
      <c r="B24" s="126" t="s">
        <v>167</v>
      </c>
      <c r="C24" s="110">
        <v>1098105.7746745669</v>
      </c>
      <c r="D24" s="110">
        <v>279973.32766893471</v>
      </c>
      <c r="E24" s="110">
        <v>227622.6440591212</v>
      </c>
      <c r="F24" s="110">
        <v>0</v>
      </c>
      <c r="G24" s="110">
        <v>50052.991690759947</v>
      </c>
      <c r="H24" s="110">
        <v>50052.991690759947</v>
      </c>
      <c r="I24" s="110">
        <v>0</v>
      </c>
      <c r="J24" s="110">
        <v>0</v>
      </c>
      <c r="K24" s="110">
        <v>0</v>
      </c>
      <c r="L24" s="110">
        <v>58829.251423230118</v>
      </c>
      <c r="M24" s="110">
        <v>26723.858974615829</v>
      </c>
      <c r="N24" s="110">
        <v>12617.38754467595</v>
      </c>
      <c r="O24" s="110">
        <v>0</v>
      </c>
      <c r="P24" s="110">
        <v>0</v>
      </c>
      <c r="Q24" s="149">
        <v>1202739.704189758</v>
      </c>
    </row>
    <row r="25" spans="2:17" ht="34.5" customHeight="1" x14ac:dyDescent="0.35">
      <c r="B25" s="126" t="s">
        <v>168</v>
      </c>
      <c r="C25" s="110">
        <v>0</v>
      </c>
      <c r="D25" s="110">
        <v>0</v>
      </c>
      <c r="E25" s="110">
        <v>0</v>
      </c>
      <c r="F25" s="110">
        <v>0</v>
      </c>
      <c r="G25" s="110">
        <v>0</v>
      </c>
      <c r="H25" s="110">
        <v>0</v>
      </c>
      <c r="I25" s="110">
        <v>0</v>
      </c>
      <c r="J25" s="110">
        <v>0</v>
      </c>
      <c r="K25" s="110">
        <v>0</v>
      </c>
      <c r="L25" s="110">
        <v>0</v>
      </c>
      <c r="M25" s="110">
        <v>0</v>
      </c>
      <c r="N25" s="110">
        <v>0</v>
      </c>
      <c r="O25" s="110">
        <v>0</v>
      </c>
      <c r="P25" s="110">
        <v>0</v>
      </c>
      <c r="Q25" s="149">
        <v>0</v>
      </c>
    </row>
    <row r="26" spans="2:17" ht="34.5" customHeight="1" x14ac:dyDescent="0.35">
      <c r="B26" s="126" t="s">
        <v>169</v>
      </c>
      <c r="C26" s="110">
        <v>0</v>
      </c>
      <c r="D26" s="110">
        <v>0</v>
      </c>
      <c r="E26" s="110">
        <v>0</v>
      </c>
      <c r="F26" s="110">
        <v>0</v>
      </c>
      <c r="G26" s="110">
        <v>0</v>
      </c>
      <c r="H26" s="110">
        <v>0</v>
      </c>
      <c r="I26" s="110">
        <v>0</v>
      </c>
      <c r="J26" s="110">
        <v>0</v>
      </c>
      <c r="K26" s="110">
        <v>0</v>
      </c>
      <c r="L26" s="110">
        <v>0</v>
      </c>
      <c r="M26" s="110">
        <v>0</v>
      </c>
      <c r="N26" s="110">
        <v>0</v>
      </c>
      <c r="O26" s="110">
        <v>0</v>
      </c>
      <c r="P26" s="110">
        <v>0</v>
      </c>
      <c r="Q26" s="149">
        <v>0</v>
      </c>
    </row>
    <row r="27" spans="2:17" ht="34.5" customHeight="1" x14ac:dyDescent="0.35">
      <c r="B27" s="126" t="s">
        <v>170</v>
      </c>
      <c r="C27" s="110">
        <v>0</v>
      </c>
      <c r="D27" s="110">
        <v>0</v>
      </c>
      <c r="E27" s="110">
        <v>0</v>
      </c>
      <c r="F27" s="110">
        <v>0</v>
      </c>
      <c r="G27" s="110">
        <v>0</v>
      </c>
      <c r="H27" s="110">
        <v>0</v>
      </c>
      <c r="I27" s="110">
        <v>0</v>
      </c>
      <c r="J27" s="110">
        <v>0</v>
      </c>
      <c r="K27" s="110">
        <v>0</v>
      </c>
      <c r="L27" s="110">
        <v>0</v>
      </c>
      <c r="M27" s="110">
        <v>0</v>
      </c>
      <c r="N27" s="110">
        <v>0</v>
      </c>
      <c r="O27" s="110">
        <v>0</v>
      </c>
      <c r="P27" s="110">
        <v>0</v>
      </c>
      <c r="Q27" s="149">
        <v>0</v>
      </c>
    </row>
    <row r="28" spans="2:17" ht="34.5" customHeight="1" x14ac:dyDescent="0.35">
      <c r="B28" s="135" t="s">
        <v>7</v>
      </c>
      <c r="C28" s="140">
        <f t="shared" ref="C28:Q28" si="0">SUM(C6:C27)</f>
        <v>25637663.421902683</v>
      </c>
      <c r="D28" s="140">
        <f t="shared" si="0"/>
        <v>5119694.842224489</v>
      </c>
      <c r="E28" s="140">
        <f t="shared" si="0"/>
        <v>4114575.6606923826</v>
      </c>
      <c r="F28" s="140">
        <f t="shared" si="0"/>
        <v>0</v>
      </c>
      <c r="G28" s="140">
        <f t="shared" si="0"/>
        <v>884642.40992666571</v>
      </c>
      <c r="H28" s="140">
        <f t="shared" si="0"/>
        <v>754069.5130237462</v>
      </c>
      <c r="I28" s="140">
        <f t="shared" si="0"/>
        <v>130572.8969029196</v>
      </c>
      <c r="J28" s="140">
        <f t="shared" si="0"/>
        <v>0</v>
      </c>
      <c r="K28" s="140">
        <f t="shared" si="0"/>
        <v>0</v>
      </c>
      <c r="L28" s="140">
        <f t="shared" si="0"/>
        <v>875687.7830604749</v>
      </c>
      <c r="M28" s="140">
        <f t="shared" si="0"/>
        <v>958484.97394403175</v>
      </c>
      <c r="N28" s="140">
        <f t="shared" si="0"/>
        <v>480501.91236216412</v>
      </c>
      <c r="O28" s="140">
        <f t="shared" si="0"/>
        <v>4334.32383063815</v>
      </c>
      <c r="P28" s="140">
        <f t="shared" si="0"/>
        <v>7881.415</v>
      </c>
      <c r="Q28" s="140">
        <f t="shared" si="0"/>
        <v>27501710.089195423</v>
      </c>
    </row>
    <row r="29" spans="2:17" ht="34.5" customHeight="1" x14ac:dyDescent="0.35">
      <c r="B29" s="300" t="s">
        <v>142</v>
      </c>
      <c r="C29" s="301"/>
      <c r="D29" s="301"/>
      <c r="E29" s="301"/>
      <c r="F29" s="301"/>
      <c r="G29" s="301"/>
      <c r="H29" s="301"/>
      <c r="I29" s="301"/>
      <c r="J29" s="301"/>
      <c r="K29" s="301"/>
      <c r="L29" s="301"/>
      <c r="M29" s="301"/>
      <c r="N29" s="301"/>
      <c r="O29" s="301"/>
      <c r="P29" s="301"/>
      <c r="Q29" s="302"/>
    </row>
    <row r="30" spans="2:17" ht="34.5" customHeight="1" x14ac:dyDescent="0.35">
      <c r="B30" s="126" t="s">
        <v>143</v>
      </c>
      <c r="C30" s="110">
        <v>0</v>
      </c>
      <c r="D30" s="110">
        <v>0</v>
      </c>
      <c r="E30" s="110">
        <v>0</v>
      </c>
      <c r="F30" s="110">
        <v>0</v>
      </c>
      <c r="G30" s="110">
        <v>0</v>
      </c>
      <c r="H30" s="110">
        <v>0</v>
      </c>
      <c r="I30" s="110">
        <v>0</v>
      </c>
      <c r="J30" s="110">
        <v>0</v>
      </c>
      <c r="K30" s="110">
        <v>0</v>
      </c>
      <c r="L30" s="110">
        <v>0</v>
      </c>
      <c r="M30" s="110">
        <v>0</v>
      </c>
      <c r="N30" s="110">
        <v>0</v>
      </c>
      <c r="O30" s="110">
        <v>0</v>
      </c>
      <c r="P30" s="110">
        <v>0</v>
      </c>
      <c r="Q30" s="149">
        <v>0</v>
      </c>
    </row>
    <row r="31" spans="2:17" ht="34.5" customHeight="1" x14ac:dyDescent="0.35">
      <c r="B31" s="126" t="s">
        <v>144</v>
      </c>
      <c r="C31" s="110">
        <v>0</v>
      </c>
      <c r="D31" s="110">
        <v>0</v>
      </c>
      <c r="E31" s="110">
        <v>0</v>
      </c>
      <c r="F31" s="110">
        <v>0</v>
      </c>
      <c r="G31" s="110">
        <v>0</v>
      </c>
      <c r="H31" s="110">
        <v>0</v>
      </c>
      <c r="I31" s="110">
        <v>0</v>
      </c>
      <c r="J31" s="110">
        <v>0</v>
      </c>
      <c r="K31" s="110">
        <v>0</v>
      </c>
      <c r="L31" s="110">
        <v>0</v>
      </c>
      <c r="M31" s="110">
        <v>0</v>
      </c>
      <c r="N31" s="110">
        <v>0</v>
      </c>
      <c r="O31" s="110">
        <v>0</v>
      </c>
      <c r="P31" s="110">
        <v>0</v>
      </c>
      <c r="Q31" s="149">
        <v>0</v>
      </c>
    </row>
    <row r="32" spans="2:17" ht="34.5" customHeight="1" x14ac:dyDescent="0.35">
      <c r="B32" s="126" t="s">
        <v>146</v>
      </c>
      <c r="C32" s="110">
        <v>0</v>
      </c>
      <c r="D32" s="110">
        <v>0</v>
      </c>
      <c r="E32" s="110">
        <v>0</v>
      </c>
      <c r="F32" s="110">
        <v>0</v>
      </c>
      <c r="G32" s="110">
        <v>0</v>
      </c>
      <c r="H32" s="110">
        <v>0</v>
      </c>
      <c r="I32" s="110">
        <v>0</v>
      </c>
      <c r="J32" s="110">
        <v>0</v>
      </c>
      <c r="K32" s="110">
        <v>0</v>
      </c>
      <c r="L32" s="110">
        <v>0</v>
      </c>
      <c r="M32" s="110">
        <v>0</v>
      </c>
      <c r="N32" s="110">
        <v>0</v>
      </c>
      <c r="O32" s="110">
        <v>0</v>
      </c>
      <c r="P32" s="110">
        <v>0</v>
      </c>
      <c r="Q32" s="149">
        <v>0</v>
      </c>
    </row>
    <row r="33" spans="2:17" ht="34.5" customHeight="1" x14ac:dyDescent="0.35">
      <c r="B33" s="135" t="s">
        <v>7</v>
      </c>
      <c r="C33" s="140">
        <f t="shared" ref="C33:Q33" si="1">SUM(C30:C32)</f>
        <v>0</v>
      </c>
      <c r="D33" s="140">
        <f t="shared" si="1"/>
        <v>0</v>
      </c>
      <c r="E33" s="140">
        <f t="shared" si="1"/>
        <v>0</v>
      </c>
      <c r="F33" s="140">
        <f t="shared" si="1"/>
        <v>0</v>
      </c>
      <c r="G33" s="140">
        <f t="shared" si="1"/>
        <v>0</v>
      </c>
      <c r="H33" s="140">
        <f t="shared" si="1"/>
        <v>0</v>
      </c>
      <c r="I33" s="140">
        <f t="shared" si="1"/>
        <v>0</v>
      </c>
      <c r="J33" s="140">
        <f t="shared" si="1"/>
        <v>0</v>
      </c>
      <c r="K33" s="140">
        <f t="shared" si="1"/>
        <v>0</v>
      </c>
      <c r="L33" s="140">
        <f t="shared" si="1"/>
        <v>0</v>
      </c>
      <c r="M33" s="140">
        <f t="shared" si="1"/>
        <v>0</v>
      </c>
      <c r="N33" s="140">
        <f t="shared" si="1"/>
        <v>0</v>
      </c>
      <c r="O33" s="140">
        <f t="shared" si="1"/>
        <v>0</v>
      </c>
      <c r="P33" s="140">
        <f t="shared" si="1"/>
        <v>0</v>
      </c>
      <c r="Q33" s="140">
        <f t="shared" si="1"/>
        <v>0</v>
      </c>
    </row>
    <row r="34" spans="2:17" ht="34.5" customHeight="1" x14ac:dyDescent="0.35">
      <c r="B34" s="303" t="s">
        <v>149</v>
      </c>
      <c r="C34" s="324"/>
      <c r="D34" s="324"/>
      <c r="E34" s="324"/>
      <c r="F34" s="324"/>
      <c r="G34" s="324"/>
      <c r="H34" s="324"/>
      <c r="I34" s="324"/>
      <c r="J34" s="324"/>
      <c r="K34" s="324"/>
      <c r="L34" s="324"/>
      <c r="M34" s="324"/>
      <c r="N34" s="324"/>
      <c r="O34" s="324"/>
      <c r="P34" s="324"/>
      <c r="Q34" s="324"/>
    </row>
    <row r="49" spans="2:17" ht="21.5" x14ac:dyDescent="0.45">
      <c r="B49" s="275"/>
      <c r="C49" s="275"/>
      <c r="D49" s="275"/>
      <c r="E49" s="275"/>
      <c r="F49" s="275"/>
      <c r="G49" s="275"/>
      <c r="H49" s="275"/>
      <c r="I49" s="275"/>
      <c r="J49" s="275"/>
      <c r="K49" s="275"/>
      <c r="L49" s="275"/>
      <c r="M49" s="275"/>
      <c r="N49" s="275"/>
      <c r="O49" s="275"/>
      <c r="P49" s="275"/>
      <c r="Q49" s="290"/>
    </row>
  </sheetData>
  <sheetProtection algorithmName="SHA-512" hashValue="xIq1E27MzklXdU0NjRK9LdLyLxjx5IK1mFehEZPi9SKBdCz3m4up+jexkgb/8V83/1FA2wSQoWMBs7GUfg5/Og==" saltValue="c75napojwxGXpShAs31hSQ==" spinCount="100000" sheet="1" objects="1" scenarios="1"/>
  <mergeCells count="4">
    <mergeCell ref="B34:Q34"/>
    <mergeCell ref="B29:Q29"/>
    <mergeCell ref="B3:Q3"/>
    <mergeCell ref="B5:Q5"/>
  </mergeCells>
  <pageMargins left="0.7" right="0.7" top="0.75" bottom="0.75" header="0.3" footer="0.3"/>
  <pageSetup paperSize="9" scale="35"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rgb="FF92D050"/>
    <pageSetUpPr fitToPage="1"/>
  </sheetPr>
  <dimension ref="B3:Q49"/>
  <sheetViews>
    <sheetView showGridLines="0" zoomScale="70" zoomScaleNormal="70" workbookViewId="0">
      <selection activeCell="F16" sqref="B3:Q34"/>
    </sheetView>
  </sheetViews>
  <sheetFormatPr defaultColWidth="15.54296875" defaultRowHeight="15" customHeight="1" x14ac:dyDescent="0.35"/>
  <cols>
    <col min="1" max="1" width="15.54296875" style="76" customWidth="1"/>
    <col min="2" max="2" width="49" style="76" customWidth="1"/>
    <col min="3" max="16" width="18.54296875" style="76" customWidth="1"/>
    <col min="17" max="17" width="18.54296875" style="138" customWidth="1"/>
    <col min="18" max="116" width="15.54296875" style="76" customWidth="1"/>
    <col min="117" max="16384" width="15.54296875" style="76"/>
  </cols>
  <sheetData>
    <row r="3" spans="2:17" s="275" customFormat="1" ht="22" x14ac:dyDescent="0.5">
      <c r="B3" s="297" t="str">
        <f>_xlfn.CONCAT('Table of Contents'!B25,": ",'Table of Contents'!C25)</f>
        <v>APPENDIX 13: SUMMARY OF INVESTMENTS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65"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ht="15" customHeight="1" x14ac:dyDescent="0.35">
      <c r="B5" s="300" t="s">
        <v>106</v>
      </c>
      <c r="C5" s="301"/>
      <c r="D5" s="301"/>
      <c r="E5" s="301"/>
      <c r="F5" s="301"/>
      <c r="G5" s="301"/>
      <c r="H5" s="301"/>
      <c r="I5" s="301"/>
      <c r="J5" s="301"/>
      <c r="K5" s="301"/>
      <c r="L5" s="301"/>
      <c r="M5" s="301"/>
      <c r="N5" s="301"/>
      <c r="O5" s="301"/>
      <c r="P5" s="301"/>
      <c r="Q5" s="302"/>
    </row>
    <row r="6" spans="2:17" ht="15" customHeight="1" x14ac:dyDescent="0.35">
      <c r="B6" s="67" t="str">
        <f>LINKED!B6</f>
        <v>ABSA LIFE ASSURANCE</v>
      </c>
      <c r="C6" s="110">
        <f>+LINKED!C6+'NON-LINKED'!C6</f>
        <v>0</v>
      </c>
      <c r="D6" s="110">
        <f>+LINKED!D6+'NON-LINKED'!D6</f>
        <v>0</v>
      </c>
      <c r="E6" s="110">
        <f>+LINKED!E6+'NON-LINKED'!E6</f>
        <v>0</v>
      </c>
      <c r="F6" s="110">
        <f>+LINKED!F6+'NON-LINKED'!F6</f>
        <v>0</v>
      </c>
      <c r="G6" s="110">
        <f>+LINKED!G6+'NON-LINKED'!G6</f>
        <v>0</v>
      </c>
      <c r="H6" s="110">
        <f>+LINKED!H6+'NON-LINKED'!H6</f>
        <v>0</v>
      </c>
      <c r="I6" s="110">
        <f>+LINKED!I6+'NON-LINKED'!I6</f>
        <v>0</v>
      </c>
      <c r="J6" s="110">
        <f>+LINKED!J6+'NON-LINKED'!J6</f>
        <v>0</v>
      </c>
      <c r="K6" s="110">
        <f>+LINKED!K6+'NON-LINKED'!K6</f>
        <v>0</v>
      </c>
      <c r="L6" s="110">
        <f>+LINKED!L6+'NON-LINKED'!L6</f>
        <v>0</v>
      </c>
      <c r="M6" s="110">
        <f>+LINKED!M6+'NON-LINKED'!M6</f>
        <v>0</v>
      </c>
      <c r="N6" s="110">
        <f>+LINKED!N6+'NON-LINKED'!N6</f>
        <v>0</v>
      </c>
      <c r="O6" s="110">
        <f>+LINKED!O6+'NON-LINKED'!O6</f>
        <v>0</v>
      </c>
      <c r="P6" s="110">
        <f>+LINKED!P6+'NON-LINKED'!P6</f>
        <v>0</v>
      </c>
      <c r="Q6" s="149">
        <f>+LINKED!Q6+'NON-LINKED'!Q6</f>
        <v>0</v>
      </c>
    </row>
    <row r="7" spans="2:17" ht="15" customHeight="1" x14ac:dyDescent="0.35">
      <c r="B7" s="67" t="str">
        <f>LINKED!B7</f>
        <v xml:space="preserve">APA LIFE ASSURANCE COMPANY </v>
      </c>
      <c r="C7" s="110">
        <f>+LINKED!C7+'NON-LINKED'!C7</f>
        <v>10690088.711999999</v>
      </c>
      <c r="D7" s="110">
        <f>+LINKED!D7+'NON-LINKED'!D7</f>
        <v>3619278.6490000002</v>
      </c>
      <c r="E7" s="110">
        <f>+LINKED!E7+'NON-LINKED'!E7</f>
        <v>3619278.6490000002</v>
      </c>
      <c r="F7" s="110">
        <f>+LINKED!F7+'NON-LINKED'!F7</f>
        <v>0</v>
      </c>
      <c r="G7" s="110">
        <f>+LINKED!G7+'NON-LINKED'!G7</f>
        <v>29416.598000000002</v>
      </c>
      <c r="H7" s="110">
        <f>+LINKED!H7+'NON-LINKED'!H7</f>
        <v>29416.598000000002</v>
      </c>
      <c r="I7" s="110">
        <f>+LINKED!I7+'NON-LINKED'!I7</f>
        <v>0</v>
      </c>
      <c r="J7" s="110">
        <f>+LINKED!J7+'NON-LINKED'!J7</f>
        <v>0</v>
      </c>
      <c r="K7" s="110">
        <f>+LINKED!K7+'NON-LINKED'!K7</f>
        <v>0</v>
      </c>
      <c r="L7" s="110">
        <f>+LINKED!L7+'NON-LINKED'!L7</f>
        <v>188004.53659249999</v>
      </c>
      <c r="M7" s="110">
        <f>+LINKED!M7+'NON-LINKED'!M7</f>
        <v>9668.6022593360394</v>
      </c>
      <c r="N7" s="110">
        <f>+LINKED!N7+'NON-LINKED'!N7</f>
        <v>586994.84663230355</v>
      </c>
      <c r="O7" s="110">
        <f>+LINKED!O7+'NON-LINKED'!O7</f>
        <v>5032.9467594447133</v>
      </c>
      <c r="P7" s="110">
        <f>+LINKED!P7+'NON-LINKED'!P7</f>
        <v>0</v>
      </c>
      <c r="Q7" s="149">
        <f>+LINKED!Q7+'NON-LINKED'!Q7</f>
        <v>14664239.52402102</v>
      </c>
    </row>
    <row r="8" spans="2:17" ht="15" customHeight="1" x14ac:dyDescent="0.35">
      <c r="B8" s="67" t="str">
        <f>LINKED!B8</f>
        <v>BRITAM LIFE ASSURANCE</v>
      </c>
      <c r="C8" s="110">
        <f>+LINKED!C8+'NON-LINKED'!C8</f>
        <v>18319650.260838948</v>
      </c>
      <c r="D8" s="110">
        <f>+LINKED!D8+'NON-LINKED'!D8</f>
        <v>4527608.8438900057</v>
      </c>
      <c r="E8" s="110">
        <f>+LINKED!E8+'NON-LINKED'!E8</f>
        <v>4527608.8438900057</v>
      </c>
      <c r="F8" s="110">
        <f>+LINKED!F8+'NON-LINKED'!F8</f>
        <v>0</v>
      </c>
      <c r="G8" s="110">
        <f>+LINKED!G8+'NON-LINKED'!G8</f>
        <v>1924103.812703294</v>
      </c>
      <c r="H8" s="110">
        <f>+LINKED!H8+'NON-LINKED'!H8</f>
        <v>1924103.812703294</v>
      </c>
      <c r="I8" s="110">
        <f>+LINKED!I8+'NON-LINKED'!I8</f>
        <v>0</v>
      </c>
      <c r="J8" s="110">
        <f>+LINKED!J8+'NON-LINKED'!J8</f>
        <v>0</v>
      </c>
      <c r="K8" s="110">
        <f>+LINKED!K8+'NON-LINKED'!K8</f>
        <v>0</v>
      </c>
      <c r="L8" s="110">
        <f>+LINKED!L8+'NON-LINKED'!L8</f>
        <v>11831.134</v>
      </c>
      <c r="M8" s="110">
        <f>+LINKED!M8+'NON-LINKED'!M8</f>
        <v>33730.453999999998</v>
      </c>
      <c r="N8" s="110">
        <f>+LINKED!N8+'NON-LINKED'!N8</f>
        <v>723340.70299999998</v>
      </c>
      <c r="O8" s="110">
        <f>+LINKED!O8+'NON-LINKED'!O8</f>
        <v>4755.0600000000004</v>
      </c>
      <c r="P8" s="110">
        <f>+LINKED!P8+'NON-LINKED'!P8</f>
        <v>0</v>
      </c>
      <c r="Q8" s="149">
        <f>+LINKED!Q8+'NON-LINKED'!Q8</f>
        <v>21596179.34702567</v>
      </c>
    </row>
    <row r="9" spans="2:17" ht="15" customHeight="1" x14ac:dyDescent="0.35">
      <c r="B9" s="67" t="str">
        <f>LINKED!B9</f>
        <v>CANNON LIFE ASSURANCE (K) LIMITED</v>
      </c>
      <c r="C9" s="110">
        <f>+LINKED!C9+'NON-LINKED'!C9</f>
        <v>538626.1926749344</v>
      </c>
      <c r="D9" s="110">
        <f>+LINKED!D9+'NON-LINKED'!D9</f>
        <v>5811.6588000000002</v>
      </c>
      <c r="E9" s="110">
        <f>+LINKED!E9+'NON-LINKED'!E9</f>
        <v>5577.2197999999999</v>
      </c>
      <c r="F9" s="110">
        <f>+LINKED!F9+'NON-LINKED'!F9</f>
        <v>0</v>
      </c>
      <c r="G9" s="110">
        <f>+LINKED!G9+'NON-LINKED'!G9</f>
        <v>11544.84045</v>
      </c>
      <c r="H9" s="110">
        <f>+LINKED!H9+'NON-LINKED'!H9</f>
        <v>11544.84045</v>
      </c>
      <c r="I9" s="110">
        <f>+LINKED!I9+'NON-LINKED'!I9</f>
        <v>0</v>
      </c>
      <c r="J9" s="110">
        <f>+LINKED!J9+'NON-LINKED'!J9</f>
        <v>0</v>
      </c>
      <c r="K9" s="110">
        <f>+LINKED!K9+'NON-LINKED'!K9</f>
        <v>0</v>
      </c>
      <c r="L9" s="110">
        <f>+LINKED!L9+'NON-LINKED'!L9</f>
        <v>-245.62675999999999</v>
      </c>
      <c r="M9" s="110">
        <f>+LINKED!M9+'NON-LINKED'!M9</f>
        <v>23949.657147000002</v>
      </c>
      <c r="N9" s="110">
        <f>+LINKED!N9+'NON-LINKED'!N9</f>
        <v>12002.174000000001</v>
      </c>
      <c r="O9" s="110">
        <f>+LINKED!O9+'NON-LINKED'!O9</f>
        <v>0</v>
      </c>
      <c r="P9" s="110">
        <f>+LINKED!P9+'NON-LINKED'!P9</f>
        <v>0</v>
      </c>
      <c r="Q9" s="149">
        <f>+LINKED!Q9+'NON-LINKED'!Q9</f>
        <v>520956.71563793439</v>
      </c>
    </row>
    <row r="10" spans="2:17" ht="15" customHeight="1" x14ac:dyDescent="0.35">
      <c r="B10" s="67" t="str">
        <f>LINKED!B10</f>
        <v>CAPEX LIFE ASSURANCE COMPANY</v>
      </c>
      <c r="C10" s="110">
        <f>+LINKED!C10+'NON-LINKED'!C10</f>
        <v>0</v>
      </c>
      <c r="D10" s="110">
        <f>+LINKED!D10+'NON-LINKED'!D10</f>
        <v>0</v>
      </c>
      <c r="E10" s="110">
        <f>+LINKED!E10+'NON-LINKED'!E10</f>
        <v>0</v>
      </c>
      <c r="F10" s="110">
        <f>+LINKED!F10+'NON-LINKED'!F10</f>
        <v>0</v>
      </c>
      <c r="G10" s="110">
        <f>+LINKED!G10+'NON-LINKED'!G10</f>
        <v>0</v>
      </c>
      <c r="H10" s="110">
        <f>+LINKED!H10+'NON-LINKED'!H10</f>
        <v>0</v>
      </c>
      <c r="I10" s="110">
        <f>+LINKED!I10+'NON-LINKED'!I10</f>
        <v>0</v>
      </c>
      <c r="J10" s="110">
        <f>+LINKED!J10+'NON-LINKED'!J10</f>
        <v>0</v>
      </c>
      <c r="K10" s="110">
        <f>+LINKED!K10+'NON-LINKED'!K10</f>
        <v>0</v>
      </c>
      <c r="L10" s="110">
        <f>+LINKED!L10+'NON-LINKED'!L10</f>
        <v>0</v>
      </c>
      <c r="M10" s="110">
        <f>+LINKED!M10+'NON-LINKED'!M10</f>
        <v>0</v>
      </c>
      <c r="N10" s="110">
        <f>+LINKED!N10+'NON-LINKED'!N10</f>
        <v>0</v>
      </c>
      <c r="O10" s="110">
        <f>+LINKED!O10+'NON-LINKED'!O10</f>
        <v>0</v>
      </c>
      <c r="P10" s="110">
        <f>+LINKED!P10+'NON-LINKED'!P10</f>
        <v>0</v>
      </c>
      <c r="Q10" s="149">
        <f>+LINKED!Q10+'NON-LINKED'!Q10</f>
        <v>0</v>
      </c>
    </row>
    <row r="11" spans="2:17" ht="15" customHeight="1" x14ac:dyDescent="0.35">
      <c r="B11" s="67" t="str">
        <f>LINKED!B11</f>
        <v>CIC LIFE ASSURANCE COMPANY</v>
      </c>
      <c r="C11" s="110">
        <f>+LINKED!C11+'NON-LINKED'!C11</f>
        <v>0</v>
      </c>
      <c r="D11" s="110">
        <f>+LINKED!D11+'NON-LINKED'!D11</f>
        <v>0</v>
      </c>
      <c r="E11" s="110">
        <f>+LINKED!E11+'NON-LINKED'!E11</f>
        <v>0</v>
      </c>
      <c r="F11" s="110">
        <f>+LINKED!F11+'NON-LINKED'!F11</f>
        <v>0</v>
      </c>
      <c r="G11" s="110">
        <f>+LINKED!G11+'NON-LINKED'!G11</f>
        <v>0</v>
      </c>
      <c r="H11" s="110">
        <f>+LINKED!H11+'NON-LINKED'!H11</f>
        <v>0</v>
      </c>
      <c r="I11" s="110">
        <f>+LINKED!I11+'NON-LINKED'!I11</f>
        <v>0</v>
      </c>
      <c r="J11" s="110">
        <f>+LINKED!J11+'NON-LINKED'!J11</f>
        <v>0</v>
      </c>
      <c r="K11" s="110">
        <f>+LINKED!K11+'NON-LINKED'!K11</f>
        <v>0</v>
      </c>
      <c r="L11" s="110">
        <f>+LINKED!L11+'NON-LINKED'!L11</f>
        <v>0</v>
      </c>
      <c r="M11" s="110">
        <f>+LINKED!M11+'NON-LINKED'!M11</f>
        <v>0</v>
      </c>
      <c r="N11" s="110">
        <f>+LINKED!N11+'NON-LINKED'!N11</f>
        <v>0</v>
      </c>
      <c r="O11" s="110">
        <f>+LINKED!O11+'NON-LINKED'!O11</f>
        <v>0</v>
      </c>
      <c r="P11" s="110">
        <f>+LINKED!P11+'NON-LINKED'!P11</f>
        <v>0</v>
      </c>
      <c r="Q11" s="149">
        <f>+LINKED!Q11+'NON-LINKED'!Q11</f>
        <v>0</v>
      </c>
    </row>
    <row r="12" spans="2:17" ht="15" customHeight="1" x14ac:dyDescent="0.35">
      <c r="B12" s="67" t="str">
        <f>LINKED!B12</f>
        <v xml:space="preserve">EQUITY LIFE ASSURANCE </v>
      </c>
      <c r="C12" s="110">
        <f>+LINKED!C12+'NON-LINKED'!C12</f>
        <v>321400.65405696008</v>
      </c>
      <c r="D12" s="110">
        <f>+LINKED!D12+'NON-LINKED'!D12</f>
        <v>137370.67000000001</v>
      </c>
      <c r="E12" s="110">
        <f>+LINKED!E12+'NON-LINKED'!E12</f>
        <v>137370.67000000001</v>
      </c>
      <c r="F12" s="110">
        <f>+LINKED!F12+'NON-LINKED'!F12</f>
        <v>0</v>
      </c>
      <c r="G12" s="110">
        <f>+LINKED!G12+'NON-LINKED'!G12</f>
        <v>0</v>
      </c>
      <c r="H12" s="110">
        <f>+LINKED!H12+'NON-LINKED'!H12</f>
        <v>0</v>
      </c>
      <c r="I12" s="110">
        <f>+LINKED!I12+'NON-LINKED'!I12</f>
        <v>0</v>
      </c>
      <c r="J12" s="110">
        <f>+LINKED!J12+'NON-LINKED'!J12</f>
        <v>0</v>
      </c>
      <c r="K12" s="110">
        <f>+LINKED!K12+'NON-LINKED'!K12</f>
        <v>0</v>
      </c>
      <c r="L12" s="110">
        <f>+LINKED!L12+'NON-LINKED'!L12</f>
        <v>0</v>
      </c>
      <c r="M12" s="110">
        <f>+LINKED!M12+'NON-LINKED'!M12</f>
        <v>0</v>
      </c>
      <c r="N12" s="110">
        <f>+LINKED!N12+'NON-LINKED'!N12</f>
        <v>11508.263416289001</v>
      </c>
      <c r="O12" s="110">
        <f>+LINKED!O12+'NON-LINKED'!O12</f>
        <v>0</v>
      </c>
      <c r="P12" s="110">
        <f>+LINKED!P12+'NON-LINKED'!P12</f>
        <v>0</v>
      </c>
      <c r="Q12" s="149">
        <f>+LINKED!Q12+'NON-LINKED'!Q12</f>
        <v>470279.58747324912</v>
      </c>
    </row>
    <row r="13" spans="2:17" ht="15" customHeight="1" x14ac:dyDescent="0.35">
      <c r="B13" s="67" t="str">
        <f>LINKED!B13</f>
        <v xml:space="preserve">GA LIFE ASSURANCE COMPANY </v>
      </c>
      <c r="C13" s="110">
        <f>+LINKED!C13+'NON-LINKED'!C13</f>
        <v>0</v>
      </c>
      <c r="D13" s="110">
        <f>+LINKED!D13+'NON-LINKED'!D13</f>
        <v>0</v>
      </c>
      <c r="E13" s="110">
        <f>+LINKED!E13+'NON-LINKED'!E13</f>
        <v>0</v>
      </c>
      <c r="F13" s="110">
        <f>+LINKED!F13+'NON-LINKED'!F13</f>
        <v>0</v>
      </c>
      <c r="G13" s="110">
        <f>+LINKED!G13+'NON-LINKED'!G13</f>
        <v>0</v>
      </c>
      <c r="H13" s="110">
        <f>+LINKED!H13+'NON-LINKED'!H13</f>
        <v>0</v>
      </c>
      <c r="I13" s="110">
        <f>+LINKED!I13+'NON-LINKED'!I13</f>
        <v>0</v>
      </c>
      <c r="J13" s="110">
        <f>+LINKED!J13+'NON-LINKED'!J13</f>
        <v>0</v>
      </c>
      <c r="K13" s="110">
        <f>+LINKED!K13+'NON-LINKED'!K13</f>
        <v>0</v>
      </c>
      <c r="L13" s="110">
        <f>+LINKED!L13+'NON-LINKED'!L13</f>
        <v>0</v>
      </c>
      <c r="M13" s="110">
        <f>+LINKED!M13+'NON-LINKED'!M13</f>
        <v>0</v>
      </c>
      <c r="N13" s="110">
        <f>+LINKED!N13+'NON-LINKED'!N13</f>
        <v>0</v>
      </c>
      <c r="O13" s="110">
        <f>+LINKED!O13+'NON-LINKED'!O13</f>
        <v>0</v>
      </c>
      <c r="P13" s="110">
        <f>+LINKED!P13+'NON-LINKED'!P13</f>
        <v>0</v>
      </c>
      <c r="Q13" s="149">
        <f>+LINKED!Q13+'NON-LINKED'!Q13</f>
        <v>0</v>
      </c>
    </row>
    <row r="14" spans="2:17" ht="15" customHeight="1" x14ac:dyDescent="0.35">
      <c r="B14" s="67" t="str">
        <f>LINKED!B14</f>
        <v>GEMINIA LIFE INSURANCE COMPANY</v>
      </c>
      <c r="C14" s="110">
        <f>+LINKED!C14+'NON-LINKED'!C14</f>
        <v>534404.74600000004</v>
      </c>
      <c r="D14" s="110">
        <f>+LINKED!D14+'NON-LINKED'!D14</f>
        <v>218435.74312999999</v>
      </c>
      <c r="E14" s="110">
        <f>+LINKED!E14+'NON-LINKED'!E14</f>
        <v>218435.74312999999</v>
      </c>
      <c r="F14" s="110">
        <f>+LINKED!F14+'NON-LINKED'!F14</f>
        <v>0</v>
      </c>
      <c r="G14" s="110">
        <f>+LINKED!G14+'NON-LINKED'!G14</f>
        <v>86060.754975492295</v>
      </c>
      <c r="H14" s="110">
        <f>+LINKED!H14+'NON-LINKED'!H14</f>
        <v>0</v>
      </c>
      <c r="I14" s="110">
        <f>+LINKED!I14+'NON-LINKED'!I14</f>
        <v>86060.754975492295</v>
      </c>
      <c r="J14" s="110">
        <f>+LINKED!J14+'NON-LINKED'!J14</f>
        <v>0</v>
      </c>
      <c r="K14" s="110">
        <f>+LINKED!K14+'NON-LINKED'!K14</f>
        <v>0</v>
      </c>
      <c r="L14" s="110">
        <f>+LINKED!L14+'NON-LINKED'!L14</f>
        <v>0</v>
      </c>
      <c r="M14" s="110">
        <f>+LINKED!M14+'NON-LINKED'!M14</f>
        <v>5883.5756035142886</v>
      </c>
      <c r="N14" s="110">
        <f>+LINKED!N14+'NON-LINKED'!N14</f>
        <v>0</v>
      </c>
      <c r="O14" s="110">
        <f>+LINKED!O14+'NON-LINKED'!O14</f>
        <v>0</v>
      </c>
      <c r="P14" s="110">
        <f>+LINKED!P14+'NON-LINKED'!P14</f>
        <v>0</v>
      </c>
      <c r="Q14" s="149">
        <f>+LINKED!Q14+'NON-LINKED'!Q14</f>
        <v>660896.15855099342</v>
      </c>
    </row>
    <row r="15" spans="2:17" ht="15" customHeight="1" x14ac:dyDescent="0.35">
      <c r="B15" s="67" t="str">
        <f>LINKED!B15</f>
        <v xml:space="preserve">ICEA LION LIFE ASSURANCE </v>
      </c>
      <c r="C15" s="110">
        <f>+LINKED!C15+'NON-LINKED'!C15</f>
        <v>592627.12300000002</v>
      </c>
      <c r="D15" s="110">
        <f>+LINKED!D15+'NON-LINKED'!D15</f>
        <v>1022.42</v>
      </c>
      <c r="E15" s="110">
        <f>+LINKED!E15+'NON-LINKED'!E15</f>
        <v>1022.42</v>
      </c>
      <c r="F15" s="110">
        <f>+LINKED!F15+'NON-LINKED'!F15</f>
        <v>0</v>
      </c>
      <c r="G15" s="110">
        <f>+LINKED!G15+'NON-LINKED'!G15</f>
        <v>3679.9459999999999</v>
      </c>
      <c r="H15" s="110">
        <f>+LINKED!H15+'NON-LINKED'!H15</f>
        <v>0</v>
      </c>
      <c r="I15" s="110">
        <f>+LINKED!I15+'NON-LINKED'!I15</f>
        <v>3679.9459999999999</v>
      </c>
      <c r="J15" s="110">
        <f>+LINKED!J15+'NON-LINKED'!J15</f>
        <v>0</v>
      </c>
      <c r="K15" s="110">
        <f>+LINKED!K15+'NON-LINKED'!K15</f>
        <v>0</v>
      </c>
      <c r="L15" s="110">
        <f>+LINKED!L15+'NON-LINKED'!L15</f>
        <v>0</v>
      </c>
      <c r="M15" s="110">
        <f>+LINKED!M15+'NON-LINKED'!M15</f>
        <v>0</v>
      </c>
      <c r="N15" s="110">
        <f>+LINKED!N15+'NON-LINKED'!N15</f>
        <v>-55973.821000000004</v>
      </c>
      <c r="O15" s="110">
        <f>+LINKED!O15+'NON-LINKED'!O15</f>
        <v>0</v>
      </c>
      <c r="P15" s="110">
        <f>+LINKED!P15+'NON-LINKED'!P15</f>
        <v>0</v>
      </c>
      <c r="Q15" s="149">
        <f>+LINKED!Q15+'NON-LINKED'!Q15</f>
        <v>533995.77599999995</v>
      </c>
    </row>
    <row r="16" spans="2:17" ht="15" customHeight="1" x14ac:dyDescent="0.35">
      <c r="B16" s="67" t="str">
        <f>LINKED!B16</f>
        <v>JUBILEE LIFE INSURANCE</v>
      </c>
      <c r="C16" s="110">
        <f>+LINKED!C16+'NON-LINKED'!C16</f>
        <v>2775734.779000096</v>
      </c>
      <c r="D16" s="110">
        <f>+LINKED!D16+'NON-LINKED'!D16</f>
        <v>1042386.9282</v>
      </c>
      <c r="E16" s="110">
        <f>+LINKED!E16+'NON-LINKED'!E16</f>
        <v>1042386.9282</v>
      </c>
      <c r="F16" s="110">
        <f>+LINKED!F16+'NON-LINKED'!F16</f>
        <v>0</v>
      </c>
      <c r="G16" s="110">
        <f>+LINKED!G16+'NON-LINKED'!G16</f>
        <v>0</v>
      </c>
      <c r="H16" s="110">
        <f>+LINKED!H16+'NON-LINKED'!H16</f>
        <v>0</v>
      </c>
      <c r="I16" s="110">
        <f>+LINKED!I16+'NON-LINKED'!I16</f>
        <v>0</v>
      </c>
      <c r="J16" s="110">
        <f>+LINKED!J16+'NON-LINKED'!J16</f>
        <v>0</v>
      </c>
      <c r="K16" s="110">
        <f>+LINKED!K16+'NON-LINKED'!K16</f>
        <v>0</v>
      </c>
      <c r="L16" s="110">
        <f>+LINKED!L16+'NON-LINKED'!L16</f>
        <v>0</v>
      </c>
      <c r="M16" s="110">
        <f>+LINKED!M16+'NON-LINKED'!M16</f>
        <v>24056.30301</v>
      </c>
      <c r="N16" s="110">
        <f>+LINKED!N16+'NON-LINKED'!N16</f>
        <v>0</v>
      </c>
      <c r="O16" s="110">
        <f>+LINKED!O16+'NON-LINKED'!O16</f>
        <v>0</v>
      </c>
      <c r="P16" s="110">
        <f>+LINKED!P16+'NON-LINKED'!P16</f>
        <v>0</v>
      </c>
      <c r="Q16" s="149">
        <f>+LINKED!Q16+'NON-LINKED'!Q16</f>
        <v>3794065.4041900961</v>
      </c>
    </row>
    <row r="17" spans="2:17" ht="15" customHeight="1" x14ac:dyDescent="0.35">
      <c r="B17" s="67" t="str">
        <f>LINKED!B17</f>
        <v>KENINDIA ASSURANCE COMPANY</v>
      </c>
      <c r="C17" s="110">
        <f>+LINKED!C17+'NON-LINKED'!C17</f>
        <v>18749371.640769102</v>
      </c>
      <c r="D17" s="110">
        <f>+LINKED!D17+'NON-LINKED'!D17</f>
        <v>356442.07199999999</v>
      </c>
      <c r="E17" s="110">
        <f>+LINKED!E17+'NON-LINKED'!E17</f>
        <v>356442.07199999999</v>
      </c>
      <c r="F17" s="110">
        <f>+LINKED!F17+'NON-LINKED'!F17</f>
        <v>0</v>
      </c>
      <c r="G17" s="110">
        <f>+LINKED!G17+'NON-LINKED'!G17</f>
        <v>674501.43147819594</v>
      </c>
      <c r="H17" s="110">
        <f>+LINKED!H17+'NON-LINKED'!H17</f>
        <v>674501.43147819594</v>
      </c>
      <c r="I17" s="110">
        <f>+LINKED!I17+'NON-LINKED'!I17</f>
        <v>0</v>
      </c>
      <c r="J17" s="110">
        <f>+LINKED!J17+'NON-LINKED'!J17</f>
        <v>0</v>
      </c>
      <c r="K17" s="110">
        <f>+LINKED!K17+'NON-LINKED'!K17</f>
        <v>0</v>
      </c>
      <c r="L17" s="110">
        <f>+LINKED!L17+'NON-LINKED'!L17</f>
        <v>7186.1769999999997</v>
      </c>
      <c r="M17" s="110">
        <f>+LINKED!M17+'NON-LINKED'!M17</f>
        <v>23648.980187165591</v>
      </c>
      <c r="N17" s="110">
        <f>+LINKED!N17+'NON-LINKED'!N17</f>
        <v>671431.49698263349</v>
      </c>
      <c r="O17" s="110">
        <f>+LINKED!O17+'NON-LINKED'!O17</f>
        <v>0</v>
      </c>
      <c r="P17" s="110">
        <f>+LINKED!P17+'NON-LINKED'!P17</f>
        <v>0</v>
      </c>
      <c r="Q17" s="149">
        <f>+LINKED!Q17+'NON-LINKED'!Q17</f>
        <v>19071908.62108637</v>
      </c>
    </row>
    <row r="18" spans="2:17" ht="15" customHeight="1" x14ac:dyDescent="0.35">
      <c r="B18" s="67" t="str">
        <f>LINKED!B18</f>
        <v>KENYA ORIENT LIFE ASSURANCE</v>
      </c>
      <c r="C18" s="110">
        <f>+LINKED!C18+'NON-LINKED'!C18</f>
        <v>0</v>
      </c>
      <c r="D18" s="110">
        <f>+LINKED!D18+'NON-LINKED'!D18</f>
        <v>0</v>
      </c>
      <c r="E18" s="110">
        <f>+LINKED!E18+'NON-LINKED'!E18</f>
        <v>0</v>
      </c>
      <c r="F18" s="110">
        <f>+LINKED!F18+'NON-LINKED'!F18</f>
        <v>0</v>
      </c>
      <c r="G18" s="110">
        <f>+LINKED!G18+'NON-LINKED'!G18</f>
        <v>0</v>
      </c>
      <c r="H18" s="110">
        <f>+LINKED!H18+'NON-LINKED'!H18</f>
        <v>0</v>
      </c>
      <c r="I18" s="110">
        <f>+LINKED!I18+'NON-LINKED'!I18</f>
        <v>0</v>
      </c>
      <c r="J18" s="110">
        <f>+LINKED!J18+'NON-LINKED'!J18</f>
        <v>0</v>
      </c>
      <c r="K18" s="110">
        <f>+LINKED!K18+'NON-LINKED'!K18</f>
        <v>0</v>
      </c>
      <c r="L18" s="110">
        <f>+LINKED!L18+'NON-LINKED'!L18</f>
        <v>0</v>
      </c>
      <c r="M18" s="110">
        <f>+LINKED!M18+'NON-LINKED'!M18</f>
        <v>0</v>
      </c>
      <c r="N18" s="110">
        <f>+LINKED!N18+'NON-LINKED'!N18</f>
        <v>0</v>
      </c>
      <c r="O18" s="110">
        <f>+LINKED!O18+'NON-LINKED'!O18</f>
        <v>0</v>
      </c>
      <c r="P18" s="110">
        <f>+LINKED!P18+'NON-LINKED'!P18</f>
        <v>0</v>
      </c>
      <c r="Q18" s="149">
        <f>+LINKED!Q18+'NON-LINKED'!Q18</f>
        <v>0</v>
      </c>
    </row>
    <row r="19" spans="2:17" ht="15" customHeight="1" x14ac:dyDescent="0.35">
      <c r="B19" s="67" t="str">
        <f>LINKED!B19</f>
        <v>LIBERTY LIFE ASSURANCE COMPANY</v>
      </c>
      <c r="C19" s="110">
        <f>+LINKED!C19+'NON-LINKED'!C19</f>
        <v>3866169.8945335001</v>
      </c>
      <c r="D19" s="110">
        <f>+LINKED!D19+'NON-LINKED'!D19</f>
        <v>281277.04829999543</v>
      </c>
      <c r="E19" s="110">
        <f>+LINKED!E19+'NON-LINKED'!E19</f>
        <v>281277.04829999543</v>
      </c>
      <c r="F19" s="110">
        <f>+LINKED!F19+'NON-LINKED'!F19</f>
        <v>0</v>
      </c>
      <c r="G19" s="110">
        <f>+LINKED!G19+'NON-LINKED'!G19</f>
        <v>239154.30963999999</v>
      </c>
      <c r="H19" s="110">
        <f>+LINKED!H19+'NON-LINKED'!H19</f>
        <v>239154.30963999999</v>
      </c>
      <c r="I19" s="110">
        <f>+LINKED!I19+'NON-LINKED'!I19</f>
        <v>0</v>
      </c>
      <c r="J19" s="110">
        <f>+LINKED!J19+'NON-LINKED'!J19</f>
        <v>0</v>
      </c>
      <c r="K19" s="110">
        <f>+LINKED!K19+'NON-LINKED'!K19</f>
        <v>0</v>
      </c>
      <c r="L19" s="110">
        <f>+LINKED!L19+'NON-LINKED'!L19</f>
        <v>11745.945470000001</v>
      </c>
      <c r="M19" s="110">
        <f>+LINKED!M19+'NON-LINKED'!M19</f>
        <v>170616.39300000001</v>
      </c>
      <c r="N19" s="110">
        <f>+LINKED!N19+'NON-LINKED'!N19</f>
        <v>260127.81000999996</v>
      </c>
      <c r="O19" s="110">
        <f>+LINKED!O19+'NON-LINKED'!O19</f>
        <v>9481.7313905771607</v>
      </c>
      <c r="P19" s="110">
        <f>+LINKED!P19+'NON-LINKED'!P19</f>
        <v>0</v>
      </c>
      <c r="Q19" s="149">
        <f>+LINKED!Q19+'NON-LINKED'!Q19</f>
        <v>3976576.3733429182</v>
      </c>
    </row>
    <row r="20" spans="2:17" ht="15" customHeight="1" x14ac:dyDescent="0.35">
      <c r="B20" s="67" t="str">
        <f>LINKED!B20</f>
        <v>MADISON INSURANCE COMPANY</v>
      </c>
      <c r="C20" s="110">
        <f>+LINKED!C20+'NON-LINKED'!C20</f>
        <v>-217527.91132271959</v>
      </c>
      <c r="D20" s="110">
        <f>+LINKED!D20+'NON-LINKED'!D20</f>
        <v>393251.30780898512</v>
      </c>
      <c r="E20" s="110">
        <f>+LINKED!E20+'NON-LINKED'!E20</f>
        <v>393251.30780898512</v>
      </c>
      <c r="F20" s="110">
        <f>+LINKED!F20+'NON-LINKED'!F20</f>
        <v>0</v>
      </c>
      <c r="G20" s="110">
        <f>+LINKED!G20+'NON-LINKED'!G20</f>
        <v>-70199.621761533213</v>
      </c>
      <c r="H20" s="110">
        <f>+LINKED!H20+'NON-LINKED'!H20</f>
        <v>-70199.621761533213</v>
      </c>
      <c r="I20" s="110">
        <f>+LINKED!I20+'NON-LINKED'!I20</f>
        <v>0</v>
      </c>
      <c r="J20" s="110">
        <f>+LINKED!J20+'NON-LINKED'!J20</f>
        <v>0</v>
      </c>
      <c r="K20" s="110">
        <f>+LINKED!K20+'NON-LINKED'!K20</f>
        <v>0</v>
      </c>
      <c r="L20" s="110">
        <f>+LINKED!L20+'NON-LINKED'!L20</f>
        <v>56009.995658471031</v>
      </c>
      <c r="M20" s="110">
        <f>+LINKED!M20+'NON-LINKED'!M20</f>
        <v>2617.8458858457348</v>
      </c>
      <c r="N20" s="110">
        <f>+LINKED!N20+'NON-LINKED'!N20</f>
        <v>1305.9620016122062</v>
      </c>
      <c r="O20" s="110">
        <f>+LINKED!O20+'NON-LINKED'!O20</f>
        <v>85.48033065244951</v>
      </c>
      <c r="P20" s="110">
        <f>+LINKED!P20+'NON-LINKED'!P20</f>
        <v>0</v>
      </c>
      <c r="Q20" s="149">
        <f>+LINKED!Q20+'NON-LINKED'!Q20</f>
        <v>188515.65837444187</v>
      </c>
    </row>
    <row r="21" spans="2:17" ht="15" customHeight="1" x14ac:dyDescent="0.35">
      <c r="B21" s="67" t="str">
        <f>LINKED!B21</f>
        <v>OLD MUTUAL LIFE ASSURANCE KENYA</v>
      </c>
      <c r="C21" s="110">
        <f>+LINKED!C21+'NON-LINKED'!C21</f>
        <v>10880867.468684893</v>
      </c>
      <c r="D21" s="110">
        <f>+LINKED!D21+'NON-LINKED'!D21</f>
        <v>437229.43271999998</v>
      </c>
      <c r="E21" s="110">
        <f>+LINKED!E21+'NON-LINKED'!E21</f>
        <v>433133.09831999999</v>
      </c>
      <c r="F21" s="110">
        <f>+LINKED!F21+'NON-LINKED'!F21</f>
        <v>-2386.9233312500073</v>
      </c>
      <c r="G21" s="110">
        <f>+LINKED!G21+'NON-LINKED'!G21</f>
        <v>698124.04093000107</v>
      </c>
      <c r="H21" s="110">
        <f>+LINKED!H21+'NON-LINKED'!H21</f>
        <v>698124.04093000107</v>
      </c>
      <c r="I21" s="110">
        <f>+LINKED!I21+'NON-LINKED'!I21</f>
        <v>0</v>
      </c>
      <c r="J21" s="110">
        <f>+LINKED!J21+'NON-LINKED'!J21</f>
        <v>0</v>
      </c>
      <c r="K21" s="110">
        <f>+LINKED!K21+'NON-LINKED'!K21</f>
        <v>0</v>
      </c>
      <c r="L21" s="110">
        <f>+LINKED!L21+'NON-LINKED'!L21</f>
        <v>18441.909920000002</v>
      </c>
      <c r="M21" s="110">
        <f>+LINKED!M21+'NON-LINKED'!M21</f>
        <v>253948.25587067968</v>
      </c>
      <c r="N21" s="110">
        <f>+LINKED!N21+'NON-LINKED'!N21</f>
        <v>537539.29109820677</v>
      </c>
      <c r="O21" s="110">
        <f>+LINKED!O21+'NON-LINKED'!O21</f>
        <v>0</v>
      </c>
      <c r="P21" s="110">
        <f>+LINKED!P21+'NON-LINKED'!P21</f>
        <v>0</v>
      </c>
      <c r="Q21" s="149">
        <f>+LINKED!Q21+'NON-LINKED'!Q21</f>
        <v>10878638.728051158</v>
      </c>
    </row>
    <row r="22" spans="2:17" ht="15" customHeight="1" x14ac:dyDescent="0.35">
      <c r="B22" s="67" t="str">
        <f>LINKED!B22</f>
        <v xml:space="preserve">PIONEER ASSURANCE COMPANY </v>
      </c>
      <c r="C22" s="110">
        <f>+LINKED!C22+'NON-LINKED'!C22</f>
        <v>332811.72175527929</v>
      </c>
      <c r="D22" s="110">
        <f>+LINKED!D22+'NON-LINKED'!D22</f>
        <v>114538.41549</v>
      </c>
      <c r="E22" s="110">
        <f>+LINKED!E22+'NON-LINKED'!E22</f>
        <v>114538.41549</v>
      </c>
      <c r="F22" s="110">
        <f>+LINKED!F22+'NON-LINKED'!F22</f>
        <v>0</v>
      </c>
      <c r="G22" s="110">
        <f>+LINKED!G22+'NON-LINKED'!G22</f>
        <v>31778.865600000001</v>
      </c>
      <c r="H22" s="110">
        <f>+LINKED!H22+'NON-LINKED'!H22</f>
        <v>31778.865600000001</v>
      </c>
      <c r="I22" s="110">
        <f>+LINKED!I22+'NON-LINKED'!I22</f>
        <v>0</v>
      </c>
      <c r="J22" s="110">
        <f>+LINKED!J22+'NON-LINKED'!J22</f>
        <v>0</v>
      </c>
      <c r="K22" s="110">
        <f>+LINKED!K22+'NON-LINKED'!K22</f>
        <v>0</v>
      </c>
      <c r="L22" s="110">
        <f>+LINKED!L22+'NON-LINKED'!L22</f>
        <v>0</v>
      </c>
      <c r="M22" s="110">
        <f>+LINKED!M22+'NON-LINKED'!M22</f>
        <v>0</v>
      </c>
      <c r="N22" s="110">
        <f>+LINKED!N22+'NON-LINKED'!N22</f>
        <v>2489.6466547002201</v>
      </c>
      <c r="O22" s="110">
        <f>+LINKED!O22+'NON-LINKED'!O22</f>
        <v>0</v>
      </c>
      <c r="P22" s="110">
        <f>+LINKED!P22+'NON-LINKED'!P22</f>
        <v>0</v>
      </c>
      <c r="Q22" s="149">
        <f>+LINKED!Q22+'NON-LINKED'!Q22</f>
        <v>418060.91829997959</v>
      </c>
    </row>
    <row r="23" spans="2:17" ht="15" customHeight="1" x14ac:dyDescent="0.35">
      <c r="B23" s="67" t="str">
        <f>LINKED!B23</f>
        <v>PRUDENTIAL LIFE ASSURANCE</v>
      </c>
      <c r="C23" s="110">
        <f>+LINKED!C23+'NON-LINKED'!C23</f>
        <v>0</v>
      </c>
      <c r="D23" s="110">
        <f>+LINKED!D23+'NON-LINKED'!D23</f>
        <v>0</v>
      </c>
      <c r="E23" s="110">
        <f>+LINKED!E23+'NON-LINKED'!E23</f>
        <v>0</v>
      </c>
      <c r="F23" s="110">
        <f>+LINKED!F23+'NON-LINKED'!F23</f>
        <v>0</v>
      </c>
      <c r="G23" s="110">
        <f>+LINKED!G23+'NON-LINKED'!G23</f>
        <v>0</v>
      </c>
      <c r="H23" s="110">
        <f>+LINKED!H23+'NON-LINKED'!H23</f>
        <v>0</v>
      </c>
      <c r="I23" s="110">
        <f>+LINKED!I23+'NON-LINKED'!I23</f>
        <v>0</v>
      </c>
      <c r="J23" s="110">
        <f>+LINKED!J23+'NON-LINKED'!J23</f>
        <v>0</v>
      </c>
      <c r="K23" s="110">
        <f>+LINKED!K23+'NON-LINKED'!K23</f>
        <v>0</v>
      </c>
      <c r="L23" s="110">
        <f>+LINKED!L23+'NON-LINKED'!L23</f>
        <v>0</v>
      </c>
      <c r="M23" s="110">
        <f>+LINKED!M23+'NON-LINKED'!M23</f>
        <v>0</v>
      </c>
      <c r="N23" s="110">
        <f>+LINKED!N23+'NON-LINKED'!N23</f>
        <v>0</v>
      </c>
      <c r="O23" s="110">
        <f>+LINKED!O23+'NON-LINKED'!O23</f>
        <v>0</v>
      </c>
      <c r="P23" s="110">
        <f>+LINKED!P23+'NON-LINKED'!P23</f>
        <v>0</v>
      </c>
      <c r="Q23" s="149">
        <f>+LINKED!Q23+'NON-LINKED'!Q23</f>
        <v>0</v>
      </c>
    </row>
    <row r="24" spans="2:17" ht="15" customHeight="1" x14ac:dyDescent="0.35">
      <c r="B24" s="67" t="str">
        <f>LINKED!B24</f>
        <v>SANLAM LIFE ASSURANCE</v>
      </c>
      <c r="C24" s="110">
        <f>+LINKED!C24+'NON-LINKED'!C24</f>
        <v>989695.28926299943</v>
      </c>
      <c r="D24" s="110">
        <f>+LINKED!D24+'NON-LINKED'!D24</f>
        <v>23625.190999999999</v>
      </c>
      <c r="E24" s="110">
        <f>+LINKED!E24+'NON-LINKED'!E24</f>
        <v>23625.190999999999</v>
      </c>
      <c r="F24" s="110">
        <f>+LINKED!F24+'NON-LINKED'!F24</f>
        <v>0</v>
      </c>
      <c r="G24" s="110">
        <f>+LINKED!G24+'NON-LINKED'!G24</f>
        <v>138696.47456</v>
      </c>
      <c r="H24" s="110">
        <f>+LINKED!H24+'NON-LINKED'!H24</f>
        <v>138696.47456</v>
      </c>
      <c r="I24" s="110">
        <f>+LINKED!I24+'NON-LINKED'!I24</f>
        <v>0</v>
      </c>
      <c r="J24" s="110">
        <f>+LINKED!J24+'NON-LINKED'!J24</f>
        <v>0</v>
      </c>
      <c r="K24" s="110">
        <f>+LINKED!K24+'NON-LINKED'!K24</f>
        <v>0</v>
      </c>
      <c r="L24" s="110">
        <f>+LINKED!L24+'NON-LINKED'!L24</f>
        <v>0</v>
      </c>
      <c r="M24" s="110">
        <f>+LINKED!M24+'NON-LINKED'!M24</f>
        <v>38790.306296608571</v>
      </c>
      <c r="N24" s="110">
        <f>+LINKED!N24+'NON-LINKED'!N24</f>
        <v>69623.302049999998</v>
      </c>
      <c r="O24" s="110">
        <f>+LINKED!O24+'NON-LINKED'!O24</f>
        <v>0</v>
      </c>
      <c r="P24" s="110">
        <f>+LINKED!P24+'NON-LINKED'!P24</f>
        <v>0</v>
      </c>
      <c r="Q24" s="149">
        <f>+LINKED!Q24+'NON-LINKED'!Q24</f>
        <v>905457.00145639083</v>
      </c>
    </row>
    <row r="25" spans="2:17" ht="15" customHeight="1" x14ac:dyDescent="0.35">
      <c r="B25" s="67" t="str">
        <f>LINKED!B25</f>
        <v>STAR DISCOVER LIFE INSURANCE</v>
      </c>
      <c r="C25" s="110">
        <f>+LINKED!C25+'NON-LINKED'!C25</f>
        <v>0</v>
      </c>
      <c r="D25" s="110">
        <f>+LINKED!D25+'NON-LINKED'!D25</f>
        <v>0</v>
      </c>
      <c r="E25" s="110">
        <f>+LINKED!E25+'NON-LINKED'!E25</f>
        <v>0</v>
      </c>
      <c r="F25" s="110">
        <f>+LINKED!F25+'NON-LINKED'!F25</f>
        <v>0</v>
      </c>
      <c r="G25" s="110">
        <f>+LINKED!G25+'NON-LINKED'!G25</f>
        <v>0</v>
      </c>
      <c r="H25" s="110">
        <f>+LINKED!H25+'NON-LINKED'!H25</f>
        <v>0</v>
      </c>
      <c r="I25" s="110">
        <f>+LINKED!I25+'NON-LINKED'!I25</f>
        <v>0</v>
      </c>
      <c r="J25" s="110">
        <f>+LINKED!J25+'NON-LINKED'!J25</f>
        <v>0</v>
      </c>
      <c r="K25" s="110">
        <f>+LINKED!K25+'NON-LINKED'!K25</f>
        <v>0</v>
      </c>
      <c r="L25" s="110">
        <f>+LINKED!L25+'NON-LINKED'!L25</f>
        <v>0</v>
      </c>
      <c r="M25" s="110">
        <f>+LINKED!M25+'NON-LINKED'!M25</f>
        <v>0</v>
      </c>
      <c r="N25" s="110">
        <f>+LINKED!N25+'NON-LINKED'!N25</f>
        <v>0</v>
      </c>
      <c r="O25" s="110">
        <f>+LINKED!O25+'NON-LINKED'!O25</f>
        <v>0</v>
      </c>
      <c r="P25" s="110">
        <f>+LINKED!P25+'NON-LINKED'!P25</f>
        <v>0</v>
      </c>
      <c r="Q25" s="149">
        <f>+LINKED!Q25+'NON-LINKED'!Q25</f>
        <v>0</v>
      </c>
    </row>
    <row r="26" spans="2:17" ht="15" customHeight="1" x14ac:dyDescent="0.35">
      <c r="B26" s="67" t="str">
        <f>LINKED!B26</f>
        <v>THE KENYAN ALLIANCE INSURANCE</v>
      </c>
      <c r="C26" s="110">
        <f>+LINKED!C26+'NON-LINKED'!C26</f>
        <v>0</v>
      </c>
      <c r="D26" s="110">
        <f>+LINKED!D26+'NON-LINKED'!D26</f>
        <v>0</v>
      </c>
      <c r="E26" s="110">
        <f>+LINKED!E26+'NON-LINKED'!E26</f>
        <v>0</v>
      </c>
      <c r="F26" s="110">
        <f>+LINKED!F26+'NON-LINKED'!F26</f>
        <v>0</v>
      </c>
      <c r="G26" s="110">
        <f>+LINKED!G26+'NON-LINKED'!G26</f>
        <v>0</v>
      </c>
      <c r="H26" s="110">
        <f>+LINKED!H26+'NON-LINKED'!H26</f>
        <v>0</v>
      </c>
      <c r="I26" s="110">
        <f>+LINKED!I26+'NON-LINKED'!I26</f>
        <v>0</v>
      </c>
      <c r="J26" s="110">
        <f>+LINKED!J26+'NON-LINKED'!J26</f>
        <v>0</v>
      </c>
      <c r="K26" s="110">
        <f>+LINKED!K26+'NON-LINKED'!K26</f>
        <v>0</v>
      </c>
      <c r="L26" s="110">
        <f>+LINKED!L26+'NON-LINKED'!L26</f>
        <v>0</v>
      </c>
      <c r="M26" s="110">
        <f>+LINKED!M26+'NON-LINKED'!M26</f>
        <v>0</v>
      </c>
      <c r="N26" s="110">
        <f>+LINKED!N26+'NON-LINKED'!N26</f>
        <v>0</v>
      </c>
      <c r="O26" s="110">
        <f>+LINKED!O26+'NON-LINKED'!O26</f>
        <v>0</v>
      </c>
      <c r="P26" s="110">
        <f>+LINKED!P26+'NON-LINKED'!P26</f>
        <v>0</v>
      </c>
      <c r="Q26" s="149">
        <f>+LINKED!Q26+'NON-LINKED'!Q26</f>
        <v>0</v>
      </c>
    </row>
    <row r="27" spans="2:17" ht="15" customHeight="1" x14ac:dyDescent="0.35">
      <c r="B27" s="67" t="str">
        <f>LINKED!B27</f>
        <v>THE MONARCH INSURANCE</v>
      </c>
      <c r="C27" s="110">
        <f>+LINKED!C27+'NON-LINKED'!C27</f>
        <v>0</v>
      </c>
      <c r="D27" s="110">
        <f>+LINKED!D27+'NON-LINKED'!D27</f>
        <v>0</v>
      </c>
      <c r="E27" s="110">
        <f>+LINKED!E27+'NON-LINKED'!E27</f>
        <v>0</v>
      </c>
      <c r="F27" s="110">
        <f>+LINKED!F27+'NON-LINKED'!F27</f>
        <v>0</v>
      </c>
      <c r="G27" s="110">
        <f>+LINKED!G27+'NON-LINKED'!G27</f>
        <v>0</v>
      </c>
      <c r="H27" s="110">
        <f>+LINKED!H27+'NON-LINKED'!H27</f>
        <v>0</v>
      </c>
      <c r="I27" s="110">
        <f>+LINKED!I27+'NON-LINKED'!I27</f>
        <v>0</v>
      </c>
      <c r="J27" s="110">
        <f>+LINKED!J27+'NON-LINKED'!J27</f>
        <v>0</v>
      </c>
      <c r="K27" s="110">
        <f>+LINKED!K27+'NON-LINKED'!K27</f>
        <v>0</v>
      </c>
      <c r="L27" s="110">
        <f>+LINKED!L27+'NON-LINKED'!L27</f>
        <v>0</v>
      </c>
      <c r="M27" s="110">
        <f>+LINKED!M27+'NON-LINKED'!M27</f>
        <v>0</v>
      </c>
      <c r="N27" s="110">
        <f>+LINKED!N27+'NON-LINKED'!N27</f>
        <v>0</v>
      </c>
      <c r="O27" s="110">
        <f>+LINKED!O27+'NON-LINKED'!O27</f>
        <v>0</v>
      </c>
      <c r="P27" s="110">
        <f>+LINKED!P27+'NON-LINKED'!P27</f>
        <v>0</v>
      </c>
      <c r="Q27" s="149">
        <f>+LINKED!Q27+'NON-LINKED'!Q27</f>
        <v>0</v>
      </c>
    </row>
    <row r="28" spans="2:17" ht="15" customHeight="1" x14ac:dyDescent="0.35">
      <c r="B28" s="135" t="s">
        <v>7</v>
      </c>
      <c r="C28" s="140">
        <f t="shared" ref="C28:Q28" si="0">SUM(C6:C27)</f>
        <v>68373920.571253985</v>
      </c>
      <c r="D28" s="140">
        <f t="shared" si="0"/>
        <v>11158278.380338989</v>
      </c>
      <c r="E28" s="140">
        <f t="shared" si="0"/>
        <v>11153947.606938986</v>
      </c>
      <c r="F28" s="140">
        <f t="shared" si="0"/>
        <v>-2386.9233312500073</v>
      </c>
      <c r="G28" s="140">
        <f t="shared" si="0"/>
        <v>3766861.4525754503</v>
      </c>
      <c r="H28" s="140">
        <f t="shared" si="0"/>
        <v>3677120.7515999577</v>
      </c>
      <c r="I28" s="140">
        <f t="shared" si="0"/>
        <v>89740.700975492291</v>
      </c>
      <c r="J28" s="140">
        <f t="shared" si="0"/>
        <v>0</v>
      </c>
      <c r="K28" s="140">
        <f t="shared" si="0"/>
        <v>0</v>
      </c>
      <c r="L28" s="140">
        <f t="shared" si="0"/>
        <v>292974.07188097102</v>
      </c>
      <c r="M28" s="140">
        <f t="shared" si="0"/>
        <v>586910.37326014985</v>
      </c>
      <c r="N28" s="140">
        <f t="shared" si="0"/>
        <v>2820389.6748457458</v>
      </c>
      <c r="O28" s="140">
        <f t="shared" si="0"/>
        <v>19355.218480674324</v>
      </c>
      <c r="P28" s="140">
        <f t="shared" si="0"/>
        <v>0</v>
      </c>
      <c r="Q28" s="140">
        <f t="shared" si="0"/>
        <v>77679769.813510224</v>
      </c>
    </row>
    <row r="29" spans="2:17" ht="15" customHeight="1" x14ac:dyDescent="0.35">
      <c r="B29" s="300" t="s">
        <v>142</v>
      </c>
      <c r="C29" s="301"/>
      <c r="D29" s="301"/>
      <c r="E29" s="301"/>
      <c r="F29" s="301"/>
      <c r="G29" s="301"/>
      <c r="H29" s="301"/>
      <c r="I29" s="301"/>
      <c r="J29" s="301"/>
      <c r="K29" s="301"/>
      <c r="L29" s="301"/>
      <c r="M29" s="301"/>
      <c r="N29" s="301"/>
      <c r="O29" s="301"/>
      <c r="P29" s="301"/>
      <c r="Q29" s="302"/>
    </row>
    <row r="30" spans="2:17" ht="15" customHeight="1" x14ac:dyDescent="0.35">
      <c r="B30" s="67" t="str">
        <f>LINKED!B30</f>
        <v>CONTINENTAL REINSURANCE</v>
      </c>
      <c r="C30" s="110">
        <f>+LINKED!C30+'NON-LINKED'!C30</f>
        <v>0</v>
      </c>
      <c r="D30" s="110">
        <f>+LINKED!D30+'NON-LINKED'!D30</f>
        <v>0</v>
      </c>
      <c r="E30" s="110">
        <f>+LINKED!E30+'NON-LINKED'!E30</f>
        <v>0</v>
      </c>
      <c r="F30" s="110">
        <f>+LINKED!F30+'NON-LINKED'!F30</f>
        <v>0</v>
      </c>
      <c r="G30" s="110">
        <f>+LINKED!G30+'NON-LINKED'!G30</f>
        <v>0</v>
      </c>
      <c r="H30" s="110">
        <f>+LINKED!H30+'NON-LINKED'!H30</f>
        <v>0</v>
      </c>
      <c r="I30" s="110">
        <f>+LINKED!I30+'NON-LINKED'!I30</f>
        <v>0</v>
      </c>
      <c r="J30" s="110">
        <f>+LINKED!J30+'NON-LINKED'!J30</f>
        <v>0</v>
      </c>
      <c r="K30" s="110">
        <f>+LINKED!K30+'NON-LINKED'!K30</f>
        <v>0</v>
      </c>
      <c r="L30" s="110">
        <f>+LINKED!L30+'NON-LINKED'!L30</f>
        <v>0</v>
      </c>
      <c r="M30" s="110">
        <f>+LINKED!M30+'NON-LINKED'!M30</f>
        <v>0</v>
      </c>
      <c r="N30" s="110">
        <f>+LINKED!N30+'NON-LINKED'!N30</f>
        <v>0</v>
      </c>
      <c r="O30" s="110">
        <f>+LINKED!O30+'NON-LINKED'!O30</f>
        <v>0</v>
      </c>
      <c r="P30" s="110">
        <f>+LINKED!P30+'NON-LINKED'!P30</f>
        <v>0</v>
      </c>
      <c r="Q30" s="149">
        <f>+LINKED!Q30+'NON-LINKED'!Q30</f>
        <v>0</v>
      </c>
    </row>
    <row r="31" spans="2:17" ht="15" customHeight="1" x14ac:dyDescent="0.35">
      <c r="B31" s="67" t="str">
        <f>LINKED!B31</f>
        <v xml:space="preserve">EAST AFRICA REINSURANCE </v>
      </c>
      <c r="C31" s="110">
        <f>+LINKED!C31+'NON-LINKED'!C31</f>
        <v>0</v>
      </c>
      <c r="D31" s="110">
        <f>+LINKED!D31+'NON-LINKED'!D31</f>
        <v>0</v>
      </c>
      <c r="E31" s="110">
        <f>+LINKED!E31+'NON-LINKED'!E31</f>
        <v>0</v>
      </c>
      <c r="F31" s="110">
        <f>+LINKED!F31+'NON-LINKED'!F31</f>
        <v>0</v>
      </c>
      <c r="G31" s="110">
        <f>+LINKED!G31+'NON-LINKED'!G31</f>
        <v>0</v>
      </c>
      <c r="H31" s="110">
        <f>+LINKED!H31+'NON-LINKED'!H31</f>
        <v>0</v>
      </c>
      <c r="I31" s="110">
        <f>+LINKED!I31+'NON-LINKED'!I31</f>
        <v>0</v>
      </c>
      <c r="J31" s="110">
        <f>+LINKED!J31+'NON-LINKED'!J31</f>
        <v>0</v>
      </c>
      <c r="K31" s="110">
        <f>+LINKED!K31+'NON-LINKED'!K31</f>
        <v>0</v>
      </c>
      <c r="L31" s="110">
        <f>+LINKED!L31+'NON-LINKED'!L31</f>
        <v>0</v>
      </c>
      <c r="M31" s="110">
        <f>+LINKED!M31+'NON-LINKED'!M31</f>
        <v>0</v>
      </c>
      <c r="N31" s="110">
        <f>+LINKED!N31+'NON-LINKED'!N31</f>
        <v>0</v>
      </c>
      <c r="O31" s="110">
        <f>+LINKED!O31+'NON-LINKED'!O31</f>
        <v>0</v>
      </c>
      <c r="P31" s="110">
        <f>+LINKED!P31+'NON-LINKED'!P31</f>
        <v>0</v>
      </c>
      <c r="Q31" s="149">
        <f>+LINKED!Q31+'NON-LINKED'!Q31</f>
        <v>0</v>
      </c>
    </row>
    <row r="32" spans="2:17" ht="15" customHeight="1" x14ac:dyDescent="0.35">
      <c r="B32" s="67" t="str">
        <f>LINKED!B32</f>
        <v>KENYA REINSURANCE CORPORATION</v>
      </c>
      <c r="C32" s="110">
        <f>+LINKED!C32+'NON-LINKED'!C32</f>
        <v>0</v>
      </c>
      <c r="D32" s="110">
        <f>+LINKED!D32+'NON-LINKED'!D32</f>
        <v>0</v>
      </c>
      <c r="E32" s="110">
        <f>+LINKED!E32+'NON-LINKED'!E32</f>
        <v>0</v>
      </c>
      <c r="F32" s="110">
        <f>+LINKED!F32+'NON-LINKED'!F32</f>
        <v>0</v>
      </c>
      <c r="G32" s="110">
        <f>+LINKED!G32+'NON-LINKED'!G32</f>
        <v>0</v>
      </c>
      <c r="H32" s="110">
        <f>+LINKED!H32+'NON-LINKED'!H32</f>
        <v>0</v>
      </c>
      <c r="I32" s="110">
        <f>+LINKED!I32+'NON-LINKED'!I32</f>
        <v>0</v>
      </c>
      <c r="J32" s="110">
        <f>+LINKED!J32+'NON-LINKED'!J32</f>
        <v>0</v>
      </c>
      <c r="K32" s="110">
        <f>+LINKED!K32+'NON-LINKED'!K32</f>
        <v>0</v>
      </c>
      <c r="L32" s="110">
        <f>+LINKED!L32+'NON-LINKED'!L32</f>
        <v>0</v>
      </c>
      <c r="M32" s="110">
        <f>+LINKED!M32+'NON-LINKED'!M32</f>
        <v>0</v>
      </c>
      <c r="N32" s="110">
        <f>+LINKED!N32+'NON-LINKED'!N32</f>
        <v>0</v>
      </c>
      <c r="O32" s="110">
        <f>+LINKED!O32+'NON-LINKED'!O32</f>
        <v>0</v>
      </c>
      <c r="P32" s="110">
        <f>+LINKED!P32+'NON-LINKED'!P32</f>
        <v>0</v>
      </c>
      <c r="Q32" s="149">
        <f>+LINKED!Q32+'NON-LINKED'!Q32</f>
        <v>0</v>
      </c>
    </row>
    <row r="33" spans="2:17" ht="15" customHeight="1" x14ac:dyDescent="0.35">
      <c r="B33" s="135" t="s">
        <v>7</v>
      </c>
      <c r="C33" s="140">
        <f t="shared" ref="C33:Q33" si="1">SUM(C30:C32)</f>
        <v>0</v>
      </c>
      <c r="D33" s="140">
        <f t="shared" si="1"/>
        <v>0</v>
      </c>
      <c r="E33" s="140">
        <f t="shared" si="1"/>
        <v>0</v>
      </c>
      <c r="F33" s="140">
        <f t="shared" si="1"/>
        <v>0</v>
      </c>
      <c r="G33" s="140">
        <f t="shared" si="1"/>
        <v>0</v>
      </c>
      <c r="H33" s="140">
        <f t="shared" si="1"/>
        <v>0</v>
      </c>
      <c r="I33" s="140">
        <f t="shared" si="1"/>
        <v>0</v>
      </c>
      <c r="J33" s="140">
        <f t="shared" si="1"/>
        <v>0</v>
      </c>
      <c r="K33" s="140">
        <f t="shared" si="1"/>
        <v>0</v>
      </c>
      <c r="L33" s="140">
        <f t="shared" si="1"/>
        <v>0</v>
      </c>
      <c r="M33" s="140">
        <f t="shared" si="1"/>
        <v>0</v>
      </c>
      <c r="N33" s="140">
        <f t="shared" si="1"/>
        <v>0</v>
      </c>
      <c r="O33" s="140">
        <f t="shared" si="1"/>
        <v>0</v>
      </c>
      <c r="P33" s="140">
        <f t="shared" si="1"/>
        <v>0</v>
      </c>
      <c r="Q33" s="140">
        <f t="shared" si="1"/>
        <v>0</v>
      </c>
    </row>
    <row r="34" spans="2:17" ht="15" customHeight="1" x14ac:dyDescent="0.35">
      <c r="B34" s="303" t="s">
        <v>149</v>
      </c>
      <c r="C34" s="324"/>
      <c r="D34" s="324"/>
      <c r="E34" s="324"/>
      <c r="F34" s="324"/>
      <c r="G34" s="324"/>
      <c r="H34" s="324"/>
      <c r="I34" s="324"/>
      <c r="J34" s="324"/>
      <c r="K34" s="324"/>
      <c r="L34" s="324"/>
      <c r="M34" s="324"/>
      <c r="N34" s="324"/>
      <c r="O34" s="324"/>
      <c r="P34" s="324"/>
      <c r="Q34" s="324"/>
    </row>
    <row r="49" spans="2:17" ht="15" customHeight="1" x14ac:dyDescent="0.45">
      <c r="B49" s="275"/>
      <c r="C49" s="275"/>
      <c r="D49" s="275"/>
      <c r="E49" s="275"/>
      <c r="F49" s="275"/>
      <c r="G49" s="275"/>
      <c r="H49" s="275"/>
      <c r="I49" s="275"/>
      <c r="J49" s="275"/>
      <c r="K49" s="275"/>
      <c r="L49" s="275"/>
      <c r="M49" s="275"/>
      <c r="N49" s="275"/>
      <c r="O49" s="275"/>
      <c r="P49" s="275"/>
      <c r="Q49" s="290"/>
    </row>
  </sheetData>
  <sheetProtection algorithmName="SHA-512" hashValue="kJpbOR9hJWVs2oLvKtV8T41FiyeBBApUPnP+cg9IMovZjKY+Uzp+mbpJ4zl56wfgfzSOoXYmziOgIEFj6u7gKQ==" saltValue="97hrq/Wl1EBWrCq7TYvqnw==" spinCount="100000" sheet="1" objects="1" scenarios="1"/>
  <mergeCells count="4">
    <mergeCell ref="B34:Q34"/>
    <mergeCell ref="B29:Q29"/>
    <mergeCell ref="B3:Q3"/>
    <mergeCell ref="B5:Q5"/>
  </mergeCells>
  <pageMargins left="0.7" right="0.7" top="0.75" bottom="0.75" header="0.3" footer="0.3"/>
  <pageSetup paperSize="9" scale="37"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tabColor rgb="FF92D050"/>
  </sheetPr>
  <dimension ref="B3:Q34"/>
  <sheetViews>
    <sheetView topLeftCell="B3" zoomScale="70" workbookViewId="0">
      <selection activeCell="B3" sqref="B3:Q36"/>
    </sheetView>
  </sheetViews>
  <sheetFormatPr defaultColWidth="14.36328125" defaultRowHeight="14" x14ac:dyDescent="0.3"/>
  <cols>
    <col min="1" max="1" width="9.6328125" style="48" customWidth="1"/>
    <col min="2" max="2" width="43.54296875" style="48" customWidth="1"/>
    <col min="3" max="16" width="17.90625" style="48" customWidth="1"/>
    <col min="17" max="17" width="17.90625" style="49" customWidth="1"/>
    <col min="18" max="256" width="14.36328125" style="48" customWidth="1"/>
    <col min="257" max="257" width="9.6328125" style="48" customWidth="1"/>
    <col min="258" max="258" width="43.54296875" style="48" customWidth="1"/>
    <col min="259" max="273" width="17.90625" style="48" customWidth="1"/>
    <col min="274" max="512" width="14.36328125" style="48" customWidth="1"/>
    <col min="513" max="513" width="9.6328125" style="48" customWidth="1"/>
    <col min="514" max="514" width="43.54296875" style="48" customWidth="1"/>
    <col min="515" max="529" width="17.90625" style="48" customWidth="1"/>
    <col min="530" max="768" width="14.36328125" style="48" customWidth="1"/>
    <col min="769" max="769" width="9.6328125" style="48" customWidth="1"/>
    <col min="770" max="770" width="43.54296875" style="48" customWidth="1"/>
    <col min="771" max="785" width="17.90625" style="48" customWidth="1"/>
    <col min="786" max="1024" width="14.36328125" style="48" customWidth="1"/>
    <col min="1025" max="1025" width="9.6328125" style="48" customWidth="1"/>
    <col min="1026" max="1026" width="43.54296875" style="48" customWidth="1"/>
    <col min="1027" max="1041" width="17.90625" style="48" customWidth="1"/>
    <col min="1042" max="1280" width="14.36328125" style="48" customWidth="1"/>
    <col min="1281" max="1281" width="9.6328125" style="48" customWidth="1"/>
    <col min="1282" max="1282" width="43.54296875" style="48" customWidth="1"/>
    <col min="1283" max="1297" width="17.90625" style="48" customWidth="1"/>
    <col min="1298" max="1536" width="14.36328125" style="48" customWidth="1"/>
    <col min="1537" max="1537" width="9.6328125" style="48" customWidth="1"/>
    <col min="1538" max="1538" width="43.54296875" style="48" customWidth="1"/>
    <col min="1539" max="1553" width="17.90625" style="48" customWidth="1"/>
    <col min="1554" max="1792" width="14.36328125" style="48" customWidth="1"/>
    <col min="1793" max="1793" width="9.6328125" style="48" customWidth="1"/>
    <col min="1794" max="1794" width="43.54296875" style="48" customWidth="1"/>
    <col min="1795" max="1809" width="17.90625" style="48" customWidth="1"/>
    <col min="1810" max="2048" width="14.36328125" style="48" customWidth="1"/>
    <col min="2049" max="2049" width="9.6328125" style="48" customWidth="1"/>
    <col min="2050" max="2050" width="43.54296875" style="48" customWidth="1"/>
    <col min="2051" max="2065" width="17.90625" style="48" customWidth="1"/>
    <col min="2066" max="2304" width="14.36328125" style="48" customWidth="1"/>
    <col min="2305" max="2305" width="9.6328125" style="48" customWidth="1"/>
    <col min="2306" max="2306" width="43.54296875" style="48" customWidth="1"/>
    <col min="2307" max="2321" width="17.90625" style="48" customWidth="1"/>
    <col min="2322" max="2560" width="14.36328125" style="48" customWidth="1"/>
    <col min="2561" max="2561" width="9.6328125" style="48" customWidth="1"/>
    <col min="2562" max="2562" width="43.54296875" style="48" customWidth="1"/>
    <col min="2563" max="2577" width="17.90625" style="48" customWidth="1"/>
    <col min="2578" max="2816" width="14.36328125" style="48" customWidth="1"/>
    <col min="2817" max="2817" width="9.6328125" style="48" customWidth="1"/>
    <col min="2818" max="2818" width="43.54296875" style="48" customWidth="1"/>
    <col min="2819" max="2833" width="17.90625" style="48" customWidth="1"/>
    <col min="2834" max="3072" width="14.36328125" style="48" customWidth="1"/>
    <col min="3073" max="3073" width="9.6328125" style="48" customWidth="1"/>
    <col min="3074" max="3074" width="43.54296875" style="48" customWidth="1"/>
    <col min="3075" max="3089" width="17.90625" style="48" customWidth="1"/>
    <col min="3090" max="3328" width="14.36328125" style="48" customWidth="1"/>
    <col min="3329" max="3329" width="9.6328125" style="48" customWidth="1"/>
    <col min="3330" max="3330" width="43.54296875" style="48" customWidth="1"/>
    <col min="3331" max="3345" width="17.90625" style="48" customWidth="1"/>
    <col min="3346" max="3584" width="14.36328125" style="48" customWidth="1"/>
    <col min="3585" max="3585" width="9.6328125" style="48" customWidth="1"/>
    <col min="3586" max="3586" width="43.54296875" style="48" customWidth="1"/>
    <col min="3587" max="3601" width="17.90625" style="48" customWidth="1"/>
    <col min="3602" max="3840" width="14.36328125" style="48" customWidth="1"/>
    <col min="3841" max="3841" width="9.6328125" style="48" customWidth="1"/>
    <col min="3842" max="3842" width="43.54296875" style="48" customWidth="1"/>
    <col min="3843" max="3857" width="17.90625" style="48" customWidth="1"/>
    <col min="3858" max="4096" width="14.36328125" style="48" customWidth="1"/>
    <col min="4097" max="4097" width="9.6328125" style="48" customWidth="1"/>
    <col min="4098" max="4098" width="43.54296875" style="48" customWidth="1"/>
    <col min="4099" max="4113" width="17.90625" style="48" customWidth="1"/>
    <col min="4114" max="4352" width="14.36328125" style="48" customWidth="1"/>
    <col min="4353" max="4353" width="9.6328125" style="48" customWidth="1"/>
    <col min="4354" max="4354" width="43.54296875" style="48" customWidth="1"/>
    <col min="4355" max="4369" width="17.90625" style="48" customWidth="1"/>
    <col min="4370" max="4608" width="14.36328125" style="48" customWidth="1"/>
    <col min="4609" max="4609" width="9.6328125" style="48" customWidth="1"/>
    <col min="4610" max="4610" width="43.54296875" style="48" customWidth="1"/>
    <col min="4611" max="4625" width="17.90625" style="48" customWidth="1"/>
    <col min="4626" max="4864" width="14.36328125" style="48" customWidth="1"/>
    <col min="4865" max="4865" width="9.6328125" style="48" customWidth="1"/>
    <col min="4866" max="4866" width="43.54296875" style="48" customWidth="1"/>
    <col min="4867" max="4881" width="17.90625" style="48" customWidth="1"/>
    <col min="4882" max="5120" width="14.36328125" style="48" customWidth="1"/>
    <col min="5121" max="5121" width="9.6328125" style="48" customWidth="1"/>
    <col min="5122" max="5122" width="43.54296875" style="48" customWidth="1"/>
    <col min="5123" max="5137" width="17.90625" style="48" customWidth="1"/>
    <col min="5138" max="5376" width="14.36328125" style="48" customWidth="1"/>
    <col min="5377" max="5377" width="9.6328125" style="48" customWidth="1"/>
    <col min="5378" max="5378" width="43.54296875" style="48" customWidth="1"/>
    <col min="5379" max="5393" width="17.90625" style="48" customWidth="1"/>
    <col min="5394" max="5632" width="14.36328125" style="48" customWidth="1"/>
    <col min="5633" max="5633" width="9.6328125" style="48" customWidth="1"/>
    <col min="5634" max="5634" width="43.54296875" style="48" customWidth="1"/>
    <col min="5635" max="5649" width="17.90625" style="48" customWidth="1"/>
    <col min="5650" max="5888" width="14.36328125" style="48" customWidth="1"/>
    <col min="5889" max="5889" width="9.6328125" style="48" customWidth="1"/>
    <col min="5890" max="5890" width="43.54296875" style="48" customWidth="1"/>
    <col min="5891" max="5905" width="17.90625" style="48" customWidth="1"/>
    <col min="5906" max="6144" width="14.36328125" style="48" customWidth="1"/>
    <col min="6145" max="6145" width="9.6328125" style="48" customWidth="1"/>
    <col min="6146" max="6146" width="43.54296875" style="48" customWidth="1"/>
    <col min="6147" max="6161" width="17.90625" style="48" customWidth="1"/>
    <col min="6162" max="6400" width="14.36328125" style="48" customWidth="1"/>
    <col min="6401" max="6401" width="9.6328125" style="48" customWidth="1"/>
    <col min="6402" max="6402" width="43.54296875" style="48" customWidth="1"/>
    <col min="6403" max="6417" width="17.90625" style="48" customWidth="1"/>
    <col min="6418" max="6656" width="14.36328125" style="48" customWidth="1"/>
    <col min="6657" max="6657" width="9.6328125" style="48" customWidth="1"/>
    <col min="6658" max="6658" width="43.54296875" style="48" customWidth="1"/>
    <col min="6659" max="6673" width="17.90625" style="48" customWidth="1"/>
    <col min="6674" max="6912" width="14.36328125" style="48" customWidth="1"/>
    <col min="6913" max="6913" width="9.6328125" style="48" customWidth="1"/>
    <col min="6914" max="6914" width="43.54296875" style="48" customWidth="1"/>
    <col min="6915" max="6929" width="17.90625" style="48" customWidth="1"/>
    <col min="6930" max="7168" width="14.36328125" style="48" customWidth="1"/>
    <col min="7169" max="7169" width="9.6328125" style="48" customWidth="1"/>
    <col min="7170" max="7170" width="43.54296875" style="48" customWidth="1"/>
    <col min="7171" max="7185" width="17.90625" style="48" customWidth="1"/>
    <col min="7186" max="7424" width="14.36328125" style="48" customWidth="1"/>
    <col min="7425" max="7425" width="9.6328125" style="48" customWidth="1"/>
    <col min="7426" max="7426" width="43.54296875" style="48" customWidth="1"/>
    <col min="7427" max="7441" width="17.90625" style="48" customWidth="1"/>
    <col min="7442" max="7680" width="14.36328125" style="48" customWidth="1"/>
    <col min="7681" max="7681" width="9.6328125" style="48" customWidth="1"/>
    <col min="7682" max="7682" width="43.54296875" style="48" customWidth="1"/>
    <col min="7683" max="7697" width="17.90625" style="48" customWidth="1"/>
    <col min="7698" max="7936" width="14.36328125" style="48" customWidth="1"/>
    <col min="7937" max="7937" width="9.6328125" style="48" customWidth="1"/>
    <col min="7938" max="7938" width="43.54296875" style="48" customWidth="1"/>
    <col min="7939" max="7953" width="17.90625" style="48" customWidth="1"/>
    <col min="7954" max="8192" width="14.36328125" style="48" customWidth="1"/>
    <col min="8193" max="8193" width="9.6328125" style="48" customWidth="1"/>
    <col min="8194" max="8194" width="43.54296875" style="48" customWidth="1"/>
    <col min="8195" max="8209" width="17.90625" style="48" customWidth="1"/>
    <col min="8210" max="8448" width="14.36328125" style="48" customWidth="1"/>
    <col min="8449" max="8449" width="9.6328125" style="48" customWidth="1"/>
    <col min="8450" max="8450" width="43.54296875" style="48" customWidth="1"/>
    <col min="8451" max="8465" width="17.90625" style="48" customWidth="1"/>
    <col min="8466" max="8704" width="14.36328125" style="48" customWidth="1"/>
    <col min="8705" max="8705" width="9.6328125" style="48" customWidth="1"/>
    <col min="8706" max="8706" width="43.54296875" style="48" customWidth="1"/>
    <col min="8707" max="8721" width="17.90625" style="48" customWidth="1"/>
    <col min="8722" max="8960" width="14.36328125" style="48" customWidth="1"/>
    <col min="8961" max="8961" width="9.6328125" style="48" customWidth="1"/>
    <col min="8962" max="8962" width="43.54296875" style="48" customWidth="1"/>
    <col min="8963" max="8977" width="17.90625" style="48" customWidth="1"/>
    <col min="8978" max="9216" width="14.36328125" style="48" customWidth="1"/>
    <col min="9217" max="9217" width="9.6328125" style="48" customWidth="1"/>
    <col min="9218" max="9218" width="43.54296875" style="48" customWidth="1"/>
    <col min="9219" max="9233" width="17.90625" style="48" customWidth="1"/>
    <col min="9234" max="9472" width="14.36328125" style="48" customWidth="1"/>
    <col min="9473" max="9473" width="9.6328125" style="48" customWidth="1"/>
    <col min="9474" max="9474" width="43.54296875" style="48" customWidth="1"/>
    <col min="9475" max="9489" width="17.90625" style="48" customWidth="1"/>
    <col min="9490" max="9728" width="14.36328125" style="48" customWidth="1"/>
    <col min="9729" max="9729" width="9.6328125" style="48" customWidth="1"/>
    <col min="9730" max="9730" width="43.54296875" style="48" customWidth="1"/>
    <col min="9731" max="9745" width="17.90625" style="48" customWidth="1"/>
    <col min="9746" max="9984" width="14.36328125" style="48" customWidth="1"/>
    <col min="9985" max="9985" width="9.6328125" style="48" customWidth="1"/>
    <col min="9986" max="9986" width="43.54296875" style="48" customWidth="1"/>
    <col min="9987" max="10001" width="17.90625" style="48" customWidth="1"/>
    <col min="10002" max="10240" width="14.36328125" style="48" customWidth="1"/>
    <col min="10241" max="10241" width="9.6328125" style="48" customWidth="1"/>
    <col min="10242" max="10242" width="43.54296875" style="48" customWidth="1"/>
    <col min="10243" max="10257" width="17.90625" style="48" customWidth="1"/>
    <col min="10258" max="10496" width="14.36328125" style="48" customWidth="1"/>
    <col min="10497" max="10497" width="9.6328125" style="48" customWidth="1"/>
    <col min="10498" max="10498" width="43.54296875" style="48" customWidth="1"/>
    <col min="10499" max="10513" width="17.90625" style="48" customWidth="1"/>
    <col min="10514" max="10752" width="14.36328125" style="48" customWidth="1"/>
    <col min="10753" max="10753" width="9.6328125" style="48" customWidth="1"/>
    <col min="10754" max="10754" width="43.54296875" style="48" customWidth="1"/>
    <col min="10755" max="10769" width="17.90625" style="48" customWidth="1"/>
    <col min="10770" max="11008" width="14.36328125" style="48" customWidth="1"/>
    <col min="11009" max="11009" width="9.6328125" style="48" customWidth="1"/>
    <col min="11010" max="11010" width="43.54296875" style="48" customWidth="1"/>
    <col min="11011" max="11025" width="17.90625" style="48" customWidth="1"/>
    <col min="11026" max="11264" width="14.36328125" style="48" customWidth="1"/>
    <col min="11265" max="11265" width="9.6328125" style="48" customWidth="1"/>
    <col min="11266" max="11266" width="43.54296875" style="48" customWidth="1"/>
    <col min="11267" max="11281" width="17.90625" style="48" customWidth="1"/>
    <col min="11282" max="11520" width="14.36328125" style="48" customWidth="1"/>
    <col min="11521" max="11521" width="9.6328125" style="48" customWidth="1"/>
    <col min="11522" max="11522" width="43.54296875" style="48" customWidth="1"/>
    <col min="11523" max="11537" width="17.90625" style="48" customWidth="1"/>
    <col min="11538" max="11776" width="14.36328125" style="48" customWidth="1"/>
    <col min="11777" max="11777" width="9.6328125" style="48" customWidth="1"/>
    <col min="11778" max="11778" width="43.54296875" style="48" customWidth="1"/>
    <col min="11779" max="11793" width="17.90625" style="48" customWidth="1"/>
    <col min="11794" max="12032" width="14.36328125" style="48" customWidth="1"/>
    <col min="12033" max="12033" width="9.6328125" style="48" customWidth="1"/>
    <col min="12034" max="12034" width="43.54296875" style="48" customWidth="1"/>
    <col min="12035" max="12049" width="17.90625" style="48" customWidth="1"/>
    <col min="12050" max="12288" width="14.36328125" style="48" customWidth="1"/>
    <col min="12289" max="12289" width="9.6328125" style="48" customWidth="1"/>
    <col min="12290" max="12290" width="43.54296875" style="48" customWidth="1"/>
    <col min="12291" max="12305" width="17.90625" style="48" customWidth="1"/>
    <col min="12306" max="12544" width="14.36328125" style="48" customWidth="1"/>
    <col min="12545" max="12545" width="9.6328125" style="48" customWidth="1"/>
    <col min="12546" max="12546" width="43.54296875" style="48" customWidth="1"/>
    <col min="12547" max="12561" width="17.90625" style="48" customWidth="1"/>
    <col min="12562" max="12800" width="14.36328125" style="48" customWidth="1"/>
    <col min="12801" max="12801" width="9.6328125" style="48" customWidth="1"/>
    <col min="12802" max="12802" width="43.54296875" style="48" customWidth="1"/>
    <col min="12803" max="12817" width="17.90625" style="48" customWidth="1"/>
    <col min="12818" max="13056" width="14.36328125" style="48" customWidth="1"/>
    <col min="13057" max="13057" width="9.6328125" style="48" customWidth="1"/>
    <col min="13058" max="13058" width="43.54296875" style="48" customWidth="1"/>
    <col min="13059" max="13073" width="17.90625" style="48" customWidth="1"/>
    <col min="13074" max="13312" width="14.36328125" style="48" customWidth="1"/>
    <col min="13313" max="13313" width="9.6328125" style="48" customWidth="1"/>
    <col min="13314" max="13314" width="43.54296875" style="48" customWidth="1"/>
    <col min="13315" max="13329" width="17.90625" style="48" customWidth="1"/>
    <col min="13330" max="13568" width="14.36328125" style="48" customWidth="1"/>
    <col min="13569" max="13569" width="9.6328125" style="48" customWidth="1"/>
    <col min="13570" max="13570" width="43.54296875" style="48" customWidth="1"/>
    <col min="13571" max="13585" width="17.90625" style="48" customWidth="1"/>
    <col min="13586" max="13824" width="14.36328125" style="48" customWidth="1"/>
    <col min="13825" max="13825" width="9.6328125" style="48" customWidth="1"/>
    <col min="13826" max="13826" width="43.54296875" style="48" customWidth="1"/>
    <col min="13827" max="13841" width="17.90625" style="48" customWidth="1"/>
    <col min="13842" max="14080" width="14.36328125" style="48" customWidth="1"/>
    <col min="14081" max="14081" width="9.6328125" style="48" customWidth="1"/>
    <col min="14082" max="14082" width="43.54296875" style="48" customWidth="1"/>
    <col min="14083" max="14097" width="17.90625" style="48" customWidth="1"/>
    <col min="14098" max="14336" width="14.36328125" style="48" customWidth="1"/>
    <col min="14337" max="14337" width="9.6328125" style="48" customWidth="1"/>
    <col min="14338" max="14338" width="43.54296875" style="48" customWidth="1"/>
    <col min="14339" max="14353" width="17.90625" style="48" customWidth="1"/>
    <col min="14354" max="14592" width="14.36328125" style="48" customWidth="1"/>
    <col min="14593" max="14593" width="9.6328125" style="48" customWidth="1"/>
    <col min="14594" max="14594" width="43.54296875" style="48" customWidth="1"/>
    <col min="14595" max="14609" width="17.90625" style="48" customWidth="1"/>
    <col min="14610" max="14848" width="14.36328125" style="48" customWidth="1"/>
    <col min="14849" max="14849" width="9.6328125" style="48" customWidth="1"/>
    <col min="14850" max="14850" width="43.54296875" style="48" customWidth="1"/>
    <col min="14851" max="14865" width="17.90625" style="48" customWidth="1"/>
    <col min="14866" max="15104" width="14.36328125" style="48" customWidth="1"/>
    <col min="15105" max="15105" width="9.6328125" style="48" customWidth="1"/>
    <col min="15106" max="15106" width="43.54296875" style="48" customWidth="1"/>
    <col min="15107" max="15121" width="17.90625" style="48" customWidth="1"/>
    <col min="15122" max="15360" width="14.36328125" style="48" customWidth="1"/>
    <col min="15361" max="15361" width="9.6328125" style="48" customWidth="1"/>
    <col min="15362" max="15362" width="43.54296875" style="48" customWidth="1"/>
    <col min="15363" max="15377" width="17.90625" style="48" customWidth="1"/>
    <col min="15378" max="15616" width="14.36328125" style="48" customWidth="1"/>
    <col min="15617" max="15617" width="9.6328125" style="48" customWidth="1"/>
    <col min="15618" max="15618" width="43.54296875" style="48" customWidth="1"/>
    <col min="15619" max="15633" width="17.90625" style="48" customWidth="1"/>
    <col min="15634" max="15872" width="14.36328125" style="48" customWidth="1"/>
    <col min="15873" max="15873" width="9.6328125" style="48" customWidth="1"/>
    <col min="15874" max="15874" width="43.54296875" style="48" customWidth="1"/>
    <col min="15875" max="15889" width="17.90625" style="48" customWidth="1"/>
    <col min="15890" max="16128" width="14.36328125" style="48" customWidth="1"/>
    <col min="16129" max="16129" width="9.6328125" style="48" customWidth="1"/>
    <col min="16130" max="16130" width="43.54296875" style="48" customWidth="1"/>
    <col min="16131" max="16145" width="17.90625" style="48" customWidth="1"/>
    <col min="16146" max="16384" width="14.36328125" style="48" customWidth="1"/>
  </cols>
  <sheetData>
    <row r="3" spans="2:17" ht="14.5" customHeight="1" x14ac:dyDescent="0.35">
      <c r="B3" s="350" t="str">
        <f>_xlfn.CONCAT("LINKED INVESTMENTS"," ",Details!F18)</f>
        <v>LINKED INVESTMENTS 31.03.2026</v>
      </c>
      <c r="C3" s="301"/>
      <c r="D3" s="301"/>
      <c r="E3" s="301"/>
      <c r="F3" s="301"/>
      <c r="G3" s="301"/>
      <c r="H3" s="301"/>
      <c r="I3" s="301"/>
      <c r="J3" s="301"/>
      <c r="K3" s="301"/>
      <c r="L3" s="301"/>
      <c r="M3" s="301"/>
      <c r="N3" s="301"/>
      <c r="O3" s="301"/>
      <c r="P3" s="301"/>
      <c r="Q3" s="302"/>
    </row>
    <row r="4" spans="2:17" s="54" customFormat="1" ht="26" customHeight="1" x14ac:dyDescent="0.3">
      <c r="B4" s="50" t="s">
        <v>87</v>
      </c>
      <c r="C4" s="51" t="s">
        <v>201</v>
      </c>
      <c r="D4" s="51" t="s">
        <v>202</v>
      </c>
      <c r="E4" s="51" t="s">
        <v>203</v>
      </c>
      <c r="F4" s="51" t="s">
        <v>204</v>
      </c>
      <c r="G4" s="51" t="s">
        <v>205</v>
      </c>
      <c r="H4" s="51" t="s">
        <v>206</v>
      </c>
      <c r="I4" s="52" t="s">
        <v>207</v>
      </c>
      <c r="J4" s="51" t="s">
        <v>208</v>
      </c>
      <c r="K4" s="53" t="s">
        <v>209</v>
      </c>
      <c r="L4" s="53" t="s">
        <v>210</v>
      </c>
      <c r="M4" s="53" t="s">
        <v>211</v>
      </c>
      <c r="N4" s="53" t="s">
        <v>212</v>
      </c>
      <c r="O4" s="53" t="s">
        <v>213</v>
      </c>
      <c r="P4" s="53" t="s">
        <v>214</v>
      </c>
      <c r="Q4" s="53" t="s">
        <v>215</v>
      </c>
    </row>
    <row r="5" spans="2:17" ht="14.5" customHeight="1" x14ac:dyDescent="0.35">
      <c r="B5" s="349" t="s">
        <v>106</v>
      </c>
      <c r="C5" s="301"/>
      <c r="D5" s="301"/>
      <c r="E5" s="301"/>
      <c r="F5" s="301"/>
      <c r="G5" s="301"/>
      <c r="H5" s="301"/>
      <c r="I5" s="301"/>
      <c r="J5" s="301"/>
      <c r="K5" s="301"/>
      <c r="L5" s="301"/>
      <c r="M5" s="301"/>
      <c r="N5" s="301"/>
      <c r="O5" s="301"/>
      <c r="P5" s="301"/>
      <c r="Q5" s="302"/>
    </row>
    <row r="6" spans="2:17" x14ac:dyDescent="0.3">
      <c r="B6" s="6" t="s">
        <v>150</v>
      </c>
      <c r="C6" s="56">
        <v>0</v>
      </c>
      <c r="D6" s="56">
        <v>0</v>
      </c>
      <c r="E6" s="56">
        <v>0</v>
      </c>
      <c r="F6" s="56">
        <v>0</v>
      </c>
      <c r="G6" s="56">
        <v>0</v>
      </c>
      <c r="H6" s="56">
        <v>0</v>
      </c>
      <c r="I6" s="56">
        <v>0</v>
      </c>
      <c r="J6" s="56">
        <v>0</v>
      </c>
      <c r="K6" s="56">
        <v>0</v>
      </c>
      <c r="L6" s="56">
        <v>0</v>
      </c>
      <c r="M6" s="56">
        <v>0</v>
      </c>
      <c r="N6" s="56">
        <v>0</v>
      </c>
      <c r="O6" s="56">
        <v>0</v>
      </c>
      <c r="P6" s="56">
        <v>0</v>
      </c>
      <c r="Q6" s="57">
        <v>0</v>
      </c>
    </row>
    <row r="7" spans="2:17" x14ac:dyDescent="0.3">
      <c r="B7" s="55" t="s">
        <v>151</v>
      </c>
      <c r="C7" s="56">
        <v>0</v>
      </c>
      <c r="D7" s="56">
        <v>0</v>
      </c>
      <c r="E7" s="56">
        <v>0</v>
      </c>
      <c r="F7" s="56">
        <v>0</v>
      </c>
      <c r="G7" s="56">
        <v>0</v>
      </c>
      <c r="H7" s="56">
        <v>0</v>
      </c>
      <c r="I7" s="56">
        <v>0</v>
      </c>
      <c r="J7" s="56">
        <v>0</v>
      </c>
      <c r="K7" s="56">
        <v>0</v>
      </c>
      <c r="L7" s="56">
        <v>0</v>
      </c>
      <c r="M7" s="56">
        <v>0</v>
      </c>
      <c r="N7" s="56">
        <v>0</v>
      </c>
      <c r="O7" s="56">
        <v>0</v>
      </c>
      <c r="P7" s="56">
        <v>0</v>
      </c>
      <c r="Q7" s="57">
        <v>0</v>
      </c>
    </row>
    <row r="8" spans="2:17" x14ac:dyDescent="0.3">
      <c r="B8" s="55" t="s">
        <v>152</v>
      </c>
      <c r="C8" s="56">
        <v>18319650.260838948</v>
      </c>
      <c r="D8" s="56">
        <v>4527608.8438900057</v>
      </c>
      <c r="E8" s="56">
        <v>4527608.8438900057</v>
      </c>
      <c r="F8" s="56">
        <v>0</v>
      </c>
      <c r="G8" s="56">
        <v>1924103.812703294</v>
      </c>
      <c r="H8" s="56">
        <v>1924103.812703294</v>
      </c>
      <c r="I8" s="56">
        <v>0</v>
      </c>
      <c r="J8" s="56">
        <v>0</v>
      </c>
      <c r="K8" s="56">
        <v>0</v>
      </c>
      <c r="L8" s="56">
        <v>11831.134</v>
      </c>
      <c r="M8" s="56">
        <v>33730.453999999998</v>
      </c>
      <c r="N8" s="56">
        <v>723340.70299999998</v>
      </c>
      <c r="O8" s="56">
        <v>4755.0600000000004</v>
      </c>
      <c r="P8" s="56">
        <v>0</v>
      </c>
      <c r="Q8" s="57">
        <v>21596179.34702567</v>
      </c>
    </row>
    <row r="9" spans="2:17" x14ac:dyDescent="0.3">
      <c r="B9" s="55" t="s">
        <v>153</v>
      </c>
      <c r="C9" s="56">
        <v>538626.1926749344</v>
      </c>
      <c r="D9" s="56">
        <v>5811.6588000000002</v>
      </c>
      <c r="E9" s="56">
        <v>5577.2197999999999</v>
      </c>
      <c r="F9" s="56">
        <v>0</v>
      </c>
      <c r="G9" s="56">
        <v>11544.84045</v>
      </c>
      <c r="H9" s="56">
        <v>11544.84045</v>
      </c>
      <c r="I9" s="56">
        <v>0</v>
      </c>
      <c r="J9" s="56">
        <v>0</v>
      </c>
      <c r="K9" s="56">
        <v>0</v>
      </c>
      <c r="L9" s="56">
        <v>-245.62675999999999</v>
      </c>
      <c r="M9" s="56">
        <v>23949.657147000002</v>
      </c>
      <c r="N9" s="56">
        <v>12002.174000000001</v>
      </c>
      <c r="O9" s="56">
        <v>0</v>
      </c>
      <c r="P9" s="56">
        <v>0</v>
      </c>
      <c r="Q9" s="57">
        <v>520956.71563793439</v>
      </c>
    </row>
    <row r="10" spans="2:17" x14ac:dyDescent="0.3">
      <c r="B10" s="55" t="s">
        <v>154</v>
      </c>
      <c r="C10" s="56">
        <v>0</v>
      </c>
      <c r="D10" s="56">
        <v>0</v>
      </c>
      <c r="E10" s="56">
        <v>0</v>
      </c>
      <c r="F10" s="56">
        <v>0</v>
      </c>
      <c r="G10" s="56">
        <v>0</v>
      </c>
      <c r="H10" s="56">
        <v>0</v>
      </c>
      <c r="I10" s="56">
        <v>0</v>
      </c>
      <c r="J10" s="56">
        <v>0</v>
      </c>
      <c r="K10" s="56">
        <v>0</v>
      </c>
      <c r="L10" s="56">
        <v>0</v>
      </c>
      <c r="M10" s="56">
        <v>0</v>
      </c>
      <c r="N10" s="56">
        <v>0</v>
      </c>
      <c r="O10" s="56">
        <v>0</v>
      </c>
      <c r="P10" s="56">
        <v>0</v>
      </c>
      <c r="Q10" s="57">
        <v>0</v>
      </c>
    </row>
    <row r="11" spans="2:17" x14ac:dyDescent="0.3">
      <c r="B11" s="55" t="s">
        <v>155</v>
      </c>
      <c r="C11" s="56">
        <v>0</v>
      </c>
      <c r="D11" s="56">
        <v>0</v>
      </c>
      <c r="E11" s="56">
        <v>0</v>
      </c>
      <c r="F11" s="56">
        <v>0</v>
      </c>
      <c r="G11" s="56">
        <v>0</v>
      </c>
      <c r="H11" s="56">
        <v>0</v>
      </c>
      <c r="I11" s="56">
        <v>0</v>
      </c>
      <c r="J11" s="56">
        <v>0</v>
      </c>
      <c r="K11" s="56">
        <v>0</v>
      </c>
      <c r="L11" s="56">
        <v>0</v>
      </c>
      <c r="M11" s="56">
        <v>0</v>
      </c>
      <c r="N11" s="56">
        <v>0</v>
      </c>
      <c r="O11" s="56">
        <v>0</v>
      </c>
      <c r="P11" s="56">
        <v>0</v>
      </c>
      <c r="Q11" s="57">
        <v>0</v>
      </c>
    </row>
    <row r="12" spans="2:17" x14ac:dyDescent="0.3">
      <c r="B12" s="55" t="s">
        <v>156</v>
      </c>
      <c r="C12" s="56">
        <v>0</v>
      </c>
      <c r="D12" s="56">
        <v>0</v>
      </c>
      <c r="E12" s="56">
        <v>0</v>
      </c>
      <c r="F12" s="56">
        <v>0</v>
      </c>
      <c r="G12" s="56">
        <v>0</v>
      </c>
      <c r="H12" s="56">
        <v>0</v>
      </c>
      <c r="I12" s="56">
        <v>0</v>
      </c>
      <c r="J12" s="56">
        <v>0</v>
      </c>
      <c r="K12" s="56">
        <v>0</v>
      </c>
      <c r="L12" s="56">
        <v>0</v>
      </c>
      <c r="M12" s="56">
        <v>0</v>
      </c>
      <c r="N12" s="56">
        <v>0</v>
      </c>
      <c r="O12" s="56">
        <v>0</v>
      </c>
      <c r="P12" s="56">
        <v>0</v>
      </c>
      <c r="Q12" s="57">
        <v>0</v>
      </c>
    </row>
    <row r="13" spans="2:17" x14ac:dyDescent="0.3">
      <c r="B13" s="3" t="s">
        <v>157</v>
      </c>
      <c r="C13" s="56">
        <v>0</v>
      </c>
      <c r="D13" s="56">
        <v>0</v>
      </c>
      <c r="E13" s="56">
        <v>0</v>
      </c>
      <c r="F13" s="56">
        <v>0</v>
      </c>
      <c r="G13" s="56">
        <v>0</v>
      </c>
      <c r="H13" s="56">
        <v>0</v>
      </c>
      <c r="I13" s="56">
        <v>0</v>
      </c>
      <c r="J13" s="56">
        <v>0</v>
      </c>
      <c r="K13" s="56">
        <v>0</v>
      </c>
      <c r="L13" s="56">
        <v>0</v>
      </c>
      <c r="M13" s="56">
        <v>0</v>
      </c>
      <c r="N13" s="56">
        <v>0</v>
      </c>
      <c r="O13" s="56">
        <v>0</v>
      </c>
      <c r="P13" s="56">
        <v>0</v>
      </c>
      <c r="Q13" s="57">
        <v>0</v>
      </c>
    </row>
    <row r="14" spans="2:17" x14ac:dyDescent="0.3">
      <c r="B14" s="55" t="s">
        <v>158</v>
      </c>
      <c r="C14" s="56">
        <v>0</v>
      </c>
      <c r="D14" s="56">
        <v>0</v>
      </c>
      <c r="E14" s="56">
        <v>0</v>
      </c>
      <c r="F14" s="56">
        <v>0</v>
      </c>
      <c r="G14" s="56">
        <v>0</v>
      </c>
      <c r="H14" s="56">
        <v>0</v>
      </c>
      <c r="I14" s="56">
        <v>0</v>
      </c>
      <c r="J14" s="56">
        <v>0</v>
      </c>
      <c r="K14" s="56">
        <v>0</v>
      </c>
      <c r="L14" s="56">
        <v>0</v>
      </c>
      <c r="M14" s="56">
        <v>0</v>
      </c>
      <c r="N14" s="56">
        <v>0</v>
      </c>
      <c r="O14" s="56">
        <v>0</v>
      </c>
      <c r="P14" s="56">
        <v>0</v>
      </c>
      <c r="Q14" s="57">
        <v>0</v>
      </c>
    </row>
    <row r="15" spans="2:17" x14ac:dyDescent="0.3">
      <c r="B15" s="55" t="s">
        <v>159</v>
      </c>
      <c r="C15" s="56">
        <v>592627.12300000002</v>
      </c>
      <c r="D15" s="56">
        <v>1022.42</v>
      </c>
      <c r="E15" s="56">
        <v>1022.42</v>
      </c>
      <c r="F15" s="56">
        <v>0</v>
      </c>
      <c r="G15" s="56">
        <v>0</v>
      </c>
      <c r="H15" s="56">
        <v>0</v>
      </c>
      <c r="I15" s="56">
        <v>0</v>
      </c>
      <c r="J15" s="56">
        <v>0</v>
      </c>
      <c r="K15" s="56">
        <v>0</v>
      </c>
      <c r="L15" s="56">
        <v>0</v>
      </c>
      <c r="M15" s="56">
        <v>0</v>
      </c>
      <c r="N15" s="56">
        <v>0</v>
      </c>
      <c r="O15" s="56">
        <v>0</v>
      </c>
      <c r="P15" s="56">
        <v>0</v>
      </c>
      <c r="Q15" s="57">
        <v>593649.54299999995</v>
      </c>
    </row>
    <row r="16" spans="2:17" x14ac:dyDescent="0.3">
      <c r="B16" s="55" t="s">
        <v>160</v>
      </c>
      <c r="C16" s="56">
        <v>2775734.779000096</v>
      </c>
      <c r="D16" s="56">
        <v>1042386.9282</v>
      </c>
      <c r="E16" s="56">
        <v>1042386.9282</v>
      </c>
      <c r="F16" s="56">
        <v>0</v>
      </c>
      <c r="G16" s="56">
        <v>0</v>
      </c>
      <c r="H16" s="56">
        <v>0</v>
      </c>
      <c r="I16" s="56">
        <v>0</v>
      </c>
      <c r="J16" s="56">
        <v>0</v>
      </c>
      <c r="K16" s="56">
        <v>0</v>
      </c>
      <c r="L16" s="56">
        <v>0</v>
      </c>
      <c r="M16" s="56">
        <v>24056.30301</v>
      </c>
      <c r="N16" s="56">
        <v>0</v>
      </c>
      <c r="O16" s="56">
        <v>0</v>
      </c>
      <c r="P16" s="56">
        <v>0</v>
      </c>
      <c r="Q16" s="57">
        <v>3794065.4041900961</v>
      </c>
    </row>
    <row r="17" spans="2:17" x14ac:dyDescent="0.3">
      <c r="B17" s="55" t="s">
        <v>161</v>
      </c>
      <c r="C17" s="56">
        <v>0</v>
      </c>
      <c r="D17" s="56">
        <v>0</v>
      </c>
      <c r="E17" s="56">
        <v>0</v>
      </c>
      <c r="F17" s="56">
        <v>0</v>
      </c>
      <c r="G17" s="56">
        <v>0</v>
      </c>
      <c r="H17" s="56">
        <v>0</v>
      </c>
      <c r="I17" s="56">
        <v>0</v>
      </c>
      <c r="J17" s="56">
        <v>0</v>
      </c>
      <c r="K17" s="56">
        <v>0</v>
      </c>
      <c r="L17" s="56">
        <v>0</v>
      </c>
      <c r="M17" s="56">
        <v>0</v>
      </c>
      <c r="N17" s="56">
        <v>0</v>
      </c>
      <c r="O17" s="56">
        <v>0</v>
      </c>
      <c r="P17" s="56">
        <v>0</v>
      </c>
      <c r="Q17" s="57">
        <v>0</v>
      </c>
    </row>
    <row r="18" spans="2:17" x14ac:dyDescent="0.3">
      <c r="B18" s="55" t="s">
        <v>162</v>
      </c>
      <c r="C18" s="56">
        <v>0</v>
      </c>
      <c r="D18" s="56">
        <v>0</v>
      </c>
      <c r="E18" s="56">
        <v>0</v>
      </c>
      <c r="F18" s="56">
        <v>0</v>
      </c>
      <c r="G18" s="56">
        <v>0</v>
      </c>
      <c r="H18" s="56">
        <v>0</v>
      </c>
      <c r="I18" s="56">
        <v>0</v>
      </c>
      <c r="J18" s="56">
        <v>0</v>
      </c>
      <c r="K18" s="56">
        <v>0</v>
      </c>
      <c r="L18" s="56">
        <v>0</v>
      </c>
      <c r="M18" s="56">
        <v>0</v>
      </c>
      <c r="N18" s="56">
        <v>0</v>
      </c>
      <c r="O18" s="56">
        <v>0</v>
      </c>
      <c r="P18" s="56">
        <v>0</v>
      </c>
      <c r="Q18" s="57">
        <v>0</v>
      </c>
    </row>
    <row r="19" spans="2:17" x14ac:dyDescent="0.3">
      <c r="B19" s="55" t="s">
        <v>163</v>
      </c>
      <c r="C19" s="56">
        <v>2620077.603295574</v>
      </c>
      <c r="D19" s="56">
        <v>281277.04829999543</v>
      </c>
      <c r="E19" s="56">
        <v>281277.04829999543</v>
      </c>
      <c r="F19" s="56">
        <v>0</v>
      </c>
      <c r="G19" s="56">
        <v>239154.30963999999</v>
      </c>
      <c r="H19" s="56">
        <v>239154.30963999999</v>
      </c>
      <c r="I19" s="56">
        <v>0</v>
      </c>
      <c r="J19" s="56">
        <v>0</v>
      </c>
      <c r="K19" s="56">
        <v>0</v>
      </c>
      <c r="L19" s="56">
        <v>11745.945470000001</v>
      </c>
      <c r="M19" s="56">
        <v>170616.39300000001</v>
      </c>
      <c r="N19" s="56">
        <v>165604.46729999999</v>
      </c>
      <c r="O19" s="56">
        <v>4840.2293905771603</v>
      </c>
      <c r="P19" s="56">
        <v>0</v>
      </c>
      <c r="Q19" s="57">
        <v>2640602.241394992</v>
      </c>
    </row>
    <row r="20" spans="2:17" x14ac:dyDescent="0.3">
      <c r="B20" s="55" t="s">
        <v>127</v>
      </c>
      <c r="C20" s="56">
        <v>-18314.956731666891</v>
      </c>
      <c r="D20" s="56">
        <v>3575.7285431991372</v>
      </c>
      <c r="E20" s="56">
        <v>3575.7285431991372</v>
      </c>
      <c r="F20" s="56">
        <v>0</v>
      </c>
      <c r="G20" s="56">
        <v>-10706.13142153326</v>
      </c>
      <c r="H20" s="56">
        <v>-10706.13142153326</v>
      </c>
      <c r="I20" s="56">
        <v>0</v>
      </c>
      <c r="J20" s="56">
        <v>0</v>
      </c>
      <c r="K20" s="56">
        <v>0</v>
      </c>
      <c r="L20" s="56">
        <v>509.2838503101313</v>
      </c>
      <c r="M20" s="56">
        <v>1854.88626369709</v>
      </c>
      <c r="N20" s="56">
        <v>1183.8205708176899</v>
      </c>
      <c r="O20" s="56">
        <v>77.485695373789383</v>
      </c>
      <c r="P20" s="56">
        <v>0</v>
      </c>
      <c r="Q20" s="57">
        <v>-5290.932005497817</v>
      </c>
    </row>
    <row r="21" spans="2:17" x14ac:dyDescent="0.3">
      <c r="B21" s="55" t="s">
        <v>164</v>
      </c>
      <c r="C21" s="56">
        <v>10041361.145037901</v>
      </c>
      <c r="D21" s="56">
        <v>319535.86653</v>
      </c>
      <c r="E21" s="56">
        <v>319465.59246999997</v>
      </c>
      <c r="F21" s="56">
        <v>-577.04632125000046</v>
      </c>
      <c r="G21" s="56">
        <v>542922.97317000106</v>
      </c>
      <c r="H21" s="56">
        <v>542922.97317000106</v>
      </c>
      <c r="I21" s="56">
        <v>0</v>
      </c>
      <c r="J21" s="56">
        <v>0</v>
      </c>
      <c r="K21" s="56">
        <v>0</v>
      </c>
      <c r="L21" s="56">
        <v>12000.10123790441</v>
      </c>
      <c r="M21" s="56">
        <v>124525.24430227659</v>
      </c>
      <c r="N21" s="56">
        <v>423000.3052771705</v>
      </c>
      <c r="O21" s="56">
        <v>0</v>
      </c>
      <c r="P21" s="56">
        <v>0</v>
      </c>
      <c r="Q21" s="57">
        <v>10103801.677753629</v>
      </c>
    </row>
    <row r="22" spans="2:17" x14ac:dyDescent="0.3">
      <c r="B22" s="55" t="s">
        <v>165</v>
      </c>
      <c r="C22" s="56">
        <v>0</v>
      </c>
      <c r="D22" s="56">
        <v>0</v>
      </c>
      <c r="E22" s="56">
        <v>0</v>
      </c>
      <c r="F22" s="56">
        <v>0</v>
      </c>
      <c r="G22" s="56">
        <v>0</v>
      </c>
      <c r="H22" s="56">
        <v>0</v>
      </c>
      <c r="I22" s="56">
        <v>0</v>
      </c>
      <c r="J22" s="56">
        <v>0</v>
      </c>
      <c r="K22" s="56">
        <v>0</v>
      </c>
      <c r="L22" s="56">
        <v>0</v>
      </c>
      <c r="M22" s="56">
        <v>0</v>
      </c>
      <c r="N22" s="56">
        <v>0</v>
      </c>
      <c r="O22" s="56">
        <v>0</v>
      </c>
      <c r="P22" s="56">
        <v>0</v>
      </c>
      <c r="Q22" s="57">
        <v>0</v>
      </c>
    </row>
    <row r="23" spans="2:17" x14ac:dyDescent="0.3">
      <c r="B23" s="55" t="s">
        <v>166</v>
      </c>
      <c r="C23" s="56">
        <v>0</v>
      </c>
      <c r="D23" s="56">
        <v>0</v>
      </c>
      <c r="E23" s="56">
        <v>0</v>
      </c>
      <c r="F23" s="56">
        <v>0</v>
      </c>
      <c r="G23" s="56">
        <v>0</v>
      </c>
      <c r="H23" s="56">
        <v>0</v>
      </c>
      <c r="I23" s="56">
        <v>0</v>
      </c>
      <c r="J23" s="56">
        <v>0</v>
      </c>
      <c r="K23" s="56">
        <v>0</v>
      </c>
      <c r="L23" s="56">
        <v>0</v>
      </c>
      <c r="M23" s="56">
        <v>0</v>
      </c>
      <c r="N23" s="56">
        <v>0</v>
      </c>
      <c r="O23" s="56">
        <v>0</v>
      </c>
      <c r="P23" s="56">
        <v>0</v>
      </c>
      <c r="Q23" s="57">
        <v>0</v>
      </c>
    </row>
    <row r="24" spans="2:17" x14ac:dyDescent="0.3">
      <c r="B24" s="55" t="s">
        <v>167</v>
      </c>
      <c r="C24" s="56">
        <v>989695.28926299943</v>
      </c>
      <c r="D24" s="56">
        <v>23625.190999999999</v>
      </c>
      <c r="E24" s="56">
        <v>23625.190999999999</v>
      </c>
      <c r="F24" s="56">
        <v>0</v>
      </c>
      <c r="G24" s="56">
        <v>138696.47456</v>
      </c>
      <c r="H24" s="56">
        <v>138696.47456</v>
      </c>
      <c r="I24" s="56">
        <v>0</v>
      </c>
      <c r="J24" s="56">
        <v>0</v>
      </c>
      <c r="K24" s="56">
        <v>0</v>
      </c>
      <c r="L24" s="56">
        <v>0</v>
      </c>
      <c r="M24" s="56">
        <v>13115.252306608571</v>
      </c>
      <c r="N24" s="56">
        <v>69623.302049999998</v>
      </c>
      <c r="O24" s="56">
        <v>0</v>
      </c>
      <c r="P24" s="56">
        <v>0</v>
      </c>
      <c r="Q24" s="57">
        <v>931132.05544639088</v>
      </c>
    </row>
    <row r="25" spans="2:17" x14ac:dyDescent="0.3">
      <c r="B25" s="55" t="s">
        <v>168</v>
      </c>
      <c r="C25" s="56">
        <v>0</v>
      </c>
      <c r="D25" s="56">
        <v>0</v>
      </c>
      <c r="E25" s="56">
        <v>0</v>
      </c>
      <c r="F25" s="56">
        <v>0</v>
      </c>
      <c r="G25" s="56">
        <v>0</v>
      </c>
      <c r="H25" s="56">
        <v>0</v>
      </c>
      <c r="I25" s="56">
        <v>0</v>
      </c>
      <c r="J25" s="56">
        <v>0</v>
      </c>
      <c r="K25" s="56">
        <v>0</v>
      </c>
      <c r="L25" s="56">
        <v>0</v>
      </c>
      <c r="M25" s="56">
        <v>0</v>
      </c>
      <c r="N25" s="56">
        <v>0</v>
      </c>
      <c r="O25" s="56">
        <v>0</v>
      </c>
      <c r="P25" s="56">
        <v>0</v>
      </c>
      <c r="Q25" s="57">
        <v>0</v>
      </c>
    </row>
    <row r="26" spans="2:17" x14ac:dyDescent="0.3">
      <c r="B26" s="55" t="s">
        <v>169</v>
      </c>
      <c r="C26" s="56">
        <v>0</v>
      </c>
      <c r="D26" s="56">
        <v>0</v>
      </c>
      <c r="E26" s="56">
        <v>0</v>
      </c>
      <c r="F26" s="56">
        <v>0</v>
      </c>
      <c r="G26" s="56">
        <v>0</v>
      </c>
      <c r="H26" s="56">
        <v>0</v>
      </c>
      <c r="I26" s="56">
        <v>0</v>
      </c>
      <c r="J26" s="56">
        <v>0</v>
      </c>
      <c r="K26" s="56">
        <v>0</v>
      </c>
      <c r="L26" s="56">
        <v>0</v>
      </c>
      <c r="M26" s="56">
        <v>0</v>
      </c>
      <c r="N26" s="56">
        <v>0</v>
      </c>
      <c r="O26" s="56">
        <v>0</v>
      </c>
      <c r="P26" s="56">
        <v>0</v>
      </c>
      <c r="Q26" s="57">
        <v>0</v>
      </c>
    </row>
    <row r="27" spans="2:17" x14ac:dyDescent="0.3">
      <c r="B27" s="55" t="s">
        <v>170</v>
      </c>
      <c r="C27" s="56">
        <v>0</v>
      </c>
      <c r="D27" s="56">
        <v>0</v>
      </c>
      <c r="E27" s="56">
        <v>0</v>
      </c>
      <c r="F27" s="56">
        <v>0</v>
      </c>
      <c r="G27" s="56">
        <v>0</v>
      </c>
      <c r="H27" s="56">
        <v>0</v>
      </c>
      <c r="I27" s="56">
        <v>0</v>
      </c>
      <c r="J27" s="56">
        <v>0</v>
      </c>
      <c r="K27" s="56">
        <v>0</v>
      </c>
      <c r="L27" s="56">
        <v>0</v>
      </c>
      <c r="M27" s="56">
        <v>0</v>
      </c>
      <c r="N27" s="56">
        <v>0</v>
      </c>
      <c r="O27" s="56">
        <v>0</v>
      </c>
      <c r="P27" s="56">
        <v>0</v>
      </c>
      <c r="Q27" s="57">
        <v>0</v>
      </c>
    </row>
    <row r="28" spans="2:17" x14ac:dyDescent="0.3">
      <c r="B28" s="58" t="s">
        <v>7</v>
      </c>
      <c r="C28" s="59">
        <f t="shared" ref="C28:Q28" si="0">SUM(C6:C27)</f>
        <v>35859457.436378792</v>
      </c>
      <c r="D28" s="59">
        <f t="shared" si="0"/>
        <v>6204843.6852632007</v>
      </c>
      <c r="E28" s="59">
        <f t="shared" si="0"/>
        <v>6204538.9722031998</v>
      </c>
      <c r="F28" s="59">
        <f t="shared" si="0"/>
        <v>-577.04632125000046</v>
      </c>
      <c r="G28" s="59">
        <f t="shared" si="0"/>
        <v>2845716.2791017615</v>
      </c>
      <c r="H28" s="59">
        <f t="shared" si="0"/>
        <v>2845716.2791017615</v>
      </c>
      <c r="I28" s="59">
        <f t="shared" si="0"/>
        <v>0</v>
      </c>
      <c r="J28" s="59">
        <f t="shared" si="0"/>
        <v>0</v>
      </c>
      <c r="K28" s="59">
        <f t="shared" si="0"/>
        <v>0</v>
      </c>
      <c r="L28" s="59">
        <f t="shared" si="0"/>
        <v>35840.837798214539</v>
      </c>
      <c r="M28" s="59">
        <f t="shared" si="0"/>
        <v>391848.19002958224</v>
      </c>
      <c r="N28" s="59">
        <f t="shared" si="0"/>
        <v>1394754.7721979883</v>
      </c>
      <c r="O28" s="59">
        <f t="shared" si="0"/>
        <v>9672.7750859509488</v>
      </c>
      <c r="P28" s="59">
        <f t="shared" si="0"/>
        <v>0</v>
      </c>
      <c r="Q28" s="59">
        <f t="shared" si="0"/>
        <v>40175096.052443221</v>
      </c>
    </row>
    <row r="29" spans="2:17" ht="14.5" customHeight="1" x14ac:dyDescent="0.35">
      <c r="B29" s="349" t="s">
        <v>142</v>
      </c>
      <c r="C29" s="301"/>
      <c r="D29" s="301"/>
      <c r="E29" s="301"/>
      <c r="F29" s="301"/>
      <c r="G29" s="301"/>
      <c r="H29" s="301"/>
      <c r="I29" s="301"/>
      <c r="J29" s="301"/>
      <c r="K29" s="301"/>
      <c r="L29" s="301"/>
      <c r="M29" s="301"/>
      <c r="N29" s="301"/>
      <c r="O29" s="301"/>
      <c r="P29" s="301"/>
      <c r="Q29" s="302"/>
    </row>
    <row r="30" spans="2:17" x14ac:dyDescent="0.3">
      <c r="B30" s="55" t="s">
        <v>143</v>
      </c>
      <c r="C30" s="56">
        <v>0</v>
      </c>
      <c r="D30" s="56">
        <v>0</v>
      </c>
      <c r="E30" s="56">
        <v>0</v>
      </c>
      <c r="F30" s="56">
        <v>0</v>
      </c>
      <c r="G30" s="56">
        <v>0</v>
      </c>
      <c r="H30" s="56">
        <v>0</v>
      </c>
      <c r="I30" s="56">
        <v>0</v>
      </c>
      <c r="J30" s="56">
        <v>0</v>
      </c>
      <c r="K30" s="56">
        <v>0</v>
      </c>
      <c r="L30" s="56">
        <v>0</v>
      </c>
      <c r="M30" s="56">
        <v>0</v>
      </c>
      <c r="N30" s="56">
        <v>0</v>
      </c>
      <c r="O30" s="56">
        <v>0</v>
      </c>
      <c r="P30" s="56">
        <v>0</v>
      </c>
      <c r="Q30" s="57">
        <v>0</v>
      </c>
    </row>
    <row r="31" spans="2:17" x14ac:dyDescent="0.3">
      <c r="B31" s="55" t="s">
        <v>144</v>
      </c>
      <c r="C31" s="56">
        <v>0</v>
      </c>
      <c r="D31" s="56">
        <v>0</v>
      </c>
      <c r="E31" s="56">
        <v>0</v>
      </c>
      <c r="F31" s="56">
        <v>0</v>
      </c>
      <c r="G31" s="56">
        <v>0</v>
      </c>
      <c r="H31" s="56">
        <v>0</v>
      </c>
      <c r="I31" s="56">
        <v>0</v>
      </c>
      <c r="J31" s="56">
        <v>0</v>
      </c>
      <c r="K31" s="56">
        <v>0</v>
      </c>
      <c r="L31" s="56">
        <v>0</v>
      </c>
      <c r="M31" s="56">
        <v>0</v>
      </c>
      <c r="N31" s="56">
        <v>0</v>
      </c>
      <c r="O31" s="56">
        <v>0</v>
      </c>
      <c r="P31" s="56">
        <v>0</v>
      </c>
      <c r="Q31" s="57">
        <v>0</v>
      </c>
    </row>
    <row r="32" spans="2:17" x14ac:dyDescent="0.3">
      <c r="B32" s="55" t="s">
        <v>146</v>
      </c>
      <c r="C32" s="56">
        <v>0</v>
      </c>
      <c r="D32" s="56">
        <v>0</v>
      </c>
      <c r="E32" s="56">
        <v>0</v>
      </c>
      <c r="F32" s="56">
        <v>0</v>
      </c>
      <c r="G32" s="56">
        <v>0</v>
      </c>
      <c r="H32" s="56">
        <v>0</v>
      </c>
      <c r="I32" s="56">
        <v>0</v>
      </c>
      <c r="J32" s="56">
        <v>0</v>
      </c>
      <c r="K32" s="56">
        <v>0</v>
      </c>
      <c r="L32" s="56">
        <v>0</v>
      </c>
      <c r="M32" s="56">
        <v>0</v>
      </c>
      <c r="N32" s="56">
        <v>0</v>
      </c>
      <c r="O32" s="56">
        <v>0</v>
      </c>
      <c r="P32" s="56">
        <v>0</v>
      </c>
      <c r="Q32" s="57">
        <v>0</v>
      </c>
    </row>
    <row r="33" spans="2:17" x14ac:dyDescent="0.3">
      <c r="B33" s="58" t="s">
        <v>7</v>
      </c>
      <c r="C33" s="59">
        <v>0</v>
      </c>
      <c r="D33" s="59">
        <v>0</v>
      </c>
      <c r="E33" s="59">
        <v>0</v>
      </c>
      <c r="F33" s="59">
        <v>0</v>
      </c>
      <c r="G33" s="59">
        <v>0</v>
      </c>
      <c r="H33" s="59">
        <v>0</v>
      </c>
      <c r="I33" s="59">
        <v>0</v>
      </c>
      <c r="J33" s="59">
        <v>0</v>
      </c>
      <c r="K33" s="59">
        <v>0</v>
      </c>
      <c r="L33" s="59">
        <v>0</v>
      </c>
      <c r="M33" s="59">
        <v>0</v>
      </c>
      <c r="N33" s="59">
        <v>0</v>
      </c>
      <c r="O33" s="59">
        <v>0</v>
      </c>
      <c r="P33" s="59">
        <v>0</v>
      </c>
      <c r="Q33" s="59">
        <v>0</v>
      </c>
    </row>
    <row r="34" spans="2:17" ht="14.5" customHeight="1" x14ac:dyDescent="0.35">
      <c r="B34" s="348" t="s">
        <v>149</v>
      </c>
      <c r="C34" s="324"/>
      <c r="D34" s="324"/>
      <c r="E34" s="324"/>
      <c r="F34" s="324"/>
      <c r="G34" s="324"/>
      <c r="H34" s="324"/>
      <c r="I34" s="324"/>
      <c r="J34" s="324"/>
      <c r="K34" s="324"/>
      <c r="L34" s="324"/>
      <c r="M34" s="324"/>
      <c r="N34" s="324"/>
      <c r="O34" s="324"/>
      <c r="P34" s="324"/>
      <c r="Q34" s="324"/>
    </row>
  </sheetData>
  <sheetProtection algorithmName="SHA-512" hashValue="aMZ0zMP8XZOBTwyXFwojKmw0IXiAp+iJlQ6PJt0peu/YbZZ/a8E6HQrXxP9AuO1M6yk/vDN3vyNAkqdb1zIL+Q==" saltValue="e7FReNv2yl8D6OGh9PAKvQ==" spinCount="100000" sheet="1" objects="1" scenarios="1"/>
  <mergeCells count="4">
    <mergeCell ref="B34:Q34"/>
    <mergeCell ref="B29:Q29"/>
    <mergeCell ref="B3:Q3"/>
    <mergeCell ref="B5:Q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7">
    <tabColor rgb="FF92D050"/>
  </sheetPr>
  <dimension ref="B3:Q34"/>
  <sheetViews>
    <sheetView topLeftCell="E3" zoomScale="70" workbookViewId="0">
      <selection activeCell="B3" sqref="B3:Q36"/>
    </sheetView>
  </sheetViews>
  <sheetFormatPr defaultColWidth="14.36328125" defaultRowHeight="14" x14ac:dyDescent="0.3"/>
  <cols>
    <col min="1" max="1" width="9.6328125" style="48" customWidth="1"/>
    <col min="2" max="2" width="43.54296875" style="48" customWidth="1"/>
    <col min="3" max="16" width="17.90625" style="48" customWidth="1"/>
    <col min="17" max="17" width="17.90625" style="49" customWidth="1"/>
    <col min="18" max="18" width="14.54296875" style="48" bestFit="1" customWidth="1"/>
    <col min="19" max="19" width="15.90625" style="48" bestFit="1" customWidth="1"/>
    <col min="20" max="256" width="14.36328125" style="48" customWidth="1"/>
    <col min="257" max="257" width="9.6328125" style="48" customWidth="1"/>
    <col min="258" max="258" width="43.54296875" style="48" customWidth="1"/>
    <col min="259" max="273" width="17.90625" style="48" customWidth="1"/>
    <col min="274" max="274" width="14.54296875" style="48" bestFit="1" customWidth="1"/>
    <col min="275" max="275" width="15.90625" style="48" bestFit="1" customWidth="1"/>
    <col min="276" max="512" width="14.36328125" style="48" customWidth="1"/>
    <col min="513" max="513" width="9.6328125" style="48" customWidth="1"/>
    <col min="514" max="514" width="43.54296875" style="48" customWidth="1"/>
    <col min="515" max="529" width="17.90625" style="48" customWidth="1"/>
    <col min="530" max="530" width="14.54296875" style="48" bestFit="1" customWidth="1"/>
    <col min="531" max="531" width="15.90625" style="48" bestFit="1" customWidth="1"/>
    <col min="532" max="768" width="14.36328125" style="48" customWidth="1"/>
    <col min="769" max="769" width="9.6328125" style="48" customWidth="1"/>
    <col min="770" max="770" width="43.54296875" style="48" customWidth="1"/>
    <col min="771" max="785" width="17.90625" style="48" customWidth="1"/>
    <col min="786" max="786" width="14.54296875" style="48" bestFit="1" customWidth="1"/>
    <col min="787" max="787" width="15.90625" style="48" bestFit="1" customWidth="1"/>
    <col min="788" max="1024" width="14.36328125" style="48" customWidth="1"/>
    <col min="1025" max="1025" width="9.6328125" style="48" customWidth="1"/>
    <col min="1026" max="1026" width="43.54296875" style="48" customWidth="1"/>
    <col min="1027" max="1041" width="17.90625" style="48" customWidth="1"/>
    <col min="1042" max="1042" width="14.54296875" style="48" bestFit="1" customWidth="1"/>
    <col min="1043" max="1043" width="15.90625" style="48" bestFit="1" customWidth="1"/>
    <col min="1044" max="1280" width="14.36328125" style="48" customWidth="1"/>
    <col min="1281" max="1281" width="9.6328125" style="48" customWidth="1"/>
    <col min="1282" max="1282" width="43.54296875" style="48" customWidth="1"/>
    <col min="1283" max="1297" width="17.90625" style="48" customWidth="1"/>
    <col min="1298" max="1298" width="14.54296875" style="48" bestFit="1" customWidth="1"/>
    <col min="1299" max="1299" width="15.90625" style="48" bestFit="1" customWidth="1"/>
    <col min="1300" max="1536" width="14.36328125" style="48" customWidth="1"/>
    <col min="1537" max="1537" width="9.6328125" style="48" customWidth="1"/>
    <col min="1538" max="1538" width="43.54296875" style="48" customWidth="1"/>
    <col min="1539" max="1553" width="17.90625" style="48" customWidth="1"/>
    <col min="1554" max="1554" width="14.54296875" style="48" bestFit="1" customWidth="1"/>
    <col min="1555" max="1555" width="15.90625" style="48" bestFit="1" customWidth="1"/>
    <col min="1556" max="1792" width="14.36328125" style="48" customWidth="1"/>
    <col min="1793" max="1793" width="9.6328125" style="48" customWidth="1"/>
    <col min="1794" max="1794" width="43.54296875" style="48" customWidth="1"/>
    <col min="1795" max="1809" width="17.90625" style="48" customWidth="1"/>
    <col min="1810" max="1810" width="14.54296875" style="48" bestFit="1" customWidth="1"/>
    <col min="1811" max="1811" width="15.90625" style="48" bestFit="1" customWidth="1"/>
    <col min="1812" max="2048" width="14.36328125" style="48" customWidth="1"/>
    <col min="2049" max="2049" width="9.6328125" style="48" customWidth="1"/>
    <col min="2050" max="2050" width="43.54296875" style="48" customWidth="1"/>
    <col min="2051" max="2065" width="17.90625" style="48" customWidth="1"/>
    <col min="2066" max="2066" width="14.54296875" style="48" bestFit="1" customWidth="1"/>
    <col min="2067" max="2067" width="15.90625" style="48" bestFit="1" customWidth="1"/>
    <col min="2068" max="2304" width="14.36328125" style="48" customWidth="1"/>
    <col min="2305" max="2305" width="9.6328125" style="48" customWidth="1"/>
    <col min="2306" max="2306" width="43.54296875" style="48" customWidth="1"/>
    <col min="2307" max="2321" width="17.90625" style="48" customWidth="1"/>
    <col min="2322" max="2322" width="14.54296875" style="48" bestFit="1" customWidth="1"/>
    <col min="2323" max="2323" width="15.90625" style="48" bestFit="1" customWidth="1"/>
    <col min="2324" max="2560" width="14.36328125" style="48" customWidth="1"/>
    <col min="2561" max="2561" width="9.6328125" style="48" customWidth="1"/>
    <col min="2562" max="2562" width="43.54296875" style="48" customWidth="1"/>
    <col min="2563" max="2577" width="17.90625" style="48" customWidth="1"/>
    <col min="2578" max="2578" width="14.54296875" style="48" bestFit="1" customWidth="1"/>
    <col min="2579" max="2579" width="15.90625" style="48" bestFit="1" customWidth="1"/>
    <col min="2580" max="2816" width="14.36328125" style="48" customWidth="1"/>
    <col min="2817" max="2817" width="9.6328125" style="48" customWidth="1"/>
    <col min="2818" max="2818" width="43.54296875" style="48" customWidth="1"/>
    <col min="2819" max="2833" width="17.90625" style="48" customWidth="1"/>
    <col min="2834" max="2834" width="14.54296875" style="48" bestFit="1" customWidth="1"/>
    <col min="2835" max="2835" width="15.90625" style="48" bestFit="1" customWidth="1"/>
    <col min="2836" max="3072" width="14.36328125" style="48" customWidth="1"/>
    <col min="3073" max="3073" width="9.6328125" style="48" customWidth="1"/>
    <col min="3074" max="3074" width="43.54296875" style="48" customWidth="1"/>
    <col min="3075" max="3089" width="17.90625" style="48" customWidth="1"/>
    <col min="3090" max="3090" width="14.54296875" style="48" bestFit="1" customWidth="1"/>
    <col min="3091" max="3091" width="15.90625" style="48" bestFit="1" customWidth="1"/>
    <col min="3092" max="3328" width="14.36328125" style="48" customWidth="1"/>
    <col min="3329" max="3329" width="9.6328125" style="48" customWidth="1"/>
    <col min="3330" max="3330" width="43.54296875" style="48" customWidth="1"/>
    <col min="3331" max="3345" width="17.90625" style="48" customWidth="1"/>
    <col min="3346" max="3346" width="14.54296875" style="48" bestFit="1" customWidth="1"/>
    <col min="3347" max="3347" width="15.90625" style="48" bestFit="1" customWidth="1"/>
    <col min="3348" max="3584" width="14.36328125" style="48" customWidth="1"/>
    <col min="3585" max="3585" width="9.6328125" style="48" customWidth="1"/>
    <col min="3586" max="3586" width="43.54296875" style="48" customWidth="1"/>
    <col min="3587" max="3601" width="17.90625" style="48" customWidth="1"/>
    <col min="3602" max="3602" width="14.54296875" style="48" bestFit="1" customWidth="1"/>
    <col min="3603" max="3603" width="15.90625" style="48" bestFit="1" customWidth="1"/>
    <col min="3604" max="3840" width="14.36328125" style="48" customWidth="1"/>
    <col min="3841" max="3841" width="9.6328125" style="48" customWidth="1"/>
    <col min="3842" max="3842" width="43.54296875" style="48" customWidth="1"/>
    <col min="3843" max="3857" width="17.90625" style="48" customWidth="1"/>
    <col min="3858" max="3858" width="14.54296875" style="48" bestFit="1" customWidth="1"/>
    <col min="3859" max="3859" width="15.90625" style="48" bestFit="1" customWidth="1"/>
    <col min="3860" max="4096" width="14.36328125" style="48" customWidth="1"/>
    <col min="4097" max="4097" width="9.6328125" style="48" customWidth="1"/>
    <col min="4098" max="4098" width="43.54296875" style="48" customWidth="1"/>
    <col min="4099" max="4113" width="17.90625" style="48" customWidth="1"/>
    <col min="4114" max="4114" width="14.54296875" style="48" bestFit="1" customWidth="1"/>
    <col min="4115" max="4115" width="15.90625" style="48" bestFit="1" customWidth="1"/>
    <col min="4116" max="4352" width="14.36328125" style="48" customWidth="1"/>
    <col min="4353" max="4353" width="9.6328125" style="48" customWidth="1"/>
    <col min="4354" max="4354" width="43.54296875" style="48" customWidth="1"/>
    <col min="4355" max="4369" width="17.90625" style="48" customWidth="1"/>
    <col min="4370" max="4370" width="14.54296875" style="48" bestFit="1" customWidth="1"/>
    <col min="4371" max="4371" width="15.90625" style="48" bestFit="1" customWidth="1"/>
    <col min="4372" max="4608" width="14.36328125" style="48" customWidth="1"/>
    <col min="4609" max="4609" width="9.6328125" style="48" customWidth="1"/>
    <col min="4610" max="4610" width="43.54296875" style="48" customWidth="1"/>
    <col min="4611" max="4625" width="17.90625" style="48" customWidth="1"/>
    <col min="4626" max="4626" width="14.54296875" style="48" bestFit="1" customWidth="1"/>
    <col min="4627" max="4627" width="15.90625" style="48" bestFit="1" customWidth="1"/>
    <col min="4628" max="4864" width="14.36328125" style="48" customWidth="1"/>
    <col min="4865" max="4865" width="9.6328125" style="48" customWidth="1"/>
    <col min="4866" max="4866" width="43.54296875" style="48" customWidth="1"/>
    <col min="4867" max="4881" width="17.90625" style="48" customWidth="1"/>
    <col min="4882" max="4882" width="14.54296875" style="48" bestFit="1" customWidth="1"/>
    <col min="4883" max="4883" width="15.90625" style="48" bestFit="1" customWidth="1"/>
    <col min="4884" max="5120" width="14.36328125" style="48" customWidth="1"/>
    <col min="5121" max="5121" width="9.6328125" style="48" customWidth="1"/>
    <col min="5122" max="5122" width="43.54296875" style="48" customWidth="1"/>
    <col min="5123" max="5137" width="17.90625" style="48" customWidth="1"/>
    <col min="5138" max="5138" width="14.54296875" style="48" bestFit="1" customWidth="1"/>
    <col min="5139" max="5139" width="15.90625" style="48" bestFit="1" customWidth="1"/>
    <col min="5140" max="5376" width="14.36328125" style="48" customWidth="1"/>
    <col min="5377" max="5377" width="9.6328125" style="48" customWidth="1"/>
    <col min="5378" max="5378" width="43.54296875" style="48" customWidth="1"/>
    <col min="5379" max="5393" width="17.90625" style="48" customWidth="1"/>
    <col min="5394" max="5394" width="14.54296875" style="48" bestFit="1" customWidth="1"/>
    <col min="5395" max="5395" width="15.90625" style="48" bestFit="1" customWidth="1"/>
    <col min="5396" max="5632" width="14.36328125" style="48" customWidth="1"/>
    <col min="5633" max="5633" width="9.6328125" style="48" customWidth="1"/>
    <col min="5634" max="5634" width="43.54296875" style="48" customWidth="1"/>
    <col min="5635" max="5649" width="17.90625" style="48" customWidth="1"/>
    <col min="5650" max="5650" width="14.54296875" style="48" bestFit="1" customWidth="1"/>
    <col min="5651" max="5651" width="15.90625" style="48" bestFit="1" customWidth="1"/>
    <col min="5652" max="5888" width="14.36328125" style="48" customWidth="1"/>
    <col min="5889" max="5889" width="9.6328125" style="48" customWidth="1"/>
    <col min="5890" max="5890" width="43.54296875" style="48" customWidth="1"/>
    <col min="5891" max="5905" width="17.90625" style="48" customWidth="1"/>
    <col min="5906" max="5906" width="14.54296875" style="48" bestFit="1" customWidth="1"/>
    <col min="5907" max="5907" width="15.90625" style="48" bestFit="1" customWidth="1"/>
    <col min="5908" max="6144" width="14.36328125" style="48" customWidth="1"/>
    <col min="6145" max="6145" width="9.6328125" style="48" customWidth="1"/>
    <col min="6146" max="6146" width="43.54296875" style="48" customWidth="1"/>
    <col min="6147" max="6161" width="17.90625" style="48" customWidth="1"/>
    <col min="6162" max="6162" width="14.54296875" style="48" bestFit="1" customWidth="1"/>
    <col min="6163" max="6163" width="15.90625" style="48" bestFit="1" customWidth="1"/>
    <col min="6164" max="6400" width="14.36328125" style="48" customWidth="1"/>
    <col min="6401" max="6401" width="9.6328125" style="48" customWidth="1"/>
    <col min="6402" max="6402" width="43.54296875" style="48" customWidth="1"/>
    <col min="6403" max="6417" width="17.90625" style="48" customWidth="1"/>
    <col min="6418" max="6418" width="14.54296875" style="48" bestFit="1" customWidth="1"/>
    <col min="6419" max="6419" width="15.90625" style="48" bestFit="1" customWidth="1"/>
    <col min="6420" max="6656" width="14.36328125" style="48" customWidth="1"/>
    <col min="6657" max="6657" width="9.6328125" style="48" customWidth="1"/>
    <col min="6658" max="6658" width="43.54296875" style="48" customWidth="1"/>
    <col min="6659" max="6673" width="17.90625" style="48" customWidth="1"/>
    <col min="6674" max="6674" width="14.54296875" style="48" bestFit="1" customWidth="1"/>
    <col min="6675" max="6675" width="15.90625" style="48" bestFit="1" customWidth="1"/>
    <col min="6676" max="6912" width="14.36328125" style="48" customWidth="1"/>
    <col min="6913" max="6913" width="9.6328125" style="48" customWidth="1"/>
    <col min="6914" max="6914" width="43.54296875" style="48" customWidth="1"/>
    <col min="6915" max="6929" width="17.90625" style="48" customWidth="1"/>
    <col min="6930" max="6930" width="14.54296875" style="48" bestFit="1" customWidth="1"/>
    <col min="6931" max="6931" width="15.90625" style="48" bestFit="1" customWidth="1"/>
    <col min="6932" max="7168" width="14.36328125" style="48" customWidth="1"/>
    <col min="7169" max="7169" width="9.6328125" style="48" customWidth="1"/>
    <col min="7170" max="7170" width="43.54296875" style="48" customWidth="1"/>
    <col min="7171" max="7185" width="17.90625" style="48" customWidth="1"/>
    <col min="7186" max="7186" width="14.54296875" style="48" bestFit="1" customWidth="1"/>
    <col min="7187" max="7187" width="15.90625" style="48" bestFit="1" customWidth="1"/>
    <col min="7188" max="7424" width="14.36328125" style="48" customWidth="1"/>
    <col min="7425" max="7425" width="9.6328125" style="48" customWidth="1"/>
    <col min="7426" max="7426" width="43.54296875" style="48" customWidth="1"/>
    <col min="7427" max="7441" width="17.90625" style="48" customWidth="1"/>
    <col min="7442" max="7442" width="14.54296875" style="48" bestFit="1" customWidth="1"/>
    <col min="7443" max="7443" width="15.90625" style="48" bestFit="1" customWidth="1"/>
    <col min="7444" max="7680" width="14.36328125" style="48" customWidth="1"/>
    <col min="7681" max="7681" width="9.6328125" style="48" customWidth="1"/>
    <col min="7682" max="7682" width="43.54296875" style="48" customWidth="1"/>
    <col min="7683" max="7697" width="17.90625" style="48" customWidth="1"/>
    <col min="7698" max="7698" width="14.54296875" style="48" bestFit="1" customWidth="1"/>
    <col min="7699" max="7699" width="15.90625" style="48" bestFit="1" customWidth="1"/>
    <col min="7700" max="7936" width="14.36328125" style="48" customWidth="1"/>
    <col min="7937" max="7937" width="9.6328125" style="48" customWidth="1"/>
    <col min="7938" max="7938" width="43.54296875" style="48" customWidth="1"/>
    <col min="7939" max="7953" width="17.90625" style="48" customWidth="1"/>
    <col min="7954" max="7954" width="14.54296875" style="48" bestFit="1" customWidth="1"/>
    <col min="7955" max="7955" width="15.90625" style="48" bestFit="1" customWidth="1"/>
    <col min="7956" max="8192" width="14.36328125" style="48" customWidth="1"/>
    <col min="8193" max="8193" width="9.6328125" style="48" customWidth="1"/>
    <col min="8194" max="8194" width="43.54296875" style="48" customWidth="1"/>
    <col min="8195" max="8209" width="17.90625" style="48" customWidth="1"/>
    <col min="8210" max="8210" width="14.54296875" style="48" bestFit="1" customWidth="1"/>
    <col min="8211" max="8211" width="15.90625" style="48" bestFit="1" customWidth="1"/>
    <col min="8212" max="8448" width="14.36328125" style="48" customWidth="1"/>
    <col min="8449" max="8449" width="9.6328125" style="48" customWidth="1"/>
    <col min="8450" max="8450" width="43.54296875" style="48" customWidth="1"/>
    <col min="8451" max="8465" width="17.90625" style="48" customWidth="1"/>
    <col min="8466" max="8466" width="14.54296875" style="48" bestFit="1" customWidth="1"/>
    <col min="8467" max="8467" width="15.90625" style="48" bestFit="1" customWidth="1"/>
    <col min="8468" max="8704" width="14.36328125" style="48" customWidth="1"/>
    <col min="8705" max="8705" width="9.6328125" style="48" customWidth="1"/>
    <col min="8706" max="8706" width="43.54296875" style="48" customWidth="1"/>
    <col min="8707" max="8721" width="17.90625" style="48" customWidth="1"/>
    <col min="8722" max="8722" width="14.54296875" style="48" bestFit="1" customWidth="1"/>
    <col min="8723" max="8723" width="15.90625" style="48" bestFit="1" customWidth="1"/>
    <col min="8724" max="8960" width="14.36328125" style="48" customWidth="1"/>
    <col min="8961" max="8961" width="9.6328125" style="48" customWidth="1"/>
    <col min="8962" max="8962" width="43.54296875" style="48" customWidth="1"/>
    <col min="8963" max="8977" width="17.90625" style="48" customWidth="1"/>
    <col min="8978" max="8978" width="14.54296875" style="48" bestFit="1" customWidth="1"/>
    <col min="8979" max="8979" width="15.90625" style="48" bestFit="1" customWidth="1"/>
    <col min="8980" max="9216" width="14.36328125" style="48" customWidth="1"/>
    <col min="9217" max="9217" width="9.6328125" style="48" customWidth="1"/>
    <col min="9218" max="9218" width="43.54296875" style="48" customWidth="1"/>
    <col min="9219" max="9233" width="17.90625" style="48" customWidth="1"/>
    <col min="9234" max="9234" width="14.54296875" style="48" bestFit="1" customWidth="1"/>
    <col min="9235" max="9235" width="15.90625" style="48" bestFit="1" customWidth="1"/>
    <col min="9236" max="9472" width="14.36328125" style="48" customWidth="1"/>
    <col min="9473" max="9473" width="9.6328125" style="48" customWidth="1"/>
    <col min="9474" max="9474" width="43.54296875" style="48" customWidth="1"/>
    <col min="9475" max="9489" width="17.90625" style="48" customWidth="1"/>
    <col min="9490" max="9490" width="14.54296875" style="48" bestFit="1" customWidth="1"/>
    <col min="9491" max="9491" width="15.90625" style="48" bestFit="1" customWidth="1"/>
    <col min="9492" max="9728" width="14.36328125" style="48" customWidth="1"/>
    <col min="9729" max="9729" width="9.6328125" style="48" customWidth="1"/>
    <col min="9730" max="9730" width="43.54296875" style="48" customWidth="1"/>
    <col min="9731" max="9745" width="17.90625" style="48" customWidth="1"/>
    <col min="9746" max="9746" width="14.54296875" style="48" bestFit="1" customWidth="1"/>
    <col min="9747" max="9747" width="15.90625" style="48" bestFit="1" customWidth="1"/>
    <col min="9748" max="9984" width="14.36328125" style="48" customWidth="1"/>
    <col min="9985" max="9985" width="9.6328125" style="48" customWidth="1"/>
    <col min="9986" max="9986" width="43.54296875" style="48" customWidth="1"/>
    <col min="9987" max="10001" width="17.90625" style="48" customWidth="1"/>
    <col min="10002" max="10002" width="14.54296875" style="48" bestFit="1" customWidth="1"/>
    <col min="10003" max="10003" width="15.90625" style="48" bestFit="1" customWidth="1"/>
    <col min="10004" max="10240" width="14.36328125" style="48" customWidth="1"/>
    <col min="10241" max="10241" width="9.6328125" style="48" customWidth="1"/>
    <col min="10242" max="10242" width="43.54296875" style="48" customWidth="1"/>
    <col min="10243" max="10257" width="17.90625" style="48" customWidth="1"/>
    <col min="10258" max="10258" width="14.54296875" style="48" bestFit="1" customWidth="1"/>
    <col min="10259" max="10259" width="15.90625" style="48" bestFit="1" customWidth="1"/>
    <col min="10260" max="10496" width="14.36328125" style="48" customWidth="1"/>
    <col min="10497" max="10497" width="9.6328125" style="48" customWidth="1"/>
    <col min="10498" max="10498" width="43.54296875" style="48" customWidth="1"/>
    <col min="10499" max="10513" width="17.90625" style="48" customWidth="1"/>
    <col min="10514" max="10514" width="14.54296875" style="48" bestFit="1" customWidth="1"/>
    <col min="10515" max="10515" width="15.90625" style="48" bestFit="1" customWidth="1"/>
    <col min="10516" max="10752" width="14.36328125" style="48" customWidth="1"/>
    <col min="10753" max="10753" width="9.6328125" style="48" customWidth="1"/>
    <col min="10754" max="10754" width="43.54296875" style="48" customWidth="1"/>
    <col min="10755" max="10769" width="17.90625" style="48" customWidth="1"/>
    <col min="10770" max="10770" width="14.54296875" style="48" bestFit="1" customWidth="1"/>
    <col min="10771" max="10771" width="15.90625" style="48" bestFit="1" customWidth="1"/>
    <col min="10772" max="11008" width="14.36328125" style="48" customWidth="1"/>
    <col min="11009" max="11009" width="9.6328125" style="48" customWidth="1"/>
    <col min="11010" max="11010" width="43.54296875" style="48" customWidth="1"/>
    <col min="11011" max="11025" width="17.90625" style="48" customWidth="1"/>
    <col min="11026" max="11026" width="14.54296875" style="48" bestFit="1" customWidth="1"/>
    <col min="11027" max="11027" width="15.90625" style="48" bestFit="1" customWidth="1"/>
    <col min="11028" max="11264" width="14.36328125" style="48" customWidth="1"/>
    <col min="11265" max="11265" width="9.6328125" style="48" customWidth="1"/>
    <col min="11266" max="11266" width="43.54296875" style="48" customWidth="1"/>
    <col min="11267" max="11281" width="17.90625" style="48" customWidth="1"/>
    <col min="11282" max="11282" width="14.54296875" style="48" bestFit="1" customWidth="1"/>
    <col min="11283" max="11283" width="15.90625" style="48" bestFit="1" customWidth="1"/>
    <col min="11284" max="11520" width="14.36328125" style="48" customWidth="1"/>
    <col min="11521" max="11521" width="9.6328125" style="48" customWidth="1"/>
    <col min="11522" max="11522" width="43.54296875" style="48" customWidth="1"/>
    <col min="11523" max="11537" width="17.90625" style="48" customWidth="1"/>
    <col min="11538" max="11538" width="14.54296875" style="48" bestFit="1" customWidth="1"/>
    <col min="11539" max="11539" width="15.90625" style="48" bestFit="1" customWidth="1"/>
    <col min="11540" max="11776" width="14.36328125" style="48" customWidth="1"/>
    <col min="11777" max="11777" width="9.6328125" style="48" customWidth="1"/>
    <col min="11778" max="11778" width="43.54296875" style="48" customWidth="1"/>
    <col min="11779" max="11793" width="17.90625" style="48" customWidth="1"/>
    <col min="11794" max="11794" width="14.54296875" style="48" bestFit="1" customWidth="1"/>
    <col min="11795" max="11795" width="15.90625" style="48" bestFit="1" customWidth="1"/>
    <col min="11796" max="12032" width="14.36328125" style="48" customWidth="1"/>
    <col min="12033" max="12033" width="9.6328125" style="48" customWidth="1"/>
    <col min="12034" max="12034" width="43.54296875" style="48" customWidth="1"/>
    <col min="12035" max="12049" width="17.90625" style="48" customWidth="1"/>
    <col min="12050" max="12050" width="14.54296875" style="48" bestFit="1" customWidth="1"/>
    <col min="12051" max="12051" width="15.90625" style="48" bestFit="1" customWidth="1"/>
    <col min="12052" max="12288" width="14.36328125" style="48" customWidth="1"/>
    <col min="12289" max="12289" width="9.6328125" style="48" customWidth="1"/>
    <col min="12290" max="12290" width="43.54296875" style="48" customWidth="1"/>
    <col min="12291" max="12305" width="17.90625" style="48" customWidth="1"/>
    <col min="12306" max="12306" width="14.54296875" style="48" bestFit="1" customWidth="1"/>
    <col min="12307" max="12307" width="15.90625" style="48" bestFit="1" customWidth="1"/>
    <col min="12308" max="12544" width="14.36328125" style="48" customWidth="1"/>
    <col min="12545" max="12545" width="9.6328125" style="48" customWidth="1"/>
    <col min="12546" max="12546" width="43.54296875" style="48" customWidth="1"/>
    <col min="12547" max="12561" width="17.90625" style="48" customWidth="1"/>
    <col min="12562" max="12562" width="14.54296875" style="48" bestFit="1" customWidth="1"/>
    <col min="12563" max="12563" width="15.90625" style="48" bestFit="1" customWidth="1"/>
    <col min="12564" max="12800" width="14.36328125" style="48" customWidth="1"/>
    <col min="12801" max="12801" width="9.6328125" style="48" customWidth="1"/>
    <col min="12802" max="12802" width="43.54296875" style="48" customWidth="1"/>
    <col min="12803" max="12817" width="17.90625" style="48" customWidth="1"/>
    <col min="12818" max="12818" width="14.54296875" style="48" bestFit="1" customWidth="1"/>
    <col min="12819" max="12819" width="15.90625" style="48" bestFit="1" customWidth="1"/>
    <col min="12820" max="13056" width="14.36328125" style="48" customWidth="1"/>
    <col min="13057" max="13057" width="9.6328125" style="48" customWidth="1"/>
    <col min="13058" max="13058" width="43.54296875" style="48" customWidth="1"/>
    <col min="13059" max="13073" width="17.90625" style="48" customWidth="1"/>
    <col min="13074" max="13074" width="14.54296875" style="48" bestFit="1" customWidth="1"/>
    <col min="13075" max="13075" width="15.90625" style="48" bestFit="1" customWidth="1"/>
    <col min="13076" max="13312" width="14.36328125" style="48" customWidth="1"/>
    <col min="13313" max="13313" width="9.6328125" style="48" customWidth="1"/>
    <col min="13314" max="13314" width="43.54296875" style="48" customWidth="1"/>
    <col min="13315" max="13329" width="17.90625" style="48" customWidth="1"/>
    <col min="13330" max="13330" width="14.54296875" style="48" bestFit="1" customWidth="1"/>
    <col min="13331" max="13331" width="15.90625" style="48" bestFit="1" customWidth="1"/>
    <col min="13332" max="13568" width="14.36328125" style="48" customWidth="1"/>
    <col min="13569" max="13569" width="9.6328125" style="48" customWidth="1"/>
    <col min="13570" max="13570" width="43.54296875" style="48" customWidth="1"/>
    <col min="13571" max="13585" width="17.90625" style="48" customWidth="1"/>
    <col min="13586" max="13586" width="14.54296875" style="48" bestFit="1" customWidth="1"/>
    <col min="13587" max="13587" width="15.90625" style="48" bestFit="1" customWidth="1"/>
    <col min="13588" max="13824" width="14.36328125" style="48" customWidth="1"/>
    <col min="13825" max="13825" width="9.6328125" style="48" customWidth="1"/>
    <col min="13826" max="13826" width="43.54296875" style="48" customWidth="1"/>
    <col min="13827" max="13841" width="17.90625" style="48" customWidth="1"/>
    <col min="13842" max="13842" width="14.54296875" style="48" bestFit="1" customWidth="1"/>
    <col min="13843" max="13843" width="15.90625" style="48" bestFit="1" customWidth="1"/>
    <col min="13844" max="14080" width="14.36328125" style="48" customWidth="1"/>
    <col min="14081" max="14081" width="9.6328125" style="48" customWidth="1"/>
    <col min="14082" max="14082" width="43.54296875" style="48" customWidth="1"/>
    <col min="14083" max="14097" width="17.90625" style="48" customWidth="1"/>
    <col min="14098" max="14098" width="14.54296875" style="48" bestFit="1" customWidth="1"/>
    <col min="14099" max="14099" width="15.90625" style="48" bestFit="1" customWidth="1"/>
    <col min="14100" max="14336" width="14.36328125" style="48" customWidth="1"/>
    <col min="14337" max="14337" width="9.6328125" style="48" customWidth="1"/>
    <col min="14338" max="14338" width="43.54296875" style="48" customWidth="1"/>
    <col min="14339" max="14353" width="17.90625" style="48" customWidth="1"/>
    <col min="14354" max="14354" width="14.54296875" style="48" bestFit="1" customWidth="1"/>
    <col min="14355" max="14355" width="15.90625" style="48" bestFit="1" customWidth="1"/>
    <col min="14356" max="14592" width="14.36328125" style="48" customWidth="1"/>
    <col min="14593" max="14593" width="9.6328125" style="48" customWidth="1"/>
    <col min="14594" max="14594" width="43.54296875" style="48" customWidth="1"/>
    <col min="14595" max="14609" width="17.90625" style="48" customWidth="1"/>
    <col min="14610" max="14610" width="14.54296875" style="48" bestFit="1" customWidth="1"/>
    <col min="14611" max="14611" width="15.90625" style="48" bestFit="1" customWidth="1"/>
    <col min="14612" max="14848" width="14.36328125" style="48" customWidth="1"/>
    <col min="14849" max="14849" width="9.6328125" style="48" customWidth="1"/>
    <col min="14850" max="14850" width="43.54296875" style="48" customWidth="1"/>
    <col min="14851" max="14865" width="17.90625" style="48" customWidth="1"/>
    <col min="14866" max="14866" width="14.54296875" style="48" bestFit="1" customWidth="1"/>
    <col min="14867" max="14867" width="15.90625" style="48" bestFit="1" customWidth="1"/>
    <col min="14868" max="15104" width="14.36328125" style="48" customWidth="1"/>
    <col min="15105" max="15105" width="9.6328125" style="48" customWidth="1"/>
    <col min="15106" max="15106" width="43.54296875" style="48" customWidth="1"/>
    <col min="15107" max="15121" width="17.90625" style="48" customWidth="1"/>
    <col min="15122" max="15122" width="14.54296875" style="48" bestFit="1" customWidth="1"/>
    <col min="15123" max="15123" width="15.90625" style="48" bestFit="1" customWidth="1"/>
    <col min="15124" max="15360" width="14.36328125" style="48" customWidth="1"/>
    <col min="15361" max="15361" width="9.6328125" style="48" customWidth="1"/>
    <col min="15362" max="15362" width="43.54296875" style="48" customWidth="1"/>
    <col min="15363" max="15377" width="17.90625" style="48" customWidth="1"/>
    <col min="15378" max="15378" width="14.54296875" style="48" bestFit="1" customWidth="1"/>
    <col min="15379" max="15379" width="15.90625" style="48" bestFit="1" customWidth="1"/>
    <col min="15380" max="15616" width="14.36328125" style="48" customWidth="1"/>
    <col min="15617" max="15617" width="9.6328125" style="48" customWidth="1"/>
    <col min="15618" max="15618" width="43.54296875" style="48" customWidth="1"/>
    <col min="15619" max="15633" width="17.90625" style="48" customWidth="1"/>
    <col min="15634" max="15634" width="14.54296875" style="48" bestFit="1" customWidth="1"/>
    <col min="15635" max="15635" width="15.90625" style="48" bestFit="1" customWidth="1"/>
    <col min="15636" max="15872" width="14.36328125" style="48" customWidth="1"/>
    <col min="15873" max="15873" width="9.6328125" style="48" customWidth="1"/>
    <col min="15874" max="15874" width="43.54296875" style="48" customWidth="1"/>
    <col min="15875" max="15889" width="17.90625" style="48" customWidth="1"/>
    <col min="15890" max="15890" width="14.54296875" style="48" bestFit="1" customWidth="1"/>
    <col min="15891" max="15891" width="15.90625" style="48" bestFit="1" customWidth="1"/>
    <col min="15892" max="16128" width="14.36328125" style="48" customWidth="1"/>
    <col min="16129" max="16129" width="9.6328125" style="48" customWidth="1"/>
    <col min="16130" max="16130" width="43.54296875" style="48" customWidth="1"/>
    <col min="16131" max="16145" width="17.90625" style="48" customWidth="1"/>
    <col min="16146" max="16146" width="14.54296875" style="48" bestFit="1" customWidth="1"/>
    <col min="16147" max="16147" width="15.90625" style="48" bestFit="1" customWidth="1"/>
    <col min="16148" max="16384" width="14.36328125" style="48" customWidth="1"/>
  </cols>
  <sheetData>
    <row r="3" spans="2:17" ht="14.5" customHeight="1" x14ac:dyDescent="0.35">
      <c r="B3" s="350" t="str">
        <f>_xlfn.CONCAT("NON-LINKED INVESTMENTS"," ",Details!F18)</f>
        <v>NON-LINKED INVESTMENTS 31.03.2026</v>
      </c>
      <c r="C3" s="301"/>
      <c r="D3" s="301"/>
      <c r="E3" s="301"/>
      <c r="F3" s="301"/>
      <c r="G3" s="301"/>
      <c r="H3" s="301"/>
      <c r="I3" s="301"/>
      <c r="J3" s="301"/>
      <c r="K3" s="301"/>
      <c r="L3" s="301"/>
      <c r="M3" s="301"/>
      <c r="N3" s="301"/>
      <c r="O3" s="301"/>
      <c r="P3" s="301"/>
      <c r="Q3" s="302"/>
    </row>
    <row r="4" spans="2:17" s="54" customFormat="1" ht="26" customHeight="1" x14ac:dyDescent="0.3">
      <c r="B4" s="50" t="s">
        <v>87</v>
      </c>
      <c r="C4" s="51" t="s">
        <v>201</v>
      </c>
      <c r="D4" s="51" t="s">
        <v>202</v>
      </c>
      <c r="E4" s="51" t="s">
        <v>203</v>
      </c>
      <c r="F4" s="51" t="s">
        <v>204</v>
      </c>
      <c r="G4" s="51" t="s">
        <v>205</v>
      </c>
      <c r="H4" s="51" t="s">
        <v>206</v>
      </c>
      <c r="I4" s="52" t="s">
        <v>207</v>
      </c>
      <c r="J4" s="51" t="s">
        <v>208</v>
      </c>
      <c r="K4" s="53" t="s">
        <v>209</v>
      </c>
      <c r="L4" s="53" t="s">
        <v>210</v>
      </c>
      <c r="M4" s="53" t="s">
        <v>211</v>
      </c>
      <c r="N4" s="53" t="s">
        <v>212</v>
      </c>
      <c r="O4" s="53" t="s">
        <v>213</v>
      </c>
      <c r="P4" s="53" t="s">
        <v>214</v>
      </c>
      <c r="Q4" s="53" t="s">
        <v>215</v>
      </c>
    </row>
    <row r="5" spans="2:17" ht="14.5" customHeight="1" x14ac:dyDescent="0.35">
      <c r="B5" s="349" t="s">
        <v>106</v>
      </c>
      <c r="C5" s="301"/>
      <c r="D5" s="301"/>
      <c r="E5" s="301"/>
      <c r="F5" s="301"/>
      <c r="G5" s="301"/>
      <c r="H5" s="301"/>
      <c r="I5" s="301"/>
      <c r="J5" s="301"/>
      <c r="K5" s="301"/>
      <c r="L5" s="301"/>
      <c r="M5" s="301"/>
      <c r="N5" s="301"/>
      <c r="O5" s="301"/>
      <c r="P5" s="301"/>
      <c r="Q5" s="302"/>
    </row>
    <row r="6" spans="2:17" x14ac:dyDescent="0.3">
      <c r="B6" s="6" t="s">
        <v>150</v>
      </c>
      <c r="C6" s="56">
        <v>0</v>
      </c>
      <c r="D6" s="56">
        <v>0</v>
      </c>
      <c r="E6" s="56">
        <v>0</v>
      </c>
      <c r="F6" s="56">
        <v>0</v>
      </c>
      <c r="G6" s="56">
        <v>0</v>
      </c>
      <c r="H6" s="56">
        <v>0</v>
      </c>
      <c r="I6" s="56">
        <v>0</v>
      </c>
      <c r="J6" s="56">
        <v>0</v>
      </c>
      <c r="K6" s="56">
        <v>0</v>
      </c>
      <c r="L6" s="56">
        <v>0</v>
      </c>
      <c r="M6" s="56">
        <v>0</v>
      </c>
      <c r="N6" s="56">
        <v>0</v>
      </c>
      <c r="O6" s="56">
        <v>0</v>
      </c>
      <c r="P6" s="56">
        <v>0</v>
      </c>
      <c r="Q6" s="57">
        <v>0</v>
      </c>
    </row>
    <row r="7" spans="2:17" x14ac:dyDescent="0.3">
      <c r="B7" s="55" t="s">
        <v>151</v>
      </c>
      <c r="C7" s="56">
        <v>10690088.711999999</v>
      </c>
      <c r="D7" s="56">
        <v>3619278.6490000002</v>
      </c>
      <c r="E7" s="56">
        <v>3619278.6490000002</v>
      </c>
      <c r="F7" s="56">
        <v>0</v>
      </c>
      <c r="G7" s="56">
        <v>29416.598000000002</v>
      </c>
      <c r="H7" s="56">
        <v>29416.598000000002</v>
      </c>
      <c r="I7" s="56">
        <v>0</v>
      </c>
      <c r="J7" s="56">
        <v>0</v>
      </c>
      <c r="K7" s="56">
        <v>0</v>
      </c>
      <c r="L7" s="56">
        <v>188004.53659249999</v>
      </c>
      <c r="M7" s="56">
        <v>9668.6022593360394</v>
      </c>
      <c r="N7" s="56">
        <v>586994.84663230355</v>
      </c>
      <c r="O7" s="56">
        <v>5032.9467594447133</v>
      </c>
      <c r="P7" s="56">
        <v>0</v>
      </c>
      <c r="Q7" s="57">
        <v>14664239.52402102</v>
      </c>
    </row>
    <row r="8" spans="2:17" x14ac:dyDescent="0.3">
      <c r="B8" s="55" t="s">
        <v>152</v>
      </c>
      <c r="C8" s="56">
        <v>0</v>
      </c>
      <c r="D8" s="56">
        <v>0</v>
      </c>
      <c r="E8" s="56">
        <v>0</v>
      </c>
      <c r="F8" s="56">
        <v>0</v>
      </c>
      <c r="G8" s="56">
        <v>0</v>
      </c>
      <c r="H8" s="56">
        <v>0</v>
      </c>
      <c r="I8" s="56">
        <v>0</v>
      </c>
      <c r="J8" s="56">
        <v>0</v>
      </c>
      <c r="K8" s="56">
        <v>0</v>
      </c>
      <c r="L8" s="56">
        <v>0</v>
      </c>
      <c r="M8" s="56">
        <v>0</v>
      </c>
      <c r="N8" s="56">
        <v>0</v>
      </c>
      <c r="O8" s="56">
        <v>0</v>
      </c>
      <c r="P8" s="56">
        <v>0</v>
      </c>
      <c r="Q8" s="57">
        <v>0</v>
      </c>
    </row>
    <row r="9" spans="2:17" x14ac:dyDescent="0.3">
      <c r="B9" s="55" t="s">
        <v>153</v>
      </c>
      <c r="C9" s="56">
        <v>0</v>
      </c>
      <c r="D9" s="56">
        <v>0</v>
      </c>
      <c r="E9" s="56">
        <v>0</v>
      </c>
      <c r="F9" s="56">
        <v>0</v>
      </c>
      <c r="G9" s="56">
        <v>0</v>
      </c>
      <c r="H9" s="56">
        <v>0</v>
      </c>
      <c r="I9" s="56">
        <v>0</v>
      </c>
      <c r="J9" s="56">
        <v>0</v>
      </c>
      <c r="K9" s="56">
        <v>0</v>
      </c>
      <c r="L9" s="56">
        <v>0</v>
      </c>
      <c r="M9" s="56">
        <v>0</v>
      </c>
      <c r="N9" s="56">
        <v>0</v>
      </c>
      <c r="O9" s="56">
        <v>0</v>
      </c>
      <c r="P9" s="56">
        <v>0</v>
      </c>
      <c r="Q9" s="57">
        <v>0</v>
      </c>
    </row>
    <row r="10" spans="2:17" x14ac:dyDescent="0.3">
      <c r="B10" s="55" t="s">
        <v>154</v>
      </c>
      <c r="C10" s="56">
        <v>0</v>
      </c>
      <c r="D10" s="56">
        <v>0</v>
      </c>
      <c r="E10" s="56">
        <v>0</v>
      </c>
      <c r="F10" s="56">
        <v>0</v>
      </c>
      <c r="G10" s="56">
        <v>0</v>
      </c>
      <c r="H10" s="56">
        <v>0</v>
      </c>
      <c r="I10" s="56">
        <v>0</v>
      </c>
      <c r="J10" s="56">
        <v>0</v>
      </c>
      <c r="K10" s="56">
        <v>0</v>
      </c>
      <c r="L10" s="56">
        <v>0</v>
      </c>
      <c r="M10" s="56">
        <v>0</v>
      </c>
      <c r="N10" s="56">
        <v>0</v>
      </c>
      <c r="O10" s="56">
        <v>0</v>
      </c>
      <c r="P10" s="56">
        <v>0</v>
      </c>
      <c r="Q10" s="57">
        <v>0</v>
      </c>
    </row>
    <row r="11" spans="2:17" x14ac:dyDescent="0.3">
      <c r="B11" s="55" t="s">
        <v>155</v>
      </c>
      <c r="C11" s="56">
        <v>0</v>
      </c>
      <c r="D11" s="56">
        <v>0</v>
      </c>
      <c r="E11" s="56">
        <v>0</v>
      </c>
      <c r="F11" s="56">
        <v>0</v>
      </c>
      <c r="G11" s="56">
        <v>0</v>
      </c>
      <c r="H11" s="56">
        <v>0</v>
      </c>
      <c r="I11" s="56">
        <v>0</v>
      </c>
      <c r="J11" s="56">
        <v>0</v>
      </c>
      <c r="K11" s="56">
        <v>0</v>
      </c>
      <c r="L11" s="56">
        <v>0</v>
      </c>
      <c r="M11" s="56">
        <v>0</v>
      </c>
      <c r="N11" s="56">
        <v>0</v>
      </c>
      <c r="O11" s="56">
        <v>0</v>
      </c>
      <c r="P11" s="56">
        <v>0</v>
      </c>
      <c r="Q11" s="57">
        <v>0</v>
      </c>
    </row>
    <row r="12" spans="2:17" x14ac:dyDescent="0.3">
      <c r="B12" s="55" t="s">
        <v>156</v>
      </c>
      <c r="C12" s="56">
        <v>321400.65405696008</v>
      </c>
      <c r="D12" s="56">
        <v>137370.67000000001</v>
      </c>
      <c r="E12" s="56">
        <v>137370.67000000001</v>
      </c>
      <c r="F12" s="56">
        <v>0</v>
      </c>
      <c r="G12" s="56">
        <v>0</v>
      </c>
      <c r="H12" s="56">
        <v>0</v>
      </c>
      <c r="I12" s="56">
        <v>0</v>
      </c>
      <c r="J12" s="56">
        <v>0</v>
      </c>
      <c r="K12" s="56">
        <v>0</v>
      </c>
      <c r="L12" s="56">
        <v>0</v>
      </c>
      <c r="M12" s="56">
        <v>0</v>
      </c>
      <c r="N12" s="56">
        <v>11508.263416289001</v>
      </c>
      <c r="O12" s="56">
        <v>0</v>
      </c>
      <c r="P12" s="56">
        <v>0</v>
      </c>
      <c r="Q12" s="57">
        <v>470279.58747324912</v>
      </c>
    </row>
    <row r="13" spans="2:17" x14ac:dyDescent="0.3">
      <c r="B13" s="3" t="s">
        <v>157</v>
      </c>
      <c r="C13" s="56">
        <v>0</v>
      </c>
      <c r="D13" s="56">
        <v>0</v>
      </c>
      <c r="E13" s="56">
        <v>0</v>
      </c>
      <c r="F13" s="56">
        <v>0</v>
      </c>
      <c r="G13" s="56">
        <v>0</v>
      </c>
      <c r="H13" s="56">
        <v>0</v>
      </c>
      <c r="I13" s="56">
        <v>0</v>
      </c>
      <c r="J13" s="56">
        <v>0</v>
      </c>
      <c r="K13" s="56">
        <v>0</v>
      </c>
      <c r="L13" s="56">
        <v>0</v>
      </c>
      <c r="M13" s="56">
        <v>0</v>
      </c>
      <c r="N13" s="56">
        <v>0</v>
      </c>
      <c r="O13" s="56">
        <v>0</v>
      </c>
      <c r="P13" s="56">
        <v>0</v>
      </c>
      <c r="Q13" s="57">
        <v>0</v>
      </c>
    </row>
    <row r="14" spans="2:17" x14ac:dyDescent="0.3">
      <c r="B14" s="55" t="s">
        <v>158</v>
      </c>
      <c r="C14" s="56">
        <v>534404.74600000004</v>
      </c>
      <c r="D14" s="56">
        <v>218435.74312999999</v>
      </c>
      <c r="E14" s="56">
        <v>218435.74312999999</v>
      </c>
      <c r="F14" s="56">
        <v>0</v>
      </c>
      <c r="G14" s="56">
        <v>86060.754975492295</v>
      </c>
      <c r="H14" s="56">
        <v>0</v>
      </c>
      <c r="I14" s="56">
        <v>86060.754975492295</v>
      </c>
      <c r="J14" s="56">
        <v>0</v>
      </c>
      <c r="K14" s="56">
        <v>0</v>
      </c>
      <c r="L14" s="56">
        <v>0</v>
      </c>
      <c r="M14" s="56">
        <v>5883.5756035142886</v>
      </c>
      <c r="N14" s="56">
        <v>0</v>
      </c>
      <c r="O14" s="56">
        <v>0</v>
      </c>
      <c r="P14" s="56">
        <v>0</v>
      </c>
      <c r="Q14" s="57">
        <v>660896.15855099342</v>
      </c>
    </row>
    <row r="15" spans="2:17" x14ac:dyDescent="0.3">
      <c r="B15" s="55" t="s">
        <v>159</v>
      </c>
      <c r="C15" s="56">
        <v>0</v>
      </c>
      <c r="D15" s="56">
        <v>0</v>
      </c>
      <c r="E15" s="56">
        <v>0</v>
      </c>
      <c r="F15" s="56">
        <v>0</v>
      </c>
      <c r="G15" s="56">
        <v>3679.9459999999999</v>
      </c>
      <c r="H15" s="56">
        <v>0</v>
      </c>
      <c r="I15" s="56">
        <v>3679.9459999999999</v>
      </c>
      <c r="J15" s="56">
        <v>0</v>
      </c>
      <c r="K15" s="56">
        <v>0</v>
      </c>
      <c r="L15" s="56">
        <v>0</v>
      </c>
      <c r="M15" s="56">
        <v>0</v>
      </c>
      <c r="N15" s="56">
        <v>-55973.821000000004</v>
      </c>
      <c r="O15" s="56">
        <v>0</v>
      </c>
      <c r="P15" s="56">
        <v>0</v>
      </c>
      <c r="Q15" s="57">
        <v>-59653.767</v>
      </c>
    </row>
    <row r="16" spans="2:17" x14ac:dyDescent="0.3">
      <c r="B16" s="55" t="s">
        <v>160</v>
      </c>
      <c r="C16" s="56">
        <v>0</v>
      </c>
      <c r="D16" s="56">
        <v>0</v>
      </c>
      <c r="E16" s="56">
        <v>0</v>
      </c>
      <c r="F16" s="56">
        <v>0</v>
      </c>
      <c r="G16" s="56">
        <v>0</v>
      </c>
      <c r="H16" s="56">
        <v>0</v>
      </c>
      <c r="I16" s="56">
        <v>0</v>
      </c>
      <c r="J16" s="56">
        <v>0</v>
      </c>
      <c r="K16" s="56">
        <v>0</v>
      </c>
      <c r="L16" s="56">
        <v>0</v>
      </c>
      <c r="M16" s="56">
        <v>0</v>
      </c>
      <c r="N16" s="56">
        <v>0</v>
      </c>
      <c r="O16" s="56">
        <v>0</v>
      </c>
      <c r="P16" s="56">
        <v>0</v>
      </c>
      <c r="Q16" s="57">
        <v>0</v>
      </c>
    </row>
    <row r="17" spans="2:17" x14ac:dyDescent="0.3">
      <c r="B17" s="55" t="s">
        <v>161</v>
      </c>
      <c r="C17" s="56">
        <v>18749371.640769102</v>
      </c>
      <c r="D17" s="56">
        <v>356442.07199999999</v>
      </c>
      <c r="E17" s="56">
        <v>356442.07199999999</v>
      </c>
      <c r="F17" s="56">
        <v>0</v>
      </c>
      <c r="G17" s="56">
        <v>674501.43147819594</v>
      </c>
      <c r="H17" s="56">
        <v>674501.43147819594</v>
      </c>
      <c r="I17" s="56">
        <v>0</v>
      </c>
      <c r="J17" s="56">
        <v>0</v>
      </c>
      <c r="K17" s="56">
        <v>0</v>
      </c>
      <c r="L17" s="56">
        <v>7186.1769999999997</v>
      </c>
      <c r="M17" s="56">
        <v>23648.980187165591</v>
      </c>
      <c r="N17" s="56">
        <v>671431.49698263349</v>
      </c>
      <c r="O17" s="56">
        <v>0</v>
      </c>
      <c r="P17" s="56">
        <v>0</v>
      </c>
      <c r="Q17" s="57">
        <v>19071908.62108637</v>
      </c>
    </row>
    <row r="18" spans="2:17" x14ac:dyDescent="0.3">
      <c r="B18" s="55" t="s">
        <v>162</v>
      </c>
      <c r="C18" s="60">
        <v>0</v>
      </c>
      <c r="D18" s="56">
        <v>0</v>
      </c>
      <c r="E18" s="56">
        <v>0</v>
      </c>
      <c r="F18" s="56">
        <v>0</v>
      </c>
      <c r="G18" s="56">
        <v>0</v>
      </c>
      <c r="H18" s="56">
        <v>0</v>
      </c>
      <c r="I18" s="56">
        <v>0</v>
      </c>
      <c r="J18" s="56">
        <v>0</v>
      </c>
      <c r="K18" s="56">
        <v>0</v>
      </c>
      <c r="L18" s="56">
        <v>0</v>
      </c>
      <c r="M18" s="56">
        <v>0</v>
      </c>
      <c r="N18" s="56">
        <v>0</v>
      </c>
      <c r="O18" s="56">
        <v>0</v>
      </c>
      <c r="P18" s="56">
        <v>0</v>
      </c>
      <c r="Q18" s="57">
        <v>0</v>
      </c>
    </row>
    <row r="19" spans="2:17" x14ac:dyDescent="0.3">
      <c r="B19" s="55" t="s">
        <v>163</v>
      </c>
      <c r="C19" s="60">
        <v>1246092.2912379261</v>
      </c>
      <c r="D19" s="56">
        <v>0</v>
      </c>
      <c r="E19" s="56">
        <v>0</v>
      </c>
      <c r="F19" s="56">
        <v>0</v>
      </c>
      <c r="G19" s="56">
        <v>0</v>
      </c>
      <c r="H19" s="56">
        <v>0</v>
      </c>
      <c r="I19" s="56">
        <v>0</v>
      </c>
      <c r="J19" s="56">
        <v>0</v>
      </c>
      <c r="K19" s="56">
        <v>0</v>
      </c>
      <c r="L19" s="56">
        <v>0</v>
      </c>
      <c r="M19" s="56">
        <v>0</v>
      </c>
      <c r="N19" s="56">
        <v>94523.342709999983</v>
      </c>
      <c r="O19" s="56">
        <v>4641.5020000000004</v>
      </c>
      <c r="P19" s="56">
        <v>0</v>
      </c>
      <c r="Q19" s="57">
        <v>1335974.131947926</v>
      </c>
    </row>
    <row r="20" spans="2:17" x14ac:dyDescent="0.3">
      <c r="B20" s="55" t="s">
        <v>127</v>
      </c>
      <c r="C20" s="60">
        <v>-199212.95459105269</v>
      </c>
      <c r="D20" s="56">
        <v>389675.57926578599</v>
      </c>
      <c r="E20" s="56">
        <v>389675.57926578599</v>
      </c>
      <c r="F20" s="56">
        <v>0</v>
      </c>
      <c r="G20" s="56">
        <v>-59493.490339999953</v>
      </c>
      <c r="H20" s="56">
        <v>-59493.490339999953</v>
      </c>
      <c r="I20" s="56">
        <v>0</v>
      </c>
      <c r="J20" s="56">
        <v>0</v>
      </c>
      <c r="K20" s="56">
        <v>0</v>
      </c>
      <c r="L20" s="56">
        <v>55500.711808160901</v>
      </c>
      <c r="M20" s="56">
        <v>762.9596221486446</v>
      </c>
      <c r="N20" s="56">
        <v>122.1414307945163</v>
      </c>
      <c r="O20" s="56">
        <v>7.994635278660124</v>
      </c>
      <c r="P20" s="56">
        <v>0</v>
      </c>
      <c r="Q20" s="57">
        <v>193806.59037993971</v>
      </c>
    </row>
    <row r="21" spans="2:17" x14ac:dyDescent="0.3">
      <c r="B21" s="55" t="s">
        <v>164</v>
      </c>
      <c r="C21" s="60">
        <v>839506.32364699151</v>
      </c>
      <c r="D21" s="56">
        <v>117693.56619</v>
      </c>
      <c r="E21" s="56">
        <v>113667.50585</v>
      </c>
      <c r="F21" s="56">
        <v>-1809.877010000007</v>
      </c>
      <c r="G21" s="56">
        <v>155201.06776000001</v>
      </c>
      <c r="H21" s="56">
        <v>155201.06776000001</v>
      </c>
      <c r="I21" s="56">
        <v>0</v>
      </c>
      <c r="J21" s="56">
        <v>0</v>
      </c>
      <c r="K21" s="56">
        <v>0</v>
      </c>
      <c r="L21" s="56">
        <v>6441.8086820955923</v>
      </c>
      <c r="M21" s="56">
        <v>129423.0115684031</v>
      </c>
      <c r="N21" s="56">
        <v>114538.9858210363</v>
      </c>
      <c r="O21" s="56">
        <v>0</v>
      </c>
      <c r="P21" s="56">
        <v>0</v>
      </c>
      <c r="Q21" s="57">
        <v>774837.05029752909</v>
      </c>
    </row>
    <row r="22" spans="2:17" x14ac:dyDescent="0.3">
      <c r="B22" s="55" t="s">
        <v>165</v>
      </c>
      <c r="C22" s="60">
        <v>332811.72175527929</v>
      </c>
      <c r="D22" s="56">
        <v>114538.41549</v>
      </c>
      <c r="E22" s="56">
        <v>114538.41549</v>
      </c>
      <c r="F22" s="56">
        <v>0</v>
      </c>
      <c r="G22" s="56">
        <v>31778.865600000001</v>
      </c>
      <c r="H22" s="56">
        <v>31778.865600000001</v>
      </c>
      <c r="I22" s="56">
        <v>0</v>
      </c>
      <c r="J22" s="56">
        <v>0</v>
      </c>
      <c r="K22" s="56">
        <v>0</v>
      </c>
      <c r="L22" s="56">
        <v>0</v>
      </c>
      <c r="M22" s="56">
        <v>0</v>
      </c>
      <c r="N22" s="56">
        <v>2489.6466547002201</v>
      </c>
      <c r="O22" s="56">
        <v>0</v>
      </c>
      <c r="P22" s="56">
        <v>0</v>
      </c>
      <c r="Q22" s="57">
        <v>418060.91829997959</v>
      </c>
    </row>
    <row r="23" spans="2:17" x14ac:dyDescent="0.3">
      <c r="B23" s="55" t="s">
        <v>166</v>
      </c>
      <c r="C23" s="60">
        <v>0</v>
      </c>
      <c r="D23" s="56">
        <v>0</v>
      </c>
      <c r="E23" s="56">
        <v>0</v>
      </c>
      <c r="F23" s="56">
        <v>0</v>
      </c>
      <c r="G23" s="56">
        <v>0</v>
      </c>
      <c r="H23" s="56">
        <v>0</v>
      </c>
      <c r="I23" s="56">
        <v>0</v>
      </c>
      <c r="J23" s="56">
        <v>0</v>
      </c>
      <c r="K23" s="56">
        <v>0</v>
      </c>
      <c r="L23" s="56">
        <v>0</v>
      </c>
      <c r="M23" s="56">
        <v>0</v>
      </c>
      <c r="N23" s="56">
        <v>0</v>
      </c>
      <c r="O23" s="56">
        <v>0</v>
      </c>
      <c r="P23" s="56">
        <v>0</v>
      </c>
      <c r="Q23" s="57">
        <v>0</v>
      </c>
    </row>
    <row r="24" spans="2:17" x14ac:dyDescent="0.3">
      <c r="B24" s="55" t="s">
        <v>167</v>
      </c>
      <c r="C24" s="60">
        <v>0</v>
      </c>
      <c r="D24" s="56">
        <v>0</v>
      </c>
      <c r="E24" s="56">
        <v>0</v>
      </c>
      <c r="F24" s="56">
        <v>0</v>
      </c>
      <c r="G24" s="56">
        <v>0</v>
      </c>
      <c r="H24" s="56">
        <v>0</v>
      </c>
      <c r="I24" s="56">
        <v>0</v>
      </c>
      <c r="J24" s="56">
        <v>0</v>
      </c>
      <c r="K24" s="56">
        <v>0</v>
      </c>
      <c r="L24" s="56">
        <v>0</v>
      </c>
      <c r="M24" s="56">
        <v>25675.05399</v>
      </c>
      <c r="N24" s="56">
        <v>0</v>
      </c>
      <c r="O24" s="56">
        <v>0</v>
      </c>
      <c r="P24" s="56">
        <v>0</v>
      </c>
      <c r="Q24" s="57">
        <v>-25675.05399</v>
      </c>
    </row>
    <row r="25" spans="2:17" x14ac:dyDescent="0.3">
      <c r="B25" s="55" t="s">
        <v>168</v>
      </c>
      <c r="C25" s="60">
        <v>0</v>
      </c>
      <c r="D25" s="56">
        <v>0</v>
      </c>
      <c r="E25" s="56">
        <v>0</v>
      </c>
      <c r="F25" s="56">
        <v>0</v>
      </c>
      <c r="G25" s="56">
        <v>0</v>
      </c>
      <c r="H25" s="56">
        <v>0</v>
      </c>
      <c r="I25" s="56">
        <v>0</v>
      </c>
      <c r="J25" s="56">
        <v>0</v>
      </c>
      <c r="K25" s="56">
        <v>0</v>
      </c>
      <c r="L25" s="56">
        <v>0</v>
      </c>
      <c r="M25" s="56">
        <v>0</v>
      </c>
      <c r="N25" s="56">
        <v>0</v>
      </c>
      <c r="O25" s="56">
        <v>0</v>
      </c>
      <c r="P25" s="56">
        <v>0</v>
      </c>
      <c r="Q25" s="57">
        <v>0</v>
      </c>
    </row>
    <row r="26" spans="2:17" x14ac:dyDescent="0.3">
      <c r="B26" s="55" t="s">
        <v>169</v>
      </c>
      <c r="C26" s="60">
        <v>0</v>
      </c>
      <c r="D26" s="56">
        <v>0</v>
      </c>
      <c r="E26" s="56">
        <v>0</v>
      </c>
      <c r="F26" s="56">
        <v>0</v>
      </c>
      <c r="G26" s="56">
        <v>0</v>
      </c>
      <c r="H26" s="56">
        <v>0</v>
      </c>
      <c r="I26" s="56">
        <v>0</v>
      </c>
      <c r="J26" s="56">
        <v>0</v>
      </c>
      <c r="K26" s="56">
        <v>0</v>
      </c>
      <c r="L26" s="56">
        <v>0</v>
      </c>
      <c r="M26" s="56">
        <v>0</v>
      </c>
      <c r="N26" s="56">
        <v>0</v>
      </c>
      <c r="O26" s="56">
        <v>0</v>
      </c>
      <c r="P26" s="56">
        <v>0</v>
      </c>
      <c r="Q26" s="57">
        <v>0</v>
      </c>
    </row>
    <row r="27" spans="2:17" x14ac:dyDescent="0.3">
      <c r="B27" s="55" t="s">
        <v>170</v>
      </c>
      <c r="C27" s="60">
        <v>0</v>
      </c>
      <c r="D27" s="56">
        <v>0</v>
      </c>
      <c r="E27" s="56">
        <v>0</v>
      </c>
      <c r="F27" s="56">
        <v>0</v>
      </c>
      <c r="G27" s="56">
        <v>0</v>
      </c>
      <c r="H27" s="56">
        <v>0</v>
      </c>
      <c r="I27" s="56">
        <v>0</v>
      </c>
      <c r="J27" s="56">
        <v>0</v>
      </c>
      <c r="K27" s="56">
        <v>0</v>
      </c>
      <c r="L27" s="56">
        <v>0</v>
      </c>
      <c r="M27" s="56">
        <v>0</v>
      </c>
      <c r="N27" s="56">
        <v>0</v>
      </c>
      <c r="O27" s="56">
        <v>0</v>
      </c>
      <c r="P27" s="56">
        <v>0</v>
      </c>
      <c r="Q27" s="57">
        <v>0</v>
      </c>
    </row>
    <row r="28" spans="2:17" x14ac:dyDescent="0.3">
      <c r="B28" s="58" t="s">
        <v>7</v>
      </c>
      <c r="C28" s="59">
        <f t="shared" ref="C28:Q28" si="0">SUM(C6:C27)</f>
        <v>32514463.134875204</v>
      </c>
      <c r="D28" s="59">
        <f t="shared" si="0"/>
        <v>4953434.6950757857</v>
      </c>
      <c r="E28" s="59">
        <f t="shared" si="0"/>
        <v>4949408.6347357864</v>
      </c>
      <c r="F28" s="59">
        <f t="shared" si="0"/>
        <v>-1809.877010000007</v>
      </c>
      <c r="G28" s="59">
        <f t="shared" si="0"/>
        <v>921145.17347368831</v>
      </c>
      <c r="H28" s="59">
        <f t="shared" si="0"/>
        <v>831404.47249819606</v>
      </c>
      <c r="I28" s="59">
        <f t="shared" si="0"/>
        <v>89740.700975492291</v>
      </c>
      <c r="J28" s="59">
        <f t="shared" si="0"/>
        <v>0</v>
      </c>
      <c r="K28" s="59">
        <f t="shared" si="0"/>
        <v>0</v>
      </c>
      <c r="L28" s="59">
        <f t="shared" si="0"/>
        <v>257133.23408275648</v>
      </c>
      <c r="M28" s="59">
        <f t="shared" si="0"/>
        <v>195062.18323056767</v>
      </c>
      <c r="N28" s="59">
        <f t="shared" si="0"/>
        <v>1425634.9026477572</v>
      </c>
      <c r="O28" s="59">
        <f t="shared" si="0"/>
        <v>9682.4433947233738</v>
      </c>
      <c r="P28" s="59">
        <f t="shared" si="0"/>
        <v>0</v>
      </c>
      <c r="Q28" s="59">
        <f t="shared" si="0"/>
        <v>37504673.76106701</v>
      </c>
    </row>
    <row r="29" spans="2:17" ht="14.5" customHeight="1" x14ac:dyDescent="0.35">
      <c r="B29" s="349" t="s">
        <v>142</v>
      </c>
      <c r="C29" s="301"/>
      <c r="D29" s="301"/>
      <c r="E29" s="301"/>
      <c r="F29" s="301"/>
      <c r="G29" s="301"/>
      <c r="H29" s="301"/>
      <c r="I29" s="301"/>
      <c r="J29" s="301"/>
      <c r="K29" s="301"/>
      <c r="L29" s="301"/>
      <c r="M29" s="301"/>
      <c r="N29" s="301"/>
      <c r="O29" s="301"/>
      <c r="P29" s="301"/>
      <c r="Q29" s="302"/>
    </row>
    <row r="30" spans="2:17" x14ac:dyDescent="0.3">
      <c r="B30" s="55" t="s">
        <v>143</v>
      </c>
      <c r="C30" s="56">
        <v>0</v>
      </c>
      <c r="D30" s="56">
        <v>0</v>
      </c>
      <c r="E30" s="56">
        <v>0</v>
      </c>
      <c r="F30" s="56">
        <v>0</v>
      </c>
      <c r="G30" s="56">
        <v>0</v>
      </c>
      <c r="H30" s="56">
        <v>0</v>
      </c>
      <c r="I30" s="56">
        <v>0</v>
      </c>
      <c r="J30" s="56">
        <v>0</v>
      </c>
      <c r="K30" s="56">
        <v>0</v>
      </c>
      <c r="L30" s="56">
        <v>0</v>
      </c>
      <c r="M30" s="56">
        <v>0</v>
      </c>
      <c r="N30" s="56">
        <v>0</v>
      </c>
      <c r="O30" s="56">
        <v>0</v>
      </c>
      <c r="P30" s="56">
        <v>0</v>
      </c>
      <c r="Q30" s="57">
        <v>0</v>
      </c>
    </row>
    <row r="31" spans="2:17" x14ac:dyDescent="0.3">
      <c r="B31" s="55" t="s">
        <v>144</v>
      </c>
      <c r="C31" s="56">
        <v>0</v>
      </c>
      <c r="D31" s="56">
        <v>0</v>
      </c>
      <c r="E31" s="56">
        <v>0</v>
      </c>
      <c r="F31" s="56">
        <v>0</v>
      </c>
      <c r="G31" s="56">
        <v>0</v>
      </c>
      <c r="H31" s="56">
        <v>0</v>
      </c>
      <c r="I31" s="56">
        <v>0</v>
      </c>
      <c r="J31" s="56">
        <v>0</v>
      </c>
      <c r="K31" s="56">
        <v>0</v>
      </c>
      <c r="L31" s="56">
        <v>0</v>
      </c>
      <c r="M31" s="56">
        <v>0</v>
      </c>
      <c r="N31" s="56">
        <v>0</v>
      </c>
      <c r="O31" s="56">
        <v>0</v>
      </c>
      <c r="P31" s="56">
        <v>0</v>
      </c>
      <c r="Q31" s="57">
        <v>0</v>
      </c>
    </row>
    <row r="32" spans="2:17" x14ac:dyDescent="0.3">
      <c r="B32" s="55" t="s">
        <v>146</v>
      </c>
      <c r="C32" s="56">
        <v>0</v>
      </c>
      <c r="D32" s="56">
        <v>0</v>
      </c>
      <c r="E32" s="56">
        <v>0</v>
      </c>
      <c r="F32" s="56">
        <v>0</v>
      </c>
      <c r="G32" s="56">
        <v>0</v>
      </c>
      <c r="H32" s="56">
        <v>0</v>
      </c>
      <c r="I32" s="56">
        <v>0</v>
      </c>
      <c r="J32" s="56">
        <v>0</v>
      </c>
      <c r="K32" s="56">
        <v>0</v>
      </c>
      <c r="L32" s="56">
        <v>0</v>
      </c>
      <c r="M32" s="56">
        <v>0</v>
      </c>
      <c r="N32" s="56">
        <v>0</v>
      </c>
      <c r="O32" s="56">
        <v>0</v>
      </c>
      <c r="P32" s="56">
        <v>0</v>
      </c>
      <c r="Q32" s="57">
        <v>0</v>
      </c>
    </row>
    <row r="33" spans="2:17" x14ac:dyDescent="0.3">
      <c r="B33" s="58" t="s">
        <v>7</v>
      </c>
      <c r="C33" s="59">
        <f t="shared" ref="C33:Q33" si="1">SUM(C30:C32)</f>
        <v>0</v>
      </c>
      <c r="D33" s="59">
        <f t="shared" si="1"/>
        <v>0</v>
      </c>
      <c r="E33" s="59">
        <f t="shared" si="1"/>
        <v>0</v>
      </c>
      <c r="F33" s="59">
        <f t="shared" si="1"/>
        <v>0</v>
      </c>
      <c r="G33" s="59">
        <f t="shared" si="1"/>
        <v>0</v>
      </c>
      <c r="H33" s="59">
        <f t="shared" si="1"/>
        <v>0</v>
      </c>
      <c r="I33" s="59">
        <f t="shared" si="1"/>
        <v>0</v>
      </c>
      <c r="J33" s="59">
        <f t="shared" si="1"/>
        <v>0</v>
      </c>
      <c r="K33" s="59">
        <f t="shared" si="1"/>
        <v>0</v>
      </c>
      <c r="L33" s="59">
        <f t="shared" si="1"/>
        <v>0</v>
      </c>
      <c r="M33" s="59">
        <f t="shared" si="1"/>
        <v>0</v>
      </c>
      <c r="N33" s="59">
        <f t="shared" si="1"/>
        <v>0</v>
      </c>
      <c r="O33" s="59">
        <f t="shared" si="1"/>
        <v>0</v>
      </c>
      <c r="P33" s="59">
        <f t="shared" si="1"/>
        <v>0</v>
      </c>
      <c r="Q33" s="59">
        <f t="shared" si="1"/>
        <v>0</v>
      </c>
    </row>
    <row r="34" spans="2:17" ht="14.5" customHeight="1" x14ac:dyDescent="0.35">
      <c r="B34" s="348" t="s">
        <v>149</v>
      </c>
      <c r="C34" s="324"/>
      <c r="D34" s="324"/>
      <c r="E34" s="324"/>
      <c r="F34" s="324"/>
      <c r="G34" s="324"/>
      <c r="H34" s="324"/>
      <c r="I34" s="324"/>
      <c r="J34" s="324"/>
      <c r="K34" s="324"/>
      <c r="L34" s="324"/>
      <c r="M34" s="324"/>
      <c r="N34" s="324"/>
      <c r="O34" s="324"/>
      <c r="P34" s="324"/>
      <c r="Q34" s="324"/>
    </row>
  </sheetData>
  <sheetProtection algorithmName="SHA-512" hashValue="v5sSYza2X1Mt2Gy+UWAPZdSzAb5ganW20nDYCmU7eqBlMpNFZnxtdb5yxvvfJDwpNMfsmwAzNIAICCh6lVQPvg==" saltValue="8oc9uSzoJahG6A3JAFrHkw==" spinCount="100000" sheet="1" objects="1" scenarios="1"/>
  <mergeCells count="4">
    <mergeCell ref="B34:Q34"/>
    <mergeCell ref="B29:Q29"/>
    <mergeCell ref="B3:Q3"/>
    <mergeCell ref="B5:Q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5">
    <tabColor rgb="FF92D050"/>
    <pageSetUpPr fitToPage="1"/>
  </sheetPr>
  <dimension ref="B3:Q49"/>
  <sheetViews>
    <sheetView showGridLines="0" zoomScale="70" zoomScaleNormal="70" workbookViewId="0">
      <pane xSplit="2" ySplit="5" topLeftCell="P29" activePane="bottomRight" state="frozen"/>
      <selection activeCell="A4" sqref="A4:XFD4"/>
      <selection pane="topRight" activeCell="A4" sqref="A4:XFD4"/>
      <selection pane="bottomLeft" activeCell="A4" sqref="A4:XFD4"/>
      <selection pane="bottomRight" activeCell="B30" sqref="B3:Q34"/>
    </sheetView>
  </sheetViews>
  <sheetFormatPr defaultColWidth="15.54296875" defaultRowHeight="15.5" x14ac:dyDescent="0.35"/>
  <cols>
    <col min="1" max="1" width="15.54296875" style="76" customWidth="1"/>
    <col min="2" max="2" width="47.6328125" style="76" bestFit="1" customWidth="1"/>
    <col min="3" max="16" width="20.453125" style="76" customWidth="1"/>
    <col min="17" max="17" width="20.453125" style="138" customWidth="1"/>
    <col min="18" max="116" width="15.54296875" style="76" customWidth="1"/>
    <col min="117" max="16384" width="15.54296875" style="76"/>
  </cols>
  <sheetData>
    <row r="3" spans="2:17" s="275" customFormat="1" ht="22" x14ac:dyDescent="0.5">
      <c r="B3" s="297" t="str">
        <f>_xlfn.CONCAT('Table of Contents'!B26,": ",'Table of Contents'!C26)</f>
        <v>APPENDIX 14: SUMMARY OF PERMANENT HEALTH BUSINESS REVENUE ACCOUNTS FOR THE PERIOD ENDED 31.03.2026</v>
      </c>
      <c r="C3" s="298"/>
      <c r="D3" s="298"/>
      <c r="E3" s="298"/>
      <c r="F3" s="298"/>
      <c r="G3" s="298"/>
      <c r="H3" s="298"/>
      <c r="I3" s="298"/>
      <c r="J3" s="298"/>
      <c r="K3" s="298"/>
      <c r="L3" s="298"/>
      <c r="M3" s="298"/>
      <c r="N3" s="298"/>
      <c r="O3" s="298"/>
      <c r="P3" s="298"/>
      <c r="Q3" s="299"/>
    </row>
    <row r="4" spans="2:17" s="148" customFormat="1" ht="31" x14ac:dyDescent="0.35">
      <c r="B4" s="65"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x14ac:dyDescent="0.35">
      <c r="B5" s="300" t="s">
        <v>106</v>
      </c>
      <c r="C5" s="301"/>
      <c r="D5" s="301"/>
      <c r="E5" s="301"/>
      <c r="F5" s="301"/>
      <c r="G5" s="301"/>
      <c r="H5" s="301"/>
      <c r="I5" s="301"/>
      <c r="J5" s="301"/>
      <c r="K5" s="301"/>
      <c r="L5" s="301"/>
      <c r="M5" s="301"/>
      <c r="N5" s="301"/>
      <c r="O5" s="301"/>
      <c r="P5" s="301"/>
      <c r="Q5" s="302"/>
    </row>
    <row r="6" spans="2:17" ht="34.5" customHeight="1" x14ac:dyDescent="0.35">
      <c r="B6" s="67" t="s">
        <v>150</v>
      </c>
      <c r="C6" s="110">
        <v>0</v>
      </c>
      <c r="D6" s="110">
        <v>0</v>
      </c>
      <c r="E6" s="110">
        <v>0</v>
      </c>
      <c r="F6" s="110">
        <v>0</v>
      </c>
      <c r="G6" s="110">
        <v>0</v>
      </c>
      <c r="H6" s="110">
        <v>0</v>
      </c>
      <c r="I6" s="110">
        <v>0</v>
      </c>
      <c r="J6" s="110">
        <v>0</v>
      </c>
      <c r="K6" s="110">
        <v>0</v>
      </c>
      <c r="L6" s="110">
        <v>0</v>
      </c>
      <c r="M6" s="110">
        <v>0</v>
      </c>
      <c r="N6" s="110">
        <v>0</v>
      </c>
      <c r="O6" s="110">
        <v>0</v>
      </c>
      <c r="P6" s="110">
        <v>0</v>
      </c>
      <c r="Q6" s="110">
        <v>0</v>
      </c>
    </row>
    <row r="7" spans="2:17" ht="34.5" customHeight="1" x14ac:dyDescent="0.35">
      <c r="B7" s="67" t="s">
        <v>151</v>
      </c>
      <c r="C7" s="110">
        <v>0</v>
      </c>
      <c r="D7" s="110">
        <v>0</v>
      </c>
      <c r="E7" s="110">
        <v>0</v>
      </c>
      <c r="F7" s="110">
        <v>0</v>
      </c>
      <c r="G7" s="110">
        <v>0</v>
      </c>
      <c r="H7" s="110">
        <v>0</v>
      </c>
      <c r="I7" s="110">
        <v>0</v>
      </c>
      <c r="J7" s="110">
        <v>0</v>
      </c>
      <c r="K7" s="110">
        <v>0</v>
      </c>
      <c r="L7" s="110">
        <v>0</v>
      </c>
      <c r="M7" s="110">
        <v>0</v>
      </c>
      <c r="N7" s="110">
        <v>0</v>
      </c>
      <c r="O7" s="110">
        <v>0</v>
      </c>
      <c r="P7" s="110">
        <v>0</v>
      </c>
      <c r="Q7" s="110">
        <v>0</v>
      </c>
    </row>
    <row r="8" spans="2:17" ht="34.5" customHeight="1" x14ac:dyDescent="0.35">
      <c r="B8" s="67" t="s">
        <v>152</v>
      </c>
      <c r="C8" s="110">
        <v>0</v>
      </c>
      <c r="D8" s="110">
        <v>0</v>
      </c>
      <c r="E8" s="110">
        <v>0</v>
      </c>
      <c r="F8" s="110">
        <v>0</v>
      </c>
      <c r="G8" s="110">
        <v>0</v>
      </c>
      <c r="H8" s="110">
        <v>0</v>
      </c>
      <c r="I8" s="110">
        <v>0</v>
      </c>
      <c r="J8" s="110">
        <v>0</v>
      </c>
      <c r="K8" s="110">
        <v>0</v>
      </c>
      <c r="L8" s="110">
        <v>0</v>
      </c>
      <c r="M8" s="110">
        <v>0</v>
      </c>
      <c r="N8" s="110">
        <v>0</v>
      </c>
      <c r="O8" s="110">
        <v>0</v>
      </c>
      <c r="P8" s="110">
        <v>0</v>
      </c>
      <c r="Q8" s="110">
        <v>0</v>
      </c>
    </row>
    <row r="9" spans="2:17" ht="34.5" customHeight="1" x14ac:dyDescent="0.35">
      <c r="B9" s="67" t="s">
        <v>153</v>
      </c>
      <c r="C9" s="110">
        <v>0</v>
      </c>
      <c r="D9" s="110">
        <v>0</v>
      </c>
      <c r="E9" s="110">
        <v>0</v>
      </c>
      <c r="F9" s="110">
        <v>0</v>
      </c>
      <c r="G9" s="110">
        <v>0</v>
      </c>
      <c r="H9" s="110">
        <v>0</v>
      </c>
      <c r="I9" s="110">
        <v>0</v>
      </c>
      <c r="J9" s="110">
        <v>0</v>
      </c>
      <c r="K9" s="110">
        <v>0</v>
      </c>
      <c r="L9" s="110">
        <v>0</v>
      </c>
      <c r="M9" s="110">
        <v>0</v>
      </c>
      <c r="N9" s="110">
        <v>0</v>
      </c>
      <c r="O9" s="110">
        <v>0</v>
      </c>
      <c r="P9" s="110">
        <v>0</v>
      </c>
      <c r="Q9" s="110">
        <v>0</v>
      </c>
    </row>
    <row r="10" spans="2:17" ht="34.5" customHeight="1" x14ac:dyDescent="0.35">
      <c r="B10" s="67" t="s">
        <v>154</v>
      </c>
      <c r="C10" s="110">
        <v>0</v>
      </c>
      <c r="D10" s="110">
        <v>0</v>
      </c>
      <c r="E10" s="110">
        <v>0</v>
      </c>
      <c r="F10" s="110">
        <v>0</v>
      </c>
      <c r="G10" s="110">
        <v>0</v>
      </c>
      <c r="H10" s="110">
        <v>0</v>
      </c>
      <c r="I10" s="110">
        <v>0</v>
      </c>
      <c r="J10" s="110">
        <v>0</v>
      </c>
      <c r="K10" s="110">
        <v>0</v>
      </c>
      <c r="L10" s="110">
        <v>0</v>
      </c>
      <c r="M10" s="110">
        <v>0</v>
      </c>
      <c r="N10" s="110">
        <v>0</v>
      </c>
      <c r="O10" s="110">
        <v>0</v>
      </c>
      <c r="P10" s="110">
        <v>0</v>
      </c>
      <c r="Q10" s="110">
        <v>0</v>
      </c>
    </row>
    <row r="11" spans="2:17" ht="34.5" customHeight="1" x14ac:dyDescent="0.35">
      <c r="B11" s="67" t="s">
        <v>155</v>
      </c>
      <c r="C11" s="110">
        <v>0</v>
      </c>
      <c r="D11" s="110">
        <v>0</v>
      </c>
      <c r="E11" s="110">
        <v>0</v>
      </c>
      <c r="F11" s="110">
        <v>0</v>
      </c>
      <c r="G11" s="110">
        <v>0</v>
      </c>
      <c r="H11" s="110">
        <v>0</v>
      </c>
      <c r="I11" s="110">
        <v>0</v>
      </c>
      <c r="J11" s="110">
        <v>0</v>
      </c>
      <c r="K11" s="110">
        <v>0</v>
      </c>
      <c r="L11" s="110">
        <v>0</v>
      </c>
      <c r="M11" s="110">
        <v>0</v>
      </c>
      <c r="N11" s="110">
        <v>0</v>
      </c>
      <c r="O11" s="110">
        <v>0</v>
      </c>
      <c r="P11" s="110">
        <v>0</v>
      </c>
      <c r="Q11" s="110">
        <v>0</v>
      </c>
    </row>
    <row r="12" spans="2:17" ht="34.5" customHeight="1" x14ac:dyDescent="0.35">
      <c r="B12" s="67" t="s">
        <v>156</v>
      </c>
      <c r="C12" s="110">
        <v>0</v>
      </c>
      <c r="D12" s="110">
        <v>0</v>
      </c>
      <c r="E12" s="110">
        <v>0</v>
      </c>
      <c r="F12" s="110">
        <v>0</v>
      </c>
      <c r="G12" s="110">
        <v>0</v>
      </c>
      <c r="H12" s="110">
        <v>0</v>
      </c>
      <c r="I12" s="110">
        <v>0</v>
      </c>
      <c r="J12" s="110">
        <v>0</v>
      </c>
      <c r="K12" s="110">
        <v>0</v>
      </c>
      <c r="L12" s="110">
        <v>0</v>
      </c>
      <c r="M12" s="110">
        <v>0</v>
      </c>
      <c r="N12" s="110">
        <v>0</v>
      </c>
      <c r="O12" s="110">
        <v>0</v>
      </c>
      <c r="P12" s="110">
        <v>0</v>
      </c>
      <c r="Q12" s="110">
        <v>0</v>
      </c>
    </row>
    <row r="13" spans="2:17" ht="34.5" customHeight="1" x14ac:dyDescent="0.35">
      <c r="B13" s="67" t="s">
        <v>157</v>
      </c>
      <c r="C13" s="110">
        <v>0</v>
      </c>
      <c r="D13" s="110">
        <v>0</v>
      </c>
      <c r="E13" s="110">
        <v>0</v>
      </c>
      <c r="F13" s="110">
        <v>0</v>
      </c>
      <c r="G13" s="110">
        <v>0</v>
      </c>
      <c r="H13" s="110">
        <v>0</v>
      </c>
      <c r="I13" s="110">
        <v>0</v>
      </c>
      <c r="J13" s="110">
        <v>0</v>
      </c>
      <c r="K13" s="110">
        <v>0</v>
      </c>
      <c r="L13" s="110">
        <v>0</v>
      </c>
      <c r="M13" s="110">
        <v>0</v>
      </c>
      <c r="N13" s="110">
        <v>0</v>
      </c>
      <c r="O13" s="110">
        <v>0</v>
      </c>
      <c r="P13" s="110">
        <v>0</v>
      </c>
      <c r="Q13" s="110">
        <v>0</v>
      </c>
    </row>
    <row r="14" spans="2:17" ht="34.5" customHeight="1" x14ac:dyDescent="0.35">
      <c r="B14" s="67" t="s">
        <v>158</v>
      </c>
      <c r="C14" s="110">
        <v>0</v>
      </c>
      <c r="D14" s="110">
        <v>0</v>
      </c>
      <c r="E14" s="110">
        <v>0</v>
      </c>
      <c r="F14" s="110">
        <v>0</v>
      </c>
      <c r="G14" s="110">
        <v>0</v>
      </c>
      <c r="H14" s="110">
        <v>0</v>
      </c>
      <c r="I14" s="110">
        <v>0</v>
      </c>
      <c r="J14" s="110">
        <v>0</v>
      </c>
      <c r="K14" s="110">
        <v>0</v>
      </c>
      <c r="L14" s="110">
        <v>0</v>
      </c>
      <c r="M14" s="110">
        <v>0</v>
      </c>
      <c r="N14" s="110">
        <v>0</v>
      </c>
      <c r="O14" s="110">
        <v>0</v>
      </c>
      <c r="P14" s="110">
        <v>0</v>
      </c>
      <c r="Q14" s="110">
        <v>0</v>
      </c>
    </row>
    <row r="15" spans="2:17" ht="34.5" customHeight="1" x14ac:dyDescent="0.35">
      <c r="B15" s="67" t="s">
        <v>159</v>
      </c>
      <c r="C15" s="110">
        <v>0</v>
      </c>
      <c r="D15" s="110">
        <v>0</v>
      </c>
      <c r="E15" s="110">
        <v>0</v>
      </c>
      <c r="F15" s="110">
        <v>0</v>
      </c>
      <c r="G15" s="110">
        <v>0</v>
      </c>
      <c r="H15" s="110">
        <v>0</v>
      </c>
      <c r="I15" s="110">
        <v>0</v>
      </c>
      <c r="J15" s="110">
        <v>0</v>
      </c>
      <c r="K15" s="110">
        <v>0</v>
      </c>
      <c r="L15" s="110">
        <v>0</v>
      </c>
      <c r="M15" s="110">
        <v>0</v>
      </c>
      <c r="N15" s="110">
        <v>0</v>
      </c>
      <c r="O15" s="110">
        <v>0</v>
      </c>
      <c r="P15" s="110">
        <v>0</v>
      </c>
      <c r="Q15" s="110">
        <v>0</v>
      </c>
    </row>
    <row r="16" spans="2:17" ht="34.5" customHeight="1" x14ac:dyDescent="0.35">
      <c r="B16" s="67" t="s">
        <v>160</v>
      </c>
      <c r="C16" s="110">
        <v>0</v>
      </c>
      <c r="D16" s="110">
        <v>0</v>
      </c>
      <c r="E16" s="110">
        <v>0</v>
      </c>
      <c r="F16" s="110">
        <v>0</v>
      </c>
      <c r="G16" s="110">
        <v>0</v>
      </c>
      <c r="H16" s="110">
        <v>0</v>
      </c>
      <c r="I16" s="110">
        <v>0</v>
      </c>
      <c r="J16" s="110">
        <v>0</v>
      </c>
      <c r="K16" s="110">
        <v>0</v>
      </c>
      <c r="L16" s="110">
        <v>0</v>
      </c>
      <c r="M16" s="110">
        <v>0</v>
      </c>
      <c r="N16" s="110">
        <v>0</v>
      </c>
      <c r="O16" s="110">
        <v>0</v>
      </c>
      <c r="P16" s="110">
        <v>0</v>
      </c>
      <c r="Q16" s="110">
        <v>0</v>
      </c>
    </row>
    <row r="17" spans="2:17" ht="34.5" customHeight="1" x14ac:dyDescent="0.35">
      <c r="B17" s="67" t="s">
        <v>161</v>
      </c>
      <c r="C17" s="110">
        <v>0</v>
      </c>
      <c r="D17" s="110">
        <v>0</v>
      </c>
      <c r="E17" s="110">
        <v>0</v>
      </c>
      <c r="F17" s="110">
        <v>0</v>
      </c>
      <c r="G17" s="110">
        <v>0</v>
      </c>
      <c r="H17" s="110">
        <v>0</v>
      </c>
      <c r="I17" s="110">
        <v>0</v>
      </c>
      <c r="J17" s="110">
        <v>0</v>
      </c>
      <c r="K17" s="110">
        <v>0</v>
      </c>
      <c r="L17" s="110">
        <v>0</v>
      </c>
      <c r="M17" s="110">
        <v>0</v>
      </c>
      <c r="N17" s="110">
        <v>0</v>
      </c>
      <c r="O17" s="110">
        <v>0</v>
      </c>
      <c r="P17" s="110">
        <v>0</v>
      </c>
      <c r="Q17" s="110">
        <v>0</v>
      </c>
    </row>
    <row r="18" spans="2:17" ht="34.5" customHeight="1" x14ac:dyDescent="0.35">
      <c r="B18" s="67" t="s">
        <v>162</v>
      </c>
      <c r="C18" s="110">
        <v>0</v>
      </c>
      <c r="D18" s="110">
        <v>0</v>
      </c>
      <c r="E18" s="110">
        <v>0</v>
      </c>
      <c r="F18" s="110">
        <v>0</v>
      </c>
      <c r="G18" s="110">
        <v>0</v>
      </c>
      <c r="H18" s="110">
        <v>0</v>
      </c>
      <c r="I18" s="110">
        <v>0</v>
      </c>
      <c r="J18" s="110">
        <v>0</v>
      </c>
      <c r="K18" s="110">
        <v>0</v>
      </c>
      <c r="L18" s="110">
        <v>0</v>
      </c>
      <c r="M18" s="110">
        <v>0</v>
      </c>
      <c r="N18" s="110">
        <v>0</v>
      </c>
      <c r="O18" s="110">
        <v>0</v>
      </c>
      <c r="P18" s="110">
        <v>0</v>
      </c>
      <c r="Q18" s="110">
        <v>0</v>
      </c>
    </row>
    <row r="19" spans="2:17" ht="34.5" customHeight="1" x14ac:dyDescent="0.35">
      <c r="B19" s="67" t="s">
        <v>163</v>
      </c>
      <c r="C19" s="110">
        <v>0</v>
      </c>
      <c r="D19" s="110">
        <v>0</v>
      </c>
      <c r="E19" s="110">
        <v>0</v>
      </c>
      <c r="F19" s="110">
        <v>0</v>
      </c>
      <c r="G19" s="110">
        <v>0</v>
      </c>
      <c r="H19" s="110">
        <v>0</v>
      </c>
      <c r="I19" s="110">
        <v>0</v>
      </c>
      <c r="J19" s="110">
        <v>0</v>
      </c>
      <c r="K19" s="110">
        <v>0</v>
      </c>
      <c r="L19" s="110">
        <v>0</v>
      </c>
      <c r="M19" s="110">
        <v>0</v>
      </c>
      <c r="N19" s="110">
        <v>0</v>
      </c>
      <c r="O19" s="110">
        <v>0</v>
      </c>
      <c r="P19" s="110">
        <v>0</v>
      </c>
      <c r="Q19" s="110">
        <v>0</v>
      </c>
    </row>
    <row r="20" spans="2:17" ht="34.5" customHeight="1" x14ac:dyDescent="0.35">
      <c r="B20" s="67" t="s">
        <v>127</v>
      </c>
      <c r="C20" s="110">
        <v>0</v>
      </c>
      <c r="D20" s="110">
        <v>0</v>
      </c>
      <c r="E20" s="110">
        <v>0</v>
      </c>
      <c r="F20" s="110">
        <v>0</v>
      </c>
      <c r="G20" s="110">
        <v>0</v>
      </c>
      <c r="H20" s="110">
        <v>0</v>
      </c>
      <c r="I20" s="110">
        <v>0</v>
      </c>
      <c r="J20" s="110">
        <v>0</v>
      </c>
      <c r="K20" s="110">
        <v>0</v>
      </c>
      <c r="L20" s="110">
        <v>0</v>
      </c>
      <c r="M20" s="110">
        <v>0</v>
      </c>
      <c r="N20" s="110">
        <v>0</v>
      </c>
      <c r="O20" s="110">
        <v>0</v>
      </c>
      <c r="P20" s="110">
        <v>0</v>
      </c>
      <c r="Q20" s="110">
        <v>0</v>
      </c>
    </row>
    <row r="21" spans="2:17" ht="34.5" customHeight="1" x14ac:dyDescent="0.35">
      <c r="B21" s="67" t="s">
        <v>164</v>
      </c>
      <c r="C21" s="110">
        <v>0</v>
      </c>
      <c r="D21" s="110">
        <v>0</v>
      </c>
      <c r="E21" s="110">
        <v>0</v>
      </c>
      <c r="F21" s="110">
        <v>0</v>
      </c>
      <c r="G21" s="110">
        <v>0</v>
      </c>
      <c r="H21" s="110">
        <v>0</v>
      </c>
      <c r="I21" s="110">
        <v>0</v>
      </c>
      <c r="J21" s="110">
        <v>0</v>
      </c>
      <c r="K21" s="110">
        <v>0</v>
      </c>
      <c r="L21" s="110">
        <v>0</v>
      </c>
      <c r="M21" s="110">
        <v>0</v>
      </c>
      <c r="N21" s="110">
        <v>0</v>
      </c>
      <c r="O21" s="110">
        <v>0</v>
      </c>
      <c r="P21" s="110">
        <v>0</v>
      </c>
      <c r="Q21" s="110">
        <v>0</v>
      </c>
    </row>
    <row r="22" spans="2:17" ht="34.5" customHeight="1" x14ac:dyDescent="0.35">
      <c r="B22" s="67" t="s">
        <v>165</v>
      </c>
      <c r="C22" s="110">
        <v>0</v>
      </c>
      <c r="D22" s="110">
        <v>0</v>
      </c>
      <c r="E22" s="110">
        <v>0</v>
      </c>
      <c r="F22" s="110">
        <v>0</v>
      </c>
      <c r="G22" s="110">
        <v>0</v>
      </c>
      <c r="H22" s="110">
        <v>0</v>
      </c>
      <c r="I22" s="110">
        <v>0</v>
      </c>
      <c r="J22" s="110">
        <v>0</v>
      </c>
      <c r="K22" s="110">
        <v>0</v>
      </c>
      <c r="L22" s="110">
        <v>0</v>
      </c>
      <c r="M22" s="110">
        <v>0</v>
      </c>
      <c r="N22" s="110">
        <v>0</v>
      </c>
      <c r="O22" s="110">
        <v>0</v>
      </c>
      <c r="P22" s="110">
        <v>0</v>
      </c>
      <c r="Q22" s="110">
        <v>0</v>
      </c>
    </row>
    <row r="23" spans="2:17" ht="34.5" customHeight="1" x14ac:dyDescent="0.35">
      <c r="B23" s="67" t="s">
        <v>166</v>
      </c>
      <c r="C23" s="110">
        <v>0</v>
      </c>
      <c r="D23" s="110">
        <v>0</v>
      </c>
      <c r="E23" s="110">
        <v>0</v>
      </c>
      <c r="F23" s="110">
        <v>0</v>
      </c>
      <c r="G23" s="110">
        <v>0</v>
      </c>
      <c r="H23" s="110">
        <v>0</v>
      </c>
      <c r="I23" s="110">
        <v>0</v>
      </c>
      <c r="J23" s="110">
        <v>0</v>
      </c>
      <c r="K23" s="110">
        <v>0</v>
      </c>
      <c r="L23" s="110">
        <v>0</v>
      </c>
      <c r="M23" s="110">
        <v>0</v>
      </c>
      <c r="N23" s="110">
        <v>0</v>
      </c>
      <c r="O23" s="110">
        <v>0</v>
      </c>
      <c r="P23" s="110">
        <v>0</v>
      </c>
      <c r="Q23" s="110">
        <v>0</v>
      </c>
    </row>
    <row r="24" spans="2:17" ht="34.5" customHeight="1" x14ac:dyDescent="0.35">
      <c r="B24" s="67" t="s">
        <v>167</v>
      </c>
      <c r="C24" s="110">
        <v>0</v>
      </c>
      <c r="D24" s="110">
        <v>0</v>
      </c>
      <c r="E24" s="110">
        <v>0</v>
      </c>
      <c r="F24" s="110">
        <v>0</v>
      </c>
      <c r="G24" s="110">
        <v>0</v>
      </c>
      <c r="H24" s="110">
        <v>0</v>
      </c>
      <c r="I24" s="110">
        <v>0</v>
      </c>
      <c r="J24" s="110">
        <v>0</v>
      </c>
      <c r="K24" s="110">
        <v>0</v>
      </c>
      <c r="L24" s="110">
        <v>0</v>
      </c>
      <c r="M24" s="110">
        <v>0</v>
      </c>
      <c r="N24" s="110">
        <v>0</v>
      </c>
      <c r="O24" s="110">
        <v>0</v>
      </c>
      <c r="P24" s="110">
        <v>0</v>
      </c>
      <c r="Q24" s="110">
        <v>0</v>
      </c>
    </row>
    <row r="25" spans="2:17" ht="34.5" customHeight="1" x14ac:dyDescent="0.35">
      <c r="B25" s="67" t="s">
        <v>168</v>
      </c>
      <c r="C25" s="110">
        <v>0</v>
      </c>
      <c r="D25" s="110">
        <v>0</v>
      </c>
      <c r="E25" s="110">
        <v>0</v>
      </c>
      <c r="F25" s="110">
        <v>0</v>
      </c>
      <c r="G25" s="110">
        <v>0</v>
      </c>
      <c r="H25" s="110">
        <v>0</v>
      </c>
      <c r="I25" s="110">
        <v>0</v>
      </c>
      <c r="J25" s="110">
        <v>0</v>
      </c>
      <c r="K25" s="110">
        <v>0</v>
      </c>
      <c r="L25" s="110">
        <v>0</v>
      </c>
      <c r="M25" s="110">
        <v>0</v>
      </c>
      <c r="N25" s="110">
        <v>0</v>
      </c>
      <c r="O25" s="110">
        <v>0</v>
      </c>
      <c r="P25" s="110">
        <v>0</v>
      </c>
      <c r="Q25" s="110">
        <v>0</v>
      </c>
    </row>
    <row r="26" spans="2:17" ht="34.5" customHeight="1" x14ac:dyDescent="0.35">
      <c r="B26" s="67" t="s">
        <v>169</v>
      </c>
      <c r="C26" s="110">
        <v>0</v>
      </c>
      <c r="D26" s="110">
        <v>0</v>
      </c>
      <c r="E26" s="110">
        <v>0</v>
      </c>
      <c r="F26" s="110">
        <v>0</v>
      </c>
      <c r="G26" s="110">
        <v>0</v>
      </c>
      <c r="H26" s="110">
        <v>0</v>
      </c>
      <c r="I26" s="110">
        <v>0</v>
      </c>
      <c r="J26" s="110">
        <v>0</v>
      </c>
      <c r="K26" s="110">
        <v>0</v>
      </c>
      <c r="L26" s="110">
        <v>0</v>
      </c>
      <c r="M26" s="110">
        <v>0</v>
      </c>
      <c r="N26" s="110">
        <v>0</v>
      </c>
      <c r="O26" s="110">
        <v>0</v>
      </c>
      <c r="P26" s="110">
        <v>0</v>
      </c>
      <c r="Q26" s="110">
        <v>0</v>
      </c>
    </row>
    <row r="27" spans="2:17" ht="34.5" customHeight="1" x14ac:dyDescent="0.35">
      <c r="B27" s="67" t="s">
        <v>170</v>
      </c>
      <c r="C27" s="110">
        <v>0</v>
      </c>
      <c r="D27" s="110">
        <v>0</v>
      </c>
      <c r="E27" s="110">
        <v>0</v>
      </c>
      <c r="F27" s="110">
        <v>0</v>
      </c>
      <c r="G27" s="110">
        <v>0</v>
      </c>
      <c r="H27" s="110">
        <v>0</v>
      </c>
      <c r="I27" s="110">
        <v>0</v>
      </c>
      <c r="J27" s="110">
        <v>0</v>
      </c>
      <c r="K27" s="110">
        <v>0</v>
      </c>
      <c r="L27" s="110">
        <v>0</v>
      </c>
      <c r="M27" s="110">
        <v>0</v>
      </c>
      <c r="N27" s="110">
        <v>0</v>
      </c>
      <c r="O27" s="110">
        <v>0</v>
      </c>
      <c r="P27" s="110">
        <v>0</v>
      </c>
      <c r="Q27" s="110">
        <v>0</v>
      </c>
    </row>
    <row r="28" spans="2:17" ht="34.5" customHeight="1" x14ac:dyDescent="0.35">
      <c r="B28" s="135" t="s">
        <v>7</v>
      </c>
      <c r="C28" s="140">
        <f t="shared" ref="C28:Q28" si="0">SUM(C6:C27)</f>
        <v>0</v>
      </c>
      <c r="D28" s="140">
        <f t="shared" si="0"/>
        <v>0</v>
      </c>
      <c r="E28" s="140">
        <f t="shared" si="0"/>
        <v>0</v>
      </c>
      <c r="F28" s="140">
        <f t="shared" si="0"/>
        <v>0</v>
      </c>
      <c r="G28" s="140">
        <f t="shared" si="0"/>
        <v>0</v>
      </c>
      <c r="H28" s="140">
        <f t="shared" si="0"/>
        <v>0</v>
      </c>
      <c r="I28" s="140">
        <f t="shared" si="0"/>
        <v>0</v>
      </c>
      <c r="J28" s="140">
        <f t="shared" si="0"/>
        <v>0</v>
      </c>
      <c r="K28" s="140">
        <f t="shared" si="0"/>
        <v>0</v>
      </c>
      <c r="L28" s="140">
        <f t="shared" si="0"/>
        <v>0</v>
      </c>
      <c r="M28" s="140">
        <f t="shared" si="0"/>
        <v>0</v>
      </c>
      <c r="N28" s="140">
        <f t="shared" si="0"/>
        <v>0</v>
      </c>
      <c r="O28" s="140">
        <f t="shared" si="0"/>
        <v>0</v>
      </c>
      <c r="P28" s="140">
        <f t="shared" si="0"/>
        <v>0</v>
      </c>
      <c r="Q28" s="140">
        <f t="shared" si="0"/>
        <v>0</v>
      </c>
    </row>
    <row r="29" spans="2:17" ht="34.5" customHeight="1" x14ac:dyDescent="0.35">
      <c r="B29" s="300" t="s">
        <v>142</v>
      </c>
      <c r="C29" s="301"/>
      <c r="D29" s="301"/>
      <c r="E29" s="301"/>
      <c r="F29" s="301"/>
      <c r="G29" s="301"/>
      <c r="H29" s="301"/>
      <c r="I29" s="301"/>
      <c r="J29" s="301"/>
      <c r="K29" s="301"/>
      <c r="L29" s="301"/>
      <c r="M29" s="301"/>
      <c r="N29" s="301"/>
      <c r="O29" s="301"/>
      <c r="P29" s="301"/>
      <c r="Q29" s="302"/>
    </row>
    <row r="30" spans="2:17" ht="34.5" customHeight="1" x14ac:dyDescent="0.35">
      <c r="B30" s="67" t="s">
        <v>143</v>
      </c>
      <c r="C30" s="110">
        <v>0</v>
      </c>
      <c r="D30" s="110">
        <v>0</v>
      </c>
      <c r="E30" s="110">
        <v>0</v>
      </c>
      <c r="F30" s="110">
        <v>0</v>
      </c>
      <c r="G30" s="110">
        <v>0</v>
      </c>
      <c r="H30" s="110">
        <v>0</v>
      </c>
      <c r="I30" s="110">
        <v>0</v>
      </c>
      <c r="J30" s="110">
        <v>0</v>
      </c>
      <c r="K30" s="110">
        <v>0</v>
      </c>
      <c r="L30" s="110">
        <v>0</v>
      </c>
      <c r="M30" s="110">
        <v>0</v>
      </c>
      <c r="N30" s="110">
        <v>0</v>
      </c>
      <c r="O30" s="110">
        <v>0</v>
      </c>
      <c r="P30" s="110">
        <v>0</v>
      </c>
      <c r="Q30" s="110">
        <v>0</v>
      </c>
    </row>
    <row r="31" spans="2:17" ht="34.5" customHeight="1" x14ac:dyDescent="0.35">
      <c r="B31" s="67" t="s">
        <v>144</v>
      </c>
      <c r="C31" s="110">
        <v>0</v>
      </c>
      <c r="D31" s="110">
        <v>0</v>
      </c>
      <c r="E31" s="110">
        <v>0</v>
      </c>
      <c r="F31" s="110">
        <v>0</v>
      </c>
      <c r="G31" s="110">
        <v>0</v>
      </c>
      <c r="H31" s="110">
        <v>0</v>
      </c>
      <c r="I31" s="110">
        <v>0</v>
      </c>
      <c r="J31" s="110">
        <v>0</v>
      </c>
      <c r="K31" s="110">
        <v>0</v>
      </c>
      <c r="L31" s="110">
        <v>0</v>
      </c>
      <c r="M31" s="110">
        <v>0</v>
      </c>
      <c r="N31" s="110">
        <v>0</v>
      </c>
      <c r="O31" s="110">
        <v>0</v>
      </c>
      <c r="P31" s="110">
        <v>0</v>
      </c>
      <c r="Q31" s="110">
        <v>0</v>
      </c>
    </row>
    <row r="32" spans="2:17" ht="34.5" customHeight="1" x14ac:dyDescent="0.35">
      <c r="B32" s="67" t="s">
        <v>146</v>
      </c>
      <c r="C32" s="110">
        <v>0</v>
      </c>
      <c r="D32" s="110">
        <v>0</v>
      </c>
      <c r="E32" s="110">
        <v>0</v>
      </c>
      <c r="F32" s="110">
        <v>0</v>
      </c>
      <c r="G32" s="110">
        <v>0</v>
      </c>
      <c r="H32" s="110">
        <v>0</v>
      </c>
      <c r="I32" s="110">
        <v>0</v>
      </c>
      <c r="J32" s="110">
        <v>0</v>
      </c>
      <c r="K32" s="110">
        <v>0</v>
      </c>
      <c r="L32" s="110">
        <v>0</v>
      </c>
      <c r="M32" s="110">
        <v>0</v>
      </c>
      <c r="N32" s="110">
        <v>0</v>
      </c>
      <c r="O32" s="110">
        <v>0</v>
      </c>
      <c r="P32" s="110">
        <v>0</v>
      </c>
      <c r="Q32" s="110">
        <v>0</v>
      </c>
    </row>
    <row r="33" spans="2:17" ht="34.5" customHeight="1" x14ac:dyDescent="0.35">
      <c r="B33" s="135" t="s">
        <v>7</v>
      </c>
      <c r="C33" s="140">
        <f t="shared" ref="C33:Q33" si="1">SUM(C30:C32)</f>
        <v>0</v>
      </c>
      <c r="D33" s="140">
        <f t="shared" si="1"/>
        <v>0</v>
      </c>
      <c r="E33" s="140">
        <f t="shared" si="1"/>
        <v>0</v>
      </c>
      <c r="F33" s="140">
        <f t="shared" si="1"/>
        <v>0</v>
      </c>
      <c r="G33" s="140">
        <f t="shared" si="1"/>
        <v>0</v>
      </c>
      <c r="H33" s="140">
        <f t="shared" si="1"/>
        <v>0</v>
      </c>
      <c r="I33" s="140">
        <f t="shared" si="1"/>
        <v>0</v>
      </c>
      <c r="J33" s="140">
        <f t="shared" si="1"/>
        <v>0</v>
      </c>
      <c r="K33" s="140">
        <f t="shared" si="1"/>
        <v>0</v>
      </c>
      <c r="L33" s="140">
        <f t="shared" si="1"/>
        <v>0</v>
      </c>
      <c r="M33" s="140">
        <f t="shared" si="1"/>
        <v>0</v>
      </c>
      <c r="N33" s="140">
        <f t="shared" si="1"/>
        <v>0</v>
      </c>
      <c r="O33" s="140">
        <f t="shared" si="1"/>
        <v>0</v>
      </c>
      <c r="P33" s="140">
        <f t="shared" si="1"/>
        <v>0</v>
      </c>
      <c r="Q33" s="140">
        <f t="shared" si="1"/>
        <v>0</v>
      </c>
    </row>
    <row r="34" spans="2:17" ht="34.5" customHeight="1" x14ac:dyDescent="0.35">
      <c r="B34" s="345" t="s">
        <v>149</v>
      </c>
      <c r="C34" s="324"/>
      <c r="D34" s="324"/>
      <c r="E34" s="324"/>
      <c r="F34" s="324"/>
      <c r="G34" s="324"/>
      <c r="H34" s="324"/>
      <c r="I34" s="324"/>
      <c r="J34" s="324"/>
      <c r="K34" s="324"/>
      <c r="L34" s="324"/>
      <c r="M34" s="324"/>
      <c r="N34" s="324"/>
      <c r="O34" s="324"/>
      <c r="P34" s="324"/>
      <c r="Q34" s="324"/>
    </row>
    <row r="49" spans="2:17" ht="21.5" x14ac:dyDescent="0.45">
      <c r="B49" s="275"/>
      <c r="C49" s="275"/>
      <c r="D49" s="275"/>
      <c r="E49" s="275"/>
      <c r="F49" s="275"/>
      <c r="G49" s="275"/>
      <c r="H49" s="275"/>
      <c r="I49" s="275"/>
      <c r="J49" s="275"/>
      <c r="K49" s="275"/>
      <c r="L49" s="275"/>
      <c r="M49" s="275"/>
      <c r="N49" s="275"/>
      <c r="O49" s="275"/>
      <c r="P49" s="275"/>
      <c r="Q49" s="290"/>
    </row>
  </sheetData>
  <sheetProtection algorithmName="SHA-512" hashValue="6M2fgA1IUBr2TL4fnanXSqyXUI7Hxk3fkb3PE/UwaFcUe6/aNqPKa/bjgLtSQblzPyoSpGYBeW7AmkFVqi3sbQ==" saltValue="6m3ee5P1FCMAWlRB3Zeu3g==" spinCount="100000" sheet="1" objects="1" scenarios="1"/>
  <mergeCells count="4">
    <mergeCell ref="B34:Q34"/>
    <mergeCell ref="B29:Q29"/>
    <mergeCell ref="B3:Q3"/>
    <mergeCell ref="B5:Q5"/>
  </mergeCells>
  <pageMargins left="0.7" right="0.7" top="0.75" bottom="0.75" header="0.3" footer="0.3"/>
  <pageSetup paperSize="9" scale="35"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0">
    <tabColor rgb="FF92D050"/>
    <pageSetUpPr fitToPage="1"/>
  </sheetPr>
  <dimension ref="B3:Q34"/>
  <sheetViews>
    <sheetView zoomScale="70" workbookViewId="0">
      <selection activeCell="C33" sqref="C33"/>
    </sheetView>
  </sheetViews>
  <sheetFormatPr defaultColWidth="9.453125" defaultRowHeight="14.5" x14ac:dyDescent="0.35"/>
  <cols>
    <col min="1" max="1" width="15.453125" customWidth="1"/>
    <col min="2" max="2" width="45.453125" bestFit="1" customWidth="1"/>
    <col min="3" max="16" width="20.453125" customWidth="1"/>
    <col min="17" max="17" width="20.453125" style="1" customWidth="1"/>
  </cols>
  <sheetData>
    <row r="3" spans="2:17" x14ac:dyDescent="0.35">
      <c r="B3" s="352" t="str">
        <f>_xlfn.CONCAT("SUMMARY OF PENSIONS BUSINESS REVENUE ACCOUNTS FOR THE PERIOD ENDED"," ",Details!F18)</f>
        <v>SUMMARY OF PENSIONS BUSINESS REVENUE ACCOUNTS FOR THE PERIOD ENDED 31.03.2026</v>
      </c>
      <c r="C3" s="301"/>
      <c r="D3" s="301"/>
      <c r="E3" s="301"/>
      <c r="F3" s="301"/>
      <c r="G3" s="301"/>
      <c r="H3" s="301"/>
      <c r="I3" s="301"/>
      <c r="J3" s="301"/>
      <c r="K3" s="301"/>
      <c r="L3" s="301"/>
      <c r="M3" s="301"/>
      <c r="N3" s="301"/>
      <c r="O3" s="301"/>
      <c r="P3" s="301"/>
      <c r="Q3" s="302"/>
    </row>
    <row r="4" spans="2:17" s="35" customFormat="1" ht="28.5" customHeight="1" x14ac:dyDescent="0.35">
      <c r="B4" s="26" t="s">
        <v>87</v>
      </c>
      <c r="C4" s="27" t="s">
        <v>201</v>
      </c>
      <c r="D4" s="27" t="s">
        <v>202</v>
      </c>
      <c r="E4" s="27" t="s">
        <v>203</v>
      </c>
      <c r="F4" s="27" t="s">
        <v>204</v>
      </c>
      <c r="G4" s="27" t="s">
        <v>205</v>
      </c>
      <c r="H4" s="27" t="s">
        <v>206</v>
      </c>
      <c r="I4" s="27" t="s">
        <v>207</v>
      </c>
      <c r="J4" s="27" t="s">
        <v>208</v>
      </c>
      <c r="K4" s="27" t="s">
        <v>209</v>
      </c>
      <c r="L4" s="27" t="s">
        <v>210</v>
      </c>
      <c r="M4" s="27" t="s">
        <v>211</v>
      </c>
      <c r="N4" s="27" t="s">
        <v>212</v>
      </c>
      <c r="O4" s="27" t="s">
        <v>213</v>
      </c>
      <c r="P4" s="27" t="s">
        <v>214</v>
      </c>
      <c r="Q4" s="27" t="s">
        <v>215</v>
      </c>
    </row>
    <row r="5" spans="2:17" x14ac:dyDescent="0.35">
      <c r="B5" s="351" t="s">
        <v>106</v>
      </c>
      <c r="C5" s="301"/>
      <c r="D5" s="301"/>
      <c r="E5" s="301"/>
      <c r="F5" s="301"/>
      <c r="G5" s="301"/>
      <c r="H5" s="301"/>
      <c r="I5" s="301"/>
      <c r="J5" s="301"/>
      <c r="K5" s="301"/>
      <c r="L5" s="301"/>
      <c r="M5" s="301"/>
      <c r="N5" s="301"/>
      <c r="O5" s="301"/>
      <c r="P5" s="301"/>
      <c r="Q5" s="302"/>
    </row>
    <row r="6" spans="2:17" x14ac:dyDescent="0.35">
      <c r="B6" s="6" t="str">
        <f>+'APPENDIX 15'!B6</f>
        <v>ABSA LIFE ASSURANCE</v>
      </c>
      <c r="C6" s="28">
        <f>+'APPENDIX 15'!C6+'APPENDIX 16'!C6</f>
        <v>0</v>
      </c>
      <c r="D6" s="28">
        <f>+'APPENDIX 15'!D6+'APPENDIX 16'!D6</f>
        <v>0</v>
      </c>
      <c r="E6" s="28">
        <f>+'APPENDIX 15'!E6+'APPENDIX 16'!E6</f>
        <v>0</v>
      </c>
      <c r="F6" s="28">
        <f>+'APPENDIX 15'!F6+'APPENDIX 16'!F6</f>
        <v>0</v>
      </c>
      <c r="G6" s="28">
        <f>+'APPENDIX 15'!G6+'APPENDIX 16'!G6</f>
        <v>0</v>
      </c>
      <c r="H6" s="28">
        <f>+'APPENDIX 15'!H6+'APPENDIX 16'!H6</f>
        <v>0</v>
      </c>
      <c r="I6" s="28">
        <f>+'APPENDIX 15'!I6+'APPENDIX 16'!I6</f>
        <v>0</v>
      </c>
      <c r="J6" s="28">
        <f>+'APPENDIX 15'!J6+'APPENDIX 16'!J6</f>
        <v>0</v>
      </c>
      <c r="K6" s="28">
        <f>+'APPENDIX 15'!K6+'APPENDIX 16'!K6</f>
        <v>0</v>
      </c>
      <c r="L6" s="28">
        <f>+'APPENDIX 15'!L6+'APPENDIX 16'!L6</f>
        <v>0</v>
      </c>
      <c r="M6" s="28">
        <f>+'APPENDIX 15'!M6+'APPENDIX 16'!M6</f>
        <v>0</v>
      </c>
      <c r="N6" s="28">
        <f>+'APPENDIX 15'!N6+'APPENDIX 16'!N6</f>
        <v>0</v>
      </c>
      <c r="O6" s="28">
        <f>+'APPENDIX 15'!O6+'APPENDIX 16'!O6</f>
        <v>0</v>
      </c>
      <c r="P6" s="28">
        <f>+'APPENDIX 15'!P6+'APPENDIX 16'!P6</f>
        <v>0</v>
      </c>
      <c r="Q6" s="40">
        <f>+'APPENDIX 15'!Q6+'APPENDIX 16'!Q6</f>
        <v>0</v>
      </c>
    </row>
    <row r="7" spans="2:17" x14ac:dyDescent="0.35">
      <c r="B7" s="3" t="str">
        <f>+'APPENDIX 15'!B7</f>
        <v xml:space="preserve">APA LIFE ASSURANCE COMPANY </v>
      </c>
      <c r="C7" s="28">
        <f>+'APPENDIX 15'!C7+'APPENDIX 16'!C7</f>
        <v>11803300.049000001</v>
      </c>
      <c r="D7" s="28">
        <f>+'APPENDIX 15'!D7+'APPENDIX 16'!D7</f>
        <v>544131.58900000004</v>
      </c>
      <c r="E7" s="28">
        <f>+'APPENDIX 15'!E7+'APPENDIX 16'!E7</f>
        <v>544131.58900000004</v>
      </c>
      <c r="F7" s="28">
        <f>+'APPENDIX 15'!F7+'APPENDIX 16'!F7</f>
        <v>0</v>
      </c>
      <c r="G7" s="28">
        <f>+'APPENDIX 15'!G7+'APPENDIX 16'!G7</f>
        <v>343232.07708000002</v>
      </c>
      <c r="H7" s="28">
        <f>+'APPENDIX 15'!H7+'APPENDIX 16'!H7</f>
        <v>343232.07708000002</v>
      </c>
      <c r="I7" s="28">
        <f>+'APPENDIX 15'!I7+'APPENDIX 16'!I7</f>
        <v>0</v>
      </c>
      <c r="J7" s="28">
        <f>+'APPENDIX 15'!J7+'APPENDIX 16'!J7</f>
        <v>0</v>
      </c>
      <c r="K7" s="28">
        <f>+'APPENDIX 15'!K7+'APPENDIX 16'!K7</f>
        <v>0</v>
      </c>
      <c r="L7" s="28">
        <f>+'APPENDIX 15'!L7+'APPENDIX 16'!L7</f>
        <v>10951.759319999999</v>
      </c>
      <c r="M7" s="28">
        <f>+'APPENDIX 15'!M7+'APPENDIX 16'!M7</f>
        <v>16919.706066780749</v>
      </c>
      <c r="N7" s="28">
        <f>+'APPENDIX 15'!N7+'APPENDIX 16'!N7</f>
        <v>440261.19125067233</v>
      </c>
      <c r="O7" s="28">
        <f>+'APPENDIX 15'!O7+'APPENDIX 16'!O7</f>
        <v>3746.042693211265</v>
      </c>
      <c r="P7" s="28">
        <f>+'APPENDIX 15'!P7+'APPENDIX 16'!P7</f>
        <v>0</v>
      </c>
      <c r="Q7" s="40">
        <f>+'APPENDIX 15'!Q7+'APPENDIX 16'!Q7</f>
        <v>12412843.24409068</v>
      </c>
    </row>
    <row r="8" spans="2:17" x14ac:dyDescent="0.35">
      <c r="B8" s="3" t="str">
        <f>+'APPENDIX 15'!B8</f>
        <v>BRITAM LIFE ASSURANCE</v>
      </c>
      <c r="C8" s="28">
        <f>+'APPENDIX 15'!C8+'APPENDIX 16'!C8</f>
        <v>83669194.03459999</v>
      </c>
      <c r="D8" s="28">
        <f>+'APPENDIX 15'!D8+'APPENDIX 16'!D8</f>
        <v>4231056.02489</v>
      </c>
      <c r="E8" s="28">
        <f>+'APPENDIX 15'!E8+'APPENDIX 16'!E8</f>
        <v>4231056.02489</v>
      </c>
      <c r="F8" s="28">
        <f>+'APPENDIX 15'!F8+'APPENDIX 16'!F8</f>
        <v>0</v>
      </c>
      <c r="G8" s="28">
        <f>+'APPENDIX 15'!G8+'APPENDIX 16'!G8</f>
        <v>3673215.2537400005</v>
      </c>
      <c r="H8" s="28">
        <f>+'APPENDIX 15'!H8+'APPENDIX 16'!H8</f>
        <v>3673215.2537400005</v>
      </c>
      <c r="I8" s="28">
        <f>+'APPENDIX 15'!I8+'APPENDIX 16'!I8</f>
        <v>0</v>
      </c>
      <c r="J8" s="28">
        <f>+'APPENDIX 15'!J8+'APPENDIX 16'!J8</f>
        <v>0</v>
      </c>
      <c r="K8" s="28">
        <f>+'APPENDIX 15'!K8+'APPENDIX 16'!K8</f>
        <v>0</v>
      </c>
      <c r="L8" s="28">
        <f>+'APPENDIX 15'!L8+'APPENDIX 16'!L8</f>
        <v>41533.607000000004</v>
      </c>
      <c r="M8" s="28">
        <f>+'APPENDIX 15'!M8+'APPENDIX 16'!M8</f>
        <v>265249.446</v>
      </c>
      <c r="N8" s="28">
        <f>+'APPENDIX 15'!N8+'APPENDIX 16'!N8</f>
        <v>3443360.4939999999</v>
      </c>
      <c r="O8" s="28">
        <f>+'APPENDIX 15'!O8+'APPENDIX 16'!O8</f>
        <v>7458.05</v>
      </c>
      <c r="P8" s="28">
        <f>+'APPENDIX 15'!P8+'APPENDIX 16'!P8</f>
        <v>0</v>
      </c>
      <c r="Q8" s="40">
        <f>+'APPENDIX 15'!Q8+'APPENDIX 16'!Q8</f>
        <v>87356154.19675</v>
      </c>
    </row>
    <row r="9" spans="2:17" x14ac:dyDescent="0.35">
      <c r="B9" s="3" t="str">
        <f>+'APPENDIX 15'!B9</f>
        <v>CANNON LIFE ASSURANCE (K) LIMITED</v>
      </c>
      <c r="C9" s="28">
        <f>+'APPENDIX 15'!C9+'APPENDIX 16'!C9</f>
        <v>0</v>
      </c>
      <c r="D9" s="28">
        <f>+'APPENDIX 15'!D9+'APPENDIX 16'!D9</f>
        <v>0</v>
      </c>
      <c r="E9" s="28">
        <f>+'APPENDIX 15'!E9+'APPENDIX 16'!E9</f>
        <v>0</v>
      </c>
      <c r="F9" s="28">
        <f>+'APPENDIX 15'!F9+'APPENDIX 16'!F9</f>
        <v>0</v>
      </c>
      <c r="G9" s="28">
        <f>+'APPENDIX 15'!G9+'APPENDIX 16'!G9</f>
        <v>0</v>
      </c>
      <c r="H9" s="28">
        <f>+'APPENDIX 15'!H9+'APPENDIX 16'!H9</f>
        <v>0</v>
      </c>
      <c r="I9" s="28">
        <f>+'APPENDIX 15'!I9+'APPENDIX 16'!I9</f>
        <v>0</v>
      </c>
      <c r="J9" s="28">
        <f>+'APPENDIX 15'!J9+'APPENDIX 16'!J9</f>
        <v>0</v>
      </c>
      <c r="K9" s="28">
        <f>+'APPENDIX 15'!K9+'APPENDIX 16'!K9</f>
        <v>0</v>
      </c>
      <c r="L9" s="28">
        <f>+'APPENDIX 15'!L9+'APPENDIX 16'!L9</f>
        <v>0</v>
      </c>
      <c r="M9" s="28">
        <f>+'APPENDIX 15'!M9+'APPENDIX 16'!M9</f>
        <v>0</v>
      </c>
      <c r="N9" s="28">
        <f>+'APPENDIX 15'!N9+'APPENDIX 16'!N9</f>
        <v>0</v>
      </c>
      <c r="O9" s="28">
        <f>+'APPENDIX 15'!O9+'APPENDIX 16'!O9</f>
        <v>0</v>
      </c>
      <c r="P9" s="28">
        <f>+'APPENDIX 15'!P9+'APPENDIX 16'!P9</f>
        <v>0</v>
      </c>
      <c r="Q9" s="40">
        <f>+'APPENDIX 15'!Q9+'APPENDIX 16'!Q9</f>
        <v>0</v>
      </c>
    </row>
    <row r="10" spans="2:17" x14ac:dyDescent="0.35">
      <c r="B10" s="3" t="str">
        <f>+'APPENDIX 15'!B10</f>
        <v>CAPEX LIFE ASSURANCE COMPANY</v>
      </c>
      <c r="C10" s="28">
        <f>+'APPENDIX 15'!C10+'APPENDIX 16'!C10</f>
        <v>41545.870999999999</v>
      </c>
      <c r="D10" s="28">
        <f>+'APPENDIX 15'!D10+'APPENDIX 16'!D10</f>
        <v>7382.0123400000002</v>
      </c>
      <c r="E10" s="28">
        <f>+'APPENDIX 15'!E10+'APPENDIX 16'!E10</f>
        <v>7382.0123400000002</v>
      </c>
      <c r="F10" s="28">
        <f>+'APPENDIX 15'!F10+'APPENDIX 16'!F10</f>
        <v>0</v>
      </c>
      <c r="G10" s="28">
        <f>+'APPENDIX 15'!G10+'APPENDIX 16'!G10</f>
        <v>9789.0975799999997</v>
      </c>
      <c r="H10" s="28">
        <f>+'APPENDIX 15'!H10+'APPENDIX 16'!H10</f>
        <v>9789.0975799999997</v>
      </c>
      <c r="I10" s="28">
        <f>+'APPENDIX 15'!I10+'APPENDIX 16'!I10</f>
        <v>0</v>
      </c>
      <c r="J10" s="28">
        <f>+'APPENDIX 15'!J10+'APPENDIX 16'!J10</f>
        <v>0</v>
      </c>
      <c r="K10" s="28">
        <f>+'APPENDIX 15'!K10+'APPENDIX 16'!K10</f>
        <v>0</v>
      </c>
      <c r="L10" s="28">
        <f>+'APPENDIX 15'!L10+'APPENDIX 16'!L10</f>
        <v>0</v>
      </c>
      <c r="M10" s="28">
        <f>+'APPENDIX 15'!M10+'APPENDIX 16'!M10</f>
        <v>742.4</v>
      </c>
      <c r="N10" s="28">
        <f>+'APPENDIX 15'!N10+'APPENDIX 16'!N10</f>
        <v>0</v>
      </c>
      <c r="O10" s="28">
        <f>+'APPENDIX 15'!O10+'APPENDIX 16'!O10</f>
        <v>0</v>
      </c>
      <c r="P10" s="28">
        <f>+'APPENDIX 15'!P10+'APPENDIX 16'!P10</f>
        <v>0</v>
      </c>
      <c r="Q10" s="40">
        <f>+'APPENDIX 15'!Q10+'APPENDIX 16'!Q10</f>
        <v>38396.385759999997</v>
      </c>
    </row>
    <row r="11" spans="2:17" x14ac:dyDescent="0.35">
      <c r="B11" s="3" t="str">
        <f>+'APPENDIX 15'!B11</f>
        <v>CIC LIFE ASSURANCE COMPANY</v>
      </c>
      <c r="C11" s="28">
        <f>+'APPENDIX 15'!C11+'APPENDIX 16'!C11</f>
        <v>20131563.356285661</v>
      </c>
      <c r="D11" s="28">
        <f>+'APPENDIX 15'!D11+'APPENDIX 16'!D11</f>
        <v>933321.99213000003</v>
      </c>
      <c r="E11" s="28">
        <f>+'APPENDIX 15'!E11+'APPENDIX 16'!E11</f>
        <v>933321.99213000003</v>
      </c>
      <c r="F11" s="28">
        <f>+'APPENDIX 15'!F11+'APPENDIX 16'!F11</f>
        <v>0</v>
      </c>
      <c r="G11" s="28">
        <f>+'APPENDIX 15'!G11+'APPENDIX 16'!G11</f>
        <v>67977.143769999995</v>
      </c>
      <c r="H11" s="28">
        <f>+'APPENDIX 15'!H11+'APPENDIX 16'!H11</f>
        <v>67977.143769999995</v>
      </c>
      <c r="I11" s="28">
        <f>+'APPENDIX 15'!I11+'APPENDIX 16'!I11</f>
        <v>0</v>
      </c>
      <c r="J11" s="28">
        <f>+'APPENDIX 15'!J11+'APPENDIX 16'!J11</f>
        <v>0</v>
      </c>
      <c r="K11" s="28">
        <f>+'APPENDIX 15'!K11+'APPENDIX 16'!K11</f>
        <v>0</v>
      </c>
      <c r="L11" s="28">
        <f>+'APPENDIX 15'!L11+'APPENDIX 16'!L11</f>
        <v>67977.143769999995</v>
      </c>
      <c r="M11" s="28">
        <f>+'APPENDIX 15'!M11+'APPENDIX 16'!M11</f>
        <v>133083.58728000001</v>
      </c>
      <c r="N11" s="28">
        <f>+'APPENDIX 15'!N11+'APPENDIX 16'!N11</f>
        <v>0</v>
      </c>
      <c r="O11" s="28">
        <f>+'APPENDIX 15'!O11+'APPENDIX 16'!O11</f>
        <v>0</v>
      </c>
      <c r="P11" s="28">
        <f>+'APPENDIX 15'!P11+'APPENDIX 16'!P11</f>
        <v>0</v>
      </c>
      <c r="Q11" s="40">
        <f>+'APPENDIX 15'!Q11+'APPENDIX 16'!Q11</f>
        <v>20795847.47359566</v>
      </c>
    </row>
    <row r="12" spans="2:17" x14ac:dyDescent="0.35">
      <c r="B12" s="3" t="str">
        <f>+'APPENDIX 15'!B12</f>
        <v xml:space="preserve">EQUITY LIFE ASSURANCE </v>
      </c>
      <c r="C12" s="28">
        <f>+'APPENDIX 15'!C12+'APPENDIX 16'!C12</f>
        <v>17866378.915625926</v>
      </c>
      <c r="D12" s="28">
        <f>+'APPENDIX 15'!D12+'APPENDIX 16'!D12</f>
        <v>729045.326</v>
      </c>
      <c r="E12" s="28">
        <f>+'APPENDIX 15'!E12+'APPENDIX 16'!E12</f>
        <v>729045.326</v>
      </c>
      <c r="F12" s="28">
        <f>+'APPENDIX 15'!F12+'APPENDIX 16'!F12</f>
        <v>42083.236609833402</v>
      </c>
      <c r="G12" s="28">
        <f>+'APPENDIX 15'!G12+'APPENDIX 16'!G12</f>
        <v>385686.30085598701</v>
      </c>
      <c r="H12" s="28">
        <f>+'APPENDIX 15'!H12+'APPENDIX 16'!H12</f>
        <v>385686.30085598701</v>
      </c>
      <c r="I12" s="28">
        <f>+'APPENDIX 15'!I12+'APPENDIX 16'!I12</f>
        <v>0</v>
      </c>
      <c r="J12" s="28">
        <f>+'APPENDIX 15'!J12+'APPENDIX 16'!J12</f>
        <v>0</v>
      </c>
      <c r="K12" s="28">
        <f>+'APPENDIX 15'!K12+'APPENDIX 16'!K12</f>
        <v>0</v>
      </c>
      <c r="L12" s="28">
        <f>+'APPENDIX 15'!L12+'APPENDIX 16'!L12</f>
        <v>0</v>
      </c>
      <c r="M12" s="28">
        <f>+'APPENDIX 15'!M12+'APPENDIX 16'!M12</f>
        <v>757.39884601010294</v>
      </c>
      <c r="N12" s="28">
        <f>+'APPENDIX 15'!N12+'APPENDIX 16'!N12</f>
        <v>609289.00296783261</v>
      </c>
      <c r="O12" s="28">
        <f>+'APPENDIX 15'!O12+'APPENDIX 16'!O12</f>
        <v>45922.214339833408</v>
      </c>
      <c r="P12" s="28">
        <f>+'APPENDIX 15'!P12+'APPENDIX 16'!P12</f>
        <v>0</v>
      </c>
      <c r="Q12" s="40">
        <f>+'APPENDIX 15'!Q12+'APPENDIX 16'!Q12</f>
        <v>18814430.567161757</v>
      </c>
    </row>
    <row r="13" spans="2:17" x14ac:dyDescent="0.35">
      <c r="B13" s="3" t="str">
        <f>+'APPENDIX 15'!B13</f>
        <v xml:space="preserve">GA LIFE ASSURANCE COMPANY </v>
      </c>
      <c r="C13" s="28">
        <f>+'APPENDIX 15'!C13+'APPENDIX 16'!C13</f>
        <v>56511368.875488192</v>
      </c>
      <c r="D13" s="28">
        <f>+'APPENDIX 15'!D13+'APPENDIX 16'!D13</f>
        <v>2108635.3140000002</v>
      </c>
      <c r="E13" s="28">
        <f>+'APPENDIX 15'!E13+'APPENDIX 16'!E13</f>
        <v>2108635.3140000002</v>
      </c>
      <c r="F13" s="28">
        <f>+'APPENDIX 15'!F13+'APPENDIX 16'!F13</f>
        <v>0</v>
      </c>
      <c r="G13" s="28">
        <f>+'APPENDIX 15'!G13+'APPENDIX 16'!G13</f>
        <v>831593.05900000001</v>
      </c>
      <c r="H13" s="28">
        <f>+'APPENDIX 15'!H13+'APPENDIX 16'!H13</f>
        <v>831593.05900000001</v>
      </c>
      <c r="I13" s="28">
        <f>+'APPENDIX 15'!I13+'APPENDIX 16'!I13</f>
        <v>0</v>
      </c>
      <c r="J13" s="28">
        <f>+'APPENDIX 15'!J13+'APPENDIX 16'!J13</f>
        <v>0</v>
      </c>
      <c r="K13" s="28">
        <f>+'APPENDIX 15'!K13+'APPENDIX 16'!K13</f>
        <v>0</v>
      </c>
      <c r="L13" s="28">
        <f>+'APPENDIX 15'!L13+'APPENDIX 16'!L13</f>
        <v>13050.739</v>
      </c>
      <c r="M13" s="28">
        <f>+'APPENDIX 15'!M13+'APPENDIX 16'!M13</f>
        <v>67396.101999999999</v>
      </c>
      <c r="N13" s="28">
        <f>+'APPENDIX 15'!N13+'APPENDIX 16'!N13</f>
        <v>2134579.2309999997</v>
      </c>
      <c r="O13" s="28">
        <f>+'APPENDIX 15'!O13+'APPENDIX 16'!O13</f>
        <v>0</v>
      </c>
      <c r="P13" s="28">
        <f>+'APPENDIX 15'!P13+'APPENDIX 16'!P13</f>
        <v>0</v>
      </c>
      <c r="Q13" s="40">
        <f>+'APPENDIX 15'!Q13+'APPENDIX 16'!Q13</f>
        <v>59842543.520488188</v>
      </c>
    </row>
    <row r="14" spans="2:17" x14ac:dyDescent="0.35">
      <c r="B14" s="3" t="str">
        <f>+'APPENDIX 15'!B14</f>
        <v>GEMINIA LIFE INSURANCE COMPANY</v>
      </c>
      <c r="C14" s="28">
        <f>+'APPENDIX 15'!C14+'APPENDIX 16'!C14</f>
        <v>870602.66299999994</v>
      </c>
      <c r="D14" s="28">
        <f>+'APPENDIX 15'!D14+'APPENDIX 16'!D14</f>
        <v>719890.5198207444</v>
      </c>
      <c r="E14" s="28">
        <f>+'APPENDIX 15'!E14+'APPENDIX 16'!E14</f>
        <v>719890.5198207444</v>
      </c>
      <c r="F14" s="28">
        <f>+'APPENDIX 15'!F14+'APPENDIX 16'!F14</f>
        <v>0</v>
      </c>
      <c r="G14" s="28">
        <f>+'APPENDIX 15'!G14+'APPENDIX 16'!G14</f>
        <v>362783.26690901368</v>
      </c>
      <c r="H14" s="28">
        <f>+'APPENDIX 15'!H14+'APPENDIX 16'!H14</f>
        <v>0</v>
      </c>
      <c r="I14" s="28">
        <f>+'APPENDIX 15'!I14+'APPENDIX 16'!I14</f>
        <v>362783.26690901368</v>
      </c>
      <c r="J14" s="28">
        <f>+'APPENDIX 15'!J14+'APPENDIX 16'!J14</f>
        <v>0</v>
      </c>
      <c r="K14" s="28">
        <f>+'APPENDIX 15'!K14+'APPENDIX 16'!K14</f>
        <v>0</v>
      </c>
      <c r="L14" s="28">
        <f>+'APPENDIX 15'!L14+'APPENDIX 16'!L14</f>
        <v>-1155.008</v>
      </c>
      <c r="M14" s="28">
        <f>+'APPENDIX 15'!M14+'APPENDIX 16'!M14</f>
        <v>4464.3238501390333</v>
      </c>
      <c r="N14" s="28">
        <f>+'APPENDIX 15'!N14+'APPENDIX 16'!N14</f>
        <v>0</v>
      </c>
      <c r="O14" s="28">
        <f>+'APPENDIX 15'!O14+'APPENDIX 16'!O14</f>
        <v>0</v>
      </c>
      <c r="P14" s="28">
        <f>+'APPENDIX 15'!P14+'APPENDIX 16'!P14</f>
        <v>0</v>
      </c>
      <c r="Q14" s="40">
        <f>+'APPENDIX 15'!Q14+'APPENDIX 16'!Q14</f>
        <v>1224400.6000615917</v>
      </c>
    </row>
    <row r="15" spans="2:17" x14ac:dyDescent="0.35">
      <c r="B15" s="3" t="str">
        <f>+'APPENDIX 15'!B15</f>
        <v xml:space="preserve">ICEA LION LIFE ASSURANCE </v>
      </c>
      <c r="C15" s="28">
        <f>+'APPENDIX 15'!C15+'APPENDIX 16'!C15</f>
        <v>152320412.40200001</v>
      </c>
      <c r="D15" s="28">
        <f>+'APPENDIX 15'!D15+'APPENDIX 16'!D15</f>
        <v>5313850.8959999997</v>
      </c>
      <c r="E15" s="28">
        <f>+'APPENDIX 15'!E15+'APPENDIX 16'!E15</f>
        <v>5313850.8959999997</v>
      </c>
      <c r="F15" s="28">
        <f>+'APPENDIX 15'!F15+'APPENDIX 16'!F15</f>
        <v>0</v>
      </c>
      <c r="G15" s="28">
        <f>+'APPENDIX 15'!G15+'APPENDIX 16'!G15</f>
        <v>4028356.1334600002</v>
      </c>
      <c r="H15" s="28">
        <f>+'APPENDIX 15'!H15+'APPENDIX 16'!H15</f>
        <v>4028356.1334600002</v>
      </c>
      <c r="I15" s="28">
        <f>+'APPENDIX 15'!I15+'APPENDIX 16'!I15</f>
        <v>0</v>
      </c>
      <c r="J15" s="28">
        <f>+'APPENDIX 15'!J15+'APPENDIX 16'!J15</f>
        <v>0</v>
      </c>
      <c r="K15" s="28">
        <f>+'APPENDIX 15'!K15+'APPENDIX 16'!K15</f>
        <v>0</v>
      </c>
      <c r="L15" s="28">
        <f>+'APPENDIX 15'!L15+'APPENDIX 16'!L15</f>
        <v>90112.676000000007</v>
      </c>
      <c r="M15" s="28">
        <f>+'APPENDIX 15'!M15+'APPENDIX 16'!M15</f>
        <v>227289.45078848017</v>
      </c>
      <c r="N15" s="28">
        <f>+'APPENDIX 15'!N15+'APPENDIX 16'!N15</f>
        <v>5518302.4450000003</v>
      </c>
      <c r="O15" s="28">
        <f>+'APPENDIX 15'!O15+'APPENDIX 16'!O15</f>
        <v>0</v>
      </c>
      <c r="P15" s="28">
        <f>+'APPENDIX 15'!P15+'APPENDIX 16'!P15</f>
        <v>315000</v>
      </c>
      <c r="Q15" s="40">
        <f>+'APPENDIX 15'!Q15+'APPENDIX 16'!Q15</f>
        <v>158491807.48275152</v>
      </c>
    </row>
    <row r="16" spans="2:17" x14ac:dyDescent="0.35">
      <c r="B16" s="3" t="str">
        <f>+'APPENDIX 15'!B16</f>
        <v>JUBILEE LIFE INSURANCE</v>
      </c>
      <c r="C16" s="28">
        <f>+'APPENDIX 15'!C16+'APPENDIX 16'!C16</f>
        <v>131599010.07290712</v>
      </c>
      <c r="D16" s="28">
        <f>+'APPENDIX 15'!D16+'APPENDIX 16'!D16</f>
        <v>5035051.8490329999</v>
      </c>
      <c r="E16" s="28">
        <f>+'APPENDIX 15'!E16+'APPENDIX 16'!E16</f>
        <v>5035051.8490329999</v>
      </c>
      <c r="F16" s="28">
        <f>+'APPENDIX 15'!F16+'APPENDIX 16'!F16</f>
        <v>0</v>
      </c>
      <c r="G16" s="28">
        <f>+'APPENDIX 15'!G16+'APPENDIX 16'!G16</f>
        <v>2438049.1740000001</v>
      </c>
      <c r="H16" s="28">
        <f>+'APPENDIX 15'!H16+'APPENDIX 16'!H16</f>
        <v>2438049.1740000001</v>
      </c>
      <c r="I16" s="28">
        <f>+'APPENDIX 15'!I16+'APPENDIX 16'!I16</f>
        <v>0</v>
      </c>
      <c r="J16" s="28">
        <f>+'APPENDIX 15'!J16+'APPENDIX 16'!J16</f>
        <v>0</v>
      </c>
      <c r="K16" s="28">
        <f>+'APPENDIX 15'!K16+'APPENDIX 16'!K16</f>
        <v>0</v>
      </c>
      <c r="L16" s="28">
        <f>+'APPENDIX 15'!L16+'APPENDIX 16'!L16</f>
        <v>81148.623000000007</v>
      </c>
      <c r="M16" s="28">
        <f>+'APPENDIX 15'!M16+'APPENDIX 16'!M16</f>
        <v>110314.23520642263</v>
      </c>
      <c r="N16" s="28">
        <f>+'APPENDIX 15'!N16+'APPENDIX 16'!N16</f>
        <v>4867047.3229999999</v>
      </c>
      <c r="O16" s="28">
        <f>+'APPENDIX 15'!O16+'APPENDIX 16'!O16</f>
        <v>27293.517</v>
      </c>
      <c r="P16" s="28">
        <f>+'APPENDIX 15'!P16+'APPENDIX 16'!P16</f>
        <v>0</v>
      </c>
      <c r="Q16" s="40">
        <f>+'APPENDIX 15'!Q16+'APPENDIX 16'!Q16</f>
        <v>138844303.6957337</v>
      </c>
    </row>
    <row r="17" spans="2:17" x14ac:dyDescent="0.35">
      <c r="B17" s="3" t="str">
        <f>+'APPENDIX 15'!B17</f>
        <v>KENINDIA ASSURANCE COMPANY</v>
      </c>
      <c r="C17" s="28">
        <f>+'APPENDIX 15'!C17+'APPENDIX 16'!C17</f>
        <v>82409181.686245427</v>
      </c>
      <c r="D17" s="28">
        <f>+'APPENDIX 15'!D17+'APPENDIX 16'!D17</f>
        <v>3674214.6940000001</v>
      </c>
      <c r="E17" s="28">
        <f>+'APPENDIX 15'!E17+'APPENDIX 16'!E17</f>
        <v>3674214.6940000001</v>
      </c>
      <c r="F17" s="28">
        <f>+'APPENDIX 15'!F17+'APPENDIX 16'!F17</f>
        <v>0</v>
      </c>
      <c r="G17" s="28">
        <f>+'APPENDIX 15'!G17+'APPENDIX 16'!G17</f>
        <v>1913060.15754</v>
      </c>
      <c r="H17" s="28">
        <f>+'APPENDIX 15'!H17+'APPENDIX 16'!H17</f>
        <v>1913060.15754</v>
      </c>
      <c r="I17" s="28">
        <f>+'APPENDIX 15'!I17+'APPENDIX 16'!I17</f>
        <v>0</v>
      </c>
      <c r="J17" s="28">
        <f>+'APPENDIX 15'!J17+'APPENDIX 16'!J17</f>
        <v>0</v>
      </c>
      <c r="K17" s="28">
        <f>+'APPENDIX 15'!K17+'APPENDIX 16'!K17</f>
        <v>0</v>
      </c>
      <c r="L17" s="28">
        <f>+'APPENDIX 15'!L17+'APPENDIX 16'!L17</f>
        <v>65701.576010000004</v>
      </c>
      <c r="M17" s="28">
        <f>+'APPENDIX 15'!M17+'APPENDIX 16'!M17</f>
        <v>201158.3620884</v>
      </c>
      <c r="N17" s="28">
        <f>+'APPENDIX 15'!N17+'APPENDIX 16'!N17</f>
        <v>2806207.1638587695</v>
      </c>
      <c r="O17" s="28">
        <f>+'APPENDIX 15'!O17+'APPENDIX 16'!O17</f>
        <v>0</v>
      </c>
      <c r="P17" s="28">
        <f>+'APPENDIX 15'!P17+'APPENDIX 16'!P17</f>
        <v>109378.06975</v>
      </c>
      <c r="Q17" s="40">
        <f>+'APPENDIX 15'!Q17+'APPENDIX 16'!Q17</f>
        <v>86600305.378715798</v>
      </c>
    </row>
    <row r="18" spans="2:17" x14ac:dyDescent="0.35">
      <c r="B18" s="3" t="str">
        <f>+'APPENDIX 15'!B18</f>
        <v>KENYA ORIENT LIFE ASSURANCE</v>
      </c>
      <c r="C18" s="28">
        <f>+'APPENDIX 15'!C18+'APPENDIX 16'!C18</f>
        <v>2277693.1193513339</v>
      </c>
      <c r="D18" s="28">
        <f>+'APPENDIX 15'!D18+'APPENDIX 16'!D18</f>
        <v>77085.749949999998</v>
      </c>
      <c r="E18" s="28">
        <f>+'APPENDIX 15'!E18+'APPENDIX 16'!E18</f>
        <v>77085.749949999998</v>
      </c>
      <c r="F18" s="28">
        <f>+'APPENDIX 15'!F18+'APPENDIX 16'!F18</f>
        <v>0</v>
      </c>
      <c r="G18" s="28">
        <f>+'APPENDIX 15'!G18+'APPENDIX 16'!G18</f>
        <v>68791.440570000006</v>
      </c>
      <c r="H18" s="28">
        <f>+'APPENDIX 15'!H18+'APPENDIX 16'!H18</f>
        <v>68791.440570000006</v>
      </c>
      <c r="I18" s="28">
        <f>+'APPENDIX 15'!I18+'APPENDIX 16'!I18</f>
        <v>0</v>
      </c>
      <c r="J18" s="28">
        <f>+'APPENDIX 15'!J18+'APPENDIX 16'!J18</f>
        <v>0</v>
      </c>
      <c r="K18" s="28">
        <f>+'APPENDIX 15'!K18+'APPENDIX 16'!K18</f>
        <v>0</v>
      </c>
      <c r="L18" s="28">
        <f>+'APPENDIX 15'!L18+'APPENDIX 16'!L18</f>
        <v>0</v>
      </c>
      <c r="M18" s="28">
        <f>+'APPENDIX 15'!M18+'APPENDIX 16'!M18</f>
        <v>1271.5470880000028</v>
      </c>
      <c r="N18" s="28">
        <f>+'APPENDIX 15'!N18+'APPENDIX 16'!N18</f>
        <v>72935.017771420491</v>
      </c>
      <c r="O18" s="28">
        <f>+'APPENDIX 15'!O18+'APPENDIX 16'!O18</f>
        <v>0</v>
      </c>
      <c r="P18" s="28">
        <f>+'APPENDIX 15'!P18+'APPENDIX 16'!P18</f>
        <v>0</v>
      </c>
      <c r="Q18" s="40">
        <f>+'APPENDIX 15'!Q18+'APPENDIX 16'!Q18</f>
        <v>2357650.8994147545</v>
      </c>
    </row>
    <row r="19" spans="2:17" x14ac:dyDescent="0.35">
      <c r="B19" s="43" t="str">
        <f>+'APPENDIX 15'!B19</f>
        <v>LIBERTY LIFE ASSURANCE COMPANY</v>
      </c>
      <c r="C19" s="28">
        <f>+'APPENDIX 15'!C19+'APPENDIX 16'!C19</f>
        <v>11891614.845766157</v>
      </c>
      <c r="D19" s="28">
        <f>+'APPENDIX 15'!D19+'APPENDIX 16'!D19</f>
        <v>656039.67693999992</v>
      </c>
      <c r="E19" s="28">
        <f>+'APPENDIX 15'!E19+'APPENDIX 16'!E19</f>
        <v>656039.67693999992</v>
      </c>
      <c r="F19" s="28">
        <f>+'APPENDIX 15'!F19+'APPENDIX 16'!F19</f>
        <v>0</v>
      </c>
      <c r="G19" s="28">
        <f>+'APPENDIX 15'!G19+'APPENDIX 16'!G19</f>
        <v>253664.22700000001</v>
      </c>
      <c r="H19" s="28">
        <f>+'APPENDIX 15'!H19+'APPENDIX 16'!H19</f>
        <v>253664.22700000001</v>
      </c>
      <c r="I19" s="28">
        <f>+'APPENDIX 15'!I19+'APPENDIX 16'!I19</f>
        <v>0</v>
      </c>
      <c r="J19" s="28">
        <f>+'APPENDIX 15'!J19+'APPENDIX 16'!J19</f>
        <v>0</v>
      </c>
      <c r="K19" s="28">
        <f>+'APPENDIX 15'!K19+'APPENDIX 16'!K19</f>
        <v>0</v>
      </c>
      <c r="L19" s="28">
        <f>+'APPENDIX 15'!L19+'APPENDIX 16'!L19</f>
        <v>15950.692999999999</v>
      </c>
      <c r="M19" s="28">
        <f>+'APPENDIX 15'!M19+'APPENDIX 16'!M19</f>
        <v>119074.94</v>
      </c>
      <c r="N19" s="28">
        <f>+'APPENDIX 15'!N19+'APPENDIX 16'!N19</f>
        <v>419019.21126000007</v>
      </c>
      <c r="O19" s="28">
        <f>+'APPENDIX 15'!O19+'APPENDIX 16'!O19</f>
        <v>9749.4077904563874</v>
      </c>
      <c r="P19" s="28">
        <f>+'APPENDIX 15'!P19+'APPENDIX 16'!P19</f>
        <v>0</v>
      </c>
      <c r="Q19" s="40">
        <f>+'APPENDIX 15'!Q19+'APPENDIX 16'!Q19</f>
        <v>12568234.466175703</v>
      </c>
    </row>
    <row r="20" spans="2:17" x14ac:dyDescent="0.35">
      <c r="B20" s="43" t="str">
        <f>+'APPENDIX 15'!B20</f>
        <v>MADISON INSURANCE COMPANY</v>
      </c>
      <c r="C20" s="28">
        <f>+'APPENDIX 15'!C20+'APPENDIX 16'!C20</f>
        <v>6616814.3867214806</v>
      </c>
      <c r="D20" s="28">
        <f>+'APPENDIX 15'!D20+'APPENDIX 16'!D20</f>
        <v>215578.46676999988</v>
      </c>
      <c r="E20" s="28">
        <f>+'APPENDIX 15'!E20+'APPENDIX 16'!E20</f>
        <v>215578.46676999988</v>
      </c>
      <c r="F20" s="28">
        <f>+'APPENDIX 15'!F20+'APPENDIX 16'!F20</f>
        <v>0</v>
      </c>
      <c r="G20" s="28">
        <f>+'APPENDIX 15'!G20+'APPENDIX 16'!G20</f>
        <v>183592.27683999998</v>
      </c>
      <c r="H20" s="28">
        <f>+'APPENDIX 15'!H20+'APPENDIX 16'!H20</f>
        <v>183592.27683999998</v>
      </c>
      <c r="I20" s="28">
        <f>+'APPENDIX 15'!I20+'APPENDIX 16'!I20</f>
        <v>0</v>
      </c>
      <c r="J20" s="28">
        <f>+'APPENDIX 15'!J20+'APPENDIX 16'!J20</f>
        <v>0</v>
      </c>
      <c r="K20" s="28">
        <f>+'APPENDIX 15'!K20+'APPENDIX 16'!K20</f>
        <v>0</v>
      </c>
      <c r="L20" s="28">
        <f>+'APPENDIX 15'!L20+'APPENDIX 16'!L20</f>
        <v>1517.03791</v>
      </c>
      <c r="M20" s="28">
        <f>+'APPENDIX 15'!M20+'APPENDIX 16'!M20</f>
        <v>17247.174700745505</v>
      </c>
      <c r="N20" s="28">
        <f>+'APPENDIX 15'!N20+'APPENDIX 16'!N20</f>
        <v>74623.382515088597</v>
      </c>
      <c r="O20" s="28">
        <f>+'APPENDIX 15'!O20+'APPENDIX 16'!O20</f>
        <v>4884.3928107550946</v>
      </c>
      <c r="P20" s="28">
        <f>+'APPENDIX 15'!P20+'APPENDIX 16'!P20</f>
        <v>0</v>
      </c>
      <c r="Q20" s="40">
        <f>+'APPENDIX 15'!Q20+'APPENDIX 16'!Q20</f>
        <v>6699775.3537450694</v>
      </c>
    </row>
    <row r="21" spans="2:17" x14ac:dyDescent="0.35">
      <c r="B21" s="3" t="str">
        <f>+'APPENDIX 15'!B21</f>
        <v>OLD MUTUAL LIFE ASSURANCE KENYA</v>
      </c>
      <c r="C21" s="28">
        <f>+'APPENDIX 15'!C21+'APPENDIX 16'!C21</f>
        <v>7292043.8437667293</v>
      </c>
      <c r="D21" s="28">
        <f>+'APPENDIX 15'!D21+'APPENDIX 16'!D21</f>
        <v>301785.63479999988</v>
      </c>
      <c r="E21" s="28">
        <f>+'APPENDIX 15'!E21+'APPENDIX 16'!E21</f>
        <v>301785.63479999988</v>
      </c>
      <c r="F21" s="28">
        <f>+'APPENDIX 15'!F21+'APPENDIX 16'!F21</f>
        <v>0</v>
      </c>
      <c r="G21" s="28">
        <f>+'APPENDIX 15'!G21+'APPENDIX 16'!G21</f>
        <v>156052.73689</v>
      </c>
      <c r="H21" s="28">
        <f>+'APPENDIX 15'!H21+'APPENDIX 16'!H21</f>
        <v>156052.73689</v>
      </c>
      <c r="I21" s="28">
        <f>+'APPENDIX 15'!I21+'APPENDIX 16'!I21</f>
        <v>0</v>
      </c>
      <c r="J21" s="28">
        <f>+'APPENDIX 15'!J21+'APPENDIX 16'!J21</f>
        <v>0</v>
      </c>
      <c r="K21" s="28">
        <f>+'APPENDIX 15'!K21+'APPENDIX 16'!K21</f>
        <v>0</v>
      </c>
      <c r="L21" s="28">
        <f>+'APPENDIX 15'!L21+'APPENDIX 16'!L21</f>
        <v>4681.5245699999996</v>
      </c>
      <c r="M21" s="28">
        <f>+'APPENDIX 15'!M21+'APPENDIX 16'!M21</f>
        <v>21991.548163411309</v>
      </c>
      <c r="N21" s="28">
        <f>+'APPENDIX 15'!N21+'APPENDIX 16'!N21</f>
        <v>316838.69814772822</v>
      </c>
      <c r="O21" s="28">
        <f>+'APPENDIX 15'!O21+'APPENDIX 16'!O21</f>
        <v>0</v>
      </c>
      <c r="P21" s="28">
        <f>+'APPENDIX 15'!P21+'APPENDIX 16'!P21</f>
        <v>0</v>
      </c>
      <c r="Q21" s="40">
        <f>+'APPENDIX 15'!Q21+'APPENDIX 16'!Q21</f>
        <v>7727942.3670910466</v>
      </c>
    </row>
    <row r="22" spans="2:17" x14ac:dyDescent="0.35">
      <c r="B22" s="3" t="str">
        <f>+'APPENDIX 15'!B22</f>
        <v xml:space="preserve">PIONEER ASSURANCE COMPANY </v>
      </c>
      <c r="C22" s="28">
        <f>+'APPENDIX 15'!C22+'APPENDIX 16'!C22</f>
        <v>13886719.968748111</v>
      </c>
      <c r="D22" s="28">
        <f>+'APPENDIX 15'!D22+'APPENDIX 16'!D22</f>
        <v>2364715.7343200012</v>
      </c>
      <c r="E22" s="28">
        <f>+'APPENDIX 15'!E22+'APPENDIX 16'!E22</f>
        <v>2364715.7343200012</v>
      </c>
      <c r="F22" s="28">
        <f>+'APPENDIX 15'!F22+'APPENDIX 16'!F22</f>
        <v>0</v>
      </c>
      <c r="G22" s="28">
        <f>+'APPENDIX 15'!G22+'APPENDIX 16'!G22</f>
        <v>174935.27736964796</v>
      </c>
      <c r="H22" s="28">
        <f>+'APPENDIX 15'!H22+'APPENDIX 16'!H22</f>
        <v>174935.27736964796</v>
      </c>
      <c r="I22" s="28">
        <f>+'APPENDIX 15'!I22+'APPENDIX 16'!I22</f>
        <v>0</v>
      </c>
      <c r="J22" s="28">
        <f>+'APPENDIX 15'!J22+'APPENDIX 16'!J22</f>
        <v>0</v>
      </c>
      <c r="K22" s="28">
        <f>+'APPENDIX 15'!K22+'APPENDIX 16'!K22</f>
        <v>0</v>
      </c>
      <c r="L22" s="28">
        <f>+'APPENDIX 15'!L22+'APPENDIX 16'!L22</f>
        <v>116112.455</v>
      </c>
      <c r="M22" s="28">
        <f>+'APPENDIX 15'!M22+'APPENDIX 16'!M22</f>
        <v>49430.884338904987</v>
      </c>
      <c r="N22" s="28">
        <f>+'APPENDIX 15'!N22+'APPENDIX 16'!N22</f>
        <v>730178.74341385893</v>
      </c>
      <c r="O22" s="28">
        <f>+'APPENDIX 15'!O22+'APPENDIX 16'!O22</f>
        <v>0</v>
      </c>
      <c r="P22" s="28">
        <f>+'APPENDIX 15'!P22+'APPENDIX 16'!P22</f>
        <v>0</v>
      </c>
      <c r="Q22" s="40">
        <f>+'APPENDIX 15'!Q22+'APPENDIX 16'!Q22</f>
        <v>16641135.829773415</v>
      </c>
    </row>
    <row r="23" spans="2:17" x14ac:dyDescent="0.35">
      <c r="B23" s="3" t="str">
        <f>+'APPENDIX 15'!B23</f>
        <v>PRUDENTIAL LIFE ASSURANCE</v>
      </c>
      <c r="C23" s="28">
        <f>+'APPENDIX 15'!C23+'APPENDIX 16'!C23</f>
        <v>4139985.594</v>
      </c>
      <c r="D23" s="28">
        <f>+'APPENDIX 15'!D23+'APPENDIX 16'!D23</f>
        <v>391535.59695000004</v>
      </c>
      <c r="E23" s="28">
        <f>+'APPENDIX 15'!E23+'APPENDIX 16'!E23</f>
        <v>391535.59695000004</v>
      </c>
      <c r="F23" s="28">
        <f>+'APPENDIX 15'!F23+'APPENDIX 16'!F23</f>
        <v>0</v>
      </c>
      <c r="G23" s="28">
        <f>+'APPENDIX 15'!G23+'APPENDIX 16'!G23</f>
        <v>126460.573</v>
      </c>
      <c r="H23" s="28">
        <f>+'APPENDIX 15'!H23+'APPENDIX 16'!H23</f>
        <v>126460.573</v>
      </c>
      <c r="I23" s="28">
        <f>+'APPENDIX 15'!I23+'APPENDIX 16'!I23</f>
        <v>0</v>
      </c>
      <c r="J23" s="28">
        <f>+'APPENDIX 15'!J23+'APPENDIX 16'!J23</f>
        <v>0</v>
      </c>
      <c r="K23" s="28">
        <f>+'APPENDIX 15'!K23+'APPENDIX 16'!K23</f>
        <v>0</v>
      </c>
      <c r="L23" s="28">
        <f>+'APPENDIX 15'!L23+'APPENDIX 16'!L23</f>
        <v>0</v>
      </c>
      <c r="M23" s="28">
        <f>+'APPENDIX 15'!M23+'APPENDIX 16'!M23</f>
        <v>17536.67067</v>
      </c>
      <c r="N23" s="28">
        <f>+'APPENDIX 15'!N23+'APPENDIX 16'!N23</f>
        <v>149861.48800000001</v>
      </c>
      <c r="O23" s="28">
        <f>+'APPENDIX 15'!O23+'APPENDIX 16'!O23</f>
        <v>0</v>
      </c>
      <c r="P23" s="28">
        <f>+'APPENDIX 15'!P23+'APPENDIX 16'!P23</f>
        <v>0</v>
      </c>
      <c r="Q23" s="40">
        <f>+'APPENDIX 15'!Q23+'APPENDIX 16'!Q23</f>
        <v>4537385.4352799999</v>
      </c>
    </row>
    <row r="24" spans="2:17" x14ac:dyDescent="0.35">
      <c r="B24" s="3" t="str">
        <f>+'APPENDIX 15'!B24</f>
        <v>SANLAM LIFE ASSURANCE</v>
      </c>
      <c r="C24" s="28">
        <f>+'APPENDIX 15'!C24+'APPENDIX 16'!C24</f>
        <v>4727777.7795558115</v>
      </c>
      <c r="D24" s="28">
        <f>+'APPENDIX 15'!D24+'APPENDIX 16'!D24</f>
        <v>878562.77404999989</v>
      </c>
      <c r="E24" s="28">
        <f>+'APPENDIX 15'!E24+'APPENDIX 16'!E24</f>
        <v>878562.77404999989</v>
      </c>
      <c r="F24" s="28">
        <f>+'APPENDIX 15'!F24+'APPENDIX 16'!F24</f>
        <v>0</v>
      </c>
      <c r="G24" s="28">
        <f>+'APPENDIX 15'!G24+'APPENDIX 16'!G24</f>
        <v>149515.54805000004</v>
      </c>
      <c r="H24" s="28">
        <f>+'APPENDIX 15'!H24+'APPENDIX 16'!H24</f>
        <v>149515.54805000004</v>
      </c>
      <c r="I24" s="28">
        <f>+'APPENDIX 15'!I24+'APPENDIX 16'!I24</f>
        <v>0</v>
      </c>
      <c r="J24" s="28">
        <f>+'APPENDIX 15'!J24+'APPENDIX 16'!J24</f>
        <v>0</v>
      </c>
      <c r="K24" s="28">
        <f>+'APPENDIX 15'!K24+'APPENDIX 16'!K24</f>
        <v>0</v>
      </c>
      <c r="L24" s="28">
        <f>+'APPENDIX 15'!L24+'APPENDIX 16'!L24</f>
        <v>15701.969580000001</v>
      </c>
      <c r="M24" s="28">
        <f>+'APPENDIX 15'!M24+'APPENDIX 16'!M24</f>
        <v>9737.1221113755855</v>
      </c>
      <c r="N24" s="28">
        <f>+'APPENDIX 15'!N24+'APPENDIX 16'!N24</f>
        <v>244683.20989999999</v>
      </c>
      <c r="O24" s="28">
        <f>+'APPENDIX 15'!O24+'APPENDIX 16'!O24</f>
        <v>0</v>
      </c>
      <c r="P24" s="28">
        <f>+'APPENDIX 15'!P24+'APPENDIX 16'!P24</f>
        <v>0</v>
      </c>
      <c r="Q24" s="40">
        <f>+'APPENDIX 15'!Q24+'APPENDIX 16'!Q24</f>
        <v>5676069.1237644358</v>
      </c>
    </row>
    <row r="25" spans="2:17" x14ac:dyDescent="0.35">
      <c r="B25" s="3" t="str">
        <f>+'APPENDIX 15'!B25</f>
        <v>STAR DISCOVER LIFE INSURANCE</v>
      </c>
      <c r="C25" s="28">
        <f>+'APPENDIX 15'!C25+'APPENDIX 16'!C25</f>
        <v>0</v>
      </c>
      <c r="D25" s="28">
        <f>+'APPENDIX 15'!D25+'APPENDIX 16'!D25</f>
        <v>0</v>
      </c>
      <c r="E25" s="28">
        <f>+'APPENDIX 15'!E25+'APPENDIX 16'!E25</f>
        <v>0</v>
      </c>
      <c r="F25" s="28">
        <f>+'APPENDIX 15'!F25+'APPENDIX 16'!F25</f>
        <v>0</v>
      </c>
      <c r="G25" s="28">
        <f>+'APPENDIX 15'!G25+'APPENDIX 16'!G25</f>
        <v>0</v>
      </c>
      <c r="H25" s="28">
        <f>+'APPENDIX 15'!H25+'APPENDIX 16'!H25</f>
        <v>0</v>
      </c>
      <c r="I25" s="28">
        <f>+'APPENDIX 15'!I25+'APPENDIX 16'!I25</f>
        <v>0</v>
      </c>
      <c r="J25" s="28">
        <f>+'APPENDIX 15'!J25+'APPENDIX 16'!J25</f>
        <v>0</v>
      </c>
      <c r="K25" s="28">
        <f>+'APPENDIX 15'!K25+'APPENDIX 16'!K25</f>
        <v>0</v>
      </c>
      <c r="L25" s="28">
        <f>+'APPENDIX 15'!L25+'APPENDIX 16'!L25</f>
        <v>0</v>
      </c>
      <c r="M25" s="28">
        <f>+'APPENDIX 15'!M25+'APPENDIX 16'!M25</f>
        <v>0</v>
      </c>
      <c r="N25" s="28">
        <f>+'APPENDIX 15'!N25+'APPENDIX 16'!N25</f>
        <v>0</v>
      </c>
      <c r="O25" s="28">
        <f>+'APPENDIX 15'!O25+'APPENDIX 16'!O25</f>
        <v>0</v>
      </c>
      <c r="P25" s="28">
        <f>+'APPENDIX 15'!P25+'APPENDIX 16'!P25</f>
        <v>0</v>
      </c>
      <c r="Q25" s="40">
        <f>+'APPENDIX 15'!Q25+'APPENDIX 16'!Q25</f>
        <v>0</v>
      </c>
    </row>
    <row r="26" spans="2:17" x14ac:dyDescent="0.35">
      <c r="B26" s="3" t="str">
        <f>+'APPENDIX 15'!B26</f>
        <v>THE KENYAN ALLIANCE INSURANCE</v>
      </c>
      <c r="C26" s="28">
        <f>+'APPENDIX 15'!C26+'APPENDIX 16'!C26</f>
        <v>0</v>
      </c>
      <c r="D26" s="28">
        <f>+'APPENDIX 15'!D26+'APPENDIX 16'!D26</f>
        <v>0</v>
      </c>
      <c r="E26" s="28">
        <f>+'APPENDIX 15'!E26+'APPENDIX 16'!E26</f>
        <v>0</v>
      </c>
      <c r="F26" s="28">
        <f>+'APPENDIX 15'!F26+'APPENDIX 16'!F26</f>
        <v>0</v>
      </c>
      <c r="G26" s="28">
        <f>+'APPENDIX 15'!G26+'APPENDIX 16'!G26</f>
        <v>0</v>
      </c>
      <c r="H26" s="28">
        <f>+'APPENDIX 15'!H26+'APPENDIX 16'!H26</f>
        <v>0</v>
      </c>
      <c r="I26" s="28">
        <f>+'APPENDIX 15'!I26+'APPENDIX 16'!I26</f>
        <v>0</v>
      </c>
      <c r="J26" s="28">
        <f>+'APPENDIX 15'!J26+'APPENDIX 16'!J26</f>
        <v>0</v>
      </c>
      <c r="K26" s="28">
        <f>+'APPENDIX 15'!K26+'APPENDIX 16'!K26</f>
        <v>0</v>
      </c>
      <c r="L26" s="28">
        <f>+'APPENDIX 15'!L26+'APPENDIX 16'!L26</f>
        <v>0</v>
      </c>
      <c r="M26" s="28">
        <f>+'APPENDIX 15'!M26+'APPENDIX 16'!M26</f>
        <v>0</v>
      </c>
      <c r="N26" s="28">
        <f>+'APPENDIX 15'!N26+'APPENDIX 16'!N26</f>
        <v>0</v>
      </c>
      <c r="O26" s="28">
        <f>+'APPENDIX 15'!O26+'APPENDIX 16'!O26</f>
        <v>0</v>
      </c>
      <c r="P26" s="28">
        <f>+'APPENDIX 15'!P26+'APPENDIX 16'!P26</f>
        <v>0</v>
      </c>
      <c r="Q26" s="40">
        <f>+'APPENDIX 15'!Q26+'APPENDIX 16'!Q26</f>
        <v>0</v>
      </c>
    </row>
    <row r="27" spans="2:17" x14ac:dyDescent="0.35">
      <c r="B27" s="3" t="str">
        <f>+'APPENDIX 15'!B27</f>
        <v>THE MONARCH INSURANCE</v>
      </c>
      <c r="C27" s="28">
        <f>+'APPENDIX 15'!C27+'APPENDIX 16'!C27</f>
        <v>0</v>
      </c>
      <c r="D27" s="28">
        <f>+'APPENDIX 15'!D27+'APPENDIX 16'!D27</f>
        <v>0</v>
      </c>
      <c r="E27" s="28">
        <f>+'APPENDIX 15'!E27+'APPENDIX 16'!E27</f>
        <v>0</v>
      </c>
      <c r="F27" s="28">
        <f>+'APPENDIX 15'!F27+'APPENDIX 16'!F27</f>
        <v>0</v>
      </c>
      <c r="G27" s="28">
        <f>+'APPENDIX 15'!G27+'APPENDIX 16'!G27</f>
        <v>0</v>
      </c>
      <c r="H27" s="28">
        <f>+'APPENDIX 15'!H27+'APPENDIX 16'!H27</f>
        <v>0</v>
      </c>
      <c r="I27" s="28">
        <f>+'APPENDIX 15'!I27+'APPENDIX 16'!I27</f>
        <v>0</v>
      </c>
      <c r="J27" s="28">
        <f>+'APPENDIX 15'!J27+'APPENDIX 16'!J27</f>
        <v>0</v>
      </c>
      <c r="K27" s="28">
        <f>+'APPENDIX 15'!K27+'APPENDIX 16'!K27</f>
        <v>0</v>
      </c>
      <c r="L27" s="28">
        <f>+'APPENDIX 15'!L27+'APPENDIX 16'!L27</f>
        <v>0</v>
      </c>
      <c r="M27" s="28">
        <f>+'APPENDIX 15'!M27+'APPENDIX 16'!M27</f>
        <v>0</v>
      </c>
      <c r="N27" s="28">
        <f>+'APPENDIX 15'!N27+'APPENDIX 16'!N27</f>
        <v>0</v>
      </c>
      <c r="O27" s="28">
        <f>+'APPENDIX 15'!O27+'APPENDIX 16'!O27</f>
        <v>0</v>
      </c>
      <c r="P27" s="28">
        <f>+'APPENDIX 15'!P27+'APPENDIX 16'!P27</f>
        <v>0</v>
      </c>
      <c r="Q27" s="40">
        <f>+'APPENDIX 15'!Q27+'APPENDIX 16'!Q27</f>
        <v>0</v>
      </c>
    </row>
    <row r="28" spans="2:17" x14ac:dyDescent="0.35">
      <c r="B28" s="25" t="s">
        <v>7</v>
      </c>
      <c r="C28" s="39">
        <f t="shared" ref="C28:Q28" si="0">SUM(C6:C27)</f>
        <v>608055207.46406198</v>
      </c>
      <c r="D28" s="39">
        <f t="shared" si="0"/>
        <v>28181883.850993741</v>
      </c>
      <c r="E28" s="39">
        <f t="shared" si="0"/>
        <v>28181883.850993741</v>
      </c>
      <c r="F28" s="39">
        <f t="shared" si="0"/>
        <v>42083.236609833402</v>
      </c>
      <c r="G28" s="39">
        <f t="shared" si="0"/>
        <v>15166753.74365465</v>
      </c>
      <c r="H28" s="39">
        <f t="shared" si="0"/>
        <v>14803970.476745635</v>
      </c>
      <c r="I28" s="39">
        <f t="shared" si="0"/>
        <v>362783.26690901368</v>
      </c>
      <c r="J28" s="39">
        <f t="shared" si="0"/>
        <v>0</v>
      </c>
      <c r="K28" s="39">
        <f t="shared" si="0"/>
        <v>0</v>
      </c>
      <c r="L28" s="39">
        <f t="shared" si="0"/>
        <v>523284.79616000009</v>
      </c>
      <c r="M28" s="39">
        <f t="shared" si="0"/>
        <v>1263664.8991986702</v>
      </c>
      <c r="N28" s="39">
        <f t="shared" si="0"/>
        <v>21827186.602085367</v>
      </c>
      <c r="O28" s="39">
        <f t="shared" si="0"/>
        <v>99053.62463425615</v>
      </c>
      <c r="P28" s="39">
        <f t="shared" si="0"/>
        <v>424378.06975000002</v>
      </c>
      <c r="Q28" s="39">
        <f t="shared" si="0"/>
        <v>640629226.0203532</v>
      </c>
    </row>
    <row r="29" spans="2:17" x14ac:dyDescent="0.35">
      <c r="B29" s="351" t="s">
        <v>142</v>
      </c>
      <c r="C29" s="301"/>
      <c r="D29" s="301"/>
      <c r="E29" s="301"/>
      <c r="F29" s="301"/>
      <c r="G29" s="301"/>
      <c r="H29" s="301"/>
      <c r="I29" s="301"/>
      <c r="J29" s="301"/>
      <c r="K29" s="301"/>
      <c r="L29" s="301"/>
      <c r="M29" s="301"/>
      <c r="N29" s="301"/>
      <c r="O29" s="301"/>
      <c r="P29" s="301"/>
      <c r="Q29" s="302"/>
    </row>
    <row r="30" spans="2:17" x14ac:dyDescent="0.35">
      <c r="B30" s="3" t="str">
        <f>+'APPENDIX 15'!B30</f>
        <v>CONTINENTAL REINSURANCE</v>
      </c>
      <c r="C30" s="28">
        <f>+'APPENDIX 15'!C30+'APPENDIX 16'!C30</f>
        <v>0</v>
      </c>
      <c r="D30" s="28">
        <f>+'APPENDIX 15'!D30+'APPENDIX 16'!D30</f>
        <v>0</v>
      </c>
      <c r="E30" s="28">
        <f>+'APPENDIX 15'!E30+'APPENDIX 16'!E30</f>
        <v>0</v>
      </c>
      <c r="F30" s="28">
        <f>+'APPENDIX 15'!F30+'APPENDIX 16'!F30</f>
        <v>0</v>
      </c>
      <c r="G30" s="28">
        <f>+'APPENDIX 15'!G30+'APPENDIX 16'!G30</f>
        <v>0</v>
      </c>
      <c r="H30" s="28">
        <f>+'APPENDIX 15'!H30+'APPENDIX 16'!H30</f>
        <v>0</v>
      </c>
      <c r="I30" s="28">
        <f>+'APPENDIX 15'!I30+'APPENDIX 16'!I30</f>
        <v>0</v>
      </c>
      <c r="J30" s="28">
        <f>+'APPENDIX 15'!J30+'APPENDIX 16'!J30</f>
        <v>0</v>
      </c>
      <c r="K30" s="28">
        <f>+'APPENDIX 15'!K30+'APPENDIX 16'!K30</f>
        <v>0</v>
      </c>
      <c r="L30" s="28">
        <f>+'APPENDIX 15'!L30+'APPENDIX 16'!L30</f>
        <v>0</v>
      </c>
      <c r="M30" s="28">
        <f>+'APPENDIX 15'!M30+'APPENDIX 16'!M30</f>
        <v>0</v>
      </c>
      <c r="N30" s="28">
        <f>+'APPENDIX 15'!N30+'APPENDIX 16'!N30</f>
        <v>0</v>
      </c>
      <c r="O30" s="28">
        <f>+'APPENDIX 15'!O30+'APPENDIX 16'!O30</f>
        <v>0</v>
      </c>
      <c r="P30" s="28">
        <f>+'APPENDIX 15'!P30+'APPENDIX 16'!P30</f>
        <v>0</v>
      </c>
      <c r="Q30" s="40">
        <f>+'APPENDIX 15'!Q30+'APPENDIX 16'!Q30</f>
        <v>0</v>
      </c>
    </row>
    <row r="31" spans="2:17" x14ac:dyDescent="0.35">
      <c r="B31" s="3" t="str">
        <f>+'APPENDIX 15'!B31</f>
        <v xml:space="preserve">EAST AFRICA REINSURANCE </v>
      </c>
      <c r="C31" s="28">
        <f>+'APPENDIX 15'!C31+'APPENDIX 16'!C31</f>
        <v>0</v>
      </c>
      <c r="D31" s="28">
        <f>+'APPENDIX 15'!D31+'APPENDIX 16'!D31</f>
        <v>0</v>
      </c>
      <c r="E31" s="28">
        <f>+'APPENDIX 15'!E31+'APPENDIX 16'!E31</f>
        <v>0</v>
      </c>
      <c r="F31" s="28">
        <f>+'APPENDIX 15'!F31+'APPENDIX 16'!F31</f>
        <v>0</v>
      </c>
      <c r="G31" s="28">
        <f>+'APPENDIX 15'!G31+'APPENDIX 16'!G31</f>
        <v>0</v>
      </c>
      <c r="H31" s="28">
        <f>+'APPENDIX 15'!H31+'APPENDIX 16'!H31</f>
        <v>0</v>
      </c>
      <c r="I31" s="28">
        <f>+'APPENDIX 15'!I31+'APPENDIX 16'!I31</f>
        <v>0</v>
      </c>
      <c r="J31" s="28">
        <f>+'APPENDIX 15'!J31+'APPENDIX 16'!J31</f>
        <v>0</v>
      </c>
      <c r="K31" s="28">
        <f>+'APPENDIX 15'!K31+'APPENDIX 16'!K31</f>
        <v>0</v>
      </c>
      <c r="L31" s="28">
        <f>+'APPENDIX 15'!L31+'APPENDIX 16'!L31</f>
        <v>0</v>
      </c>
      <c r="M31" s="28">
        <f>+'APPENDIX 15'!M31+'APPENDIX 16'!M31</f>
        <v>0</v>
      </c>
      <c r="N31" s="28">
        <f>+'APPENDIX 15'!N31+'APPENDIX 16'!N31</f>
        <v>0</v>
      </c>
      <c r="O31" s="28">
        <f>+'APPENDIX 15'!O31+'APPENDIX 16'!O31</f>
        <v>0</v>
      </c>
      <c r="P31" s="28">
        <f>+'APPENDIX 15'!P31+'APPENDIX 16'!P31</f>
        <v>0</v>
      </c>
      <c r="Q31" s="40">
        <f>+'APPENDIX 15'!Q31+'APPENDIX 16'!Q31</f>
        <v>0</v>
      </c>
    </row>
    <row r="32" spans="2:17" x14ac:dyDescent="0.35">
      <c r="B32" s="3" t="str">
        <f>+'APPENDIX 15'!B32</f>
        <v>KENYA REINSURANCE CORPORATION</v>
      </c>
      <c r="C32" s="28">
        <f>+'APPENDIX 15'!C32+'APPENDIX 16'!C32</f>
        <v>0</v>
      </c>
      <c r="D32" s="28">
        <f>+'APPENDIX 15'!D32+'APPENDIX 16'!D32</f>
        <v>0</v>
      </c>
      <c r="E32" s="28">
        <f>+'APPENDIX 15'!E32+'APPENDIX 16'!E32</f>
        <v>0</v>
      </c>
      <c r="F32" s="28">
        <f>+'APPENDIX 15'!F32+'APPENDIX 16'!F32</f>
        <v>0</v>
      </c>
      <c r="G32" s="28">
        <f>+'APPENDIX 15'!G32+'APPENDIX 16'!G32</f>
        <v>0</v>
      </c>
      <c r="H32" s="28">
        <f>+'APPENDIX 15'!H32+'APPENDIX 16'!H32</f>
        <v>0</v>
      </c>
      <c r="I32" s="28">
        <f>+'APPENDIX 15'!I32+'APPENDIX 16'!I32</f>
        <v>0</v>
      </c>
      <c r="J32" s="28">
        <f>+'APPENDIX 15'!J32+'APPENDIX 16'!J32</f>
        <v>0</v>
      </c>
      <c r="K32" s="28">
        <f>+'APPENDIX 15'!K32+'APPENDIX 16'!K32</f>
        <v>0</v>
      </c>
      <c r="L32" s="28">
        <f>+'APPENDIX 15'!L32+'APPENDIX 16'!L32</f>
        <v>0</v>
      </c>
      <c r="M32" s="28">
        <f>+'APPENDIX 15'!M32+'APPENDIX 16'!M32</f>
        <v>0</v>
      </c>
      <c r="N32" s="28">
        <f>+'APPENDIX 15'!N32+'APPENDIX 16'!N32</f>
        <v>0</v>
      </c>
      <c r="O32" s="28">
        <f>+'APPENDIX 15'!O32+'APPENDIX 16'!O32</f>
        <v>0</v>
      </c>
      <c r="P32" s="28">
        <f>+'APPENDIX 15'!P32+'APPENDIX 16'!P32</f>
        <v>0</v>
      </c>
      <c r="Q32" s="40">
        <f>+'APPENDIX 15'!Q32+'APPENDIX 16'!Q32</f>
        <v>0</v>
      </c>
    </row>
    <row r="33" spans="2:17" x14ac:dyDescent="0.35">
      <c r="B33" s="25" t="s">
        <v>7</v>
      </c>
      <c r="C33" s="39">
        <f t="shared" ref="C33:Q33" si="1">SUM(C30:C32)</f>
        <v>0</v>
      </c>
      <c r="D33" s="39">
        <f t="shared" si="1"/>
        <v>0</v>
      </c>
      <c r="E33" s="39">
        <f t="shared" si="1"/>
        <v>0</v>
      </c>
      <c r="F33" s="39">
        <f t="shared" si="1"/>
        <v>0</v>
      </c>
      <c r="G33" s="39">
        <f t="shared" si="1"/>
        <v>0</v>
      </c>
      <c r="H33" s="39">
        <f t="shared" si="1"/>
        <v>0</v>
      </c>
      <c r="I33" s="39">
        <f t="shared" si="1"/>
        <v>0</v>
      </c>
      <c r="J33" s="39">
        <f t="shared" si="1"/>
        <v>0</v>
      </c>
      <c r="K33" s="39">
        <f t="shared" si="1"/>
        <v>0</v>
      </c>
      <c r="L33" s="39">
        <f t="shared" si="1"/>
        <v>0</v>
      </c>
      <c r="M33" s="39">
        <f t="shared" si="1"/>
        <v>0</v>
      </c>
      <c r="N33" s="39">
        <f t="shared" si="1"/>
        <v>0</v>
      </c>
      <c r="O33" s="39">
        <f t="shared" si="1"/>
        <v>0</v>
      </c>
      <c r="P33" s="39">
        <f t="shared" si="1"/>
        <v>0</v>
      </c>
      <c r="Q33" s="39">
        <f t="shared" si="1"/>
        <v>0</v>
      </c>
    </row>
    <row r="34" spans="2:17" x14ac:dyDescent="0.35">
      <c r="B34" s="103" t="s">
        <v>149</v>
      </c>
      <c r="C34" s="102"/>
      <c r="D34" s="102"/>
      <c r="E34" s="102"/>
      <c r="F34" s="102"/>
      <c r="G34" s="102"/>
      <c r="H34" s="102"/>
      <c r="I34" s="102"/>
      <c r="J34" s="102"/>
      <c r="K34" s="102"/>
      <c r="L34" s="102"/>
      <c r="M34" s="102"/>
      <c r="N34" s="102"/>
      <c r="O34" s="102"/>
      <c r="P34" s="102"/>
      <c r="Q34" s="102"/>
    </row>
  </sheetData>
  <sheetProtection algorithmName="SHA-512" hashValue="bpERvExdigzPx2JotvpHSTy6pAPSS3kjpad1o7jSPiNdfu+7CFTOrymzpRhd0fjHWUNBtebBONQtLdwPnDKw5w==" saltValue="vuGp5V72KtyhRCXzIlcBnQ==" spinCount="100000" sheet="1" objects="1" scenarios="1"/>
  <mergeCells count="3">
    <mergeCell ref="B29:Q29"/>
    <mergeCell ref="B3:Q3"/>
    <mergeCell ref="B5:Q5"/>
  </mergeCells>
  <pageMargins left="0.7" right="0.7" top="0.75" bottom="0.75" header="0.3" footer="0.3"/>
  <pageSetup paperSize="9" scale="36"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9">
    <tabColor rgb="FF92D050"/>
  </sheetPr>
  <dimension ref="B3:Q49"/>
  <sheetViews>
    <sheetView showGridLines="0" zoomScale="69" zoomScaleNormal="70" workbookViewId="0">
      <pane xSplit="2" ySplit="5" topLeftCell="O30" activePane="bottomRight" state="frozen"/>
      <selection activeCell="A4" sqref="A4:XFD4"/>
      <selection pane="topRight" activeCell="A4" sqref="A4:XFD4"/>
      <selection pane="bottomLeft" activeCell="A4" sqref="A4:XFD4"/>
      <selection pane="bottomRight" activeCell="O30" sqref="B3:Q34"/>
    </sheetView>
  </sheetViews>
  <sheetFormatPr defaultColWidth="14.36328125" defaultRowHeight="15.5" x14ac:dyDescent="0.35"/>
  <cols>
    <col min="1" max="1" width="9.6328125" style="153" customWidth="1"/>
    <col min="2" max="2" width="48.26953125" style="153" bestFit="1" customWidth="1"/>
    <col min="3" max="16" width="17.90625" style="153" customWidth="1"/>
    <col min="17" max="17" width="17.90625" style="164" customWidth="1"/>
    <col min="18" max="18" width="15.453125" style="153" bestFit="1" customWidth="1"/>
    <col min="19" max="19" width="15.90625" style="153" bestFit="1" customWidth="1"/>
    <col min="20" max="256" width="14.36328125" style="153" customWidth="1"/>
    <col min="257" max="257" width="9.6328125" style="153" customWidth="1"/>
    <col min="258" max="258" width="43.54296875" style="153" customWidth="1"/>
    <col min="259" max="273" width="17.90625" style="153" customWidth="1"/>
    <col min="274" max="274" width="15.453125" style="153" bestFit="1" customWidth="1"/>
    <col min="275" max="275" width="15.90625" style="153" bestFit="1" customWidth="1"/>
    <col min="276" max="512" width="14.36328125" style="153" customWidth="1"/>
    <col min="513" max="513" width="9.6328125" style="153" customWidth="1"/>
    <col min="514" max="514" width="43.54296875" style="153" customWidth="1"/>
    <col min="515" max="529" width="17.90625" style="153" customWidth="1"/>
    <col min="530" max="530" width="15.453125" style="153" bestFit="1" customWidth="1"/>
    <col min="531" max="531" width="15.90625" style="153" bestFit="1" customWidth="1"/>
    <col min="532" max="768" width="14.36328125" style="153" customWidth="1"/>
    <col min="769" max="769" width="9.6328125" style="153" customWidth="1"/>
    <col min="770" max="770" width="43.54296875" style="153" customWidth="1"/>
    <col min="771" max="785" width="17.90625" style="153" customWidth="1"/>
    <col min="786" max="786" width="15.453125" style="153" bestFit="1" customWidth="1"/>
    <col min="787" max="787" width="15.90625" style="153" bestFit="1" customWidth="1"/>
    <col min="788" max="1024" width="14.36328125" style="153" customWidth="1"/>
    <col min="1025" max="1025" width="9.6328125" style="153" customWidth="1"/>
    <col min="1026" max="1026" width="43.54296875" style="153" customWidth="1"/>
    <col min="1027" max="1041" width="17.90625" style="153" customWidth="1"/>
    <col min="1042" max="1042" width="15.453125" style="153" bestFit="1" customWidth="1"/>
    <col min="1043" max="1043" width="15.90625" style="153" bestFit="1" customWidth="1"/>
    <col min="1044" max="1280" width="14.36328125" style="153" customWidth="1"/>
    <col min="1281" max="1281" width="9.6328125" style="153" customWidth="1"/>
    <col min="1282" max="1282" width="43.54296875" style="153" customWidth="1"/>
    <col min="1283" max="1297" width="17.90625" style="153" customWidth="1"/>
    <col min="1298" max="1298" width="15.453125" style="153" bestFit="1" customWidth="1"/>
    <col min="1299" max="1299" width="15.90625" style="153" bestFit="1" customWidth="1"/>
    <col min="1300" max="1536" width="14.36328125" style="153" customWidth="1"/>
    <col min="1537" max="1537" width="9.6328125" style="153" customWidth="1"/>
    <col min="1538" max="1538" width="43.54296875" style="153" customWidth="1"/>
    <col min="1539" max="1553" width="17.90625" style="153" customWidth="1"/>
    <col min="1554" max="1554" width="15.453125" style="153" bestFit="1" customWidth="1"/>
    <col min="1555" max="1555" width="15.90625" style="153" bestFit="1" customWidth="1"/>
    <col min="1556" max="1792" width="14.36328125" style="153" customWidth="1"/>
    <col min="1793" max="1793" width="9.6328125" style="153" customWidth="1"/>
    <col min="1794" max="1794" width="43.54296875" style="153" customWidth="1"/>
    <col min="1795" max="1809" width="17.90625" style="153" customWidth="1"/>
    <col min="1810" max="1810" width="15.453125" style="153" bestFit="1" customWidth="1"/>
    <col min="1811" max="1811" width="15.90625" style="153" bestFit="1" customWidth="1"/>
    <col min="1812" max="2048" width="14.36328125" style="153" customWidth="1"/>
    <col min="2049" max="2049" width="9.6328125" style="153" customWidth="1"/>
    <col min="2050" max="2050" width="43.54296875" style="153" customWidth="1"/>
    <col min="2051" max="2065" width="17.90625" style="153" customWidth="1"/>
    <col min="2066" max="2066" width="15.453125" style="153" bestFit="1" customWidth="1"/>
    <col min="2067" max="2067" width="15.90625" style="153" bestFit="1" customWidth="1"/>
    <col min="2068" max="2304" width="14.36328125" style="153" customWidth="1"/>
    <col min="2305" max="2305" width="9.6328125" style="153" customWidth="1"/>
    <col min="2306" max="2306" width="43.54296875" style="153" customWidth="1"/>
    <col min="2307" max="2321" width="17.90625" style="153" customWidth="1"/>
    <col min="2322" max="2322" width="15.453125" style="153" bestFit="1" customWidth="1"/>
    <col min="2323" max="2323" width="15.90625" style="153" bestFit="1" customWidth="1"/>
    <col min="2324" max="2560" width="14.36328125" style="153" customWidth="1"/>
    <col min="2561" max="2561" width="9.6328125" style="153" customWidth="1"/>
    <col min="2562" max="2562" width="43.54296875" style="153" customWidth="1"/>
    <col min="2563" max="2577" width="17.90625" style="153" customWidth="1"/>
    <col min="2578" max="2578" width="15.453125" style="153" bestFit="1" customWidth="1"/>
    <col min="2579" max="2579" width="15.90625" style="153" bestFit="1" customWidth="1"/>
    <col min="2580" max="2816" width="14.36328125" style="153" customWidth="1"/>
    <col min="2817" max="2817" width="9.6328125" style="153" customWidth="1"/>
    <col min="2818" max="2818" width="43.54296875" style="153" customWidth="1"/>
    <col min="2819" max="2833" width="17.90625" style="153" customWidth="1"/>
    <col min="2834" max="2834" width="15.453125" style="153" bestFit="1" customWidth="1"/>
    <col min="2835" max="2835" width="15.90625" style="153" bestFit="1" customWidth="1"/>
    <col min="2836" max="3072" width="14.36328125" style="153" customWidth="1"/>
    <col min="3073" max="3073" width="9.6328125" style="153" customWidth="1"/>
    <col min="3074" max="3074" width="43.54296875" style="153" customWidth="1"/>
    <col min="3075" max="3089" width="17.90625" style="153" customWidth="1"/>
    <col min="3090" max="3090" width="15.453125" style="153" bestFit="1" customWidth="1"/>
    <col min="3091" max="3091" width="15.90625" style="153" bestFit="1" customWidth="1"/>
    <col min="3092" max="3328" width="14.36328125" style="153" customWidth="1"/>
    <col min="3329" max="3329" width="9.6328125" style="153" customWidth="1"/>
    <col min="3330" max="3330" width="43.54296875" style="153" customWidth="1"/>
    <col min="3331" max="3345" width="17.90625" style="153" customWidth="1"/>
    <col min="3346" max="3346" width="15.453125" style="153" bestFit="1" customWidth="1"/>
    <col min="3347" max="3347" width="15.90625" style="153" bestFit="1" customWidth="1"/>
    <col min="3348" max="3584" width="14.36328125" style="153" customWidth="1"/>
    <col min="3585" max="3585" width="9.6328125" style="153" customWidth="1"/>
    <col min="3586" max="3586" width="43.54296875" style="153" customWidth="1"/>
    <col min="3587" max="3601" width="17.90625" style="153" customWidth="1"/>
    <col min="3602" max="3602" width="15.453125" style="153" bestFit="1" customWidth="1"/>
    <col min="3603" max="3603" width="15.90625" style="153" bestFit="1" customWidth="1"/>
    <col min="3604" max="3840" width="14.36328125" style="153" customWidth="1"/>
    <col min="3841" max="3841" width="9.6328125" style="153" customWidth="1"/>
    <col min="3842" max="3842" width="43.54296875" style="153" customWidth="1"/>
    <col min="3843" max="3857" width="17.90625" style="153" customWidth="1"/>
    <col min="3858" max="3858" width="15.453125" style="153" bestFit="1" customWidth="1"/>
    <col min="3859" max="3859" width="15.90625" style="153" bestFit="1" customWidth="1"/>
    <col min="3860" max="4096" width="14.36328125" style="153" customWidth="1"/>
    <col min="4097" max="4097" width="9.6328125" style="153" customWidth="1"/>
    <col min="4098" max="4098" width="43.54296875" style="153" customWidth="1"/>
    <col min="4099" max="4113" width="17.90625" style="153" customWidth="1"/>
    <col min="4114" max="4114" width="15.453125" style="153" bestFit="1" customWidth="1"/>
    <col min="4115" max="4115" width="15.90625" style="153" bestFit="1" customWidth="1"/>
    <col min="4116" max="4352" width="14.36328125" style="153" customWidth="1"/>
    <col min="4353" max="4353" width="9.6328125" style="153" customWidth="1"/>
    <col min="4354" max="4354" width="43.54296875" style="153" customWidth="1"/>
    <col min="4355" max="4369" width="17.90625" style="153" customWidth="1"/>
    <col min="4370" max="4370" width="15.453125" style="153" bestFit="1" customWidth="1"/>
    <col min="4371" max="4371" width="15.90625" style="153" bestFit="1" customWidth="1"/>
    <col min="4372" max="4608" width="14.36328125" style="153" customWidth="1"/>
    <col min="4609" max="4609" width="9.6328125" style="153" customWidth="1"/>
    <col min="4610" max="4610" width="43.54296875" style="153" customWidth="1"/>
    <col min="4611" max="4625" width="17.90625" style="153" customWidth="1"/>
    <col min="4626" max="4626" width="15.453125" style="153" bestFit="1" customWidth="1"/>
    <col min="4627" max="4627" width="15.90625" style="153" bestFit="1" customWidth="1"/>
    <col min="4628" max="4864" width="14.36328125" style="153" customWidth="1"/>
    <col min="4865" max="4865" width="9.6328125" style="153" customWidth="1"/>
    <col min="4866" max="4866" width="43.54296875" style="153" customWidth="1"/>
    <col min="4867" max="4881" width="17.90625" style="153" customWidth="1"/>
    <col min="4882" max="4882" width="15.453125" style="153" bestFit="1" customWidth="1"/>
    <col min="4883" max="4883" width="15.90625" style="153" bestFit="1" customWidth="1"/>
    <col min="4884" max="5120" width="14.36328125" style="153" customWidth="1"/>
    <col min="5121" max="5121" width="9.6328125" style="153" customWidth="1"/>
    <col min="5122" max="5122" width="43.54296875" style="153" customWidth="1"/>
    <col min="5123" max="5137" width="17.90625" style="153" customWidth="1"/>
    <col min="5138" max="5138" width="15.453125" style="153" bestFit="1" customWidth="1"/>
    <col min="5139" max="5139" width="15.90625" style="153" bestFit="1" customWidth="1"/>
    <col min="5140" max="5376" width="14.36328125" style="153" customWidth="1"/>
    <col min="5377" max="5377" width="9.6328125" style="153" customWidth="1"/>
    <col min="5378" max="5378" width="43.54296875" style="153" customWidth="1"/>
    <col min="5379" max="5393" width="17.90625" style="153" customWidth="1"/>
    <col min="5394" max="5394" width="15.453125" style="153" bestFit="1" customWidth="1"/>
    <col min="5395" max="5395" width="15.90625" style="153" bestFit="1" customWidth="1"/>
    <col min="5396" max="5632" width="14.36328125" style="153" customWidth="1"/>
    <col min="5633" max="5633" width="9.6328125" style="153" customWidth="1"/>
    <col min="5634" max="5634" width="43.54296875" style="153" customWidth="1"/>
    <col min="5635" max="5649" width="17.90625" style="153" customWidth="1"/>
    <col min="5650" max="5650" width="15.453125" style="153" bestFit="1" customWidth="1"/>
    <col min="5651" max="5651" width="15.90625" style="153" bestFit="1" customWidth="1"/>
    <col min="5652" max="5888" width="14.36328125" style="153" customWidth="1"/>
    <col min="5889" max="5889" width="9.6328125" style="153" customWidth="1"/>
    <col min="5890" max="5890" width="43.54296875" style="153" customWidth="1"/>
    <col min="5891" max="5905" width="17.90625" style="153" customWidth="1"/>
    <col min="5906" max="5906" width="15.453125" style="153" bestFit="1" customWidth="1"/>
    <col min="5907" max="5907" width="15.90625" style="153" bestFit="1" customWidth="1"/>
    <col min="5908" max="6144" width="14.36328125" style="153" customWidth="1"/>
    <col min="6145" max="6145" width="9.6328125" style="153" customWidth="1"/>
    <col min="6146" max="6146" width="43.54296875" style="153" customWidth="1"/>
    <col min="6147" max="6161" width="17.90625" style="153" customWidth="1"/>
    <col min="6162" max="6162" width="15.453125" style="153" bestFit="1" customWidth="1"/>
    <col min="6163" max="6163" width="15.90625" style="153" bestFit="1" customWidth="1"/>
    <col min="6164" max="6400" width="14.36328125" style="153" customWidth="1"/>
    <col min="6401" max="6401" width="9.6328125" style="153" customWidth="1"/>
    <col min="6402" max="6402" width="43.54296875" style="153" customWidth="1"/>
    <col min="6403" max="6417" width="17.90625" style="153" customWidth="1"/>
    <col min="6418" max="6418" width="15.453125" style="153" bestFit="1" customWidth="1"/>
    <col min="6419" max="6419" width="15.90625" style="153" bestFit="1" customWidth="1"/>
    <col min="6420" max="6656" width="14.36328125" style="153" customWidth="1"/>
    <col min="6657" max="6657" width="9.6328125" style="153" customWidth="1"/>
    <col min="6658" max="6658" width="43.54296875" style="153" customWidth="1"/>
    <col min="6659" max="6673" width="17.90625" style="153" customWidth="1"/>
    <col min="6674" max="6674" width="15.453125" style="153" bestFit="1" customWidth="1"/>
    <col min="6675" max="6675" width="15.90625" style="153" bestFit="1" customWidth="1"/>
    <col min="6676" max="6912" width="14.36328125" style="153" customWidth="1"/>
    <col min="6913" max="6913" width="9.6328125" style="153" customWidth="1"/>
    <col min="6914" max="6914" width="43.54296875" style="153" customWidth="1"/>
    <col min="6915" max="6929" width="17.90625" style="153" customWidth="1"/>
    <col min="6930" max="6930" width="15.453125" style="153" bestFit="1" customWidth="1"/>
    <col min="6931" max="6931" width="15.90625" style="153" bestFit="1" customWidth="1"/>
    <col min="6932" max="7168" width="14.36328125" style="153" customWidth="1"/>
    <col min="7169" max="7169" width="9.6328125" style="153" customWidth="1"/>
    <col min="7170" max="7170" width="43.54296875" style="153" customWidth="1"/>
    <col min="7171" max="7185" width="17.90625" style="153" customWidth="1"/>
    <col min="7186" max="7186" width="15.453125" style="153" bestFit="1" customWidth="1"/>
    <col min="7187" max="7187" width="15.90625" style="153" bestFit="1" customWidth="1"/>
    <col min="7188" max="7424" width="14.36328125" style="153" customWidth="1"/>
    <col min="7425" max="7425" width="9.6328125" style="153" customWidth="1"/>
    <col min="7426" max="7426" width="43.54296875" style="153" customWidth="1"/>
    <col min="7427" max="7441" width="17.90625" style="153" customWidth="1"/>
    <col min="7442" max="7442" width="15.453125" style="153" bestFit="1" customWidth="1"/>
    <col min="7443" max="7443" width="15.90625" style="153" bestFit="1" customWidth="1"/>
    <col min="7444" max="7680" width="14.36328125" style="153" customWidth="1"/>
    <col min="7681" max="7681" width="9.6328125" style="153" customWidth="1"/>
    <col min="7682" max="7682" width="43.54296875" style="153" customWidth="1"/>
    <col min="7683" max="7697" width="17.90625" style="153" customWidth="1"/>
    <col min="7698" max="7698" width="15.453125" style="153" bestFit="1" customWidth="1"/>
    <col min="7699" max="7699" width="15.90625" style="153" bestFit="1" customWidth="1"/>
    <col min="7700" max="7936" width="14.36328125" style="153" customWidth="1"/>
    <col min="7937" max="7937" width="9.6328125" style="153" customWidth="1"/>
    <col min="7938" max="7938" width="43.54296875" style="153" customWidth="1"/>
    <col min="7939" max="7953" width="17.90625" style="153" customWidth="1"/>
    <col min="7954" max="7954" width="15.453125" style="153" bestFit="1" customWidth="1"/>
    <col min="7955" max="7955" width="15.90625" style="153" bestFit="1" customWidth="1"/>
    <col min="7956" max="8192" width="14.36328125" style="153" customWidth="1"/>
    <col min="8193" max="8193" width="9.6328125" style="153" customWidth="1"/>
    <col min="8194" max="8194" width="43.54296875" style="153" customWidth="1"/>
    <col min="8195" max="8209" width="17.90625" style="153" customWidth="1"/>
    <col min="8210" max="8210" width="15.453125" style="153" bestFit="1" customWidth="1"/>
    <col min="8211" max="8211" width="15.90625" style="153" bestFit="1" customWidth="1"/>
    <col min="8212" max="8448" width="14.36328125" style="153" customWidth="1"/>
    <col min="8449" max="8449" width="9.6328125" style="153" customWidth="1"/>
    <col min="8450" max="8450" width="43.54296875" style="153" customWidth="1"/>
    <col min="8451" max="8465" width="17.90625" style="153" customWidth="1"/>
    <col min="8466" max="8466" width="15.453125" style="153" bestFit="1" customWidth="1"/>
    <col min="8467" max="8467" width="15.90625" style="153" bestFit="1" customWidth="1"/>
    <col min="8468" max="8704" width="14.36328125" style="153" customWidth="1"/>
    <col min="8705" max="8705" width="9.6328125" style="153" customWidth="1"/>
    <col min="8706" max="8706" width="43.54296875" style="153" customWidth="1"/>
    <col min="8707" max="8721" width="17.90625" style="153" customWidth="1"/>
    <col min="8722" max="8722" width="15.453125" style="153" bestFit="1" customWidth="1"/>
    <col min="8723" max="8723" width="15.90625" style="153" bestFit="1" customWidth="1"/>
    <col min="8724" max="8960" width="14.36328125" style="153" customWidth="1"/>
    <col min="8961" max="8961" width="9.6328125" style="153" customWidth="1"/>
    <col min="8962" max="8962" width="43.54296875" style="153" customWidth="1"/>
    <col min="8963" max="8977" width="17.90625" style="153" customWidth="1"/>
    <col min="8978" max="8978" width="15.453125" style="153" bestFit="1" customWidth="1"/>
    <col min="8979" max="8979" width="15.90625" style="153" bestFit="1" customWidth="1"/>
    <col min="8980" max="9216" width="14.36328125" style="153" customWidth="1"/>
    <col min="9217" max="9217" width="9.6328125" style="153" customWidth="1"/>
    <col min="9218" max="9218" width="43.54296875" style="153" customWidth="1"/>
    <col min="9219" max="9233" width="17.90625" style="153" customWidth="1"/>
    <col min="9234" max="9234" width="15.453125" style="153" bestFit="1" customWidth="1"/>
    <col min="9235" max="9235" width="15.90625" style="153" bestFit="1" customWidth="1"/>
    <col min="9236" max="9472" width="14.36328125" style="153" customWidth="1"/>
    <col min="9473" max="9473" width="9.6328125" style="153" customWidth="1"/>
    <col min="9474" max="9474" width="43.54296875" style="153" customWidth="1"/>
    <col min="9475" max="9489" width="17.90625" style="153" customWidth="1"/>
    <col min="9490" max="9490" width="15.453125" style="153" bestFit="1" customWidth="1"/>
    <col min="9491" max="9491" width="15.90625" style="153" bestFit="1" customWidth="1"/>
    <col min="9492" max="9728" width="14.36328125" style="153" customWidth="1"/>
    <col min="9729" max="9729" width="9.6328125" style="153" customWidth="1"/>
    <col min="9730" max="9730" width="43.54296875" style="153" customWidth="1"/>
    <col min="9731" max="9745" width="17.90625" style="153" customWidth="1"/>
    <col min="9746" max="9746" width="15.453125" style="153" bestFit="1" customWidth="1"/>
    <col min="9747" max="9747" width="15.90625" style="153" bestFit="1" customWidth="1"/>
    <col min="9748" max="9984" width="14.36328125" style="153" customWidth="1"/>
    <col min="9985" max="9985" width="9.6328125" style="153" customWidth="1"/>
    <col min="9986" max="9986" width="43.54296875" style="153" customWidth="1"/>
    <col min="9987" max="10001" width="17.90625" style="153" customWidth="1"/>
    <col min="10002" max="10002" width="15.453125" style="153" bestFit="1" customWidth="1"/>
    <col min="10003" max="10003" width="15.90625" style="153" bestFit="1" customWidth="1"/>
    <col min="10004" max="10240" width="14.36328125" style="153" customWidth="1"/>
    <col min="10241" max="10241" width="9.6328125" style="153" customWidth="1"/>
    <col min="10242" max="10242" width="43.54296875" style="153" customWidth="1"/>
    <col min="10243" max="10257" width="17.90625" style="153" customWidth="1"/>
    <col min="10258" max="10258" width="15.453125" style="153" bestFit="1" customWidth="1"/>
    <col min="10259" max="10259" width="15.90625" style="153" bestFit="1" customWidth="1"/>
    <col min="10260" max="10496" width="14.36328125" style="153" customWidth="1"/>
    <col min="10497" max="10497" width="9.6328125" style="153" customWidth="1"/>
    <col min="10498" max="10498" width="43.54296875" style="153" customWidth="1"/>
    <col min="10499" max="10513" width="17.90625" style="153" customWidth="1"/>
    <col min="10514" max="10514" width="15.453125" style="153" bestFit="1" customWidth="1"/>
    <col min="10515" max="10515" width="15.90625" style="153" bestFit="1" customWidth="1"/>
    <col min="10516" max="10752" width="14.36328125" style="153" customWidth="1"/>
    <col min="10753" max="10753" width="9.6328125" style="153" customWidth="1"/>
    <col min="10754" max="10754" width="43.54296875" style="153" customWidth="1"/>
    <col min="10755" max="10769" width="17.90625" style="153" customWidth="1"/>
    <col min="10770" max="10770" width="15.453125" style="153" bestFit="1" customWidth="1"/>
    <col min="10771" max="10771" width="15.90625" style="153" bestFit="1" customWidth="1"/>
    <col min="10772" max="11008" width="14.36328125" style="153" customWidth="1"/>
    <col min="11009" max="11009" width="9.6328125" style="153" customWidth="1"/>
    <col min="11010" max="11010" width="43.54296875" style="153" customWidth="1"/>
    <col min="11011" max="11025" width="17.90625" style="153" customWidth="1"/>
    <col min="11026" max="11026" width="15.453125" style="153" bestFit="1" customWidth="1"/>
    <col min="11027" max="11027" width="15.90625" style="153" bestFit="1" customWidth="1"/>
    <col min="11028" max="11264" width="14.36328125" style="153" customWidth="1"/>
    <col min="11265" max="11265" width="9.6328125" style="153" customWidth="1"/>
    <col min="11266" max="11266" width="43.54296875" style="153" customWidth="1"/>
    <col min="11267" max="11281" width="17.90625" style="153" customWidth="1"/>
    <col min="11282" max="11282" width="15.453125" style="153" bestFit="1" customWidth="1"/>
    <col min="11283" max="11283" width="15.90625" style="153" bestFit="1" customWidth="1"/>
    <col min="11284" max="11520" width="14.36328125" style="153" customWidth="1"/>
    <col min="11521" max="11521" width="9.6328125" style="153" customWidth="1"/>
    <col min="11522" max="11522" width="43.54296875" style="153" customWidth="1"/>
    <col min="11523" max="11537" width="17.90625" style="153" customWidth="1"/>
    <col min="11538" max="11538" width="15.453125" style="153" bestFit="1" customWidth="1"/>
    <col min="11539" max="11539" width="15.90625" style="153" bestFit="1" customWidth="1"/>
    <col min="11540" max="11776" width="14.36328125" style="153" customWidth="1"/>
    <col min="11777" max="11777" width="9.6328125" style="153" customWidth="1"/>
    <col min="11778" max="11778" width="43.54296875" style="153" customWidth="1"/>
    <col min="11779" max="11793" width="17.90625" style="153" customWidth="1"/>
    <col min="11794" max="11794" width="15.453125" style="153" bestFit="1" customWidth="1"/>
    <col min="11795" max="11795" width="15.90625" style="153" bestFit="1" customWidth="1"/>
    <col min="11796" max="12032" width="14.36328125" style="153" customWidth="1"/>
    <col min="12033" max="12033" width="9.6328125" style="153" customWidth="1"/>
    <col min="12034" max="12034" width="43.54296875" style="153" customWidth="1"/>
    <col min="12035" max="12049" width="17.90625" style="153" customWidth="1"/>
    <col min="12050" max="12050" width="15.453125" style="153" bestFit="1" customWidth="1"/>
    <col min="12051" max="12051" width="15.90625" style="153" bestFit="1" customWidth="1"/>
    <col min="12052" max="12288" width="14.36328125" style="153" customWidth="1"/>
    <col min="12289" max="12289" width="9.6328125" style="153" customWidth="1"/>
    <col min="12290" max="12290" width="43.54296875" style="153" customWidth="1"/>
    <col min="12291" max="12305" width="17.90625" style="153" customWidth="1"/>
    <col min="12306" max="12306" width="15.453125" style="153" bestFit="1" customWidth="1"/>
    <col min="12307" max="12307" width="15.90625" style="153" bestFit="1" customWidth="1"/>
    <col min="12308" max="12544" width="14.36328125" style="153" customWidth="1"/>
    <col min="12545" max="12545" width="9.6328125" style="153" customWidth="1"/>
    <col min="12546" max="12546" width="43.54296875" style="153" customWidth="1"/>
    <col min="12547" max="12561" width="17.90625" style="153" customWidth="1"/>
    <col min="12562" max="12562" width="15.453125" style="153" bestFit="1" customWidth="1"/>
    <col min="12563" max="12563" width="15.90625" style="153" bestFit="1" customWidth="1"/>
    <col min="12564" max="12800" width="14.36328125" style="153" customWidth="1"/>
    <col min="12801" max="12801" width="9.6328125" style="153" customWidth="1"/>
    <col min="12802" max="12802" width="43.54296875" style="153" customWidth="1"/>
    <col min="12803" max="12817" width="17.90625" style="153" customWidth="1"/>
    <col min="12818" max="12818" width="15.453125" style="153" bestFit="1" customWidth="1"/>
    <col min="12819" max="12819" width="15.90625" style="153" bestFit="1" customWidth="1"/>
    <col min="12820" max="13056" width="14.36328125" style="153" customWidth="1"/>
    <col min="13057" max="13057" width="9.6328125" style="153" customWidth="1"/>
    <col min="13058" max="13058" width="43.54296875" style="153" customWidth="1"/>
    <col min="13059" max="13073" width="17.90625" style="153" customWidth="1"/>
    <col min="13074" max="13074" width="15.453125" style="153" bestFit="1" customWidth="1"/>
    <col min="13075" max="13075" width="15.90625" style="153" bestFit="1" customWidth="1"/>
    <col min="13076" max="13312" width="14.36328125" style="153" customWidth="1"/>
    <col min="13313" max="13313" width="9.6328125" style="153" customWidth="1"/>
    <col min="13314" max="13314" width="43.54296875" style="153" customWidth="1"/>
    <col min="13315" max="13329" width="17.90625" style="153" customWidth="1"/>
    <col min="13330" max="13330" width="15.453125" style="153" bestFit="1" customWidth="1"/>
    <col min="13331" max="13331" width="15.90625" style="153" bestFit="1" customWidth="1"/>
    <col min="13332" max="13568" width="14.36328125" style="153" customWidth="1"/>
    <col min="13569" max="13569" width="9.6328125" style="153" customWidth="1"/>
    <col min="13570" max="13570" width="43.54296875" style="153" customWidth="1"/>
    <col min="13571" max="13585" width="17.90625" style="153" customWidth="1"/>
    <col min="13586" max="13586" width="15.453125" style="153" bestFit="1" customWidth="1"/>
    <col min="13587" max="13587" width="15.90625" style="153" bestFit="1" customWidth="1"/>
    <col min="13588" max="13824" width="14.36328125" style="153" customWidth="1"/>
    <col min="13825" max="13825" width="9.6328125" style="153" customWidth="1"/>
    <col min="13826" max="13826" width="43.54296875" style="153" customWidth="1"/>
    <col min="13827" max="13841" width="17.90625" style="153" customWidth="1"/>
    <col min="13842" max="13842" width="15.453125" style="153" bestFit="1" customWidth="1"/>
    <col min="13843" max="13843" width="15.90625" style="153" bestFit="1" customWidth="1"/>
    <col min="13844" max="14080" width="14.36328125" style="153" customWidth="1"/>
    <col min="14081" max="14081" width="9.6328125" style="153" customWidth="1"/>
    <col min="14082" max="14082" width="43.54296875" style="153" customWidth="1"/>
    <col min="14083" max="14097" width="17.90625" style="153" customWidth="1"/>
    <col min="14098" max="14098" width="15.453125" style="153" bestFit="1" customWidth="1"/>
    <col min="14099" max="14099" width="15.90625" style="153" bestFit="1" customWidth="1"/>
    <col min="14100" max="14336" width="14.36328125" style="153" customWidth="1"/>
    <col min="14337" max="14337" width="9.6328125" style="153" customWidth="1"/>
    <col min="14338" max="14338" width="43.54296875" style="153" customWidth="1"/>
    <col min="14339" max="14353" width="17.90625" style="153" customWidth="1"/>
    <col min="14354" max="14354" width="15.453125" style="153" bestFit="1" customWidth="1"/>
    <col min="14355" max="14355" width="15.90625" style="153" bestFit="1" customWidth="1"/>
    <col min="14356" max="14592" width="14.36328125" style="153" customWidth="1"/>
    <col min="14593" max="14593" width="9.6328125" style="153" customWidth="1"/>
    <col min="14594" max="14594" width="43.54296875" style="153" customWidth="1"/>
    <col min="14595" max="14609" width="17.90625" style="153" customWidth="1"/>
    <col min="14610" max="14610" width="15.453125" style="153" bestFit="1" customWidth="1"/>
    <col min="14611" max="14611" width="15.90625" style="153" bestFit="1" customWidth="1"/>
    <col min="14612" max="14848" width="14.36328125" style="153" customWidth="1"/>
    <col min="14849" max="14849" width="9.6328125" style="153" customWidth="1"/>
    <col min="14850" max="14850" width="43.54296875" style="153" customWidth="1"/>
    <col min="14851" max="14865" width="17.90625" style="153" customWidth="1"/>
    <col min="14866" max="14866" width="15.453125" style="153" bestFit="1" customWidth="1"/>
    <col min="14867" max="14867" width="15.90625" style="153" bestFit="1" customWidth="1"/>
    <col min="14868" max="15104" width="14.36328125" style="153" customWidth="1"/>
    <col min="15105" max="15105" width="9.6328125" style="153" customWidth="1"/>
    <col min="15106" max="15106" width="43.54296875" style="153" customWidth="1"/>
    <col min="15107" max="15121" width="17.90625" style="153" customWidth="1"/>
    <col min="15122" max="15122" width="15.453125" style="153" bestFit="1" customWidth="1"/>
    <col min="15123" max="15123" width="15.90625" style="153" bestFit="1" customWidth="1"/>
    <col min="15124" max="15360" width="14.36328125" style="153" customWidth="1"/>
    <col min="15361" max="15361" width="9.6328125" style="153" customWidth="1"/>
    <col min="15362" max="15362" width="43.54296875" style="153" customWidth="1"/>
    <col min="15363" max="15377" width="17.90625" style="153" customWidth="1"/>
    <col min="15378" max="15378" width="15.453125" style="153" bestFit="1" customWidth="1"/>
    <col min="15379" max="15379" width="15.90625" style="153" bestFit="1" customWidth="1"/>
    <col min="15380" max="15616" width="14.36328125" style="153" customWidth="1"/>
    <col min="15617" max="15617" width="9.6328125" style="153" customWidth="1"/>
    <col min="15618" max="15618" width="43.54296875" style="153" customWidth="1"/>
    <col min="15619" max="15633" width="17.90625" style="153" customWidth="1"/>
    <col min="15634" max="15634" width="15.453125" style="153" bestFit="1" customWidth="1"/>
    <col min="15635" max="15635" width="15.90625" style="153" bestFit="1" customWidth="1"/>
    <col min="15636" max="15872" width="14.36328125" style="153" customWidth="1"/>
    <col min="15873" max="15873" width="9.6328125" style="153" customWidth="1"/>
    <col min="15874" max="15874" width="43.54296875" style="153" customWidth="1"/>
    <col min="15875" max="15889" width="17.90625" style="153" customWidth="1"/>
    <col min="15890" max="15890" width="15.453125" style="153" bestFit="1" customWidth="1"/>
    <col min="15891" max="15891" width="15.90625" style="153" bestFit="1" customWidth="1"/>
    <col min="15892" max="16128" width="14.36328125" style="153" customWidth="1"/>
    <col min="16129" max="16129" width="9.6328125" style="153" customWidth="1"/>
    <col min="16130" max="16130" width="43.54296875" style="153" customWidth="1"/>
    <col min="16131" max="16145" width="17.90625" style="153" customWidth="1"/>
    <col min="16146" max="16146" width="15.453125" style="153" bestFit="1" customWidth="1"/>
    <col min="16147" max="16147" width="15.90625" style="153" bestFit="1" customWidth="1"/>
    <col min="16148" max="16384" width="14.36328125" style="153" customWidth="1"/>
  </cols>
  <sheetData>
    <row r="3" spans="2:17" s="279" customFormat="1" ht="22" x14ac:dyDescent="0.5">
      <c r="B3" s="355" t="str">
        <f>_xlfn.CONCAT('Table of Contents'!B27,": ",'Table of Contents'!C27)</f>
        <v>APPENDIX 15: SUMMARY OF PERSONAL PENSIONS BUSINESS REVENUE ACCOUNTS FOR THE PERIOD ENDED 31.03.2026</v>
      </c>
      <c r="C3" s="298"/>
      <c r="D3" s="298"/>
      <c r="E3" s="298"/>
      <c r="F3" s="298"/>
      <c r="G3" s="298"/>
      <c r="H3" s="298"/>
      <c r="I3" s="298"/>
      <c r="J3" s="298"/>
      <c r="K3" s="298"/>
      <c r="L3" s="298"/>
      <c r="M3" s="298"/>
      <c r="N3" s="298"/>
      <c r="O3" s="298"/>
      <c r="P3" s="298"/>
      <c r="Q3" s="299"/>
    </row>
    <row r="4" spans="2:17" s="157" customFormat="1" ht="31" x14ac:dyDescent="0.35">
      <c r="B4" s="154" t="s">
        <v>87</v>
      </c>
      <c r="C4" s="155" t="s">
        <v>201</v>
      </c>
      <c r="D4" s="155" t="s">
        <v>202</v>
      </c>
      <c r="E4" s="155" t="s">
        <v>203</v>
      </c>
      <c r="F4" s="155" t="s">
        <v>204</v>
      </c>
      <c r="G4" s="155" t="s">
        <v>205</v>
      </c>
      <c r="H4" s="155" t="s">
        <v>206</v>
      </c>
      <c r="I4" s="156" t="s">
        <v>207</v>
      </c>
      <c r="J4" s="155" t="s">
        <v>208</v>
      </c>
      <c r="K4" s="155" t="s">
        <v>209</v>
      </c>
      <c r="L4" s="155" t="s">
        <v>210</v>
      </c>
      <c r="M4" s="155" t="s">
        <v>211</v>
      </c>
      <c r="N4" s="155" t="s">
        <v>212</v>
      </c>
      <c r="O4" s="155" t="s">
        <v>213</v>
      </c>
      <c r="P4" s="155" t="s">
        <v>214</v>
      </c>
      <c r="Q4" s="155" t="s">
        <v>215</v>
      </c>
    </row>
    <row r="5" spans="2:17" x14ac:dyDescent="0.35">
      <c r="B5" s="354" t="s">
        <v>106</v>
      </c>
      <c r="C5" s="301"/>
      <c r="D5" s="301"/>
      <c r="E5" s="301"/>
      <c r="F5" s="301"/>
      <c r="G5" s="301"/>
      <c r="H5" s="301"/>
      <c r="I5" s="301"/>
      <c r="J5" s="301"/>
      <c r="K5" s="301"/>
      <c r="L5" s="301"/>
      <c r="M5" s="301"/>
      <c r="N5" s="301"/>
      <c r="O5" s="301"/>
      <c r="P5" s="301"/>
      <c r="Q5" s="302"/>
    </row>
    <row r="6" spans="2:17" ht="35" customHeight="1" x14ac:dyDescent="0.35">
      <c r="B6" s="126" t="s">
        <v>150</v>
      </c>
      <c r="C6" s="158">
        <v>0</v>
      </c>
      <c r="D6" s="158">
        <v>0</v>
      </c>
      <c r="E6" s="158">
        <v>0</v>
      </c>
      <c r="F6" s="158">
        <v>0</v>
      </c>
      <c r="G6" s="158">
        <v>0</v>
      </c>
      <c r="H6" s="158">
        <v>0</v>
      </c>
      <c r="I6" s="158">
        <v>0</v>
      </c>
      <c r="J6" s="158">
        <v>0</v>
      </c>
      <c r="K6" s="158">
        <v>0</v>
      </c>
      <c r="L6" s="158">
        <v>0</v>
      </c>
      <c r="M6" s="158">
        <v>0</v>
      </c>
      <c r="N6" s="158">
        <v>0</v>
      </c>
      <c r="O6" s="158">
        <v>0</v>
      </c>
      <c r="P6" s="158">
        <v>0</v>
      </c>
      <c r="Q6" s="159">
        <v>0</v>
      </c>
    </row>
    <row r="7" spans="2:17" ht="35" customHeight="1" x14ac:dyDescent="0.35">
      <c r="B7" s="126" t="s">
        <v>151</v>
      </c>
      <c r="C7" s="158">
        <v>119405.795</v>
      </c>
      <c r="D7" s="158">
        <v>50242.991000000002</v>
      </c>
      <c r="E7" s="158">
        <v>50242.991000000002</v>
      </c>
      <c r="F7" s="158">
        <v>0</v>
      </c>
      <c r="G7" s="158">
        <v>34338.004999999997</v>
      </c>
      <c r="H7" s="158">
        <v>34338.004999999997</v>
      </c>
      <c r="I7" s="158">
        <v>0</v>
      </c>
      <c r="J7" s="158">
        <v>0</v>
      </c>
      <c r="K7" s="158">
        <v>0</v>
      </c>
      <c r="L7" s="158">
        <v>0</v>
      </c>
      <c r="M7" s="158">
        <v>0</v>
      </c>
      <c r="N7" s="158">
        <v>40652.003085675708</v>
      </c>
      <c r="O7" s="158">
        <v>345.89498722541498</v>
      </c>
      <c r="P7" s="158">
        <v>0</v>
      </c>
      <c r="Q7" s="159">
        <v>175616.88909845031</v>
      </c>
    </row>
    <row r="8" spans="2:17" ht="35" customHeight="1" x14ac:dyDescent="0.35">
      <c r="B8" s="126" t="s">
        <v>152</v>
      </c>
      <c r="C8" s="158">
        <v>39278757.25818</v>
      </c>
      <c r="D8" s="158">
        <v>1289835.5740799999</v>
      </c>
      <c r="E8" s="158">
        <v>1289835.5740799999</v>
      </c>
      <c r="F8" s="158">
        <v>0</v>
      </c>
      <c r="G8" s="158">
        <v>1055545.9252500001</v>
      </c>
      <c r="H8" s="158">
        <v>1055545.9252500001</v>
      </c>
      <c r="I8" s="158">
        <v>0</v>
      </c>
      <c r="J8" s="158">
        <v>0</v>
      </c>
      <c r="K8" s="158">
        <v>0</v>
      </c>
      <c r="L8" s="158">
        <v>12662.281999999999</v>
      </c>
      <c r="M8" s="158">
        <v>80861.176999999996</v>
      </c>
      <c r="N8" s="158">
        <v>1049771.612</v>
      </c>
      <c r="O8" s="158">
        <v>2273.723</v>
      </c>
      <c r="P8" s="158">
        <v>0</v>
      </c>
      <c r="Q8" s="159">
        <v>40467021.337010004</v>
      </c>
    </row>
    <row r="9" spans="2:17" ht="35" customHeight="1" x14ac:dyDescent="0.35">
      <c r="B9" s="126" t="s">
        <v>153</v>
      </c>
      <c r="C9" s="158">
        <v>0</v>
      </c>
      <c r="D9" s="158">
        <v>0</v>
      </c>
      <c r="E9" s="158">
        <v>0</v>
      </c>
      <c r="F9" s="158">
        <v>0</v>
      </c>
      <c r="G9" s="158">
        <v>0</v>
      </c>
      <c r="H9" s="158">
        <v>0</v>
      </c>
      <c r="I9" s="158">
        <v>0</v>
      </c>
      <c r="J9" s="158">
        <v>0</v>
      </c>
      <c r="K9" s="158">
        <v>0</v>
      </c>
      <c r="L9" s="158">
        <v>0</v>
      </c>
      <c r="M9" s="158">
        <v>0</v>
      </c>
      <c r="N9" s="158">
        <v>0</v>
      </c>
      <c r="O9" s="158">
        <v>0</v>
      </c>
      <c r="P9" s="158">
        <v>0</v>
      </c>
      <c r="Q9" s="159">
        <v>0</v>
      </c>
    </row>
    <row r="10" spans="2:17" ht="35" customHeight="1" x14ac:dyDescent="0.35">
      <c r="B10" s="126" t="s">
        <v>154</v>
      </c>
      <c r="C10" s="158">
        <v>0</v>
      </c>
      <c r="D10" s="158">
        <v>0</v>
      </c>
      <c r="E10" s="158">
        <v>0</v>
      </c>
      <c r="F10" s="158">
        <v>0</v>
      </c>
      <c r="G10" s="158">
        <v>0</v>
      </c>
      <c r="H10" s="158">
        <v>0</v>
      </c>
      <c r="I10" s="158">
        <v>0</v>
      </c>
      <c r="J10" s="158">
        <v>0</v>
      </c>
      <c r="K10" s="158">
        <v>0</v>
      </c>
      <c r="L10" s="158">
        <v>0</v>
      </c>
      <c r="M10" s="158">
        <v>0</v>
      </c>
      <c r="N10" s="158">
        <v>0</v>
      </c>
      <c r="O10" s="158">
        <v>0</v>
      </c>
      <c r="P10" s="158">
        <v>0</v>
      </c>
      <c r="Q10" s="159">
        <v>0</v>
      </c>
    </row>
    <row r="11" spans="2:17" ht="35" customHeight="1" x14ac:dyDescent="0.35">
      <c r="B11" s="126" t="s">
        <v>155</v>
      </c>
      <c r="C11" s="158">
        <v>0</v>
      </c>
      <c r="D11" s="158">
        <v>0</v>
      </c>
      <c r="E11" s="158">
        <v>0</v>
      </c>
      <c r="F11" s="158">
        <v>0</v>
      </c>
      <c r="G11" s="158">
        <v>0</v>
      </c>
      <c r="H11" s="158">
        <v>0</v>
      </c>
      <c r="I11" s="158">
        <v>0</v>
      </c>
      <c r="J11" s="158">
        <v>0</v>
      </c>
      <c r="K11" s="158">
        <v>0</v>
      </c>
      <c r="L11" s="158">
        <v>0</v>
      </c>
      <c r="M11" s="158">
        <v>0</v>
      </c>
      <c r="N11" s="158">
        <v>0</v>
      </c>
      <c r="O11" s="158">
        <v>0</v>
      </c>
      <c r="P11" s="158">
        <v>0</v>
      </c>
      <c r="Q11" s="159">
        <v>0</v>
      </c>
    </row>
    <row r="12" spans="2:17" ht="35" customHeight="1" x14ac:dyDescent="0.35">
      <c r="B12" s="126" t="s">
        <v>156</v>
      </c>
      <c r="C12" s="158">
        <v>692701.77453781746</v>
      </c>
      <c r="D12" s="158">
        <v>157458.397</v>
      </c>
      <c r="E12" s="158">
        <v>157458.397</v>
      </c>
      <c r="F12" s="158">
        <v>0</v>
      </c>
      <c r="G12" s="158">
        <v>10167.83638908741</v>
      </c>
      <c r="H12" s="158">
        <v>10167.83638908741</v>
      </c>
      <c r="I12" s="158">
        <v>0</v>
      </c>
      <c r="J12" s="158">
        <v>0</v>
      </c>
      <c r="K12" s="158">
        <v>0</v>
      </c>
      <c r="L12" s="158">
        <v>0</v>
      </c>
      <c r="M12" s="158">
        <v>0</v>
      </c>
      <c r="N12" s="158">
        <v>23490.81105126749</v>
      </c>
      <c r="O12" s="158">
        <v>0</v>
      </c>
      <c r="P12" s="158">
        <v>0</v>
      </c>
      <c r="Q12" s="159">
        <v>863483.14619999751</v>
      </c>
    </row>
    <row r="13" spans="2:17" ht="35" customHeight="1" x14ac:dyDescent="0.35">
      <c r="B13" s="126" t="s">
        <v>157</v>
      </c>
      <c r="C13" s="158">
        <v>8157330.5645465413</v>
      </c>
      <c r="D13" s="158">
        <v>533514.33799999999</v>
      </c>
      <c r="E13" s="158">
        <v>533514.33799999999</v>
      </c>
      <c r="F13" s="158">
        <v>0</v>
      </c>
      <c r="G13" s="158">
        <v>112715.338</v>
      </c>
      <c r="H13" s="158">
        <v>112715.338</v>
      </c>
      <c r="I13" s="158">
        <v>0</v>
      </c>
      <c r="J13" s="158">
        <v>0</v>
      </c>
      <c r="K13" s="158">
        <v>0</v>
      </c>
      <c r="L13" s="158">
        <v>3423.6260000000002</v>
      </c>
      <c r="M13" s="158">
        <v>9732.2279999999992</v>
      </c>
      <c r="N13" s="158">
        <v>308240.53000000003</v>
      </c>
      <c r="O13" s="158">
        <v>0</v>
      </c>
      <c r="P13" s="158">
        <v>0</v>
      </c>
      <c r="Q13" s="159">
        <v>8873214.2405465413</v>
      </c>
    </row>
    <row r="14" spans="2:17" ht="35" customHeight="1" x14ac:dyDescent="0.35">
      <c r="B14" s="126" t="s">
        <v>158</v>
      </c>
      <c r="C14" s="158">
        <v>215032.22500000001</v>
      </c>
      <c r="D14" s="158">
        <v>40881.616379999992</v>
      </c>
      <c r="E14" s="158">
        <v>40881.616379999992</v>
      </c>
      <c r="F14" s="158">
        <v>0</v>
      </c>
      <c r="G14" s="158">
        <v>0</v>
      </c>
      <c r="H14" s="158">
        <v>0</v>
      </c>
      <c r="I14" s="158">
        <v>0</v>
      </c>
      <c r="J14" s="158">
        <v>0</v>
      </c>
      <c r="K14" s="158">
        <v>0</v>
      </c>
      <c r="L14" s="158">
        <v>-1155.008</v>
      </c>
      <c r="M14" s="158">
        <v>1339.2971550417101</v>
      </c>
      <c r="N14" s="158">
        <v>0</v>
      </c>
      <c r="O14" s="158">
        <v>0</v>
      </c>
      <c r="P14" s="158">
        <v>0</v>
      </c>
      <c r="Q14" s="159">
        <v>255729.55222495829</v>
      </c>
    </row>
    <row r="15" spans="2:17" ht="35" customHeight="1" x14ac:dyDescent="0.35">
      <c r="B15" s="126" t="s">
        <v>159</v>
      </c>
      <c r="C15" s="158">
        <v>58509830.232000001</v>
      </c>
      <c r="D15" s="158">
        <v>2222063.4909999999</v>
      </c>
      <c r="E15" s="158">
        <v>2222063.4909999999</v>
      </c>
      <c r="F15" s="158">
        <v>0</v>
      </c>
      <c r="G15" s="158">
        <v>1238876.38004</v>
      </c>
      <c r="H15" s="158">
        <v>1238876.38004</v>
      </c>
      <c r="I15" s="158">
        <v>0</v>
      </c>
      <c r="J15" s="158">
        <v>0</v>
      </c>
      <c r="K15" s="158">
        <v>0</v>
      </c>
      <c r="L15" s="158">
        <v>19214.16</v>
      </c>
      <c r="M15" s="158">
        <v>88699.181679392073</v>
      </c>
      <c r="N15" s="158">
        <v>2085659.6040000001</v>
      </c>
      <c r="O15" s="158">
        <v>0</v>
      </c>
      <c r="P15" s="158">
        <v>105000</v>
      </c>
      <c r="Q15" s="159">
        <v>61365763.605280608</v>
      </c>
    </row>
    <row r="16" spans="2:17" ht="35" customHeight="1" x14ac:dyDescent="0.35">
      <c r="B16" s="126" t="s">
        <v>160</v>
      </c>
      <c r="C16" s="158">
        <v>13847575.99260352</v>
      </c>
      <c r="D16" s="158">
        <v>717634.84446299984</v>
      </c>
      <c r="E16" s="158">
        <v>717634.84446299984</v>
      </c>
      <c r="F16" s="158">
        <v>0</v>
      </c>
      <c r="G16" s="158">
        <v>0</v>
      </c>
      <c r="H16" s="158">
        <v>0</v>
      </c>
      <c r="I16" s="158">
        <v>0</v>
      </c>
      <c r="J16" s="158">
        <v>0</v>
      </c>
      <c r="K16" s="158">
        <v>0</v>
      </c>
      <c r="L16" s="158">
        <v>0</v>
      </c>
      <c r="M16" s="158">
        <v>12467.386606422609</v>
      </c>
      <c r="N16" s="158">
        <v>0</v>
      </c>
      <c r="O16" s="158">
        <v>0</v>
      </c>
      <c r="P16" s="158">
        <v>0</v>
      </c>
      <c r="Q16" s="159">
        <v>14552743.450460101</v>
      </c>
    </row>
    <row r="17" spans="2:17" ht="35" customHeight="1" x14ac:dyDescent="0.35">
      <c r="B17" s="126" t="s">
        <v>161</v>
      </c>
      <c r="C17" s="158">
        <v>612808.763929234</v>
      </c>
      <c r="D17" s="158">
        <v>14565.909</v>
      </c>
      <c r="E17" s="158">
        <v>14565.909</v>
      </c>
      <c r="F17" s="158">
        <v>0</v>
      </c>
      <c r="G17" s="158">
        <v>14301.82892</v>
      </c>
      <c r="H17" s="158">
        <v>14301.82892</v>
      </c>
      <c r="I17" s="158">
        <v>0</v>
      </c>
      <c r="J17" s="158">
        <v>0</v>
      </c>
      <c r="K17" s="158">
        <v>0</v>
      </c>
      <c r="L17" s="158">
        <v>351.39913000000001</v>
      </c>
      <c r="M17" s="158">
        <v>1809.0426072</v>
      </c>
      <c r="N17" s="158">
        <v>20996.0736865197</v>
      </c>
      <c r="O17" s="158">
        <v>0</v>
      </c>
      <c r="P17" s="158">
        <v>0</v>
      </c>
      <c r="Q17" s="159">
        <v>631908.47595855372</v>
      </c>
    </row>
    <row r="18" spans="2:17" ht="35" customHeight="1" x14ac:dyDescent="0.35">
      <c r="B18" s="126" t="s">
        <v>162</v>
      </c>
      <c r="C18" s="160">
        <v>443720.28384447022</v>
      </c>
      <c r="D18" s="158">
        <v>15897.8552</v>
      </c>
      <c r="E18" s="158">
        <v>15897.8552</v>
      </c>
      <c r="F18" s="158">
        <v>0</v>
      </c>
      <c r="G18" s="158">
        <v>25560.682700000001</v>
      </c>
      <c r="H18" s="158">
        <v>25560.682700000001</v>
      </c>
      <c r="I18" s="158">
        <v>0</v>
      </c>
      <c r="J18" s="158">
        <v>0</v>
      </c>
      <c r="K18" s="158">
        <v>0</v>
      </c>
      <c r="L18" s="158">
        <v>0</v>
      </c>
      <c r="M18" s="158">
        <v>36.857370000004771</v>
      </c>
      <c r="N18" s="158">
        <v>12945.6505688042</v>
      </c>
      <c r="O18" s="158">
        <v>0</v>
      </c>
      <c r="P18" s="158">
        <v>0</v>
      </c>
      <c r="Q18" s="159">
        <v>446966.2495432744</v>
      </c>
    </row>
    <row r="19" spans="2:17" ht="35" customHeight="1" x14ac:dyDescent="0.35">
      <c r="B19" s="126" t="s">
        <v>163</v>
      </c>
      <c r="C19" s="160">
        <v>1503866.6622133879</v>
      </c>
      <c r="D19" s="158">
        <v>360247.97786999989</v>
      </c>
      <c r="E19" s="158">
        <v>360247.97786999989</v>
      </c>
      <c r="F19" s="158">
        <v>0</v>
      </c>
      <c r="G19" s="158">
        <v>175895.641</v>
      </c>
      <c r="H19" s="158">
        <v>175895.641</v>
      </c>
      <c r="I19" s="158">
        <v>0</v>
      </c>
      <c r="J19" s="158">
        <v>0</v>
      </c>
      <c r="K19" s="158">
        <v>0</v>
      </c>
      <c r="L19" s="158">
        <v>5596.5249999999996</v>
      </c>
      <c r="M19" s="158">
        <v>37055.24</v>
      </c>
      <c r="N19" s="158">
        <v>284813.54677000007</v>
      </c>
      <c r="O19" s="158">
        <v>7086.896790456387</v>
      </c>
      <c r="P19" s="158">
        <v>0</v>
      </c>
      <c r="Q19" s="159">
        <v>1923293.8840629321</v>
      </c>
    </row>
    <row r="20" spans="2:17" ht="35" customHeight="1" x14ac:dyDescent="0.35">
      <c r="B20" s="126" t="s">
        <v>127</v>
      </c>
      <c r="C20" s="160">
        <v>1284006.1852961171</v>
      </c>
      <c r="D20" s="158">
        <v>49821.899949999977</v>
      </c>
      <c r="E20" s="158">
        <v>49821.899949999977</v>
      </c>
      <c r="F20" s="158">
        <v>0</v>
      </c>
      <c r="G20" s="158">
        <v>54242.599149999973</v>
      </c>
      <c r="H20" s="158">
        <v>54242.599149999973</v>
      </c>
      <c r="I20" s="158">
        <v>0</v>
      </c>
      <c r="J20" s="158">
        <v>0</v>
      </c>
      <c r="K20" s="158">
        <v>0</v>
      </c>
      <c r="L20" s="158">
        <v>298.32380000000001</v>
      </c>
      <c r="M20" s="158">
        <v>5427.4491662817136</v>
      </c>
      <c r="N20" s="158">
        <v>17246.057796504869</v>
      </c>
      <c r="O20" s="158">
        <v>1128.822064559763</v>
      </c>
      <c r="P20" s="158">
        <v>0</v>
      </c>
      <c r="Q20" s="159">
        <v>1289976.9488617801</v>
      </c>
    </row>
    <row r="21" spans="2:17" ht="35" customHeight="1" x14ac:dyDescent="0.35">
      <c r="B21" s="126" t="s">
        <v>164</v>
      </c>
      <c r="C21" s="160">
        <v>0</v>
      </c>
      <c r="D21" s="158">
        <v>0</v>
      </c>
      <c r="E21" s="158">
        <v>0</v>
      </c>
      <c r="F21" s="158">
        <v>0</v>
      </c>
      <c r="G21" s="158">
        <v>0</v>
      </c>
      <c r="H21" s="158">
        <v>0</v>
      </c>
      <c r="I21" s="158">
        <v>0</v>
      </c>
      <c r="J21" s="158">
        <v>0</v>
      </c>
      <c r="K21" s="158">
        <v>0</v>
      </c>
      <c r="L21" s="158">
        <v>0</v>
      </c>
      <c r="M21" s="158">
        <v>0</v>
      </c>
      <c r="N21" s="158">
        <v>0</v>
      </c>
      <c r="O21" s="158">
        <v>0</v>
      </c>
      <c r="P21" s="158">
        <v>0</v>
      </c>
      <c r="Q21" s="159">
        <v>0</v>
      </c>
    </row>
    <row r="22" spans="2:17" ht="35" customHeight="1" x14ac:dyDescent="0.35">
      <c r="B22" s="126" t="s">
        <v>165</v>
      </c>
      <c r="C22" s="160">
        <v>167381.45801755111</v>
      </c>
      <c r="D22" s="158">
        <v>40698.744700000003</v>
      </c>
      <c r="E22" s="158">
        <v>40698.744700000003</v>
      </c>
      <c r="F22" s="158">
        <v>0</v>
      </c>
      <c r="G22" s="158">
        <v>8313.6267257462587</v>
      </c>
      <c r="H22" s="158">
        <v>8313.6267257462587</v>
      </c>
      <c r="I22" s="158">
        <v>0</v>
      </c>
      <c r="J22" s="158">
        <v>0</v>
      </c>
      <c r="K22" s="158">
        <v>0</v>
      </c>
      <c r="L22" s="158">
        <v>0</v>
      </c>
      <c r="M22" s="158">
        <v>0</v>
      </c>
      <c r="N22" s="158">
        <v>0</v>
      </c>
      <c r="O22" s="158">
        <v>0</v>
      </c>
      <c r="P22" s="158">
        <v>0</v>
      </c>
      <c r="Q22" s="159">
        <v>199766.5759918048</v>
      </c>
    </row>
    <row r="23" spans="2:17" ht="35" customHeight="1" x14ac:dyDescent="0.35">
      <c r="B23" s="126" t="s">
        <v>166</v>
      </c>
      <c r="C23" s="160">
        <v>2400900.085</v>
      </c>
      <c r="D23" s="158">
        <v>184995.451</v>
      </c>
      <c r="E23" s="158">
        <v>184995.451</v>
      </c>
      <c r="F23" s="158">
        <v>0</v>
      </c>
      <c r="G23" s="158">
        <v>81065.497000000003</v>
      </c>
      <c r="H23" s="158">
        <v>81065.497000000003</v>
      </c>
      <c r="I23" s="158">
        <v>0</v>
      </c>
      <c r="J23" s="158">
        <v>0</v>
      </c>
      <c r="K23" s="158">
        <v>0</v>
      </c>
      <c r="L23" s="158">
        <v>0</v>
      </c>
      <c r="M23" s="158">
        <v>0</v>
      </c>
      <c r="N23" s="158">
        <v>80014.519</v>
      </c>
      <c r="O23" s="158">
        <v>0</v>
      </c>
      <c r="P23" s="158">
        <v>0</v>
      </c>
      <c r="Q23" s="159">
        <v>2584844.5580000002</v>
      </c>
    </row>
    <row r="24" spans="2:17" ht="35" customHeight="1" x14ac:dyDescent="0.35">
      <c r="B24" s="126" t="s">
        <v>167</v>
      </c>
      <c r="C24" s="160">
        <v>-202541.01003077641</v>
      </c>
      <c r="D24" s="158">
        <v>827812.08409699996</v>
      </c>
      <c r="E24" s="158">
        <v>827812.08409699996</v>
      </c>
      <c r="F24" s="158">
        <v>0</v>
      </c>
      <c r="G24" s="158">
        <v>53052.042150000038</v>
      </c>
      <c r="H24" s="158">
        <v>53052.042150000038</v>
      </c>
      <c r="I24" s="158">
        <v>0</v>
      </c>
      <c r="J24" s="158">
        <v>0</v>
      </c>
      <c r="K24" s="158">
        <v>0</v>
      </c>
      <c r="L24" s="158">
        <v>15701.969580000001</v>
      </c>
      <c r="M24" s="158">
        <v>0</v>
      </c>
      <c r="N24" s="158">
        <v>0</v>
      </c>
      <c r="O24" s="158">
        <v>0</v>
      </c>
      <c r="P24" s="158">
        <v>0</v>
      </c>
      <c r="Q24" s="159">
        <v>556517.06233622355</v>
      </c>
    </row>
    <row r="25" spans="2:17" ht="35" customHeight="1" x14ac:dyDescent="0.35">
      <c r="B25" s="126" t="s">
        <v>168</v>
      </c>
      <c r="C25" s="160">
        <v>0</v>
      </c>
      <c r="D25" s="158">
        <v>0</v>
      </c>
      <c r="E25" s="158">
        <v>0</v>
      </c>
      <c r="F25" s="158">
        <v>0</v>
      </c>
      <c r="G25" s="158">
        <v>0</v>
      </c>
      <c r="H25" s="158">
        <v>0</v>
      </c>
      <c r="I25" s="158">
        <v>0</v>
      </c>
      <c r="J25" s="158">
        <v>0</v>
      </c>
      <c r="K25" s="158">
        <v>0</v>
      </c>
      <c r="L25" s="158">
        <v>0</v>
      </c>
      <c r="M25" s="158">
        <v>0</v>
      </c>
      <c r="N25" s="158">
        <v>0</v>
      </c>
      <c r="O25" s="158">
        <v>0</v>
      </c>
      <c r="P25" s="158">
        <v>0</v>
      </c>
      <c r="Q25" s="159">
        <v>0</v>
      </c>
    </row>
    <row r="26" spans="2:17" ht="35" customHeight="1" x14ac:dyDescent="0.35">
      <c r="B26" s="126" t="s">
        <v>169</v>
      </c>
      <c r="C26" s="160">
        <v>0</v>
      </c>
      <c r="D26" s="158">
        <v>0</v>
      </c>
      <c r="E26" s="158">
        <v>0</v>
      </c>
      <c r="F26" s="158">
        <v>0</v>
      </c>
      <c r="G26" s="158">
        <v>0</v>
      </c>
      <c r="H26" s="158">
        <v>0</v>
      </c>
      <c r="I26" s="158">
        <v>0</v>
      </c>
      <c r="J26" s="158">
        <v>0</v>
      </c>
      <c r="K26" s="158">
        <v>0</v>
      </c>
      <c r="L26" s="158">
        <v>0</v>
      </c>
      <c r="M26" s="158">
        <v>0</v>
      </c>
      <c r="N26" s="158">
        <v>0</v>
      </c>
      <c r="O26" s="158">
        <v>0</v>
      </c>
      <c r="P26" s="158">
        <v>0</v>
      </c>
      <c r="Q26" s="159">
        <v>0</v>
      </c>
    </row>
    <row r="27" spans="2:17" ht="35" customHeight="1" x14ac:dyDescent="0.35">
      <c r="B27" s="126" t="s">
        <v>170</v>
      </c>
      <c r="C27" s="160">
        <v>0</v>
      </c>
      <c r="D27" s="158">
        <v>0</v>
      </c>
      <c r="E27" s="158">
        <v>0</v>
      </c>
      <c r="F27" s="158">
        <v>0</v>
      </c>
      <c r="G27" s="158">
        <v>0</v>
      </c>
      <c r="H27" s="158">
        <v>0</v>
      </c>
      <c r="I27" s="158">
        <v>0</v>
      </c>
      <c r="J27" s="158">
        <v>0</v>
      </c>
      <c r="K27" s="158">
        <v>0</v>
      </c>
      <c r="L27" s="158">
        <v>0</v>
      </c>
      <c r="M27" s="158">
        <v>0</v>
      </c>
      <c r="N27" s="158">
        <v>0</v>
      </c>
      <c r="O27" s="158">
        <v>0</v>
      </c>
      <c r="P27" s="158">
        <v>0</v>
      </c>
      <c r="Q27" s="159">
        <v>0</v>
      </c>
    </row>
    <row r="28" spans="2:17" ht="35" customHeight="1" x14ac:dyDescent="0.35">
      <c r="B28" s="161" t="s">
        <v>7</v>
      </c>
      <c r="C28" s="162">
        <f t="shared" ref="C28:Q28" si="0">SUM(C6:C27)</f>
        <v>127030776.27013786</v>
      </c>
      <c r="D28" s="162">
        <f t="shared" si="0"/>
        <v>6505671.1737399995</v>
      </c>
      <c r="E28" s="162">
        <f t="shared" si="0"/>
        <v>6505671.1737399995</v>
      </c>
      <c r="F28" s="162">
        <f t="shared" si="0"/>
        <v>0</v>
      </c>
      <c r="G28" s="162">
        <f t="shared" si="0"/>
        <v>2864075.4023248334</v>
      </c>
      <c r="H28" s="162">
        <f t="shared" si="0"/>
        <v>2864075.4023248334</v>
      </c>
      <c r="I28" s="162">
        <f t="shared" si="0"/>
        <v>0</v>
      </c>
      <c r="J28" s="162">
        <f t="shared" si="0"/>
        <v>0</v>
      </c>
      <c r="K28" s="162">
        <f t="shared" si="0"/>
        <v>0</v>
      </c>
      <c r="L28" s="162">
        <f t="shared" si="0"/>
        <v>56093.27751</v>
      </c>
      <c r="M28" s="162">
        <f t="shared" si="0"/>
        <v>237427.85958433812</v>
      </c>
      <c r="N28" s="162">
        <f t="shared" si="0"/>
        <v>3923830.4079587716</v>
      </c>
      <c r="O28" s="162">
        <f t="shared" si="0"/>
        <v>10835.336842241564</v>
      </c>
      <c r="P28" s="162">
        <f t="shared" si="0"/>
        <v>105000</v>
      </c>
      <c r="Q28" s="162">
        <f t="shared" si="0"/>
        <v>134186845.97557524</v>
      </c>
    </row>
    <row r="29" spans="2:17" ht="35" customHeight="1" x14ac:dyDescent="0.35">
      <c r="B29" s="354" t="s">
        <v>142</v>
      </c>
      <c r="C29" s="301"/>
      <c r="D29" s="301"/>
      <c r="E29" s="301"/>
      <c r="F29" s="301"/>
      <c r="G29" s="301"/>
      <c r="H29" s="301"/>
      <c r="I29" s="301"/>
      <c r="J29" s="301"/>
      <c r="K29" s="301"/>
      <c r="L29" s="301"/>
      <c r="M29" s="301"/>
      <c r="N29" s="301"/>
      <c r="O29" s="301"/>
      <c r="P29" s="301"/>
      <c r="Q29" s="302"/>
    </row>
    <row r="30" spans="2:17" ht="35" customHeight="1" x14ac:dyDescent="0.35">
      <c r="B30" s="163" t="s">
        <v>143</v>
      </c>
      <c r="C30" s="158">
        <v>0</v>
      </c>
      <c r="D30" s="158">
        <v>0</v>
      </c>
      <c r="E30" s="158">
        <v>0</v>
      </c>
      <c r="F30" s="158">
        <v>0</v>
      </c>
      <c r="G30" s="158">
        <v>0</v>
      </c>
      <c r="H30" s="158">
        <v>0</v>
      </c>
      <c r="I30" s="158">
        <v>0</v>
      </c>
      <c r="J30" s="158">
        <v>0</v>
      </c>
      <c r="K30" s="158">
        <v>0</v>
      </c>
      <c r="L30" s="158">
        <v>0</v>
      </c>
      <c r="M30" s="158">
        <v>0</v>
      </c>
      <c r="N30" s="158">
        <v>0</v>
      </c>
      <c r="O30" s="158">
        <v>0</v>
      </c>
      <c r="P30" s="158">
        <v>0</v>
      </c>
      <c r="Q30" s="159">
        <v>0</v>
      </c>
    </row>
    <row r="31" spans="2:17" ht="35" customHeight="1" x14ac:dyDescent="0.35">
      <c r="B31" s="163" t="s">
        <v>144</v>
      </c>
      <c r="C31" s="158">
        <v>0</v>
      </c>
      <c r="D31" s="158">
        <v>0</v>
      </c>
      <c r="E31" s="158">
        <v>0</v>
      </c>
      <c r="F31" s="158">
        <v>0</v>
      </c>
      <c r="G31" s="158">
        <v>0</v>
      </c>
      <c r="H31" s="158">
        <v>0</v>
      </c>
      <c r="I31" s="158">
        <v>0</v>
      </c>
      <c r="J31" s="158">
        <v>0</v>
      </c>
      <c r="K31" s="158">
        <v>0</v>
      </c>
      <c r="L31" s="158">
        <v>0</v>
      </c>
      <c r="M31" s="158">
        <v>0</v>
      </c>
      <c r="N31" s="158">
        <v>0</v>
      </c>
      <c r="O31" s="158">
        <v>0</v>
      </c>
      <c r="P31" s="158">
        <v>0</v>
      </c>
      <c r="Q31" s="159">
        <v>0</v>
      </c>
    </row>
    <row r="32" spans="2:17" ht="35" customHeight="1" x14ac:dyDescent="0.35">
      <c r="B32" s="163" t="s">
        <v>146</v>
      </c>
      <c r="C32" s="158">
        <v>0</v>
      </c>
      <c r="D32" s="158">
        <v>0</v>
      </c>
      <c r="E32" s="158">
        <v>0</v>
      </c>
      <c r="F32" s="158">
        <v>0</v>
      </c>
      <c r="G32" s="158">
        <v>0</v>
      </c>
      <c r="H32" s="158">
        <v>0</v>
      </c>
      <c r="I32" s="158">
        <v>0</v>
      </c>
      <c r="J32" s="158">
        <v>0</v>
      </c>
      <c r="K32" s="158">
        <v>0</v>
      </c>
      <c r="L32" s="158">
        <v>0</v>
      </c>
      <c r="M32" s="158">
        <v>0</v>
      </c>
      <c r="N32" s="158">
        <v>0</v>
      </c>
      <c r="O32" s="158">
        <v>0</v>
      </c>
      <c r="P32" s="158">
        <v>0</v>
      </c>
      <c r="Q32" s="159">
        <v>0</v>
      </c>
    </row>
    <row r="33" spans="2:17" ht="35" customHeight="1" x14ac:dyDescent="0.35">
      <c r="B33" s="161" t="s">
        <v>7</v>
      </c>
      <c r="C33" s="162">
        <f t="shared" ref="C33:Q33" si="1">SUM(C30:C32)</f>
        <v>0</v>
      </c>
      <c r="D33" s="162">
        <f t="shared" si="1"/>
        <v>0</v>
      </c>
      <c r="E33" s="162">
        <f t="shared" si="1"/>
        <v>0</v>
      </c>
      <c r="F33" s="162">
        <f t="shared" si="1"/>
        <v>0</v>
      </c>
      <c r="G33" s="162">
        <f t="shared" si="1"/>
        <v>0</v>
      </c>
      <c r="H33" s="162">
        <f t="shared" si="1"/>
        <v>0</v>
      </c>
      <c r="I33" s="162">
        <f t="shared" si="1"/>
        <v>0</v>
      </c>
      <c r="J33" s="162">
        <f t="shared" si="1"/>
        <v>0</v>
      </c>
      <c r="K33" s="162">
        <f t="shared" si="1"/>
        <v>0</v>
      </c>
      <c r="L33" s="162">
        <f t="shared" si="1"/>
        <v>0</v>
      </c>
      <c r="M33" s="162">
        <f t="shared" si="1"/>
        <v>0</v>
      </c>
      <c r="N33" s="162">
        <f t="shared" si="1"/>
        <v>0</v>
      </c>
      <c r="O33" s="162">
        <f t="shared" si="1"/>
        <v>0</v>
      </c>
      <c r="P33" s="162">
        <f t="shared" si="1"/>
        <v>0</v>
      </c>
      <c r="Q33" s="162">
        <f t="shared" si="1"/>
        <v>0</v>
      </c>
    </row>
    <row r="34" spans="2:17" ht="35" customHeight="1" x14ac:dyDescent="0.35">
      <c r="B34" s="353" t="s">
        <v>149</v>
      </c>
      <c r="C34" s="324"/>
      <c r="D34" s="324"/>
      <c r="E34" s="324"/>
      <c r="F34" s="324"/>
      <c r="G34" s="324"/>
      <c r="H34" s="324"/>
      <c r="I34" s="324"/>
      <c r="J34" s="324"/>
      <c r="K34" s="324"/>
      <c r="L34" s="324"/>
      <c r="M34" s="324"/>
      <c r="N34" s="324"/>
      <c r="O34" s="324"/>
      <c r="P34" s="324"/>
      <c r="Q34" s="324"/>
    </row>
    <row r="49" spans="2:17" ht="21.5" x14ac:dyDescent="0.45">
      <c r="B49" s="279"/>
      <c r="C49" s="279"/>
      <c r="D49" s="279"/>
      <c r="E49" s="279"/>
      <c r="F49" s="279"/>
      <c r="G49" s="279"/>
      <c r="H49" s="279"/>
      <c r="I49" s="279"/>
      <c r="J49" s="279"/>
      <c r="K49" s="279"/>
      <c r="L49" s="279"/>
      <c r="M49" s="279"/>
      <c r="N49" s="279"/>
      <c r="O49" s="279"/>
      <c r="P49" s="279"/>
      <c r="Q49" s="289"/>
    </row>
  </sheetData>
  <sheetProtection algorithmName="SHA-512" hashValue="mjNehz+WO2GoURq04+JB9G14wz6LiQqtB9wWsez+CEEPguHXjudNQvUFFeR9W52QnNWt/Asmj1NYdkUj2/IcJQ==" saltValue="eme1W4EXxSq2JQgZDtSNjA==" spinCount="100000" sheet="1" objects="1" scenarios="1"/>
  <mergeCells count="4">
    <mergeCell ref="B34:Q34"/>
    <mergeCell ref="B29:Q29"/>
    <mergeCell ref="B3:Q3"/>
    <mergeCell ref="B5:Q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0">
    <tabColor rgb="FF92D050"/>
  </sheetPr>
  <dimension ref="B3:Q49"/>
  <sheetViews>
    <sheetView showGridLines="0" zoomScale="69" workbookViewId="0">
      <selection activeCell="E9" sqref="B3:Q34"/>
    </sheetView>
  </sheetViews>
  <sheetFormatPr defaultColWidth="14.36328125" defaultRowHeight="15.5" x14ac:dyDescent="0.35"/>
  <cols>
    <col min="1" max="1" width="9.6328125" style="165" customWidth="1"/>
    <col min="2" max="2" width="48.26953125" style="165" bestFit="1" customWidth="1"/>
    <col min="3" max="16" width="17.90625" style="165" customWidth="1"/>
    <col min="17" max="17" width="17.90625" style="178" customWidth="1"/>
    <col min="18" max="18" width="15.08984375" style="165" bestFit="1" customWidth="1"/>
    <col min="19" max="19" width="15.90625" style="165" bestFit="1" customWidth="1"/>
    <col min="20" max="256" width="14.36328125" style="165" customWidth="1"/>
    <col min="257" max="257" width="9.6328125" style="165" customWidth="1"/>
    <col min="258" max="258" width="43.54296875" style="165" customWidth="1"/>
    <col min="259" max="273" width="17.90625" style="165" customWidth="1"/>
    <col min="274" max="274" width="14.36328125" style="165" customWidth="1"/>
    <col min="275" max="275" width="15.90625" style="165" bestFit="1" customWidth="1"/>
    <col min="276" max="512" width="14.36328125" style="165" customWidth="1"/>
    <col min="513" max="513" width="9.6328125" style="165" customWidth="1"/>
    <col min="514" max="514" width="43.54296875" style="165" customWidth="1"/>
    <col min="515" max="529" width="17.90625" style="165" customWidth="1"/>
    <col min="530" max="530" width="14.36328125" style="165" customWidth="1"/>
    <col min="531" max="531" width="15.90625" style="165" bestFit="1" customWidth="1"/>
    <col min="532" max="768" width="14.36328125" style="165" customWidth="1"/>
    <col min="769" max="769" width="9.6328125" style="165" customWidth="1"/>
    <col min="770" max="770" width="43.54296875" style="165" customWidth="1"/>
    <col min="771" max="785" width="17.90625" style="165" customWidth="1"/>
    <col min="786" max="786" width="14.36328125" style="165" customWidth="1"/>
    <col min="787" max="787" width="15.90625" style="165" bestFit="1" customWidth="1"/>
    <col min="788" max="1024" width="14.36328125" style="165" customWidth="1"/>
    <col min="1025" max="1025" width="9.6328125" style="165" customWidth="1"/>
    <col min="1026" max="1026" width="43.54296875" style="165" customWidth="1"/>
    <col min="1027" max="1041" width="17.90625" style="165" customWidth="1"/>
    <col min="1042" max="1042" width="14.36328125" style="165" customWidth="1"/>
    <col min="1043" max="1043" width="15.90625" style="165" bestFit="1" customWidth="1"/>
    <col min="1044" max="1280" width="14.36328125" style="165" customWidth="1"/>
    <col min="1281" max="1281" width="9.6328125" style="165" customWidth="1"/>
    <col min="1282" max="1282" width="43.54296875" style="165" customWidth="1"/>
    <col min="1283" max="1297" width="17.90625" style="165" customWidth="1"/>
    <col min="1298" max="1298" width="14.36328125" style="165" customWidth="1"/>
    <col min="1299" max="1299" width="15.90625" style="165" bestFit="1" customWidth="1"/>
    <col min="1300" max="1536" width="14.36328125" style="165" customWidth="1"/>
    <col min="1537" max="1537" width="9.6328125" style="165" customWidth="1"/>
    <col min="1538" max="1538" width="43.54296875" style="165" customWidth="1"/>
    <col min="1539" max="1553" width="17.90625" style="165" customWidth="1"/>
    <col min="1554" max="1554" width="14.36328125" style="165" customWidth="1"/>
    <col min="1555" max="1555" width="15.90625" style="165" bestFit="1" customWidth="1"/>
    <col min="1556" max="1792" width="14.36328125" style="165" customWidth="1"/>
    <col min="1793" max="1793" width="9.6328125" style="165" customWidth="1"/>
    <col min="1794" max="1794" width="43.54296875" style="165" customWidth="1"/>
    <col min="1795" max="1809" width="17.90625" style="165" customWidth="1"/>
    <col min="1810" max="1810" width="14.36328125" style="165" customWidth="1"/>
    <col min="1811" max="1811" width="15.90625" style="165" bestFit="1" customWidth="1"/>
    <col min="1812" max="2048" width="14.36328125" style="165" customWidth="1"/>
    <col min="2049" max="2049" width="9.6328125" style="165" customWidth="1"/>
    <col min="2050" max="2050" width="43.54296875" style="165" customWidth="1"/>
    <col min="2051" max="2065" width="17.90625" style="165" customWidth="1"/>
    <col min="2066" max="2066" width="14.36328125" style="165" customWidth="1"/>
    <col min="2067" max="2067" width="15.90625" style="165" bestFit="1" customWidth="1"/>
    <col min="2068" max="2304" width="14.36328125" style="165" customWidth="1"/>
    <col min="2305" max="2305" width="9.6328125" style="165" customWidth="1"/>
    <col min="2306" max="2306" width="43.54296875" style="165" customWidth="1"/>
    <col min="2307" max="2321" width="17.90625" style="165" customWidth="1"/>
    <col min="2322" max="2322" width="14.36328125" style="165" customWidth="1"/>
    <col min="2323" max="2323" width="15.90625" style="165" bestFit="1" customWidth="1"/>
    <col min="2324" max="2560" width="14.36328125" style="165" customWidth="1"/>
    <col min="2561" max="2561" width="9.6328125" style="165" customWidth="1"/>
    <col min="2562" max="2562" width="43.54296875" style="165" customWidth="1"/>
    <col min="2563" max="2577" width="17.90625" style="165" customWidth="1"/>
    <col min="2578" max="2578" width="14.36328125" style="165" customWidth="1"/>
    <col min="2579" max="2579" width="15.90625" style="165" bestFit="1" customWidth="1"/>
    <col min="2580" max="2816" width="14.36328125" style="165" customWidth="1"/>
    <col min="2817" max="2817" width="9.6328125" style="165" customWidth="1"/>
    <col min="2818" max="2818" width="43.54296875" style="165" customWidth="1"/>
    <col min="2819" max="2833" width="17.90625" style="165" customWidth="1"/>
    <col min="2834" max="2834" width="14.36328125" style="165" customWidth="1"/>
    <col min="2835" max="2835" width="15.90625" style="165" bestFit="1" customWidth="1"/>
    <col min="2836" max="3072" width="14.36328125" style="165" customWidth="1"/>
    <col min="3073" max="3073" width="9.6328125" style="165" customWidth="1"/>
    <col min="3074" max="3074" width="43.54296875" style="165" customWidth="1"/>
    <col min="3075" max="3089" width="17.90625" style="165" customWidth="1"/>
    <col min="3090" max="3090" width="14.36328125" style="165" customWidth="1"/>
    <col min="3091" max="3091" width="15.90625" style="165" bestFit="1" customWidth="1"/>
    <col min="3092" max="3328" width="14.36328125" style="165" customWidth="1"/>
    <col min="3329" max="3329" width="9.6328125" style="165" customWidth="1"/>
    <col min="3330" max="3330" width="43.54296875" style="165" customWidth="1"/>
    <col min="3331" max="3345" width="17.90625" style="165" customWidth="1"/>
    <col min="3346" max="3346" width="14.36328125" style="165" customWidth="1"/>
    <col min="3347" max="3347" width="15.90625" style="165" bestFit="1" customWidth="1"/>
    <col min="3348" max="3584" width="14.36328125" style="165" customWidth="1"/>
    <col min="3585" max="3585" width="9.6328125" style="165" customWidth="1"/>
    <col min="3586" max="3586" width="43.54296875" style="165" customWidth="1"/>
    <col min="3587" max="3601" width="17.90625" style="165" customWidth="1"/>
    <col min="3602" max="3602" width="14.36328125" style="165" customWidth="1"/>
    <col min="3603" max="3603" width="15.90625" style="165" bestFit="1" customWidth="1"/>
    <col min="3604" max="3840" width="14.36328125" style="165" customWidth="1"/>
    <col min="3841" max="3841" width="9.6328125" style="165" customWidth="1"/>
    <col min="3842" max="3842" width="43.54296875" style="165" customWidth="1"/>
    <col min="3843" max="3857" width="17.90625" style="165" customWidth="1"/>
    <col min="3858" max="3858" width="14.36328125" style="165" customWidth="1"/>
    <col min="3859" max="3859" width="15.90625" style="165" bestFit="1" customWidth="1"/>
    <col min="3860" max="4096" width="14.36328125" style="165" customWidth="1"/>
    <col min="4097" max="4097" width="9.6328125" style="165" customWidth="1"/>
    <col min="4098" max="4098" width="43.54296875" style="165" customWidth="1"/>
    <col min="4099" max="4113" width="17.90625" style="165" customWidth="1"/>
    <col min="4114" max="4114" width="14.36328125" style="165" customWidth="1"/>
    <col min="4115" max="4115" width="15.90625" style="165" bestFit="1" customWidth="1"/>
    <col min="4116" max="4352" width="14.36328125" style="165" customWidth="1"/>
    <col min="4353" max="4353" width="9.6328125" style="165" customWidth="1"/>
    <col min="4354" max="4354" width="43.54296875" style="165" customWidth="1"/>
    <col min="4355" max="4369" width="17.90625" style="165" customWidth="1"/>
    <col min="4370" max="4370" width="14.36328125" style="165" customWidth="1"/>
    <col min="4371" max="4371" width="15.90625" style="165" bestFit="1" customWidth="1"/>
    <col min="4372" max="4608" width="14.36328125" style="165" customWidth="1"/>
    <col min="4609" max="4609" width="9.6328125" style="165" customWidth="1"/>
    <col min="4610" max="4610" width="43.54296875" style="165" customWidth="1"/>
    <col min="4611" max="4625" width="17.90625" style="165" customWidth="1"/>
    <col min="4626" max="4626" width="14.36328125" style="165" customWidth="1"/>
    <col min="4627" max="4627" width="15.90625" style="165" bestFit="1" customWidth="1"/>
    <col min="4628" max="4864" width="14.36328125" style="165" customWidth="1"/>
    <col min="4865" max="4865" width="9.6328125" style="165" customWidth="1"/>
    <col min="4866" max="4866" width="43.54296875" style="165" customWidth="1"/>
    <col min="4867" max="4881" width="17.90625" style="165" customWidth="1"/>
    <col min="4882" max="4882" width="14.36328125" style="165" customWidth="1"/>
    <col min="4883" max="4883" width="15.90625" style="165" bestFit="1" customWidth="1"/>
    <col min="4884" max="5120" width="14.36328125" style="165" customWidth="1"/>
    <col min="5121" max="5121" width="9.6328125" style="165" customWidth="1"/>
    <col min="5122" max="5122" width="43.54296875" style="165" customWidth="1"/>
    <col min="5123" max="5137" width="17.90625" style="165" customWidth="1"/>
    <col min="5138" max="5138" width="14.36328125" style="165" customWidth="1"/>
    <col min="5139" max="5139" width="15.90625" style="165" bestFit="1" customWidth="1"/>
    <col min="5140" max="5376" width="14.36328125" style="165" customWidth="1"/>
    <col min="5377" max="5377" width="9.6328125" style="165" customWidth="1"/>
    <col min="5378" max="5378" width="43.54296875" style="165" customWidth="1"/>
    <col min="5379" max="5393" width="17.90625" style="165" customWidth="1"/>
    <col min="5394" max="5394" width="14.36328125" style="165" customWidth="1"/>
    <col min="5395" max="5395" width="15.90625" style="165" bestFit="1" customWidth="1"/>
    <col min="5396" max="5632" width="14.36328125" style="165" customWidth="1"/>
    <col min="5633" max="5633" width="9.6328125" style="165" customWidth="1"/>
    <col min="5634" max="5634" width="43.54296875" style="165" customWidth="1"/>
    <col min="5635" max="5649" width="17.90625" style="165" customWidth="1"/>
    <col min="5650" max="5650" width="14.36328125" style="165" customWidth="1"/>
    <col min="5651" max="5651" width="15.90625" style="165" bestFit="1" customWidth="1"/>
    <col min="5652" max="5888" width="14.36328125" style="165" customWidth="1"/>
    <col min="5889" max="5889" width="9.6328125" style="165" customWidth="1"/>
    <col min="5890" max="5890" width="43.54296875" style="165" customWidth="1"/>
    <col min="5891" max="5905" width="17.90625" style="165" customWidth="1"/>
    <col min="5906" max="5906" width="14.36328125" style="165" customWidth="1"/>
    <col min="5907" max="5907" width="15.90625" style="165" bestFit="1" customWidth="1"/>
    <col min="5908" max="6144" width="14.36328125" style="165" customWidth="1"/>
    <col min="6145" max="6145" width="9.6328125" style="165" customWidth="1"/>
    <col min="6146" max="6146" width="43.54296875" style="165" customWidth="1"/>
    <col min="6147" max="6161" width="17.90625" style="165" customWidth="1"/>
    <col min="6162" max="6162" width="14.36328125" style="165" customWidth="1"/>
    <col min="6163" max="6163" width="15.90625" style="165" bestFit="1" customWidth="1"/>
    <col min="6164" max="6400" width="14.36328125" style="165" customWidth="1"/>
    <col min="6401" max="6401" width="9.6328125" style="165" customWidth="1"/>
    <col min="6402" max="6402" width="43.54296875" style="165" customWidth="1"/>
    <col min="6403" max="6417" width="17.90625" style="165" customWidth="1"/>
    <col min="6418" max="6418" width="14.36328125" style="165" customWidth="1"/>
    <col min="6419" max="6419" width="15.90625" style="165" bestFit="1" customWidth="1"/>
    <col min="6420" max="6656" width="14.36328125" style="165" customWidth="1"/>
    <col min="6657" max="6657" width="9.6328125" style="165" customWidth="1"/>
    <col min="6658" max="6658" width="43.54296875" style="165" customWidth="1"/>
    <col min="6659" max="6673" width="17.90625" style="165" customWidth="1"/>
    <col min="6674" max="6674" width="14.36328125" style="165" customWidth="1"/>
    <col min="6675" max="6675" width="15.90625" style="165" bestFit="1" customWidth="1"/>
    <col min="6676" max="6912" width="14.36328125" style="165" customWidth="1"/>
    <col min="6913" max="6913" width="9.6328125" style="165" customWidth="1"/>
    <col min="6914" max="6914" width="43.54296875" style="165" customWidth="1"/>
    <col min="6915" max="6929" width="17.90625" style="165" customWidth="1"/>
    <col min="6930" max="6930" width="14.36328125" style="165" customWidth="1"/>
    <col min="6931" max="6931" width="15.90625" style="165" bestFit="1" customWidth="1"/>
    <col min="6932" max="7168" width="14.36328125" style="165" customWidth="1"/>
    <col min="7169" max="7169" width="9.6328125" style="165" customWidth="1"/>
    <col min="7170" max="7170" width="43.54296875" style="165" customWidth="1"/>
    <col min="7171" max="7185" width="17.90625" style="165" customWidth="1"/>
    <col min="7186" max="7186" width="14.36328125" style="165" customWidth="1"/>
    <col min="7187" max="7187" width="15.90625" style="165" bestFit="1" customWidth="1"/>
    <col min="7188" max="7424" width="14.36328125" style="165" customWidth="1"/>
    <col min="7425" max="7425" width="9.6328125" style="165" customWidth="1"/>
    <col min="7426" max="7426" width="43.54296875" style="165" customWidth="1"/>
    <col min="7427" max="7441" width="17.90625" style="165" customWidth="1"/>
    <col min="7442" max="7442" width="14.36328125" style="165" customWidth="1"/>
    <col min="7443" max="7443" width="15.90625" style="165" bestFit="1" customWidth="1"/>
    <col min="7444" max="7680" width="14.36328125" style="165" customWidth="1"/>
    <col min="7681" max="7681" width="9.6328125" style="165" customWidth="1"/>
    <col min="7682" max="7682" width="43.54296875" style="165" customWidth="1"/>
    <col min="7683" max="7697" width="17.90625" style="165" customWidth="1"/>
    <col min="7698" max="7698" width="14.36328125" style="165" customWidth="1"/>
    <col min="7699" max="7699" width="15.90625" style="165" bestFit="1" customWidth="1"/>
    <col min="7700" max="7936" width="14.36328125" style="165" customWidth="1"/>
    <col min="7937" max="7937" width="9.6328125" style="165" customWidth="1"/>
    <col min="7938" max="7938" width="43.54296875" style="165" customWidth="1"/>
    <col min="7939" max="7953" width="17.90625" style="165" customWidth="1"/>
    <col min="7954" max="7954" width="14.36328125" style="165" customWidth="1"/>
    <col min="7955" max="7955" width="15.90625" style="165" bestFit="1" customWidth="1"/>
    <col min="7956" max="8192" width="14.36328125" style="165" customWidth="1"/>
    <col min="8193" max="8193" width="9.6328125" style="165" customWidth="1"/>
    <col min="8194" max="8194" width="43.54296875" style="165" customWidth="1"/>
    <col min="8195" max="8209" width="17.90625" style="165" customWidth="1"/>
    <col min="8210" max="8210" width="14.36328125" style="165" customWidth="1"/>
    <col min="8211" max="8211" width="15.90625" style="165" bestFit="1" customWidth="1"/>
    <col min="8212" max="8448" width="14.36328125" style="165" customWidth="1"/>
    <col min="8449" max="8449" width="9.6328125" style="165" customWidth="1"/>
    <col min="8450" max="8450" width="43.54296875" style="165" customWidth="1"/>
    <col min="8451" max="8465" width="17.90625" style="165" customWidth="1"/>
    <col min="8466" max="8466" width="14.36328125" style="165" customWidth="1"/>
    <col min="8467" max="8467" width="15.90625" style="165" bestFit="1" customWidth="1"/>
    <col min="8468" max="8704" width="14.36328125" style="165" customWidth="1"/>
    <col min="8705" max="8705" width="9.6328125" style="165" customWidth="1"/>
    <col min="8706" max="8706" width="43.54296875" style="165" customWidth="1"/>
    <col min="8707" max="8721" width="17.90625" style="165" customWidth="1"/>
    <col min="8722" max="8722" width="14.36328125" style="165" customWidth="1"/>
    <col min="8723" max="8723" width="15.90625" style="165" bestFit="1" customWidth="1"/>
    <col min="8724" max="8960" width="14.36328125" style="165" customWidth="1"/>
    <col min="8961" max="8961" width="9.6328125" style="165" customWidth="1"/>
    <col min="8962" max="8962" width="43.54296875" style="165" customWidth="1"/>
    <col min="8963" max="8977" width="17.90625" style="165" customWidth="1"/>
    <col min="8978" max="8978" width="14.36328125" style="165" customWidth="1"/>
    <col min="8979" max="8979" width="15.90625" style="165" bestFit="1" customWidth="1"/>
    <col min="8980" max="9216" width="14.36328125" style="165" customWidth="1"/>
    <col min="9217" max="9217" width="9.6328125" style="165" customWidth="1"/>
    <col min="9218" max="9218" width="43.54296875" style="165" customWidth="1"/>
    <col min="9219" max="9233" width="17.90625" style="165" customWidth="1"/>
    <col min="9234" max="9234" width="14.36328125" style="165" customWidth="1"/>
    <col min="9235" max="9235" width="15.90625" style="165" bestFit="1" customWidth="1"/>
    <col min="9236" max="9472" width="14.36328125" style="165" customWidth="1"/>
    <col min="9473" max="9473" width="9.6328125" style="165" customWidth="1"/>
    <col min="9474" max="9474" width="43.54296875" style="165" customWidth="1"/>
    <col min="9475" max="9489" width="17.90625" style="165" customWidth="1"/>
    <col min="9490" max="9490" width="14.36328125" style="165" customWidth="1"/>
    <col min="9491" max="9491" width="15.90625" style="165" bestFit="1" customWidth="1"/>
    <col min="9492" max="9728" width="14.36328125" style="165" customWidth="1"/>
    <col min="9729" max="9729" width="9.6328125" style="165" customWidth="1"/>
    <col min="9730" max="9730" width="43.54296875" style="165" customWidth="1"/>
    <col min="9731" max="9745" width="17.90625" style="165" customWidth="1"/>
    <col min="9746" max="9746" width="14.36328125" style="165" customWidth="1"/>
    <col min="9747" max="9747" width="15.90625" style="165" bestFit="1" customWidth="1"/>
    <col min="9748" max="9984" width="14.36328125" style="165" customWidth="1"/>
    <col min="9985" max="9985" width="9.6328125" style="165" customWidth="1"/>
    <col min="9986" max="9986" width="43.54296875" style="165" customWidth="1"/>
    <col min="9987" max="10001" width="17.90625" style="165" customWidth="1"/>
    <col min="10002" max="10002" width="14.36328125" style="165" customWidth="1"/>
    <col min="10003" max="10003" width="15.90625" style="165" bestFit="1" customWidth="1"/>
    <col min="10004" max="10240" width="14.36328125" style="165" customWidth="1"/>
    <col min="10241" max="10241" width="9.6328125" style="165" customWidth="1"/>
    <col min="10242" max="10242" width="43.54296875" style="165" customWidth="1"/>
    <col min="10243" max="10257" width="17.90625" style="165" customWidth="1"/>
    <col min="10258" max="10258" width="14.36328125" style="165" customWidth="1"/>
    <col min="10259" max="10259" width="15.90625" style="165" bestFit="1" customWidth="1"/>
    <col min="10260" max="10496" width="14.36328125" style="165" customWidth="1"/>
    <col min="10497" max="10497" width="9.6328125" style="165" customWidth="1"/>
    <col min="10498" max="10498" width="43.54296875" style="165" customWidth="1"/>
    <col min="10499" max="10513" width="17.90625" style="165" customWidth="1"/>
    <col min="10514" max="10514" width="14.36328125" style="165" customWidth="1"/>
    <col min="10515" max="10515" width="15.90625" style="165" bestFit="1" customWidth="1"/>
    <col min="10516" max="10752" width="14.36328125" style="165" customWidth="1"/>
    <col min="10753" max="10753" width="9.6328125" style="165" customWidth="1"/>
    <col min="10754" max="10754" width="43.54296875" style="165" customWidth="1"/>
    <col min="10755" max="10769" width="17.90625" style="165" customWidth="1"/>
    <col min="10770" max="10770" width="14.36328125" style="165" customWidth="1"/>
    <col min="10771" max="10771" width="15.90625" style="165" bestFit="1" customWidth="1"/>
    <col min="10772" max="11008" width="14.36328125" style="165" customWidth="1"/>
    <col min="11009" max="11009" width="9.6328125" style="165" customWidth="1"/>
    <col min="11010" max="11010" width="43.54296875" style="165" customWidth="1"/>
    <col min="11011" max="11025" width="17.90625" style="165" customWidth="1"/>
    <col min="11026" max="11026" width="14.36328125" style="165" customWidth="1"/>
    <col min="11027" max="11027" width="15.90625" style="165" bestFit="1" customWidth="1"/>
    <col min="11028" max="11264" width="14.36328125" style="165" customWidth="1"/>
    <col min="11265" max="11265" width="9.6328125" style="165" customWidth="1"/>
    <col min="11266" max="11266" width="43.54296875" style="165" customWidth="1"/>
    <col min="11267" max="11281" width="17.90625" style="165" customWidth="1"/>
    <col min="11282" max="11282" width="14.36328125" style="165" customWidth="1"/>
    <col min="11283" max="11283" width="15.90625" style="165" bestFit="1" customWidth="1"/>
    <col min="11284" max="11520" width="14.36328125" style="165" customWidth="1"/>
    <col min="11521" max="11521" width="9.6328125" style="165" customWidth="1"/>
    <col min="11522" max="11522" width="43.54296875" style="165" customWidth="1"/>
    <col min="11523" max="11537" width="17.90625" style="165" customWidth="1"/>
    <col min="11538" max="11538" width="14.36328125" style="165" customWidth="1"/>
    <col min="11539" max="11539" width="15.90625" style="165" bestFit="1" customWidth="1"/>
    <col min="11540" max="11776" width="14.36328125" style="165" customWidth="1"/>
    <col min="11777" max="11777" width="9.6328125" style="165" customWidth="1"/>
    <col min="11778" max="11778" width="43.54296875" style="165" customWidth="1"/>
    <col min="11779" max="11793" width="17.90625" style="165" customWidth="1"/>
    <col min="11794" max="11794" width="14.36328125" style="165" customWidth="1"/>
    <col min="11795" max="11795" width="15.90625" style="165" bestFit="1" customWidth="1"/>
    <col min="11796" max="12032" width="14.36328125" style="165" customWidth="1"/>
    <col min="12033" max="12033" width="9.6328125" style="165" customWidth="1"/>
    <col min="12034" max="12034" width="43.54296875" style="165" customWidth="1"/>
    <col min="12035" max="12049" width="17.90625" style="165" customWidth="1"/>
    <col min="12050" max="12050" width="14.36328125" style="165" customWidth="1"/>
    <col min="12051" max="12051" width="15.90625" style="165" bestFit="1" customWidth="1"/>
    <col min="12052" max="12288" width="14.36328125" style="165" customWidth="1"/>
    <col min="12289" max="12289" width="9.6328125" style="165" customWidth="1"/>
    <col min="12290" max="12290" width="43.54296875" style="165" customWidth="1"/>
    <col min="12291" max="12305" width="17.90625" style="165" customWidth="1"/>
    <col min="12306" max="12306" width="14.36328125" style="165" customWidth="1"/>
    <col min="12307" max="12307" width="15.90625" style="165" bestFit="1" customWidth="1"/>
    <col min="12308" max="12544" width="14.36328125" style="165" customWidth="1"/>
    <col min="12545" max="12545" width="9.6328125" style="165" customWidth="1"/>
    <col min="12546" max="12546" width="43.54296875" style="165" customWidth="1"/>
    <col min="12547" max="12561" width="17.90625" style="165" customWidth="1"/>
    <col min="12562" max="12562" width="14.36328125" style="165" customWidth="1"/>
    <col min="12563" max="12563" width="15.90625" style="165" bestFit="1" customWidth="1"/>
    <col min="12564" max="12800" width="14.36328125" style="165" customWidth="1"/>
    <col min="12801" max="12801" width="9.6328125" style="165" customWidth="1"/>
    <col min="12802" max="12802" width="43.54296875" style="165" customWidth="1"/>
    <col min="12803" max="12817" width="17.90625" style="165" customWidth="1"/>
    <col min="12818" max="12818" width="14.36328125" style="165" customWidth="1"/>
    <col min="12819" max="12819" width="15.90625" style="165" bestFit="1" customWidth="1"/>
    <col min="12820" max="13056" width="14.36328125" style="165" customWidth="1"/>
    <col min="13057" max="13057" width="9.6328125" style="165" customWidth="1"/>
    <col min="13058" max="13058" width="43.54296875" style="165" customWidth="1"/>
    <col min="13059" max="13073" width="17.90625" style="165" customWidth="1"/>
    <col min="13074" max="13074" width="14.36328125" style="165" customWidth="1"/>
    <col min="13075" max="13075" width="15.90625" style="165" bestFit="1" customWidth="1"/>
    <col min="13076" max="13312" width="14.36328125" style="165" customWidth="1"/>
    <col min="13313" max="13313" width="9.6328125" style="165" customWidth="1"/>
    <col min="13314" max="13314" width="43.54296875" style="165" customWidth="1"/>
    <col min="13315" max="13329" width="17.90625" style="165" customWidth="1"/>
    <col min="13330" max="13330" width="14.36328125" style="165" customWidth="1"/>
    <col min="13331" max="13331" width="15.90625" style="165" bestFit="1" customWidth="1"/>
    <col min="13332" max="13568" width="14.36328125" style="165" customWidth="1"/>
    <col min="13569" max="13569" width="9.6328125" style="165" customWidth="1"/>
    <col min="13570" max="13570" width="43.54296875" style="165" customWidth="1"/>
    <col min="13571" max="13585" width="17.90625" style="165" customWidth="1"/>
    <col min="13586" max="13586" width="14.36328125" style="165" customWidth="1"/>
    <col min="13587" max="13587" width="15.90625" style="165" bestFit="1" customWidth="1"/>
    <col min="13588" max="13824" width="14.36328125" style="165" customWidth="1"/>
    <col min="13825" max="13825" width="9.6328125" style="165" customWidth="1"/>
    <col min="13826" max="13826" width="43.54296875" style="165" customWidth="1"/>
    <col min="13827" max="13841" width="17.90625" style="165" customWidth="1"/>
    <col min="13842" max="13842" width="14.36328125" style="165" customWidth="1"/>
    <col min="13843" max="13843" width="15.90625" style="165" bestFit="1" customWidth="1"/>
    <col min="13844" max="14080" width="14.36328125" style="165" customWidth="1"/>
    <col min="14081" max="14081" width="9.6328125" style="165" customWidth="1"/>
    <col min="14082" max="14082" width="43.54296875" style="165" customWidth="1"/>
    <col min="14083" max="14097" width="17.90625" style="165" customWidth="1"/>
    <col min="14098" max="14098" width="14.36328125" style="165" customWidth="1"/>
    <col min="14099" max="14099" width="15.90625" style="165" bestFit="1" customWidth="1"/>
    <col min="14100" max="14336" width="14.36328125" style="165" customWidth="1"/>
    <col min="14337" max="14337" width="9.6328125" style="165" customWidth="1"/>
    <col min="14338" max="14338" width="43.54296875" style="165" customWidth="1"/>
    <col min="14339" max="14353" width="17.90625" style="165" customWidth="1"/>
    <col min="14354" max="14354" width="14.36328125" style="165" customWidth="1"/>
    <col min="14355" max="14355" width="15.90625" style="165" bestFit="1" customWidth="1"/>
    <col min="14356" max="14592" width="14.36328125" style="165" customWidth="1"/>
    <col min="14593" max="14593" width="9.6328125" style="165" customWidth="1"/>
    <col min="14594" max="14594" width="43.54296875" style="165" customWidth="1"/>
    <col min="14595" max="14609" width="17.90625" style="165" customWidth="1"/>
    <col min="14610" max="14610" width="14.36328125" style="165" customWidth="1"/>
    <col min="14611" max="14611" width="15.90625" style="165" bestFit="1" customWidth="1"/>
    <col min="14612" max="14848" width="14.36328125" style="165" customWidth="1"/>
    <col min="14849" max="14849" width="9.6328125" style="165" customWidth="1"/>
    <col min="14850" max="14850" width="43.54296875" style="165" customWidth="1"/>
    <col min="14851" max="14865" width="17.90625" style="165" customWidth="1"/>
    <col min="14866" max="14866" width="14.36328125" style="165" customWidth="1"/>
    <col min="14867" max="14867" width="15.90625" style="165" bestFit="1" customWidth="1"/>
    <col min="14868" max="15104" width="14.36328125" style="165" customWidth="1"/>
    <col min="15105" max="15105" width="9.6328125" style="165" customWidth="1"/>
    <col min="15106" max="15106" width="43.54296875" style="165" customWidth="1"/>
    <col min="15107" max="15121" width="17.90625" style="165" customWidth="1"/>
    <col min="15122" max="15122" width="14.36328125" style="165" customWidth="1"/>
    <col min="15123" max="15123" width="15.90625" style="165" bestFit="1" customWidth="1"/>
    <col min="15124" max="15360" width="14.36328125" style="165" customWidth="1"/>
    <col min="15361" max="15361" width="9.6328125" style="165" customWidth="1"/>
    <col min="15362" max="15362" width="43.54296875" style="165" customWidth="1"/>
    <col min="15363" max="15377" width="17.90625" style="165" customWidth="1"/>
    <col min="15378" max="15378" width="14.36328125" style="165" customWidth="1"/>
    <col min="15379" max="15379" width="15.90625" style="165" bestFit="1" customWidth="1"/>
    <col min="15380" max="15616" width="14.36328125" style="165" customWidth="1"/>
    <col min="15617" max="15617" width="9.6328125" style="165" customWidth="1"/>
    <col min="15618" max="15618" width="43.54296875" style="165" customWidth="1"/>
    <col min="15619" max="15633" width="17.90625" style="165" customWidth="1"/>
    <col min="15634" max="15634" width="14.36328125" style="165" customWidth="1"/>
    <col min="15635" max="15635" width="15.90625" style="165" bestFit="1" customWidth="1"/>
    <col min="15636" max="15872" width="14.36328125" style="165" customWidth="1"/>
    <col min="15873" max="15873" width="9.6328125" style="165" customWidth="1"/>
    <col min="15874" max="15874" width="43.54296875" style="165" customWidth="1"/>
    <col min="15875" max="15889" width="17.90625" style="165" customWidth="1"/>
    <col min="15890" max="15890" width="14.36328125" style="165" customWidth="1"/>
    <col min="15891" max="15891" width="15.90625" style="165" bestFit="1" customWidth="1"/>
    <col min="15892" max="16128" width="14.36328125" style="165" customWidth="1"/>
    <col min="16129" max="16129" width="9.6328125" style="165" customWidth="1"/>
    <col min="16130" max="16130" width="43.54296875" style="165" customWidth="1"/>
    <col min="16131" max="16145" width="17.90625" style="165" customWidth="1"/>
    <col min="16146" max="16146" width="14.36328125" style="165" customWidth="1"/>
    <col min="16147" max="16147" width="15.90625" style="165" bestFit="1" customWidth="1"/>
    <col min="16148" max="16384" width="14.36328125" style="165" customWidth="1"/>
  </cols>
  <sheetData>
    <row r="3" spans="2:17" s="278" customFormat="1" ht="22" x14ac:dyDescent="0.5">
      <c r="B3" s="297" t="str">
        <f>_xlfn.CONCAT('Table of Contents'!B28,": ",'Table of Contents'!C28)</f>
        <v>APPENDIX 16: SUMMARY OF DEPOSIT ADMINISTRATION BUSINESS REVENUE ACCOUNTS FOR THE PERIOD ENDED 31.03.2026</v>
      </c>
      <c r="C3" s="298"/>
      <c r="D3" s="298"/>
      <c r="E3" s="298"/>
      <c r="F3" s="298"/>
      <c r="G3" s="298"/>
      <c r="H3" s="298"/>
      <c r="I3" s="298"/>
      <c r="J3" s="298"/>
      <c r="K3" s="298"/>
      <c r="L3" s="298"/>
      <c r="M3" s="298"/>
      <c r="N3" s="298"/>
      <c r="O3" s="298"/>
      <c r="P3" s="298"/>
      <c r="Q3" s="299"/>
    </row>
    <row r="4" spans="2:17" s="169" customFormat="1" ht="31" x14ac:dyDescent="0.35">
      <c r="B4" s="166" t="s">
        <v>87</v>
      </c>
      <c r="C4" s="167" t="s">
        <v>201</v>
      </c>
      <c r="D4" s="167" t="s">
        <v>202</v>
      </c>
      <c r="E4" s="167" t="s">
        <v>203</v>
      </c>
      <c r="F4" s="167" t="s">
        <v>204</v>
      </c>
      <c r="G4" s="167" t="s">
        <v>205</v>
      </c>
      <c r="H4" s="167" t="s">
        <v>206</v>
      </c>
      <c r="I4" s="168" t="s">
        <v>207</v>
      </c>
      <c r="J4" s="167" t="s">
        <v>208</v>
      </c>
      <c r="K4" s="167" t="s">
        <v>209</v>
      </c>
      <c r="L4" s="167" t="s">
        <v>210</v>
      </c>
      <c r="M4" s="167" t="s">
        <v>211</v>
      </c>
      <c r="N4" s="167" t="s">
        <v>212</v>
      </c>
      <c r="O4" s="167" t="s">
        <v>213</v>
      </c>
      <c r="P4" s="167" t="s">
        <v>214</v>
      </c>
      <c r="Q4" s="167" t="s">
        <v>215</v>
      </c>
    </row>
    <row r="5" spans="2:17" x14ac:dyDescent="0.35">
      <c r="B5" s="300" t="s">
        <v>106</v>
      </c>
      <c r="C5" s="301"/>
      <c r="D5" s="301"/>
      <c r="E5" s="301"/>
      <c r="F5" s="301"/>
      <c r="G5" s="301"/>
      <c r="H5" s="301"/>
      <c r="I5" s="301"/>
      <c r="J5" s="301"/>
      <c r="K5" s="301"/>
      <c r="L5" s="301"/>
      <c r="M5" s="301"/>
      <c r="N5" s="301"/>
      <c r="O5" s="301"/>
      <c r="P5" s="301"/>
      <c r="Q5" s="302"/>
    </row>
    <row r="6" spans="2:17" ht="35.5" customHeight="1" x14ac:dyDescent="0.35">
      <c r="B6" s="170" t="s">
        <v>150</v>
      </c>
      <c r="C6" s="171">
        <v>0</v>
      </c>
      <c r="D6" s="171">
        <v>0</v>
      </c>
      <c r="E6" s="171">
        <v>0</v>
      </c>
      <c r="F6" s="171">
        <v>0</v>
      </c>
      <c r="G6" s="171">
        <v>0</v>
      </c>
      <c r="H6" s="171">
        <v>0</v>
      </c>
      <c r="I6" s="171">
        <v>0</v>
      </c>
      <c r="J6" s="171">
        <v>0</v>
      </c>
      <c r="K6" s="171">
        <v>0</v>
      </c>
      <c r="L6" s="171">
        <v>0</v>
      </c>
      <c r="M6" s="171">
        <v>0</v>
      </c>
      <c r="N6" s="171">
        <v>0</v>
      </c>
      <c r="O6" s="171">
        <v>0</v>
      </c>
      <c r="P6" s="171">
        <v>0</v>
      </c>
      <c r="Q6" s="172">
        <v>0</v>
      </c>
    </row>
    <row r="7" spans="2:17" ht="35.5" customHeight="1" x14ac:dyDescent="0.35">
      <c r="B7" s="173" t="s">
        <v>151</v>
      </c>
      <c r="C7" s="171">
        <v>11683894.254000001</v>
      </c>
      <c r="D7" s="171">
        <v>493888.598</v>
      </c>
      <c r="E7" s="171">
        <v>493888.598</v>
      </c>
      <c r="F7" s="171">
        <v>0</v>
      </c>
      <c r="G7" s="171">
        <v>308894.07208000001</v>
      </c>
      <c r="H7" s="171">
        <v>308894.07208000001</v>
      </c>
      <c r="I7" s="171">
        <v>0</v>
      </c>
      <c r="J7" s="171">
        <v>0</v>
      </c>
      <c r="K7" s="171">
        <v>0</v>
      </c>
      <c r="L7" s="171">
        <v>10951.759319999999</v>
      </c>
      <c r="M7" s="171">
        <v>16919.706066780749</v>
      </c>
      <c r="N7" s="171">
        <v>399609.18816499662</v>
      </c>
      <c r="O7" s="171">
        <v>3400.1477059858498</v>
      </c>
      <c r="P7" s="171">
        <v>0</v>
      </c>
      <c r="Q7" s="172">
        <v>12237226.354992229</v>
      </c>
    </row>
    <row r="8" spans="2:17" ht="35.5" customHeight="1" x14ac:dyDescent="0.35">
      <c r="B8" s="173" t="s">
        <v>152</v>
      </c>
      <c r="C8" s="171">
        <v>44390436.776419997</v>
      </c>
      <c r="D8" s="171">
        <v>2941220.4508099998</v>
      </c>
      <c r="E8" s="171">
        <v>2941220.4508099998</v>
      </c>
      <c r="F8" s="171">
        <v>0</v>
      </c>
      <c r="G8" s="171">
        <v>2617669.3284900002</v>
      </c>
      <c r="H8" s="171">
        <v>2617669.3284900002</v>
      </c>
      <c r="I8" s="171">
        <v>0</v>
      </c>
      <c r="J8" s="171">
        <v>0</v>
      </c>
      <c r="K8" s="171">
        <v>0</v>
      </c>
      <c r="L8" s="171">
        <v>28871.325000000001</v>
      </c>
      <c r="M8" s="171">
        <v>184388.269</v>
      </c>
      <c r="N8" s="171">
        <v>2393588.8820000002</v>
      </c>
      <c r="O8" s="171">
        <v>5184.3270000000002</v>
      </c>
      <c r="P8" s="171">
        <v>0</v>
      </c>
      <c r="Q8" s="172">
        <v>46889132.859739996</v>
      </c>
    </row>
    <row r="9" spans="2:17" ht="35.5" customHeight="1" x14ac:dyDescent="0.35">
      <c r="B9" s="173" t="s">
        <v>153</v>
      </c>
      <c r="C9" s="171">
        <v>0</v>
      </c>
      <c r="D9" s="171">
        <v>0</v>
      </c>
      <c r="E9" s="171">
        <v>0</v>
      </c>
      <c r="F9" s="171">
        <v>0</v>
      </c>
      <c r="G9" s="171">
        <v>0</v>
      </c>
      <c r="H9" s="171">
        <v>0</v>
      </c>
      <c r="I9" s="171">
        <v>0</v>
      </c>
      <c r="J9" s="171">
        <v>0</v>
      </c>
      <c r="K9" s="171">
        <v>0</v>
      </c>
      <c r="L9" s="171">
        <v>0</v>
      </c>
      <c r="M9" s="171">
        <v>0</v>
      </c>
      <c r="N9" s="171">
        <v>0</v>
      </c>
      <c r="O9" s="171">
        <v>0</v>
      </c>
      <c r="P9" s="171">
        <v>0</v>
      </c>
      <c r="Q9" s="172">
        <v>0</v>
      </c>
    </row>
    <row r="10" spans="2:17" ht="35.5" customHeight="1" x14ac:dyDescent="0.35">
      <c r="B10" s="173" t="s">
        <v>154</v>
      </c>
      <c r="C10" s="171">
        <v>41545.870999999999</v>
      </c>
      <c r="D10" s="171">
        <v>7382.0123400000002</v>
      </c>
      <c r="E10" s="171">
        <v>7382.0123400000002</v>
      </c>
      <c r="F10" s="171">
        <v>0</v>
      </c>
      <c r="G10" s="171">
        <v>9789.0975799999997</v>
      </c>
      <c r="H10" s="171">
        <v>9789.0975799999997</v>
      </c>
      <c r="I10" s="171">
        <v>0</v>
      </c>
      <c r="J10" s="171">
        <v>0</v>
      </c>
      <c r="K10" s="171">
        <v>0</v>
      </c>
      <c r="L10" s="171">
        <v>0</v>
      </c>
      <c r="M10" s="171">
        <v>742.4</v>
      </c>
      <c r="N10" s="171">
        <v>0</v>
      </c>
      <c r="O10" s="171">
        <v>0</v>
      </c>
      <c r="P10" s="171">
        <v>0</v>
      </c>
      <c r="Q10" s="172">
        <v>38396.385759999997</v>
      </c>
    </row>
    <row r="11" spans="2:17" ht="35.5" customHeight="1" x14ac:dyDescent="0.35">
      <c r="B11" s="173" t="s">
        <v>155</v>
      </c>
      <c r="C11" s="171">
        <v>20131563.356285661</v>
      </c>
      <c r="D11" s="171">
        <v>933321.99213000003</v>
      </c>
      <c r="E11" s="171">
        <v>933321.99213000003</v>
      </c>
      <c r="F11" s="171">
        <v>0</v>
      </c>
      <c r="G11" s="171">
        <v>67977.143769999995</v>
      </c>
      <c r="H11" s="171">
        <v>67977.143769999995</v>
      </c>
      <c r="I11" s="171">
        <v>0</v>
      </c>
      <c r="J11" s="171">
        <v>0</v>
      </c>
      <c r="K11" s="171">
        <v>0</v>
      </c>
      <c r="L11" s="171">
        <v>67977.143769999995</v>
      </c>
      <c r="M11" s="171">
        <v>133083.58728000001</v>
      </c>
      <c r="N11" s="171">
        <v>0</v>
      </c>
      <c r="O11" s="171">
        <v>0</v>
      </c>
      <c r="P11" s="171">
        <v>0</v>
      </c>
      <c r="Q11" s="172">
        <v>20795847.47359566</v>
      </c>
    </row>
    <row r="12" spans="2:17" ht="35.5" customHeight="1" x14ac:dyDescent="0.35">
      <c r="B12" s="174" t="s">
        <v>156</v>
      </c>
      <c r="C12" s="171">
        <v>17173677.141088109</v>
      </c>
      <c r="D12" s="171">
        <v>571586.929</v>
      </c>
      <c r="E12" s="171">
        <v>571586.929</v>
      </c>
      <c r="F12" s="171">
        <v>42083.236609833402</v>
      </c>
      <c r="G12" s="171">
        <v>375518.46446689958</v>
      </c>
      <c r="H12" s="171">
        <v>375518.46446689958</v>
      </c>
      <c r="I12" s="171">
        <v>0</v>
      </c>
      <c r="J12" s="171">
        <v>0</v>
      </c>
      <c r="K12" s="171">
        <v>0</v>
      </c>
      <c r="L12" s="171">
        <v>0</v>
      </c>
      <c r="M12" s="171">
        <v>757.39884601010294</v>
      </c>
      <c r="N12" s="171">
        <v>585798.19191656506</v>
      </c>
      <c r="O12" s="171">
        <v>45922.214339833408</v>
      </c>
      <c r="P12" s="171">
        <v>0</v>
      </c>
      <c r="Q12" s="172">
        <v>17950947.42096176</v>
      </c>
    </row>
    <row r="13" spans="2:17" ht="35.5" customHeight="1" x14ac:dyDescent="0.35">
      <c r="B13" s="173" t="s">
        <v>157</v>
      </c>
      <c r="C13" s="171">
        <v>48354038.310941651</v>
      </c>
      <c r="D13" s="171">
        <v>1575120.976</v>
      </c>
      <c r="E13" s="171">
        <v>1575120.976</v>
      </c>
      <c r="F13" s="171">
        <v>0</v>
      </c>
      <c r="G13" s="171">
        <v>718877.72100000002</v>
      </c>
      <c r="H13" s="171">
        <v>718877.72100000002</v>
      </c>
      <c r="I13" s="171">
        <v>0</v>
      </c>
      <c r="J13" s="171">
        <v>0</v>
      </c>
      <c r="K13" s="171">
        <v>0</v>
      </c>
      <c r="L13" s="171">
        <v>9627.1129999999994</v>
      </c>
      <c r="M13" s="171">
        <v>57663.874000000003</v>
      </c>
      <c r="N13" s="171">
        <v>1826338.7009999999</v>
      </c>
      <c r="O13" s="171">
        <v>0</v>
      </c>
      <c r="P13" s="171">
        <v>0</v>
      </c>
      <c r="Q13" s="172">
        <v>50969329.279941648</v>
      </c>
    </row>
    <row r="14" spans="2:17" ht="35.5" customHeight="1" x14ac:dyDescent="0.35">
      <c r="B14" s="173" t="s">
        <v>158</v>
      </c>
      <c r="C14" s="171">
        <v>655570.43799999997</v>
      </c>
      <c r="D14" s="171">
        <v>679008.90344074438</v>
      </c>
      <c r="E14" s="171">
        <v>679008.90344074438</v>
      </c>
      <c r="F14" s="171">
        <v>0</v>
      </c>
      <c r="G14" s="171">
        <v>362783.26690901368</v>
      </c>
      <c r="H14" s="171">
        <v>0</v>
      </c>
      <c r="I14" s="171">
        <v>362783.26690901368</v>
      </c>
      <c r="J14" s="171">
        <v>0</v>
      </c>
      <c r="K14" s="171">
        <v>0</v>
      </c>
      <c r="L14" s="171">
        <v>0</v>
      </c>
      <c r="M14" s="171">
        <v>3125.0266950973232</v>
      </c>
      <c r="N14" s="171">
        <v>0</v>
      </c>
      <c r="O14" s="171">
        <v>0</v>
      </c>
      <c r="P14" s="171">
        <v>0</v>
      </c>
      <c r="Q14" s="172">
        <v>968671.0478366334</v>
      </c>
    </row>
    <row r="15" spans="2:17" ht="35.5" customHeight="1" x14ac:dyDescent="0.35">
      <c r="B15" s="173" t="s">
        <v>159</v>
      </c>
      <c r="C15" s="171">
        <v>93810582.170000002</v>
      </c>
      <c r="D15" s="171">
        <v>3091787.4049999998</v>
      </c>
      <c r="E15" s="171">
        <v>3091787.4049999998</v>
      </c>
      <c r="F15" s="171">
        <v>0</v>
      </c>
      <c r="G15" s="171">
        <v>2789479.75342</v>
      </c>
      <c r="H15" s="171">
        <v>2789479.75342</v>
      </c>
      <c r="I15" s="171">
        <v>0</v>
      </c>
      <c r="J15" s="171">
        <v>0</v>
      </c>
      <c r="K15" s="171">
        <v>0</v>
      </c>
      <c r="L15" s="171">
        <v>70898.516000000003</v>
      </c>
      <c r="M15" s="171">
        <v>138590.26910908811</v>
      </c>
      <c r="N15" s="171">
        <v>3432642.841</v>
      </c>
      <c r="O15" s="171">
        <v>0</v>
      </c>
      <c r="P15" s="171">
        <v>210000</v>
      </c>
      <c r="Q15" s="172">
        <v>97126043.877470911</v>
      </c>
    </row>
    <row r="16" spans="2:17" ht="35.5" customHeight="1" x14ac:dyDescent="0.35">
      <c r="B16" s="173" t="s">
        <v>160</v>
      </c>
      <c r="C16" s="171">
        <v>117751434.08030359</v>
      </c>
      <c r="D16" s="171">
        <v>4317417.0045699999</v>
      </c>
      <c r="E16" s="171">
        <v>4317417.0045699999</v>
      </c>
      <c r="F16" s="171">
        <v>0</v>
      </c>
      <c r="G16" s="171">
        <v>2438049.1740000001</v>
      </c>
      <c r="H16" s="171">
        <v>2438049.1740000001</v>
      </c>
      <c r="I16" s="171">
        <v>0</v>
      </c>
      <c r="J16" s="171">
        <v>0</v>
      </c>
      <c r="K16" s="171">
        <v>0</v>
      </c>
      <c r="L16" s="171">
        <v>81148.623000000007</v>
      </c>
      <c r="M16" s="171">
        <v>97846.848600000012</v>
      </c>
      <c r="N16" s="171">
        <v>4867047.3229999999</v>
      </c>
      <c r="O16" s="171">
        <v>27293.517</v>
      </c>
      <c r="P16" s="171">
        <v>0</v>
      </c>
      <c r="Q16" s="172">
        <v>124291560.2452736</v>
      </c>
    </row>
    <row r="17" spans="2:17" ht="35.5" customHeight="1" x14ac:dyDescent="0.35">
      <c r="B17" s="173" t="s">
        <v>161</v>
      </c>
      <c r="C17" s="171">
        <v>81796372.922316194</v>
      </c>
      <c r="D17" s="171">
        <v>3659648.7850000001</v>
      </c>
      <c r="E17" s="171">
        <v>3659648.7850000001</v>
      </c>
      <c r="F17" s="171">
        <v>0</v>
      </c>
      <c r="G17" s="171">
        <v>1898758.32862</v>
      </c>
      <c r="H17" s="171">
        <v>1898758.32862</v>
      </c>
      <c r="I17" s="171">
        <v>0</v>
      </c>
      <c r="J17" s="171">
        <v>0</v>
      </c>
      <c r="K17" s="171">
        <v>0</v>
      </c>
      <c r="L17" s="171">
        <v>65350.176879999999</v>
      </c>
      <c r="M17" s="171">
        <v>199349.31948119999</v>
      </c>
      <c r="N17" s="171">
        <v>2785211.0901722498</v>
      </c>
      <c r="O17" s="171">
        <v>0</v>
      </c>
      <c r="P17" s="171">
        <v>109378.06975</v>
      </c>
      <c r="Q17" s="172">
        <v>85968396.902757242</v>
      </c>
    </row>
    <row r="18" spans="2:17" ht="35.5" customHeight="1" x14ac:dyDescent="0.35">
      <c r="B18" s="173" t="s">
        <v>162</v>
      </c>
      <c r="C18" s="175">
        <v>1833972.8355068639</v>
      </c>
      <c r="D18" s="171">
        <v>61187.894749999999</v>
      </c>
      <c r="E18" s="171">
        <v>61187.894749999999</v>
      </c>
      <c r="F18" s="171">
        <v>0</v>
      </c>
      <c r="G18" s="171">
        <v>43230.757870000001</v>
      </c>
      <c r="H18" s="171">
        <v>43230.757870000001</v>
      </c>
      <c r="I18" s="171">
        <v>0</v>
      </c>
      <c r="J18" s="171">
        <v>0</v>
      </c>
      <c r="K18" s="171">
        <v>0</v>
      </c>
      <c r="L18" s="171">
        <v>0</v>
      </c>
      <c r="M18" s="171">
        <v>1234.689717999998</v>
      </c>
      <c r="N18" s="171">
        <v>59989.367202616289</v>
      </c>
      <c r="O18" s="171">
        <v>0</v>
      </c>
      <c r="P18" s="171">
        <v>0</v>
      </c>
      <c r="Q18" s="172">
        <v>1910684.64987148</v>
      </c>
    </row>
    <row r="19" spans="2:17" ht="35.5" customHeight="1" x14ac:dyDescent="0.35">
      <c r="B19" s="173" t="s">
        <v>163</v>
      </c>
      <c r="C19" s="175">
        <v>10387748.18355277</v>
      </c>
      <c r="D19" s="171">
        <v>295791.69906999997</v>
      </c>
      <c r="E19" s="171">
        <v>295791.69906999997</v>
      </c>
      <c r="F19" s="171">
        <v>0</v>
      </c>
      <c r="G19" s="171">
        <v>77768.585999999996</v>
      </c>
      <c r="H19" s="171">
        <v>77768.585999999996</v>
      </c>
      <c r="I19" s="171">
        <v>0</v>
      </c>
      <c r="J19" s="171">
        <v>0</v>
      </c>
      <c r="K19" s="171">
        <v>0</v>
      </c>
      <c r="L19" s="171">
        <v>10354.168</v>
      </c>
      <c r="M19" s="171">
        <v>82019.7</v>
      </c>
      <c r="N19" s="171">
        <v>134205.66449</v>
      </c>
      <c r="O19" s="171">
        <v>2662.511</v>
      </c>
      <c r="P19" s="171">
        <v>0</v>
      </c>
      <c r="Q19" s="172">
        <v>10644940.582112771</v>
      </c>
    </row>
    <row r="20" spans="2:17" ht="35.5" customHeight="1" x14ac:dyDescent="0.35">
      <c r="B20" s="173" t="s">
        <v>127</v>
      </c>
      <c r="C20" s="175">
        <v>5332808.2014253633</v>
      </c>
      <c r="D20" s="171">
        <v>165756.56681999989</v>
      </c>
      <c r="E20" s="171">
        <v>165756.56681999989</v>
      </c>
      <c r="F20" s="171">
        <v>0</v>
      </c>
      <c r="G20" s="171">
        <v>129349.67769</v>
      </c>
      <c r="H20" s="171">
        <v>129349.67769</v>
      </c>
      <c r="I20" s="171">
        <v>0</v>
      </c>
      <c r="J20" s="171">
        <v>0</v>
      </c>
      <c r="K20" s="171">
        <v>0</v>
      </c>
      <c r="L20" s="171">
        <v>1218.7141099999999</v>
      </c>
      <c r="M20" s="171">
        <v>11819.725534463791</v>
      </c>
      <c r="N20" s="171">
        <v>57377.324718583732</v>
      </c>
      <c r="O20" s="171">
        <v>3755.5707461953311</v>
      </c>
      <c r="P20" s="171">
        <v>0</v>
      </c>
      <c r="Q20" s="172">
        <v>5409798.4048832888</v>
      </c>
    </row>
    <row r="21" spans="2:17" ht="35.5" customHeight="1" x14ac:dyDescent="0.35">
      <c r="B21" s="173" t="s">
        <v>164</v>
      </c>
      <c r="C21" s="175">
        <v>7292043.8437667293</v>
      </c>
      <c r="D21" s="171">
        <v>301785.63479999988</v>
      </c>
      <c r="E21" s="171">
        <v>301785.63479999988</v>
      </c>
      <c r="F21" s="171">
        <v>0</v>
      </c>
      <c r="G21" s="171">
        <v>156052.73689</v>
      </c>
      <c r="H21" s="171">
        <v>156052.73689</v>
      </c>
      <c r="I21" s="171">
        <v>0</v>
      </c>
      <c r="J21" s="171">
        <v>0</v>
      </c>
      <c r="K21" s="171">
        <v>0</v>
      </c>
      <c r="L21" s="171">
        <v>4681.5245699999996</v>
      </c>
      <c r="M21" s="171">
        <v>21991.548163411309</v>
      </c>
      <c r="N21" s="171">
        <v>316838.69814772822</v>
      </c>
      <c r="O21" s="171">
        <v>0</v>
      </c>
      <c r="P21" s="171">
        <v>0</v>
      </c>
      <c r="Q21" s="172">
        <v>7727942.3670910466</v>
      </c>
    </row>
    <row r="22" spans="2:17" ht="35.5" customHeight="1" x14ac:dyDescent="0.35">
      <c r="B22" s="173" t="s">
        <v>165</v>
      </c>
      <c r="C22" s="175">
        <v>13719338.510730561</v>
      </c>
      <c r="D22" s="171">
        <v>2324016.9896200011</v>
      </c>
      <c r="E22" s="171">
        <v>2324016.9896200011</v>
      </c>
      <c r="F22" s="171">
        <v>0</v>
      </c>
      <c r="G22" s="171">
        <v>166621.6506439017</v>
      </c>
      <c r="H22" s="171">
        <v>166621.6506439017</v>
      </c>
      <c r="I22" s="171">
        <v>0</v>
      </c>
      <c r="J22" s="171">
        <v>0</v>
      </c>
      <c r="K22" s="171">
        <v>0</v>
      </c>
      <c r="L22" s="171">
        <v>116112.455</v>
      </c>
      <c r="M22" s="171">
        <v>49430.884338904987</v>
      </c>
      <c r="N22" s="171">
        <v>730178.74341385893</v>
      </c>
      <c r="O22" s="171">
        <v>0</v>
      </c>
      <c r="P22" s="171">
        <v>0</v>
      </c>
      <c r="Q22" s="172">
        <v>16441369.253781609</v>
      </c>
    </row>
    <row r="23" spans="2:17" ht="35.5" customHeight="1" x14ac:dyDescent="0.35">
      <c r="B23" s="173" t="s">
        <v>166</v>
      </c>
      <c r="C23" s="175">
        <v>1739085.5090000001</v>
      </c>
      <c r="D23" s="171">
        <v>206540.14595000001</v>
      </c>
      <c r="E23" s="171">
        <v>206540.14595000001</v>
      </c>
      <c r="F23" s="171">
        <v>0</v>
      </c>
      <c r="G23" s="171">
        <v>45395.076000000001</v>
      </c>
      <c r="H23" s="171">
        <v>45395.076000000001</v>
      </c>
      <c r="I23" s="171">
        <v>0</v>
      </c>
      <c r="J23" s="171">
        <v>0</v>
      </c>
      <c r="K23" s="171">
        <v>0</v>
      </c>
      <c r="L23" s="171">
        <v>0</v>
      </c>
      <c r="M23" s="171">
        <v>17536.67067</v>
      </c>
      <c r="N23" s="171">
        <v>69846.968999999997</v>
      </c>
      <c r="O23" s="171">
        <v>0</v>
      </c>
      <c r="P23" s="171">
        <v>0</v>
      </c>
      <c r="Q23" s="172">
        <v>1952540.8772799999</v>
      </c>
    </row>
    <row r="24" spans="2:17" ht="35.5" customHeight="1" x14ac:dyDescent="0.35">
      <c r="B24" s="173" t="s">
        <v>167</v>
      </c>
      <c r="C24" s="175">
        <v>4930318.7895865878</v>
      </c>
      <c r="D24" s="171">
        <v>50750.689952999928</v>
      </c>
      <c r="E24" s="171">
        <v>50750.689952999928</v>
      </c>
      <c r="F24" s="171">
        <v>0</v>
      </c>
      <c r="G24" s="171">
        <v>96463.505899999989</v>
      </c>
      <c r="H24" s="171">
        <v>96463.505899999989</v>
      </c>
      <c r="I24" s="171">
        <v>0</v>
      </c>
      <c r="J24" s="171">
        <v>0</v>
      </c>
      <c r="K24" s="171">
        <v>0</v>
      </c>
      <c r="L24" s="171">
        <v>0</v>
      </c>
      <c r="M24" s="171">
        <v>9737.1221113755855</v>
      </c>
      <c r="N24" s="171">
        <v>244683.20989999999</v>
      </c>
      <c r="O24" s="171">
        <v>0</v>
      </c>
      <c r="P24" s="171">
        <v>0</v>
      </c>
      <c r="Q24" s="172">
        <v>5119552.0614282126</v>
      </c>
    </row>
    <row r="25" spans="2:17" ht="35.5" customHeight="1" x14ac:dyDescent="0.35">
      <c r="B25" s="173" t="s">
        <v>168</v>
      </c>
      <c r="C25" s="175">
        <v>0</v>
      </c>
      <c r="D25" s="171">
        <v>0</v>
      </c>
      <c r="E25" s="171">
        <v>0</v>
      </c>
      <c r="F25" s="171">
        <v>0</v>
      </c>
      <c r="G25" s="171">
        <v>0</v>
      </c>
      <c r="H25" s="171">
        <v>0</v>
      </c>
      <c r="I25" s="171">
        <v>0</v>
      </c>
      <c r="J25" s="171">
        <v>0</v>
      </c>
      <c r="K25" s="171">
        <v>0</v>
      </c>
      <c r="L25" s="171">
        <v>0</v>
      </c>
      <c r="M25" s="171">
        <v>0</v>
      </c>
      <c r="N25" s="171">
        <v>0</v>
      </c>
      <c r="O25" s="171">
        <v>0</v>
      </c>
      <c r="P25" s="171">
        <v>0</v>
      </c>
      <c r="Q25" s="172">
        <v>0</v>
      </c>
    </row>
    <row r="26" spans="2:17" ht="35.5" customHeight="1" x14ac:dyDescent="0.35">
      <c r="B26" s="173" t="s">
        <v>169</v>
      </c>
      <c r="C26" s="175">
        <v>0</v>
      </c>
      <c r="D26" s="171">
        <v>0</v>
      </c>
      <c r="E26" s="171">
        <v>0</v>
      </c>
      <c r="F26" s="171">
        <v>0</v>
      </c>
      <c r="G26" s="171">
        <v>0</v>
      </c>
      <c r="H26" s="171">
        <v>0</v>
      </c>
      <c r="I26" s="171">
        <v>0</v>
      </c>
      <c r="J26" s="171">
        <v>0</v>
      </c>
      <c r="K26" s="171">
        <v>0</v>
      </c>
      <c r="L26" s="171">
        <v>0</v>
      </c>
      <c r="M26" s="171">
        <v>0</v>
      </c>
      <c r="N26" s="171">
        <v>0</v>
      </c>
      <c r="O26" s="171">
        <v>0</v>
      </c>
      <c r="P26" s="171">
        <v>0</v>
      </c>
      <c r="Q26" s="172">
        <v>0</v>
      </c>
    </row>
    <row r="27" spans="2:17" ht="35.5" customHeight="1" x14ac:dyDescent="0.35">
      <c r="B27" s="173" t="s">
        <v>170</v>
      </c>
      <c r="C27" s="175">
        <v>0</v>
      </c>
      <c r="D27" s="171">
        <v>0</v>
      </c>
      <c r="E27" s="171">
        <v>0</v>
      </c>
      <c r="F27" s="171">
        <v>0</v>
      </c>
      <c r="G27" s="171">
        <v>0</v>
      </c>
      <c r="H27" s="171">
        <v>0</v>
      </c>
      <c r="I27" s="171">
        <v>0</v>
      </c>
      <c r="J27" s="171">
        <v>0</v>
      </c>
      <c r="K27" s="171">
        <v>0</v>
      </c>
      <c r="L27" s="171">
        <v>0</v>
      </c>
      <c r="M27" s="171">
        <v>0</v>
      </c>
      <c r="N27" s="171">
        <v>0</v>
      </c>
      <c r="O27" s="171">
        <v>0</v>
      </c>
      <c r="P27" s="171">
        <v>0</v>
      </c>
      <c r="Q27" s="172">
        <v>0</v>
      </c>
    </row>
    <row r="28" spans="2:17" ht="35.5" customHeight="1" x14ac:dyDescent="0.35">
      <c r="B28" s="135" t="s">
        <v>7</v>
      </c>
      <c r="C28" s="176">
        <f t="shared" ref="C28:Q28" si="0">SUM(C6:C27)</f>
        <v>481024431.19392413</v>
      </c>
      <c r="D28" s="176">
        <f t="shared" si="0"/>
        <v>21676212.677253742</v>
      </c>
      <c r="E28" s="176">
        <f t="shared" si="0"/>
        <v>21676212.677253742</v>
      </c>
      <c r="F28" s="176">
        <f t="shared" si="0"/>
        <v>42083.236609833402</v>
      </c>
      <c r="G28" s="176">
        <f t="shared" si="0"/>
        <v>12302678.341329811</v>
      </c>
      <c r="H28" s="176">
        <f t="shared" si="0"/>
        <v>11939895.074420799</v>
      </c>
      <c r="I28" s="176">
        <f t="shared" si="0"/>
        <v>362783.26690901368</v>
      </c>
      <c r="J28" s="176">
        <f t="shared" si="0"/>
        <v>0</v>
      </c>
      <c r="K28" s="176">
        <f t="shared" si="0"/>
        <v>0</v>
      </c>
      <c r="L28" s="176">
        <f t="shared" si="0"/>
        <v>467191.51865000004</v>
      </c>
      <c r="M28" s="176">
        <f t="shared" si="0"/>
        <v>1026237.0396143319</v>
      </c>
      <c r="N28" s="176">
        <f t="shared" si="0"/>
        <v>17903356.194126595</v>
      </c>
      <c r="O28" s="176">
        <f t="shared" si="0"/>
        <v>88218.287792014584</v>
      </c>
      <c r="P28" s="176">
        <f t="shared" si="0"/>
        <v>319378.06975000002</v>
      </c>
      <c r="Q28" s="176">
        <f t="shared" si="0"/>
        <v>506442380.04477805</v>
      </c>
    </row>
    <row r="29" spans="2:17" ht="35.5" customHeight="1" x14ac:dyDescent="0.35">
      <c r="B29" s="300" t="s">
        <v>142</v>
      </c>
      <c r="C29" s="301"/>
      <c r="D29" s="301"/>
      <c r="E29" s="301"/>
      <c r="F29" s="301"/>
      <c r="G29" s="301"/>
      <c r="H29" s="301"/>
      <c r="I29" s="301"/>
      <c r="J29" s="301"/>
      <c r="K29" s="301"/>
      <c r="L29" s="301"/>
      <c r="M29" s="301"/>
      <c r="N29" s="301"/>
      <c r="O29" s="301"/>
      <c r="P29" s="301"/>
      <c r="Q29" s="302"/>
    </row>
    <row r="30" spans="2:17" ht="35.5" customHeight="1" x14ac:dyDescent="0.35">
      <c r="B30" s="173" t="s">
        <v>143</v>
      </c>
      <c r="C30" s="171">
        <v>0</v>
      </c>
      <c r="D30" s="171">
        <v>0</v>
      </c>
      <c r="E30" s="171">
        <v>0</v>
      </c>
      <c r="F30" s="171">
        <v>0</v>
      </c>
      <c r="G30" s="171">
        <v>0</v>
      </c>
      <c r="H30" s="171">
        <v>0</v>
      </c>
      <c r="I30" s="171">
        <v>0</v>
      </c>
      <c r="J30" s="171">
        <v>0</v>
      </c>
      <c r="K30" s="171">
        <v>0</v>
      </c>
      <c r="L30" s="171">
        <v>0</v>
      </c>
      <c r="M30" s="171">
        <v>0</v>
      </c>
      <c r="N30" s="171">
        <v>0</v>
      </c>
      <c r="O30" s="171">
        <v>0</v>
      </c>
      <c r="P30" s="171">
        <v>0</v>
      </c>
      <c r="Q30" s="172">
        <v>0</v>
      </c>
    </row>
    <row r="31" spans="2:17" ht="35.5" customHeight="1" x14ac:dyDescent="0.35">
      <c r="B31" s="173" t="s">
        <v>144</v>
      </c>
      <c r="C31" s="171">
        <v>0</v>
      </c>
      <c r="D31" s="171">
        <v>0</v>
      </c>
      <c r="E31" s="171">
        <v>0</v>
      </c>
      <c r="F31" s="171">
        <v>0</v>
      </c>
      <c r="G31" s="171">
        <v>0</v>
      </c>
      <c r="H31" s="171">
        <v>0</v>
      </c>
      <c r="I31" s="171">
        <v>0</v>
      </c>
      <c r="J31" s="171">
        <v>0</v>
      </c>
      <c r="K31" s="171">
        <v>0</v>
      </c>
      <c r="L31" s="171">
        <v>0</v>
      </c>
      <c r="M31" s="171">
        <v>0</v>
      </c>
      <c r="N31" s="171">
        <v>0</v>
      </c>
      <c r="O31" s="171">
        <v>0</v>
      </c>
      <c r="P31" s="171">
        <v>0</v>
      </c>
      <c r="Q31" s="172">
        <v>0</v>
      </c>
    </row>
    <row r="32" spans="2:17" ht="35.5" customHeight="1" x14ac:dyDescent="0.35">
      <c r="B32" s="173" t="s">
        <v>146</v>
      </c>
      <c r="C32" s="171">
        <v>0</v>
      </c>
      <c r="D32" s="171">
        <v>0</v>
      </c>
      <c r="E32" s="171">
        <v>0</v>
      </c>
      <c r="F32" s="171">
        <v>0</v>
      </c>
      <c r="G32" s="171">
        <v>0</v>
      </c>
      <c r="H32" s="171">
        <v>0</v>
      </c>
      <c r="I32" s="171">
        <v>0</v>
      </c>
      <c r="J32" s="171">
        <v>0</v>
      </c>
      <c r="K32" s="171">
        <v>0</v>
      </c>
      <c r="L32" s="171">
        <v>0</v>
      </c>
      <c r="M32" s="171">
        <v>0</v>
      </c>
      <c r="N32" s="171">
        <v>0</v>
      </c>
      <c r="O32" s="171">
        <v>0</v>
      </c>
      <c r="P32" s="171">
        <v>0</v>
      </c>
      <c r="Q32" s="172">
        <v>0</v>
      </c>
    </row>
    <row r="33" spans="2:17" ht="35.5" customHeight="1" x14ac:dyDescent="0.35">
      <c r="B33" s="135" t="s">
        <v>7</v>
      </c>
      <c r="C33" s="177">
        <f t="shared" ref="C33:Q33" si="1">SUM(C30:C32)</f>
        <v>0</v>
      </c>
      <c r="D33" s="177">
        <f t="shared" si="1"/>
        <v>0</v>
      </c>
      <c r="E33" s="177">
        <f t="shared" si="1"/>
        <v>0</v>
      </c>
      <c r="F33" s="177">
        <f t="shared" si="1"/>
        <v>0</v>
      </c>
      <c r="G33" s="177">
        <f t="shared" si="1"/>
        <v>0</v>
      </c>
      <c r="H33" s="177">
        <f t="shared" si="1"/>
        <v>0</v>
      </c>
      <c r="I33" s="177">
        <f t="shared" si="1"/>
        <v>0</v>
      </c>
      <c r="J33" s="177">
        <f t="shared" si="1"/>
        <v>0</v>
      </c>
      <c r="K33" s="177">
        <f t="shared" si="1"/>
        <v>0</v>
      </c>
      <c r="L33" s="177">
        <f t="shared" si="1"/>
        <v>0</v>
      </c>
      <c r="M33" s="177">
        <f t="shared" si="1"/>
        <v>0</v>
      </c>
      <c r="N33" s="177">
        <f t="shared" si="1"/>
        <v>0</v>
      </c>
      <c r="O33" s="177">
        <f t="shared" si="1"/>
        <v>0</v>
      </c>
      <c r="P33" s="177">
        <f t="shared" si="1"/>
        <v>0</v>
      </c>
      <c r="Q33" s="177">
        <f t="shared" si="1"/>
        <v>0</v>
      </c>
    </row>
    <row r="34" spans="2:17" ht="35.5" customHeight="1" x14ac:dyDescent="0.35">
      <c r="B34" s="356" t="s">
        <v>149</v>
      </c>
      <c r="C34" s="324"/>
      <c r="D34" s="324"/>
      <c r="E34" s="324"/>
      <c r="F34" s="324"/>
      <c r="G34" s="324"/>
      <c r="H34" s="324"/>
      <c r="I34" s="324"/>
      <c r="J34" s="324"/>
      <c r="K34" s="324"/>
      <c r="L34" s="324"/>
      <c r="M34" s="324"/>
      <c r="N34" s="324"/>
      <c r="O34" s="324"/>
      <c r="P34" s="324"/>
      <c r="Q34" s="324"/>
    </row>
    <row r="49" spans="2:17" ht="21.5" x14ac:dyDescent="0.45">
      <c r="B49" s="278"/>
      <c r="C49" s="278"/>
      <c r="D49" s="278"/>
      <c r="E49" s="278"/>
      <c r="F49" s="278"/>
      <c r="G49" s="278"/>
      <c r="H49" s="278"/>
      <c r="I49" s="278"/>
      <c r="J49" s="278"/>
      <c r="K49" s="278"/>
      <c r="L49" s="278"/>
      <c r="M49" s="278"/>
      <c r="N49" s="278"/>
      <c r="O49" s="278"/>
      <c r="P49" s="278"/>
      <c r="Q49" s="288"/>
    </row>
  </sheetData>
  <sheetProtection algorithmName="SHA-512" hashValue="KbRoruy36RLGCIy+0LC22Jt/un0yrckkgE4DMgg3SE7emR2YrDNXdl5M/6ZA72EaVPyYwgJSb2k520SnjNw5FA==" saltValue="dm4AM7chg+Nru7x8/Gym4A==" spinCount="100000" sheet="1" objects="1" scenarios="1"/>
  <mergeCells count="4">
    <mergeCell ref="B34:Q34"/>
    <mergeCell ref="B29:Q29"/>
    <mergeCell ref="B3:Q3"/>
    <mergeCell ref="B5:Q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tabColor rgb="FF92D050"/>
    <pageSetUpPr fitToPage="1"/>
  </sheetPr>
  <dimension ref="B3:R49"/>
  <sheetViews>
    <sheetView showGridLines="0" tabSelected="1" zoomScale="54" zoomScaleNormal="70" workbookViewId="0">
      <pane xSplit="2" ySplit="5" topLeftCell="H18" activePane="bottomRight" state="frozen"/>
      <selection activeCell="A4" sqref="A4:XFD4"/>
      <selection pane="topRight" activeCell="A4" sqref="A4:XFD4"/>
      <selection pane="bottomLeft" activeCell="A4" sqref="A4:XFD4"/>
      <selection pane="bottomRight" activeCell="H31" sqref="H31"/>
    </sheetView>
  </sheetViews>
  <sheetFormatPr defaultColWidth="16.54296875" defaultRowHeight="15.5" x14ac:dyDescent="0.35"/>
  <cols>
    <col min="1" max="1" width="16.54296875" style="132" customWidth="1"/>
    <col min="2" max="2" width="47.6328125" style="132" bestFit="1" customWidth="1"/>
    <col min="3" max="3" width="19.7265625" style="132" bestFit="1" customWidth="1"/>
    <col min="4" max="4" width="21" style="132" customWidth="1"/>
    <col min="5" max="16" width="18.54296875" style="132" customWidth="1"/>
    <col min="17" max="17" width="19.7265625" style="185" bestFit="1" customWidth="1"/>
    <col min="18" max="57" width="16.54296875" style="132" customWidth="1"/>
    <col min="58" max="16384" width="16.54296875" style="132"/>
  </cols>
  <sheetData>
    <row r="3" spans="2:17" s="276" customFormat="1" ht="22" x14ac:dyDescent="0.5">
      <c r="B3" s="297" t="str">
        <f>_xlfn.CONCAT('Table of Contents'!B29,": ",'Table of Contents'!C29)</f>
        <v>APPENDIX 17: SUMMARY OF COMBINED LONG TERM BUSINESS REVENUE ACCOUNTS FOR THE PERIOD ENDED 31.03.2026</v>
      </c>
      <c r="C3" s="298"/>
      <c r="D3" s="298"/>
      <c r="E3" s="298"/>
      <c r="F3" s="298"/>
      <c r="G3" s="298"/>
      <c r="H3" s="298"/>
      <c r="I3" s="298"/>
      <c r="J3" s="298"/>
      <c r="K3" s="298"/>
      <c r="L3" s="298"/>
      <c r="M3" s="298"/>
      <c r="N3" s="298"/>
      <c r="O3" s="298"/>
      <c r="P3" s="298"/>
      <c r="Q3" s="299"/>
    </row>
    <row r="4" spans="2:17" s="179" customFormat="1" ht="31" x14ac:dyDescent="0.35">
      <c r="B4" s="65" t="s">
        <v>87</v>
      </c>
      <c r="C4" s="66" t="s">
        <v>201</v>
      </c>
      <c r="D4" s="66" t="s">
        <v>202</v>
      </c>
      <c r="E4" s="66" t="s">
        <v>203</v>
      </c>
      <c r="F4" s="66" t="s">
        <v>204</v>
      </c>
      <c r="G4" s="66" t="s">
        <v>205</v>
      </c>
      <c r="H4" s="66" t="s">
        <v>206</v>
      </c>
      <c r="I4" s="96" t="s">
        <v>207</v>
      </c>
      <c r="J4" s="66" t="s">
        <v>208</v>
      </c>
      <c r="K4" s="66" t="s">
        <v>209</v>
      </c>
      <c r="L4" s="66" t="s">
        <v>210</v>
      </c>
      <c r="M4" s="66" t="s">
        <v>211</v>
      </c>
      <c r="N4" s="66" t="s">
        <v>212</v>
      </c>
      <c r="O4" s="66" t="s">
        <v>213</v>
      </c>
      <c r="P4" s="66" t="s">
        <v>214</v>
      </c>
      <c r="Q4" s="66" t="s">
        <v>215</v>
      </c>
    </row>
    <row r="5" spans="2:17" ht="16" customHeight="1" x14ac:dyDescent="0.35">
      <c r="B5" s="300" t="s">
        <v>106</v>
      </c>
      <c r="C5" s="301"/>
      <c r="D5" s="301"/>
      <c r="E5" s="301"/>
      <c r="F5" s="301"/>
      <c r="G5" s="301"/>
      <c r="H5" s="301"/>
      <c r="I5" s="301"/>
      <c r="J5" s="301"/>
      <c r="K5" s="301"/>
      <c r="L5" s="301"/>
      <c r="M5" s="301"/>
      <c r="N5" s="301"/>
      <c r="O5" s="301"/>
      <c r="P5" s="301"/>
      <c r="Q5" s="302"/>
    </row>
    <row r="6" spans="2:17" ht="16" customHeight="1" x14ac:dyDescent="0.35">
      <c r="B6" s="67" t="s">
        <v>150</v>
      </c>
      <c r="C6" s="180">
        <v>18687506.8496168</v>
      </c>
      <c r="D6" s="180">
        <v>3802084.8368799998</v>
      </c>
      <c r="E6" s="180">
        <v>2866736.44888</v>
      </c>
      <c r="F6" s="180">
        <v>0</v>
      </c>
      <c r="G6" s="180">
        <v>868386.25773000007</v>
      </c>
      <c r="H6" s="180">
        <v>868386.25773000007</v>
      </c>
      <c r="I6" s="180">
        <v>0</v>
      </c>
      <c r="J6" s="180">
        <v>0</v>
      </c>
      <c r="K6" s="180">
        <v>0</v>
      </c>
      <c r="L6" s="180">
        <v>422517.41751</v>
      </c>
      <c r="M6" s="180">
        <v>349369.95095294749</v>
      </c>
      <c r="N6" s="180">
        <v>949311.61521000008</v>
      </c>
      <c r="O6" s="180">
        <v>0</v>
      </c>
      <c r="P6" s="180">
        <v>0</v>
      </c>
      <c r="Q6" s="181">
        <v>20863281.287513848</v>
      </c>
    </row>
    <row r="7" spans="2:17" ht="16" customHeight="1" x14ac:dyDescent="0.35">
      <c r="B7" s="67" t="s">
        <v>151</v>
      </c>
      <c r="C7" s="180">
        <v>26630353.943</v>
      </c>
      <c r="D7" s="180">
        <v>5603012.7483499991</v>
      </c>
      <c r="E7" s="180">
        <v>5283157.9264939073</v>
      </c>
      <c r="F7" s="180">
        <v>0</v>
      </c>
      <c r="G7" s="180">
        <v>641105.62652556296</v>
      </c>
      <c r="H7" s="180">
        <v>641105.62652556296</v>
      </c>
      <c r="I7" s="180">
        <v>0</v>
      </c>
      <c r="J7" s="180">
        <v>0</v>
      </c>
      <c r="K7" s="180">
        <v>0</v>
      </c>
      <c r="L7" s="180">
        <v>520246.04364715313</v>
      </c>
      <c r="M7" s="180">
        <v>126606.86985746439</v>
      </c>
      <c r="N7" s="180">
        <v>1238296.578135943</v>
      </c>
      <c r="O7" s="180">
        <v>10411.333647859739</v>
      </c>
      <c r="P7" s="180">
        <v>0</v>
      </c>
      <c r="Q7" s="181">
        <v>31853438.573951811</v>
      </c>
    </row>
    <row r="8" spans="2:17" ht="16" customHeight="1" x14ac:dyDescent="0.35">
      <c r="B8" s="67" t="s">
        <v>152</v>
      </c>
      <c r="C8" s="180">
        <v>189981307.755759</v>
      </c>
      <c r="D8" s="180">
        <v>14648580.28690676</v>
      </c>
      <c r="E8" s="180">
        <v>14648755.1180893</v>
      </c>
      <c r="F8" s="180">
        <v>3860.9589999999998</v>
      </c>
      <c r="G8" s="180">
        <v>9168900.6560900006</v>
      </c>
      <c r="H8" s="180">
        <v>9168900.6560900006</v>
      </c>
      <c r="I8" s="180">
        <v>0</v>
      </c>
      <c r="J8" s="180">
        <v>0</v>
      </c>
      <c r="K8" s="180">
        <v>0</v>
      </c>
      <c r="L8" s="180">
        <v>594483.80916999991</v>
      </c>
      <c r="M8" s="180">
        <v>1179434.236</v>
      </c>
      <c r="N8" s="180">
        <v>9276138.2980000004</v>
      </c>
      <c r="O8" s="180">
        <v>68477.979828186479</v>
      </c>
      <c r="P8" s="180">
        <v>0</v>
      </c>
      <c r="Q8" s="181">
        <v>202898765.44976011</v>
      </c>
    </row>
    <row r="9" spans="2:17" ht="16" customHeight="1" x14ac:dyDescent="0.35">
      <c r="B9" s="67" t="s">
        <v>153</v>
      </c>
      <c r="C9" s="180">
        <v>817056.46196709608</v>
      </c>
      <c r="D9" s="180">
        <v>176978.4177604086</v>
      </c>
      <c r="E9" s="180">
        <v>99770.094827734691</v>
      </c>
      <c r="F9" s="180">
        <v>0</v>
      </c>
      <c r="G9" s="180">
        <v>13598.41717334721</v>
      </c>
      <c r="H9" s="180">
        <v>13598.41717334721</v>
      </c>
      <c r="I9" s="180">
        <v>0</v>
      </c>
      <c r="J9" s="180">
        <v>0</v>
      </c>
      <c r="K9" s="180">
        <v>0</v>
      </c>
      <c r="L9" s="180">
        <v>-1801.9807481472319</v>
      </c>
      <c r="M9" s="180">
        <v>55696.881147</v>
      </c>
      <c r="N9" s="180">
        <v>27912.032999999999</v>
      </c>
      <c r="O9" s="180">
        <v>0</v>
      </c>
      <c r="P9" s="180">
        <v>0</v>
      </c>
      <c r="Q9" s="181">
        <v>877245.2722226308</v>
      </c>
    </row>
    <row r="10" spans="2:17" ht="16" customHeight="1" x14ac:dyDescent="0.35">
      <c r="B10" s="67" t="s">
        <v>154</v>
      </c>
      <c r="C10" s="180">
        <v>1067477.0958253599</v>
      </c>
      <c r="D10" s="180">
        <v>722509.43833999999</v>
      </c>
      <c r="E10" s="180">
        <v>645132.6322931163</v>
      </c>
      <c r="F10" s="180">
        <v>0</v>
      </c>
      <c r="G10" s="180">
        <v>280002.27172000002</v>
      </c>
      <c r="H10" s="180">
        <v>280002.27172000002</v>
      </c>
      <c r="I10" s="180">
        <v>0</v>
      </c>
      <c r="J10" s="180">
        <v>0</v>
      </c>
      <c r="K10" s="180">
        <v>0</v>
      </c>
      <c r="L10" s="180">
        <v>81525.173540472038</v>
      </c>
      <c r="M10" s="180">
        <v>104689.696</v>
      </c>
      <c r="N10" s="180">
        <v>1351.796</v>
      </c>
      <c r="O10" s="180">
        <v>0</v>
      </c>
      <c r="P10" s="180">
        <v>0</v>
      </c>
      <c r="Q10" s="181">
        <v>1247744.3828580049</v>
      </c>
    </row>
    <row r="11" spans="2:17" ht="16" customHeight="1" x14ac:dyDescent="0.35">
      <c r="B11" s="67" t="s">
        <v>155</v>
      </c>
      <c r="C11" s="180">
        <v>37938735.347427428</v>
      </c>
      <c r="D11" s="180">
        <v>5022013.2037899997</v>
      </c>
      <c r="E11" s="180">
        <v>4410080.4217900001</v>
      </c>
      <c r="F11" s="180">
        <v>0</v>
      </c>
      <c r="G11" s="180">
        <v>359397.77290999988</v>
      </c>
      <c r="H11" s="180">
        <v>359397.77290999988</v>
      </c>
      <c r="I11" s="180">
        <v>0</v>
      </c>
      <c r="J11" s="180">
        <v>0</v>
      </c>
      <c r="K11" s="180">
        <v>0</v>
      </c>
      <c r="L11" s="180">
        <v>569828.35090999992</v>
      </c>
      <c r="M11" s="180">
        <v>645344.14723999996</v>
      </c>
      <c r="N11" s="180">
        <v>0</v>
      </c>
      <c r="O11" s="180">
        <v>0</v>
      </c>
      <c r="P11" s="180">
        <v>0</v>
      </c>
      <c r="Q11" s="181">
        <v>40774245.498157427</v>
      </c>
    </row>
    <row r="12" spans="2:17" ht="16" customHeight="1" x14ac:dyDescent="0.35">
      <c r="B12" s="67" t="s">
        <v>156</v>
      </c>
      <c r="C12" s="180">
        <v>27854399.156855609</v>
      </c>
      <c r="D12" s="180">
        <v>1968082.7919999999</v>
      </c>
      <c r="E12" s="180">
        <v>1479864.144557894</v>
      </c>
      <c r="F12" s="180">
        <v>42083.236609833402</v>
      </c>
      <c r="G12" s="180">
        <v>463945.53127523162</v>
      </c>
      <c r="H12" s="180">
        <v>463945.53127523162</v>
      </c>
      <c r="I12" s="180">
        <v>0</v>
      </c>
      <c r="J12" s="180">
        <v>0</v>
      </c>
      <c r="K12" s="180">
        <v>0</v>
      </c>
      <c r="L12" s="180">
        <v>-11100.847440648369</v>
      </c>
      <c r="M12" s="180">
        <v>171880.0491288912</v>
      </c>
      <c r="N12" s="180">
        <v>983317.98408409883</v>
      </c>
      <c r="O12" s="180">
        <v>45922.214339833408</v>
      </c>
      <c r="P12" s="180">
        <v>0</v>
      </c>
      <c r="Q12" s="181">
        <v>29689017.574804131</v>
      </c>
    </row>
    <row r="13" spans="2:17" ht="16" customHeight="1" x14ac:dyDescent="0.35">
      <c r="B13" s="67" t="s">
        <v>157</v>
      </c>
      <c r="C13" s="180">
        <v>62442570.327291399</v>
      </c>
      <c r="D13" s="70">
        <v>2400915.0460000001</v>
      </c>
      <c r="E13" s="180">
        <v>2363997.946</v>
      </c>
      <c r="F13" s="180">
        <v>0</v>
      </c>
      <c r="G13" s="180">
        <v>912233.66200000001</v>
      </c>
      <c r="H13" s="180">
        <v>912233.66200000001</v>
      </c>
      <c r="I13" s="180">
        <v>0</v>
      </c>
      <c r="J13" s="180">
        <v>0</v>
      </c>
      <c r="K13" s="180">
        <v>0</v>
      </c>
      <c r="L13" s="180">
        <v>7653.616</v>
      </c>
      <c r="M13" s="180">
        <v>76477.122000000003</v>
      </c>
      <c r="N13" s="180">
        <v>2431985.3470000001</v>
      </c>
      <c r="O13" s="180">
        <v>0</v>
      </c>
      <c r="P13" s="180">
        <v>0</v>
      </c>
      <c r="Q13" s="181">
        <v>66242189.220291398</v>
      </c>
    </row>
    <row r="14" spans="2:17" ht="16" customHeight="1" x14ac:dyDescent="0.35">
      <c r="B14" s="67" t="s">
        <v>158</v>
      </c>
      <c r="C14" s="180">
        <v>3193545.9730000002</v>
      </c>
      <c r="D14" s="70">
        <v>1265909.229954184</v>
      </c>
      <c r="E14" s="180">
        <v>1229136.874954185</v>
      </c>
      <c r="F14" s="180">
        <v>0</v>
      </c>
      <c r="G14" s="180">
        <v>853231.49198418471</v>
      </c>
      <c r="H14" s="180">
        <v>47021.474079999927</v>
      </c>
      <c r="I14" s="180">
        <v>806210.01790418488</v>
      </c>
      <c r="J14" s="180">
        <v>0</v>
      </c>
      <c r="K14" s="180">
        <v>0</v>
      </c>
      <c r="L14" s="180">
        <v>31871.939969999999</v>
      </c>
      <c r="M14" s="180">
        <v>73940.982000000004</v>
      </c>
      <c r="N14" s="180">
        <v>0</v>
      </c>
      <c r="O14" s="180">
        <v>0</v>
      </c>
      <c r="P14" s="180">
        <v>0</v>
      </c>
      <c r="Q14" s="181">
        <v>3463638.4339999999</v>
      </c>
    </row>
    <row r="15" spans="2:17" ht="16" customHeight="1" x14ac:dyDescent="0.35">
      <c r="B15" s="67" t="s">
        <v>159</v>
      </c>
      <c r="C15" s="180">
        <v>209077664.22999999</v>
      </c>
      <c r="D15" s="70">
        <v>11451237.188999999</v>
      </c>
      <c r="E15" s="180">
        <v>11281455.984690459</v>
      </c>
      <c r="F15" s="180">
        <v>0</v>
      </c>
      <c r="G15" s="180">
        <v>5823003.4946304783</v>
      </c>
      <c r="H15" s="180">
        <v>4924298.6507304786</v>
      </c>
      <c r="I15" s="180">
        <v>198990.86426999999</v>
      </c>
      <c r="J15" s="180">
        <v>0</v>
      </c>
      <c r="K15" s="180">
        <v>699713.97962999996</v>
      </c>
      <c r="L15" s="180">
        <v>600356.76992809237</v>
      </c>
      <c r="M15" s="70">
        <v>768976.06878493377</v>
      </c>
      <c r="N15" s="70">
        <v>8685851</v>
      </c>
      <c r="O15" s="180">
        <v>0</v>
      </c>
      <c r="P15" s="180">
        <v>524999.99962000002</v>
      </c>
      <c r="Q15" s="181">
        <v>221327634.88172701</v>
      </c>
    </row>
    <row r="16" spans="2:17" ht="16" customHeight="1" x14ac:dyDescent="0.35">
      <c r="B16" s="67" t="s">
        <v>160</v>
      </c>
      <c r="C16" s="180">
        <v>165463088.48690289</v>
      </c>
      <c r="D16" s="70">
        <v>8369940.1945529999</v>
      </c>
      <c r="E16" s="180">
        <v>8133418.8845494213</v>
      </c>
      <c r="F16" s="180">
        <v>0</v>
      </c>
      <c r="G16" s="180">
        <v>4327617.9822320007</v>
      </c>
      <c r="H16" s="180">
        <v>4327617.9822320007</v>
      </c>
      <c r="I16" s="180">
        <v>0</v>
      </c>
      <c r="J16" s="180">
        <v>0</v>
      </c>
      <c r="K16" s="180">
        <v>0</v>
      </c>
      <c r="L16" s="180">
        <v>325135.964510908</v>
      </c>
      <c r="M16" s="180">
        <v>402618.10888642259</v>
      </c>
      <c r="N16" s="180">
        <v>6843024.702786495</v>
      </c>
      <c r="O16" s="180">
        <v>35018.678030004987</v>
      </c>
      <c r="P16" s="180">
        <v>0</v>
      </c>
      <c r="Q16" s="181">
        <v>175349141.34057951</v>
      </c>
    </row>
    <row r="17" spans="2:17" ht="16" customHeight="1" x14ac:dyDescent="0.35">
      <c r="B17" s="67" t="s">
        <v>161</v>
      </c>
      <c r="C17" s="180">
        <v>110594679.7541687</v>
      </c>
      <c r="D17" s="70">
        <v>4394778.6144500002</v>
      </c>
      <c r="E17" s="180">
        <v>4359580.6214500004</v>
      </c>
      <c r="F17" s="180">
        <v>0</v>
      </c>
      <c r="G17" s="180">
        <v>3043435.86583</v>
      </c>
      <c r="H17" s="180">
        <v>3043435.86583</v>
      </c>
      <c r="I17" s="180">
        <v>0</v>
      </c>
      <c r="J17" s="180">
        <v>0</v>
      </c>
      <c r="K17" s="180">
        <v>0</v>
      </c>
      <c r="L17" s="180">
        <v>93145.386050000016</v>
      </c>
      <c r="M17" s="180">
        <v>325502.6124898587</v>
      </c>
      <c r="N17" s="180">
        <v>3864865.7939401949</v>
      </c>
      <c r="O17" s="180">
        <v>2862.0039999999999</v>
      </c>
      <c r="P17" s="180">
        <v>189500</v>
      </c>
      <c r="Q17" s="181">
        <v>115164680.30118909</v>
      </c>
    </row>
    <row r="18" spans="2:17" ht="16" customHeight="1" x14ac:dyDescent="0.35">
      <c r="B18" s="67" t="s">
        <v>162</v>
      </c>
      <c r="C18" s="180">
        <v>5415846.276899253</v>
      </c>
      <c r="D18" s="70">
        <v>351629.86962000001</v>
      </c>
      <c r="E18" s="180">
        <v>301116.68223999999</v>
      </c>
      <c r="F18" s="180">
        <v>0</v>
      </c>
      <c r="G18" s="180">
        <v>180998.02450999999</v>
      </c>
      <c r="H18" s="180">
        <v>180998.02450999999</v>
      </c>
      <c r="I18" s="180">
        <v>0</v>
      </c>
      <c r="J18" s="180">
        <v>0</v>
      </c>
      <c r="K18" s="180">
        <v>0</v>
      </c>
      <c r="L18" s="180">
        <v>5200.6514972000004</v>
      </c>
      <c r="M18" s="180">
        <v>81860.018503029976</v>
      </c>
      <c r="N18" s="180">
        <v>156951.93720418069</v>
      </c>
      <c r="O18" s="180">
        <v>0</v>
      </c>
      <c r="P18" s="180">
        <v>0</v>
      </c>
      <c r="Q18" s="181">
        <v>5605856.2018332044</v>
      </c>
    </row>
    <row r="19" spans="2:17" ht="16" customHeight="1" x14ac:dyDescent="0.35">
      <c r="B19" s="67" t="s">
        <v>163</v>
      </c>
      <c r="C19" s="180">
        <v>29146495.49726288</v>
      </c>
      <c r="D19" s="70">
        <v>2282738.5139899962</v>
      </c>
      <c r="E19" s="180">
        <v>2096815.6919899951</v>
      </c>
      <c r="F19" s="180">
        <v>0</v>
      </c>
      <c r="G19" s="180">
        <v>981062.97765000002</v>
      </c>
      <c r="H19" s="180">
        <v>976751.87265000003</v>
      </c>
      <c r="I19" s="180">
        <v>0</v>
      </c>
      <c r="J19" s="180">
        <v>0</v>
      </c>
      <c r="K19" s="180">
        <v>4311.1049999999996</v>
      </c>
      <c r="L19" s="180">
        <v>240658.15862999999</v>
      </c>
      <c r="M19" s="180">
        <v>446877.4277</v>
      </c>
      <c r="N19" s="180">
        <v>1094828.5856721569</v>
      </c>
      <c r="O19" s="180">
        <v>38431.511706253099</v>
      </c>
      <c r="P19" s="180">
        <v>0</v>
      </c>
      <c r="Q19" s="181">
        <v>30631109.69923877</v>
      </c>
    </row>
    <row r="20" spans="2:17" ht="16" customHeight="1" x14ac:dyDescent="0.35">
      <c r="B20" s="67" t="s">
        <v>127</v>
      </c>
      <c r="C20" s="180">
        <v>15481398.441203561</v>
      </c>
      <c r="D20" s="70">
        <v>1508829.1400742349</v>
      </c>
      <c r="E20" s="180">
        <v>1349658.8882769479</v>
      </c>
      <c r="F20" s="180">
        <v>0</v>
      </c>
      <c r="G20" s="180">
        <v>1155808.8958389999</v>
      </c>
      <c r="H20" s="180">
        <v>1155808.8958389999</v>
      </c>
      <c r="I20" s="180">
        <v>0</v>
      </c>
      <c r="J20" s="180">
        <v>0</v>
      </c>
      <c r="K20" s="180">
        <v>0</v>
      </c>
      <c r="L20" s="180">
        <v>61464.971650953492</v>
      </c>
      <c r="M20" s="180">
        <v>217553.230839</v>
      </c>
      <c r="N20" s="180">
        <v>179798.85876000009</v>
      </c>
      <c r="O20" s="180">
        <v>11768.53988</v>
      </c>
      <c r="P20" s="180">
        <v>0</v>
      </c>
      <c r="Q20" s="181">
        <v>15564260.55003155</v>
      </c>
    </row>
    <row r="21" spans="2:17" ht="16" customHeight="1" x14ac:dyDescent="0.35">
      <c r="B21" s="67" t="s">
        <v>164</v>
      </c>
      <c r="C21" s="180">
        <v>24812905.858142588</v>
      </c>
      <c r="D21" s="70">
        <v>2137567.3721799999</v>
      </c>
      <c r="E21" s="180">
        <v>1729493.084355464</v>
      </c>
      <c r="F21" s="180">
        <v>-431468.60321751272</v>
      </c>
      <c r="G21" s="180">
        <v>1213529.740099442</v>
      </c>
      <c r="H21" s="180">
        <v>1213529.740099442</v>
      </c>
      <c r="I21" s="180">
        <v>0</v>
      </c>
      <c r="J21" s="180">
        <v>0</v>
      </c>
      <c r="K21" s="180">
        <v>0</v>
      </c>
      <c r="L21" s="180">
        <v>107967.33793194679</v>
      </c>
      <c r="M21" s="180">
        <v>456341.95962478308</v>
      </c>
      <c r="N21" s="180">
        <v>1067356.4234812569</v>
      </c>
      <c r="O21" s="180">
        <v>0</v>
      </c>
      <c r="P21" s="180">
        <v>0</v>
      </c>
      <c r="Q21" s="181">
        <v>25400447.725105628</v>
      </c>
    </row>
    <row r="22" spans="2:17" ht="16" customHeight="1" x14ac:dyDescent="0.35">
      <c r="B22" s="67" t="s">
        <v>165</v>
      </c>
      <c r="C22" s="180">
        <v>17839608.147019651</v>
      </c>
      <c r="D22" s="180">
        <v>3334349.869810001</v>
      </c>
      <c r="E22" s="180">
        <v>3210484.49981</v>
      </c>
      <c r="F22" s="180">
        <v>0</v>
      </c>
      <c r="G22" s="180">
        <v>553919.09696964803</v>
      </c>
      <c r="H22" s="180">
        <v>553919.09696964803</v>
      </c>
      <c r="I22" s="180">
        <v>0</v>
      </c>
      <c r="J22" s="180">
        <v>0</v>
      </c>
      <c r="K22" s="180">
        <v>0</v>
      </c>
      <c r="L22" s="180">
        <v>232865.61262</v>
      </c>
      <c r="M22" s="180">
        <v>196892.37525000001</v>
      </c>
      <c r="N22" s="180">
        <v>794490.67832999991</v>
      </c>
      <c r="O22" s="180">
        <v>0</v>
      </c>
      <c r="P22" s="180">
        <v>0</v>
      </c>
      <c r="Q22" s="181">
        <v>20860906.240320001</v>
      </c>
    </row>
    <row r="23" spans="2:17" ht="16" customHeight="1" x14ac:dyDescent="0.35">
      <c r="B23" s="67" t="s">
        <v>166</v>
      </c>
      <c r="C23" s="180">
        <v>6689367.7620333964</v>
      </c>
      <c r="D23" s="180">
        <v>959392.60895000002</v>
      </c>
      <c r="E23" s="180">
        <v>870755.51795000001</v>
      </c>
      <c r="F23" s="180">
        <v>4620.9340000000002</v>
      </c>
      <c r="G23" s="180">
        <v>362017.21175999998</v>
      </c>
      <c r="H23" s="180">
        <v>362017.21175999998</v>
      </c>
      <c r="I23" s="180">
        <v>0</v>
      </c>
      <c r="J23" s="180">
        <v>0</v>
      </c>
      <c r="K23" s="180">
        <v>0</v>
      </c>
      <c r="L23" s="180">
        <v>99238.49</v>
      </c>
      <c r="M23" s="180">
        <v>302896.47266000003</v>
      </c>
      <c r="N23" s="180">
        <v>359102.73200000002</v>
      </c>
      <c r="O23" s="180">
        <v>0</v>
      </c>
      <c r="P23" s="180">
        <v>0</v>
      </c>
      <c r="Q23" s="181">
        <v>7159694.7715633968</v>
      </c>
    </row>
    <row r="24" spans="2:17" ht="16" customHeight="1" x14ac:dyDescent="0.35">
      <c r="B24" s="67" t="s">
        <v>167</v>
      </c>
      <c r="C24" s="180">
        <v>34434263.997337058</v>
      </c>
      <c r="D24" s="180">
        <v>2421739.9288548301</v>
      </c>
      <c r="E24" s="180">
        <v>2170221.51556917</v>
      </c>
      <c r="F24" s="180">
        <v>0</v>
      </c>
      <c r="G24" s="180">
        <v>1238851.4586517799</v>
      </c>
      <c r="H24" s="180">
        <v>1238851.4586517799</v>
      </c>
      <c r="I24" s="180">
        <v>0</v>
      </c>
      <c r="J24" s="180">
        <v>0</v>
      </c>
      <c r="K24" s="180">
        <v>0</v>
      </c>
      <c r="L24" s="180">
        <v>197248.11839366061</v>
      </c>
      <c r="M24" s="180">
        <v>349806.08839450008</v>
      </c>
      <c r="N24" s="180">
        <v>2102917.4200300002</v>
      </c>
      <c r="O24" s="180">
        <v>0</v>
      </c>
      <c r="P24" s="180">
        <v>0</v>
      </c>
      <c r="Q24" s="181">
        <v>36921497.267496288</v>
      </c>
    </row>
    <row r="25" spans="2:17" ht="16" customHeight="1" x14ac:dyDescent="0.35">
      <c r="B25" s="67" t="s">
        <v>168</v>
      </c>
      <c r="C25" s="180">
        <v>404275.2773739323</v>
      </c>
      <c r="D25" s="180">
        <v>42811.841070000002</v>
      </c>
      <c r="E25" s="180">
        <v>42811.841070000002</v>
      </c>
      <c r="F25" s="180">
        <v>0</v>
      </c>
      <c r="G25" s="180">
        <v>6570.1629999999996</v>
      </c>
      <c r="H25" s="180">
        <v>6570.1629999999996</v>
      </c>
      <c r="I25" s="180">
        <v>0</v>
      </c>
      <c r="J25" s="180">
        <v>0</v>
      </c>
      <c r="K25" s="180">
        <v>0</v>
      </c>
      <c r="L25" s="180">
        <v>3425.6649000000002</v>
      </c>
      <c r="M25" s="180">
        <v>-1032.52845</v>
      </c>
      <c r="N25" s="180">
        <v>4367.41485730769</v>
      </c>
      <c r="O25" s="180">
        <v>0</v>
      </c>
      <c r="P25" s="180">
        <v>0</v>
      </c>
      <c r="Q25" s="181">
        <v>442491.23385124002</v>
      </c>
    </row>
    <row r="26" spans="2:17" ht="16" customHeight="1" x14ac:dyDescent="0.35">
      <c r="B26" s="67" t="s">
        <v>169</v>
      </c>
      <c r="C26" s="180">
        <v>0</v>
      </c>
      <c r="D26" s="180">
        <v>0</v>
      </c>
      <c r="E26" s="180">
        <v>0</v>
      </c>
      <c r="F26" s="180">
        <v>0</v>
      </c>
      <c r="G26" s="180">
        <v>0</v>
      </c>
      <c r="H26" s="180">
        <v>0</v>
      </c>
      <c r="I26" s="180">
        <v>0</v>
      </c>
      <c r="J26" s="180">
        <v>0</v>
      </c>
      <c r="K26" s="180">
        <v>0</v>
      </c>
      <c r="L26" s="180">
        <v>0</v>
      </c>
      <c r="M26" s="180">
        <v>0</v>
      </c>
      <c r="N26" s="180">
        <v>0</v>
      </c>
      <c r="O26" s="180">
        <v>0</v>
      </c>
      <c r="P26" s="180">
        <v>0</v>
      </c>
      <c r="Q26" s="181">
        <v>0</v>
      </c>
    </row>
    <row r="27" spans="2:17" ht="16" customHeight="1" x14ac:dyDescent="0.35">
      <c r="B27" s="67" t="s">
        <v>170</v>
      </c>
      <c r="C27" s="180">
        <v>0</v>
      </c>
      <c r="D27" s="180">
        <v>0</v>
      </c>
      <c r="E27" s="180">
        <v>0</v>
      </c>
      <c r="F27" s="180">
        <v>0</v>
      </c>
      <c r="G27" s="180">
        <v>0</v>
      </c>
      <c r="H27" s="180">
        <v>0</v>
      </c>
      <c r="I27" s="180">
        <v>0</v>
      </c>
      <c r="J27" s="180">
        <v>0</v>
      </c>
      <c r="K27" s="180">
        <v>0</v>
      </c>
      <c r="L27" s="180">
        <v>0</v>
      </c>
      <c r="M27" s="180">
        <v>0</v>
      </c>
      <c r="N27" s="180">
        <v>0</v>
      </c>
      <c r="O27" s="180">
        <v>0</v>
      </c>
      <c r="P27" s="180">
        <v>0</v>
      </c>
      <c r="Q27" s="181">
        <v>0</v>
      </c>
    </row>
    <row r="28" spans="2:17" s="165" customFormat="1" ht="16" customHeight="1" x14ac:dyDescent="0.35">
      <c r="B28" s="135" t="s">
        <v>7</v>
      </c>
      <c r="C28" s="176">
        <f t="shared" ref="C28:Q28" si="0">SUM(C6:C27)</f>
        <v>987972546.63908648</v>
      </c>
      <c r="D28" s="176">
        <f t="shared" si="0"/>
        <v>72865101.142533422</v>
      </c>
      <c r="E28" s="176">
        <f t="shared" si="0"/>
        <v>68572444.8198376</v>
      </c>
      <c r="F28" s="176">
        <f t="shared" si="0"/>
        <v>-380903.47360767931</v>
      </c>
      <c r="G28" s="176">
        <f t="shared" si="0"/>
        <v>32447616.598580677</v>
      </c>
      <c r="H28" s="176">
        <f t="shared" si="0"/>
        <v>30738390.631776493</v>
      </c>
      <c r="I28" s="176">
        <f t="shared" si="0"/>
        <v>1005200.8821741849</v>
      </c>
      <c r="J28" s="176">
        <f t="shared" si="0"/>
        <v>0</v>
      </c>
      <c r="K28" s="176">
        <f t="shared" si="0"/>
        <v>704025.08462999994</v>
      </c>
      <c r="L28" s="176">
        <f t="shared" si="0"/>
        <v>4181930.6486715907</v>
      </c>
      <c r="M28" s="176">
        <f t="shared" si="0"/>
        <v>6331731.7690088311</v>
      </c>
      <c r="N28" s="176">
        <f t="shared" si="0"/>
        <v>40061869.198491625</v>
      </c>
      <c r="O28" s="176">
        <f t="shared" si="0"/>
        <v>212892.26143213769</v>
      </c>
      <c r="P28" s="176">
        <f t="shared" si="0"/>
        <v>714499.99962000002</v>
      </c>
      <c r="Q28" s="176">
        <f t="shared" si="0"/>
        <v>1052337285.9064951</v>
      </c>
    </row>
    <row r="29" spans="2:17" ht="16" customHeight="1" x14ac:dyDescent="0.35">
      <c r="B29" s="300" t="s">
        <v>142</v>
      </c>
      <c r="C29" s="301"/>
      <c r="D29" s="301"/>
      <c r="E29" s="301"/>
      <c r="F29" s="301"/>
      <c r="G29" s="301"/>
      <c r="H29" s="301"/>
      <c r="I29" s="301"/>
      <c r="J29" s="301"/>
      <c r="K29" s="301"/>
      <c r="L29" s="301"/>
      <c r="M29" s="301"/>
      <c r="N29" s="301"/>
      <c r="O29" s="301"/>
      <c r="P29" s="301"/>
      <c r="Q29" s="302"/>
    </row>
    <row r="30" spans="2:17" ht="16" customHeight="1" x14ac:dyDescent="0.35">
      <c r="B30" s="126" t="s">
        <v>143</v>
      </c>
      <c r="C30" s="183">
        <v>0</v>
      </c>
      <c r="D30" s="183">
        <v>0</v>
      </c>
      <c r="E30" s="183">
        <v>0</v>
      </c>
      <c r="F30" s="183">
        <v>0</v>
      </c>
      <c r="G30" s="183">
        <v>0</v>
      </c>
      <c r="H30" s="183">
        <v>0</v>
      </c>
      <c r="I30" s="183">
        <v>0</v>
      </c>
      <c r="J30" s="183">
        <v>0</v>
      </c>
      <c r="K30" s="183">
        <v>0</v>
      </c>
      <c r="L30" s="183">
        <v>0</v>
      </c>
      <c r="M30" s="183">
        <v>0</v>
      </c>
      <c r="N30" s="183">
        <v>0</v>
      </c>
      <c r="O30" s="183">
        <v>0</v>
      </c>
      <c r="P30" s="183">
        <v>0</v>
      </c>
      <c r="Q30" s="184">
        <v>0</v>
      </c>
    </row>
    <row r="31" spans="2:17" ht="16" customHeight="1" x14ac:dyDescent="0.35">
      <c r="B31" s="126" t="s">
        <v>144</v>
      </c>
      <c r="C31" s="183">
        <v>1564966.7835859719</v>
      </c>
      <c r="D31" s="183">
        <v>256732.75520753121</v>
      </c>
      <c r="E31" s="183">
        <v>200253.38192063029</v>
      </c>
      <c r="F31" s="183">
        <v>0</v>
      </c>
      <c r="G31" s="183">
        <v>83339.923301153482</v>
      </c>
      <c r="H31" s="183">
        <v>83339.923301153482</v>
      </c>
      <c r="I31" s="183">
        <v>0</v>
      </c>
      <c r="J31" s="183">
        <v>0</v>
      </c>
      <c r="K31" s="183">
        <v>0</v>
      </c>
      <c r="L31" s="183">
        <v>46516.15758778328</v>
      </c>
      <c r="M31" s="183">
        <v>24972.055052</v>
      </c>
      <c r="N31" s="183">
        <v>67687.470042384768</v>
      </c>
      <c r="O31" s="183">
        <v>3203.8750980000009</v>
      </c>
      <c r="P31" s="183">
        <v>0</v>
      </c>
      <c r="Q31" s="184">
        <v>1674875.6245100501</v>
      </c>
    </row>
    <row r="32" spans="2:17" ht="16" customHeight="1" x14ac:dyDescent="0.35">
      <c r="B32" s="126" t="s">
        <v>146</v>
      </c>
      <c r="C32" s="183">
        <v>9413281.3957199994</v>
      </c>
      <c r="D32" s="183">
        <v>705895.57684000011</v>
      </c>
      <c r="E32" s="183">
        <v>705895.57684000011</v>
      </c>
      <c r="F32" s="183">
        <v>0</v>
      </c>
      <c r="G32" s="183">
        <v>475440.11220999958</v>
      </c>
      <c r="H32" s="183">
        <v>475440.11220999958</v>
      </c>
      <c r="I32" s="183">
        <v>0</v>
      </c>
      <c r="J32" s="183">
        <v>0</v>
      </c>
      <c r="K32" s="183">
        <v>0</v>
      </c>
      <c r="L32" s="183">
        <v>238206.96066000019</v>
      </c>
      <c r="M32" s="183">
        <v>17511.397000000001</v>
      </c>
      <c r="N32" s="183">
        <v>243322.288</v>
      </c>
      <c r="O32" s="183">
        <v>0</v>
      </c>
      <c r="P32" s="183">
        <v>0</v>
      </c>
      <c r="Q32" s="184">
        <v>9631340.7906899992</v>
      </c>
    </row>
    <row r="33" spans="2:18" s="165" customFormat="1" ht="16" customHeight="1" x14ac:dyDescent="0.35">
      <c r="B33" s="135" t="s">
        <v>7</v>
      </c>
      <c r="C33" s="177">
        <f t="shared" ref="C33:Q33" si="1">SUM(C30:C32)</f>
        <v>10978248.179305971</v>
      </c>
      <c r="D33" s="177">
        <f t="shared" si="1"/>
        <v>962628.33204753138</v>
      </c>
      <c r="E33" s="177">
        <f t="shared" si="1"/>
        <v>906148.95876063034</v>
      </c>
      <c r="F33" s="177">
        <f t="shared" si="1"/>
        <v>0</v>
      </c>
      <c r="G33" s="177">
        <f t="shared" si="1"/>
        <v>558780.03551115305</v>
      </c>
      <c r="H33" s="177">
        <f t="shared" si="1"/>
        <v>558780.03551115305</v>
      </c>
      <c r="I33" s="177">
        <f t="shared" si="1"/>
        <v>0</v>
      </c>
      <c r="J33" s="177">
        <f t="shared" si="1"/>
        <v>0</v>
      </c>
      <c r="K33" s="177">
        <f t="shared" si="1"/>
        <v>0</v>
      </c>
      <c r="L33" s="177">
        <f t="shared" si="1"/>
        <v>284723.11824778345</v>
      </c>
      <c r="M33" s="177">
        <f t="shared" si="1"/>
        <v>42483.452052000001</v>
      </c>
      <c r="N33" s="177">
        <f t="shared" si="1"/>
        <v>311009.75804238475</v>
      </c>
      <c r="O33" s="177">
        <f t="shared" si="1"/>
        <v>3203.8750980000009</v>
      </c>
      <c r="P33" s="177">
        <f t="shared" si="1"/>
        <v>0</v>
      </c>
      <c r="Q33" s="177">
        <f t="shared" si="1"/>
        <v>11306216.415200049</v>
      </c>
    </row>
    <row r="34" spans="2:18" ht="16" customHeight="1" x14ac:dyDescent="0.35">
      <c r="B34" s="303" t="s">
        <v>149</v>
      </c>
      <c r="C34" s="303"/>
      <c r="D34" s="303"/>
      <c r="E34" s="303"/>
      <c r="F34" s="303"/>
      <c r="G34" s="303"/>
      <c r="H34" s="303"/>
      <c r="I34" s="303"/>
      <c r="J34" s="303"/>
      <c r="K34" s="303"/>
      <c r="L34" s="303"/>
      <c r="M34" s="303"/>
      <c r="N34" s="303"/>
      <c r="O34" s="303"/>
      <c r="P34" s="303"/>
      <c r="Q34" s="303"/>
      <c r="R34" s="102"/>
    </row>
    <row r="49" spans="2:17" ht="22" x14ac:dyDescent="0.5">
      <c r="B49" s="276"/>
      <c r="C49" s="276"/>
      <c r="D49" s="276"/>
      <c r="E49" s="276"/>
      <c r="F49" s="276"/>
      <c r="G49" s="276"/>
      <c r="H49" s="276"/>
      <c r="I49" s="276"/>
      <c r="J49" s="276"/>
      <c r="K49" s="276"/>
      <c r="L49" s="276"/>
      <c r="M49" s="276"/>
      <c r="N49" s="276"/>
      <c r="O49" s="276"/>
      <c r="P49" s="276"/>
      <c r="Q49" s="287"/>
    </row>
  </sheetData>
  <sheetProtection algorithmName="SHA-512" hashValue="2FhTHMXnf3bkBSAzie5vgmVdmNJjsSNEoZPxiWaIYdUN43Mcs+/qGTxunD+5d3WH5W2s6DC+RRMkd9td+ORAAA==" saltValue="cmm8cXxr8EIc+Ri0MurPNA==" spinCount="100000" sheet="1" objects="1" scenarios="1"/>
  <mergeCells count="4">
    <mergeCell ref="B3:Q3"/>
    <mergeCell ref="B29:Q29"/>
    <mergeCell ref="B5:Q5"/>
    <mergeCell ref="B34:Q34"/>
  </mergeCells>
  <pageMargins left="0.7" right="0.7" top="0.75" bottom="0.75" header="0.3" footer="0.3"/>
  <pageSetup paperSize="9" scale="38"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tabColor rgb="FF92D050"/>
    <pageSetUpPr fitToPage="1"/>
  </sheetPr>
  <dimension ref="B3:S49"/>
  <sheetViews>
    <sheetView showGridLines="0" zoomScale="66" zoomScaleNormal="70" workbookViewId="0">
      <pane xSplit="2" ySplit="5" topLeftCell="C6" activePane="bottomRight" state="frozen"/>
      <selection activeCell="A4" sqref="A4:XFD4"/>
      <selection pane="topRight" activeCell="A4" sqref="A4:XFD4"/>
      <selection pane="bottomLeft" activeCell="A4" sqref="A4:XFD4"/>
      <selection pane="bottomRight" activeCell="N45" sqref="N45"/>
    </sheetView>
  </sheetViews>
  <sheetFormatPr defaultColWidth="11.54296875" defaultRowHeight="15.5" x14ac:dyDescent="0.35"/>
  <cols>
    <col min="1" max="1" width="17.453125" style="132" customWidth="1"/>
    <col min="2" max="2" width="52" style="132" bestFit="1" customWidth="1"/>
    <col min="3" max="16" width="19.54296875" style="132" customWidth="1"/>
    <col min="17" max="17" width="21.453125" style="132" customWidth="1"/>
    <col min="18" max="18" width="19.453125" style="132" bestFit="1" customWidth="1"/>
    <col min="19" max="19" width="13.54296875" style="186" bestFit="1" customWidth="1"/>
    <col min="20" max="60" width="11.54296875" style="132" customWidth="1"/>
    <col min="61" max="16384" width="11.54296875" style="132"/>
  </cols>
  <sheetData>
    <row r="3" spans="2:19" s="276" customFormat="1" ht="22" x14ac:dyDescent="0.5">
      <c r="B3" s="297" t="str">
        <f>_xlfn.CONCAT('Table of Contents'!B30,": ",'Table of Contents'!C30)</f>
        <v>APPENDIX 18: SUMMARY OF GROSS  PREMIUM INCOME UNDER GENERAL INSURANCE BUSINESS FOR THE PERIOD ENDED 31.03.2026</v>
      </c>
      <c r="C3" s="298"/>
      <c r="D3" s="298"/>
      <c r="E3" s="298"/>
      <c r="F3" s="298"/>
      <c r="G3" s="298"/>
      <c r="H3" s="298"/>
      <c r="I3" s="298"/>
      <c r="J3" s="298"/>
      <c r="K3" s="298"/>
      <c r="L3" s="298"/>
      <c r="M3" s="298"/>
      <c r="N3" s="298"/>
      <c r="O3" s="298"/>
      <c r="P3" s="298"/>
      <c r="Q3" s="298"/>
      <c r="R3" s="299"/>
      <c r="S3" s="277"/>
    </row>
    <row r="4" spans="2:19" s="187" customFormat="1" ht="46.5" x14ac:dyDescent="0.35">
      <c r="B4" s="106" t="s">
        <v>87</v>
      </c>
      <c r="C4" s="74" t="s">
        <v>216</v>
      </c>
      <c r="D4" s="74" t="s">
        <v>217</v>
      </c>
      <c r="E4" s="74" t="s">
        <v>218</v>
      </c>
      <c r="F4" s="74" t="s">
        <v>219</v>
      </c>
      <c r="G4" s="74" t="s">
        <v>220</v>
      </c>
      <c r="H4" s="74" t="s">
        <v>221</v>
      </c>
      <c r="I4" s="74" t="s">
        <v>222</v>
      </c>
      <c r="J4" s="74" t="s">
        <v>223</v>
      </c>
      <c r="K4" s="74" t="s">
        <v>224</v>
      </c>
      <c r="L4" s="74" t="s">
        <v>225</v>
      </c>
      <c r="M4" s="74" t="s">
        <v>226</v>
      </c>
      <c r="N4" s="74" t="s">
        <v>227</v>
      </c>
      <c r="O4" s="74" t="s">
        <v>228</v>
      </c>
      <c r="P4" s="74" t="s">
        <v>229</v>
      </c>
      <c r="Q4" s="74" t="s">
        <v>230</v>
      </c>
      <c r="R4" s="74" t="s">
        <v>198</v>
      </c>
    </row>
    <row r="5" spans="2:19" ht="16" customHeight="1" x14ac:dyDescent="0.35">
      <c r="B5" s="300" t="s">
        <v>106</v>
      </c>
      <c r="C5" s="301"/>
      <c r="D5" s="301"/>
      <c r="E5" s="301"/>
      <c r="F5" s="301"/>
      <c r="G5" s="301"/>
      <c r="H5" s="301"/>
      <c r="I5" s="301"/>
      <c r="J5" s="301"/>
      <c r="K5" s="301"/>
      <c r="L5" s="301"/>
      <c r="M5" s="301"/>
      <c r="N5" s="301"/>
      <c r="O5" s="301"/>
      <c r="P5" s="301"/>
      <c r="Q5" s="301"/>
      <c r="R5" s="302"/>
    </row>
    <row r="6" spans="2:19" ht="16" customHeight="1" x14ac:dyDescent="0.35">
      <c r="B6" s="188" t="str">
        <f>GDP!B6</f>
        <v>AAR INSURANCE KENYA</v>
      </c>
      <c r="C6" s="180">
        <f>GDP!C6+INWARD!C6</f>
        <v>0</v>
      </c>
      <c r="D6" s="180">
        <f>GDP!D6+INWARD!D6</f>
        <v>553.15363000000013</v>
      </c>
      <c r="E6" s="180">
        <f>GDP!E6+INWARD!E6</f>
        <v>883.0247599999999</v>
      </c>
      <c r="F6" s="180">
        <f>GDP!F6+INWARD!F6</f>
        <v>6400.3602199999996</v>
      </c>
      <c r="G6" s="180">
        <f>GDP!G6+INWARD!G6</f>
        <v>11013.585709999999</v>
      </c>
      <c r="H6" s="180">
        <f>GDP!H6+INWARD!H6</f>
        <v>1162.8894700000001</v>
      </c>
      <c r="I6" s="180">
        <f>GDP!I6+INWARD!I6</f>
        <v>831.83488000000011</v>
      </c>
      <c r="J6" s="180">
        <f>GDP!J6+INWARD!J6</f>
        <v>991.74840000000006</v>
      </c>
      <c r="K6" s="180">
        <f>GDP!K6+INWARD!K6</f>
        <v>0</v>
      </c>
      <c r="L6" s="180">
        <f>GDP!L6+INWARD!L6</f>
        <v>4159.7112400000015</v>
      </c>
      <c r="M6" s="180">
        <f>GDP!M6+INWARD!M6</f>
        <v>4056.6085200000011</v>
      </c>
      <c r="N6" s="180">
        <f>GDP!N6+INWARD!N6</f>
        <v>31265.15454</v>
      </c>
      <c r="O6" s="180">
        <f>GDP!O6+INWARD!O6</f>
        <v>3608864.1992100002</v>
      </c>
      <c r="P6" s="180">
        <f>GDP!P6+INWARD!P6</f>
        <v>15724.250700000001</v>
      </c>
      <c r="Q6" s="181">
        <f>GDP!Q6+INWARD!Q6</f>
        <v>3685906.5212799991</v>
      </c>
      <c r="R6" s="189">
        <f t="shared" ref="R6:R41" si="0">(Q6/$Q$41)*100</f>
        <v>4.5011717402820492</v>
      </c>
    </row>
    <row r="7" spans="2:19" ht="16" customHeight="1" x14ac:dyDescent="0.35">
      <c r="B7" s="188" t="str">
        <f>GDP!B7</f>
        <v xml:space="preserve">AFRICAN MERCHANT ASSURANCE </v>
      </c>
      <c r="C7" s="180">
        <f>GDP!C7+INWARD!C7</f>
        <v>0</v>
      </c>
      <c r="D7" s="180">
        <f>GDP!D7+INWARD!D7</f>
        <v>9884.9030999999995</v>
      </c>
      <c r="E7" s="180">
        <f>GDP!E7+INWARD!E7</f>
        <v>180.28550999999999</v>
      </c>
      <c r="F7" s="180">
        <f>GDP!F7+INWARD!F7</f>
        <v>999.29943000000014</v>
      </c>
      <c r="G7" s="180">
        <f>GDP!G7+INWARD!G7</f>
        <v>17424.30557</v>
      </c>
      <c r="H7" s="180">
        <f>GDP!H7+INWARD!H7</f>
        <v>1460.3095000000001</v>
      </c>
      <c r="I7" s="180">
        <f>GDP!I7+INWARD!I7</f>
        <v>130767.3584</v>
      </c>
      <c r="J7" s="180">
        <f>GDP!J7+INWARD!J7</f>
        <v>419049.11787999998</v>
      </c>
      <c r="K7" s="180">
        <f>GDP!K7+INWARD!K7</f>
        <v>206347.65371000001</v>
      </c>
      <c r="L7" s="180">
        <f>GDP!L7+INWARD!L7</f>
        <v>6290.4838399999999</v>
      </c>
      <c r="M7" s="180">
        <f>GDP!M7+INWARD!M7</f>
        <v>933.29363000000001</v>
      </c>
      <c r="N7" s="180">
        <f>GDP!N7+INWARD!N7</f>
        <v>39521.213159999999</v>
      </c>
      <c r="O7" s="180">
        <f>GDP!O7+INWARD!O7</f>
        <v>0</v>
      </c>
      <c r="P7" s="180">
        <f>GDP!P7+INWARD!P7</f>
        <v>15441.11932</v>
      </c>
      <c r="Q7" s="181">
        <f>GDP!Q7+INWARD!Q7</f>
        <v>848299.34304999991</v>
      </c>
      <c r="R7" s="189">
        <f t="shared" si="0"/>
        <v>1.0359299695181901</v>
      </c>
    </row>
    <row r="8" spans="2:19" ht="16" customHeight="1" x14ac:dyDescent="0.35">
      <c r="B8" s="188" t="str">
        <f>GDP!B8</f>
        <v>APA INSURANCE LIMITED</v>
      </c>
      <c r="C8" s="180">
        <f>GDP!C8+INWARD!C8</f>
        <v>146142.99600000001</v>
      </c>
      <c r="D8" s="180">
        <f>GDP!D8+INWARD!D8</f>
        <v>155151.46799999999</v>
      </c>
      <c r="E8" s="180">
        <f>GDP!E8+INWARD!E8</f>
        <v>46757.546999999999</v>
      </c>
      <c r="F8" s="180">
        <f>GDP!F8+INWARD!F8</f>
        <v>1097792.673</v>
      </c>
      <c r="G8" s="180">
        <f>GDP!G8+INWARD!G8</f>
        <v>200769.12599999999</v>
      </c>
      <c r="H8" s="180">
        <f>GDP!H8+INWARD!H8</f>
        <v>108758.31400000001</v>
      </c>
      <c r="I8" s="180">
        <f>GDP!I8+INWARD!I8</f>
        <v>809829.3</v>
      </c>
      <c r="J8" s="180">
        <f>GDP!J8+INWARD!J8</f>
        <v>817147.745</v>
      </c>
      <c r="K8" s="180">
        <f>GDP!K8+INWARD!K8</f>
        <v>0</v>
      </c>
      <c r="L8" s="180">
        <f>GDP!L8+INWARD!L8</f>
        <v>109161.38099999999</v>
      </c>
      <c r="M8" s="180">
        <f>GDP!M8+INWARD!M8</f>
        <v>138163.36199999999</v>
      </c>
      <c r="N8" s="180">
        <f>GDP!N8+INWARD!N8</f>
        <v>311748.038</v>
      </c>
      <c r="O8" s="180">
        <f>GDP!O8+INWARD!O8</f>
        <v>3086652.84</v>
      </c>
      <c r="P8" s="180">
        <f>GDP!P8+INWARD!P8</f>
        <v>122213.326</v>
      </c>
      <c r="Q8" s="181">
        <f>GDP!Q8+INWARD!Q8</f>
        <v>7150288.1159999995</v>
      </c>
      <c r="R8" s="189">
        <f t="shared" si="0"/>
        <v>8.7318206842199171</v>
      </c>
    </row>
    <row r="9" spans="2:19" ht="16" customHeight="1" x14ac:dyDescent="0.35">
      <c r="B9" s="188" t="str">
        <f>GDP!B9</f>
        <v>BRITAM GENERAL INSURANCE</v>
      </c>
      <c r="C9" s="180">
        <f>GDP!C9+INWARD!C9</f>
        <v>102800.00614</v>
      </c>
      <c r="D9" s="180">
        <f>GDP!D9+INWARD!D9</f>
        <v>285845.34281999996</v>
      </c>
      <c r="E9" s="180">
        <f>GDP!E9+INWARD!E9</f>
        <v>64115.72694</v>
      </c>
      <c r="F9" s="180">
        <f>GDP!F9+INWARD!F9</f>
        <v>574820.6303600003</v>
      </c>
      <c r="G9" s="180">
        <f>GDP!G9+INWARD!G9</f>
        <v>189911.52538000001</v>
      </c>
      <c r="H9" s="180">
        <f>GDP!H9+INWARD!H9</f>
        <v>161620.02428999991</v>
      </c>
      <c r="I9" s="180">
        <f>GDP!I9+INWARD!I9</f>
        <v>581770.89910000155</v>
      </c>
      <c r="J9" s="180">
        <f>GDP!J9+INWARD!J9</f>
        <v>214933.45159000001</v>
      </c>
      <c r="K9" s="180">
        <f>GDP!K9+INWARD!K9</f>
        <v>0</v>
      </c>
      <c r="L9" s="180">
        <f>GDP!L9+INWARD!L9</f>
        <v>105456.94380722752</v>
      </c>
      <c r="M9" s="180">
        <f>GDP!M9+INWARD!M9</f>
        <v>60647.534740000003</v>
      </c>
      <c r="N9" s="180">
        <f>GDP!N9+INWARD!N9</f>
        <v>298681.3149</v>
      </c>
      <c r="O9" s="180">
        <f>GDP!O9+INWARD!O9</f>
        <v>2224467.040282249</v>
      </c>
      <c r="P9" s="180">
        <f>GDP!P9+INWARD!P9</f>
        <v>28666.335360000001</v>
      </c>
      <c r="Q9" s="181">
        <f>GDP!Q9+INWARD!Q9</f>
        <v>4893736.7757094782</v>
      </c>
      <c r="R9" s="189">
        <f t="shared" si="0"/>
        <v>5.9761552692749849</v>
      </c>
    </row>
    <row r="10" spans="2:19" ht="16" customHeight="1" x14ac:dyDescent="0.35">
      <c r="B10" s="188" t="str">
        <f>GDP!B10</f>
        <v>BUPA GLOBAL INSURANCE</v>
      </c>
      <c r="C10" s="180">
        <f>GDP!C10+INWARD!C10</f>
        <v>0</v>
      </c>
      <c r="D10" s="180">
        <f>GDP!D10+INWARD!D10</f>
        <v>0</v>
      </c>
      <c r="E10" s="180">
        <f>GDP!E10+INWARD!E10</f>
        <v>0</v>
      </c>
      <c r="F10" s="180">
        <f>GDP!F10+INWARD!F10</f>
        <v>0</v>
      </c>
      <c r="G10" s="180">
        <f>GDP!G10+INWARD!G10</f>
        <v>0</v>
      </c>
      <c r="H10" s="180">
        <f>GDP!H10+INWARD!H10</f>
        <v>0</v>
      </c>
      <c r="I10" s="180">
        <f>GDP!I10+INWARD!I10</f>
        <v>0</v>
      </c>
      <c r="J10" s="180">
        <f>GDP!J10+INWARD!J10</f>
        <v>0</v>
      </c>
      <c r="K10" s="180">
        <f>GDP!K10+INWARD!K10</f>
        <v>0</v>
      </c>
      <c r="L10" s="180">
        <f>GDP!L10+INWARD!L10</f>
        <v>0</v>
      </c>
      <c r="M10" s="180">
        <f>GDP!M10+INWARD!M10</f>
        <v>0</v>
      </c>
      <c r="N10" s="180">
        <f>GDP!N10+INWARD!N10</f>
        <v>0</v>
      </c>
      <c r="O10" s="180">
        <f>GDP!O10+INWARD!O10</f>
        <v>2503251.7259999998</v>
      </c>
      <c r="P10" s="180">
        <f>GDP!P10+INWARD!P10</f>
        <v>0</v>
      </c>
      <c r="Q10" s="181">
        <f>GDP!Q10+INWARD!Q10</f>
        <v>2503251.7259999998</v>
      </c>
      <c r="R10" s="189">
        <f t="shared" si="0"/>
        <v>3.0569320906083619</v>
      </c>
    </row>
    <row r="11" spans="2:19" ht="16" customHeight="1" x14ac:dyDescent="0.35">
      <c r="B11" s="188" t="str">
        <f>GDP!B11</f>
        <v>CANNON GENERAL INSURANCE</v>
      </c>
      <c r="C11" s="180">
        <f>GDP!C11+INWARD!C11</f>
        <v>0</v>
      </c>
      <c r="D11" s="180">
        <f>GDP!D11+INWARD!D11</f>
        <v>16228.162780000001</v>
      </c>
      <c r="E11" s="180">
        <f>GDP!E11+INWARD!E11</f>
        <v>4462.7139999999999</v>
      </c>
      <c r="F11" s="180">
        <f>GDP!F11+INWARD!F11</f>
        <v>32280.756999999998</v>
      </c>
      <c r="G11" s="180">
        <f>GDP!G11+INWARD!G11</f>
        <v>12661.444</v>
      </c>
      <c r="H11" s="180">
        <f>GDP!H11+INWARD!H11</f>
        <v>20926.338</v>
      </c>
      <c r="I11" s="180">
        <f>GDP!I11+INWARD!I11</f>
        <v>304756.35635999998</v>
      </c>
      <c r="J11" s="180">
        <f>GDP!J11+INWARD!J11</f>
        <v>84614.830189999993</v>
      </c>
      <c r="K11" s="180">
        <f>GDP!K11+INWARD!K11</f>
        <v>0</v>
      </c>
      <c r="L11" s="180">
        <f>GDP!L11+INWARD!L11</f>
        <v>5682.62</v>
      </c>
      <c r="M11" s="180">
        <f>GDP!M11+INWARD!M11</f>
        <v>9829.8379999999997</v>
      </c>
      <c r="N11" s="180">
        <f>GDP!N11+INWARD!N11</f>
        <v>46693.615000000005</v>
      </c>
      <c r="O11" s="180">
        <f>GDP!O11+INWARD!O11</f>
        <v>0</v>
      </c>
      <c r="P11" s="180">
        <f>GDP!P11+INWARD!P11</f>
        <v>14406.156000000001</v>
      </c>
      <c r="Q11" s="181">
        <f>GDP!Q11+INWARD!Q11</f>
        <v>552542.83132999996</v>
      </c>
      <c r="R11" s="189">
        <f t="shared" si="0"/>
        <v>0.67475671542921778</v>
      </c>
    </row>
    <row r="12" spans="2:19" ht="16" customHeight="1" x14ac:dyDescent="0.35">
      <c r="B12" s="188" t="str">
        <f>GDP!B12</f>
        <v>CIC GENERAL INSURANCE COMPANY</v>
      </c>
      <c r="C12" s="180">
        <f>GDP!C12+INWARD!C12</f>
        <v>0</v>
      </c>
      <c r="D12" s="180">
        <f>GDP!D12+INWARD!D12</f>
        <v>101712.51405</v>
      </c>
      <c r="E12" s="180">
        <f>GDP!E12+INWARD!E12</f>
        <v>41404.550649999997</v>
      </c>
      <c r="F12" s="180">
        <f>GDP!F12+INWARD!F12</f>
        <v>193628.97297999999</v>
      </c>
      <c r="G12" s="180">
        <f>GDP!G12+INWARD!G12</f>
        <v>81423.064830000018</v>
      </c>
      <c r="H12" s="180">
        <f>GDP!H12+INWARD!H12</f>
        <v>13250.29492</v>
      </c>
      <c r="I12" s="180">
        <f>GDP!I12+INWARD!I12</f>
        <v>1093604.5891100001</v>
      </c>
      <c r="J12" s="180">
        <f>GDP!J12+INWARD!J12</f>
        <v>1004615.3717</v>
      </c>
      <c r="K12" s="180">
        <f>GDP!K12+INWARD!K12</f>
        <v>0</v>
      </c>
      <c r="L12" s="180">
        <f>GDP!L12+INWARD!L12</f>
        <v>160370.95514999999</v>
      </c>
      <c r="M12" s="180">
        <f>GDP!M12+INWARD!M12</f>
        <v>405935.77805999998</v>
      </c>
      <c r="N12" s="180">
        <f>GDP!N12+INWARD!N12</f>
        <v>253658.75497000001</v>
      </c>
      <c r="O12" s="180">
        <f>GDP!O12+INWARD!O12</f>
        <v>4058650.7827800019</v>
      </c>
      <c r="P12" s="180">
        <f>GDP!P12+INWARD!P12</f>
        <v>90173.184859999979</v>
      </c>
      <c r="Q12" s="181">
        <f>GDP!Q12+INWARD!Q12</f>
        <v>7498428.8140600016</v>
      </c>
      <c r="R12" s="189">
        <f t="shared" si="0"/>
        <v>9.1569646922685966</v>
      </c>
    </row>
    <row r="13" spans="2:19" ht="16" customHeight="1" x14ac:dyDescent="0.35">
      <c r="B13" s="188" t="str">
        <f>GDP!B13</f>
        <v>DEFINITE ASSURANCE COMPANY</v>
      </c>
      <c r="C13" s="180">
        <f>GDP!C13+INWARD!C13</f>
        <v>0</v>
      </c>
      <c r="D13" s="180">
        <f>GDP!D13+INWARD!D13</f>
        <v>0</v>
      </c>
      <c r="E13" s="180">
        <f>GDP!E13+INWARD!E13</f>
        <v>0</v>
      </c>
      <c r="F13" s="180">
        <f>GDP!F13+INWARD!F13</f>
        <v>0</v>
      </c>
      <c r="G13" s="180">
        <f>GDP!G13+INWARD!G13</f>
        <v>0</v>
      </c>
      <c r="H13" s="180">
        <f>GDP!H13+INWARD!H13</f>
        <v>0</v>
      </c>
      <c r="I13" s="180">
        <f>GDP!I13+INWARD!I13</f>
        <v>0</v>
      </c>
      <c r="J13" s="180">
        <f>GDP!J13+INWARD!J13</f>
        <v>0</v>
      </c>
      <c r="K13" s="180">
        <f>GDP!K13+INWARD!K13</f>
        <v>0</v>
      </c>
      <c r="L13" s="180">
        <f>GDP!L13+INWARD!L13</f>
        <v>0</v>
      </c>
      <c r="M13" s="180">
        <f>GDP!M13+INWARD!M13</f>
        <v>0</v>
      </c>
      <c r="N13" s="180">
        <f>GDP!N13+INWARD!N13</f>
        <v>0</v>
      </c>
      <c r="O13" s="180">
        <f>GDP!O13+INWARD!O13</f>
        <v>0</v>
      </c>
      <c r="P13" s="180">
        <f>GDP!P13+INWARD!P13</f>
        <v>0</v>
      </c>
      <c r="Q13" s="181">
        <f>GDP!Q13+INWARD!Q13</f>
        <v>0</v>
      </c>
      <c r="R13" s="189">
        <f t="shared" si="0"/>
        <v>0</v>
      </c>
    </row>
    <row r="14" spans="2:19" ht="16" customHeight="1" x14ac:dyDescent="0.35">
      <c r="B14" s="188" t="str">
        <f>GDP!B14</f>
        <v>DIRECTLINE ASSURANCE COMPANY</v>
      </c>
      <c r="C14" s="180">
        <f>GDP!C14+INWARD!C14</f>
        <v>0</v>
      </c>
      <c r="D14" s="180">
        <f>GDP!D14+INWARD!D14</f>
        <v>0</v>
      </c>
      <c r="E14" s="180">
        <f>GDP!E14+INWARD!E14</f>
        <v>0</v>
      </c>
      <c r="F14" s="180">
        <f>GDP!F14+INWARD!F14</f>
        <v>0</v>
      </c>
      <c r="G14" s="180">
        <f>GDP!G14+INWARD!G14</f>
        <v>0</v>
      </c>
      <c r="H14" s="180">
        <f>GDP!H14+INWARD!H14</f>
        <v>0</v>
      </c>
      <c r="I14" s="180">
        <f>GDP!I14+INWARD!I14</f>
        <v>111370.13722</v>
      </c>
      <c r="J14" s="180">
        <f>GDP!J14+INWARD!J14</f>
        <v>36215.914340000003</v>
      </c>
      <c r="K14" s="180">
        <f>GDP!K14+INWARD!K14</f>
        <v>610165.10753999942</v>
      </c>
      <c r="L14" s="180">
        <f>GDP!L14+INWARD!L14</f>
        <v>0</v>
      </c>
      <c r="M14" s="180">
        <f>GDP!M14+INWARD!M14</f>
        <v>0</v>
      </c>
      <c r="N14" s="180">
        <f>GDP!N14+INWARD!N14</f>
        <v>0</v>
      </c>
      <c r="O14" s="180">
        <f>GDP!O14+INWARD!O14</f>
        <v>0</v>
      </c>
      <c r="P14" s="180">
        <f>GDP!P14+INWARD!P14</f>
        <v>0</v>
      </c>
      <c r="Q14" s="181">
        <f>GDP!Q14+INWARD!Q14</f>
        <v>757751.15909999947</v>
      </c>
      <c r="R14" s="189">
        <f t="shared" si="0"/>
        <v>0.92535393499953222</v>
      </c>
    </row>
    <row r="15" spans="2:19" ht="16" customHeight="1" x14ac:dyDescent="0.35">
      <c r="B15" s="188" t="str">
        <f>GDP!B15</f>
        <v>EQUITY GENERAL INSURANCE LIMITED</v>
      </c>
      <c r="C15" s="180">
        <f>GDP!C15+INWARD!C15</f>
        <v>0</v>
      </c>
      <c r="D15" s="180">
        <f>GDP!D15+INWARD!D15</f>
        <v>24976.628000000001</v>
      </c>
      <c r="E15" s="180">
        <f>GDP!E15+INWARD!E15</f>
        <v>285.56700000000001</v>
      </c>
      <c r="F15" s="180">
        <f>GDP!F15+INWARD!F15</f>
        <v>53862.87</v>
      </c>
      <c r="G15" s="180">
        <f>GDP!G15+INWARD!G15</f>
        <v>81387.634000000005</v>
      </c>
      <c r="H15" s="180">
        <f>GDP!H15+INWARD!H15</f>
        <v>643.45899999999995</v>
      </c>
      <c r="I15" s="180">
        <f>GDP!I15+INWARD!I15</f>
        <v>12977.982</v>
      </c>
      <c r="J15" s="180">
        <f>GDP!J15+INWARD!J15</f>
        <v>0</v>
      </c>
      <c r="K15" s="180">
        <f>GDP!K15+INWARD!K15</f>
        <v>0</v>
      </c>
      <c r="L15" s="180">
        <f>GDP!L15+INWARD!L15</f>
        <v>263.39800000000002</v>
      </c>
      <c r="M15" s="180">
        <f>GDP!M15+INWARD!M15</f>
        <v>419607.61800000002</v>
      </c>
      <c r="N15" s="180">
        <f>GDP!N15+INWARD!N15</f>
        <v>762.16099999999994</v>
      </c>
      <c r="O15" s="180">
        <f>GDP!O15+INWARD!O15</f>
        <v>0</v>
      </c>
      <c r="P15" s="180">
        <f>GDP!P15+INWARD!P15</f>
        <v>0</v>
      </c>
      <c r="Q15" s="181">
        <f>GDP!Q15+INWARD!Q15</f>
        <v>594767.31700000004</v>
      </c>
      <c r="R15" s="189">
        <f t="shared" si="0"/>
        <v>0.72632060088004768</v>
      </c>
    </row>
    <row r="16" spans="2:19" ht="16" customHeight="1" x14ac:dyDescent="0.35">
      <c r="B16" s="188" t="str">
        <f>GDP!B16</f>
        <v>EQUITY HEALTH INSURANCE LIMITED</v>
      </c>
      <c r="C16" s="180">
        <f>GDP!C16+INWARD!C16</f>
        <v>0</v>
      </c>
      <c r="D16" s="180">
        <f>GDP!D16+INWARD!D16</f>
        <v>0</v>
      </c>
      <c r="E16" s="180">
        <f>GDP!E16+INWARD!E16</f>
        <v>0</v>
      </c>
      <c r="F16" s="180">
        <f>GDP!F16+INWARD!F16</f>
        <v>0</v>
      </c>
      <c r="G16" s="180">
        <f>GDP!G16+INWARD!G16</f>
        <v>0</v>
      </c>
      <c r="H16" s="180">
        <f>GDP!H16+INWARD!H16</f>
        <v>0</v>
      </c>
      <c r="I16" s="180">
        <f>GDP!I16+INWARD!I16</f>
        <v>0</v>
      </c>
      <c r="J16" s="180">
        <f>GDP!J16+INWARD!J16</f>
        <v>0</v>
      </c>
      <c r="K16" s="180">
        <f>GDP!K16+INWARD!K16</f>
        <v>0</v>
      </c>
      <c r="L16" s="180">
        <f>GDP!L16+INWARD!L16</f>
        <v>0</v>
      </c>
      <c r="M16" s="180">
        <f>GDP!M16+INWARD!M16</f>
        <v>0</v>
      </c>
      <c r="N16" s="180">
        <f>GDP!N16+INWARD!N16</f>
        <v>0</v>
      </c>
      <c r="O16" s="180">
        <f>GDP!O16+INWARD!O16</f>
        <v>1204994.17239</v>
      </c>
      <c r="P16" s="180">
        <f>GDP!P16+INWARD!P16</f>
        <v>0</v>
      </c>
      <c r="Q16" s="181">
        <f>GDP!Q16+INWARD!Q16</f>
        <v>1204994.17239</v>
      </c>
      <c r="R16" s="189">
        <f t="shared" si="0"/>
        <v>1.4715201496979036</v>
      </c>
    </row>
    <row r="17" spans="2:18" ht="16" customHeight="1" x14ac:dyDescent="0.35">
      <c r="B17" s="188" t="str">
        <f>GDP!B17</f>
        <v xml:space="preserve">FIDELITY SHIELD INSURANCE  </v>
      </c>
      <c r="C17" s="180">
        <f>GDP!C17+INWARD!C17</f>
        <v>119.264</v>
      </c>
      <c r="D17" s="180">
        <f>GDP!D17+INWARD!D17</f>
        <v>32429.581999999999</v>
      </c>
      <c r="E17" s="180">
        <f>GDP!E17+INWARD!E17</f>
        <v>14939.300999999999</v>
      </c>
      <c r="F17" s="180">
        <f>GDP!F17+INWARD!F17</f>
        <v>163102.20199999999</v>
      </c>
      <c r="G17" s="180">
        <f>GDP!G17+INWARD!G17</f>
        <v>40844.639000000003</v>
      </c>
      <c r="H17" s="180">
        <f>GDP!H17+INWARD!H17</f>
        <v>51092.726000000002</v>
      </c>
      <c r="I17" s="180">
        <f>GDP!I17+INWARD!I17</f>
        <v>521508.87</v>
      </c>
      <c r="J17" s="180">
        <f>GDP!J17+INWARD!J17</f>
        <v>337538.82500000001</v>
      </c>
      <c r="K17" s="180">
        <f>GDP!K17+INWARD!K17</f>
        <v>7480.9340000000002</v>
      </c>
      <c r="L17" s="180">
        <f>GDP!L17+INWARD!L17</f>
        <v>3852.1089999999999</v>
      </c>
      <c r="M17" s="180">
        <f>GDP!M17+INWARD!M17</f>
        <v>36140.311999999998</v>
      </c>
      <c r="N17" s="180">
        <f>GDP!N17+INWARD!N17</f>
        <v>133419.19699999999</v>
      </c>
      <c r="O17" s="180">
        <f>GDP!O17+INWARD!O17</f>
        <v>199207.06</v>
      </c>
      <c r="P17" s="180">
        <f>GDP!P17+INWARD!P17</f>
        <v>64958.665000000001</v>
      </c>
      <c r="Q17" s="181">
        <f>GDP!Q17+INWARD!Q17</f>
        <v>1606633.686</v>
      </c>
      <c r="R17" s="189">
        <f t="shared" si="0"/>
        <v>1.9619960795687867</v>
      </c>
    </row>
    <row r="18" spans="2:18" ht="16" customHeight="1" x14ac:dyDescent="0.35">
      <c r="B18" s="188" t="str">
        <f>GDP!B18</f>
        <v>FIRST ASSURANCE COMPANY</v>
      </c>
      <c r="C18" s="180">
        <f>GDP!C18+INWARD!C18</f>
        <v>0</v>
      </c>
      <c r="D18" s="180">
        <f>GDP!D18+INWARD!D18</f>
        <v>92629.811000000002</v>
      </c>
      <c r="E18" s="180">
        <f>GDP!E18+INWARD!E18</f>
        <v>19853.919000000002</v>
      </c>
      <c r="F18" s="180">
        <f>GDP!F18+INWARD!F18</f>
        <v>282101.66899999999</v>
      </c>
      <c r="G18" s="180">
        <f>GDP!G18+INWARD!G18</f>
        <v>39986.593000000001</v>
      </c>
      <c r="H18" s="180">
        <f>GDP!H18+INWARD!H18</f>
        <v>45067.243999999999</v>
      </c>
      <c r="I18" s="180">
        <f>GDP!I18+INWARD!I18</f>
        <v>247272.986</v>
      </c>
      <c r="J18" s="180">
        <f>GDP!J18+INWARD!J18</f>
        <v>186147.32199999999</v>
      </c>
      <c r="K18" s="180">
        <f>GDP!K18+INWARD!K18</f>
        <v>37581.828000000001</v>
      </c>
      <c r="L18" s="180">
        <f>GDP!L18+INWARD!L18</f>
        <v>111455.552</v>
      </c>
      <c r="M18" s="180">
        <f>GDP!M18+INWARD!M18</f>
        <v>45761.411</v>
      </c>
      <c r="N18" s="180">
        <f>GDP!N18+INWARD!N18</f>
        <v>11236.867</v>
      </c>
      <c r="O18" s="180">
        <f>GDP!O18+INWARD!O18</f>
        <v>1177203.7139999999</v>
      </c>
      <c r="P18" s="180">
        <f>GDP!P18+INWARD!P18</f>
        <v>47814.805</v>
      </c>
      <c r="Q18" s="181">
        <f>GDP!Q18+INWARD!Q18</f>
        <v>2344113.7209999999</v>
      </c>
      <c r="R18" s="189">
        <f t="shared" si="0"/>
        <v>2.8625952329655067</v>
      </c>
    </row>
    <row r="19" spans="2:18" ht="16" customHeight="1" x14ac:dyDescent="0.35">
      <c r="B19" s="188" t="str">
        <f>GDP!B19</f>
        <v>GA INSURANCE COMPANY</v>
      </c>
      <c r="C19" s="180">
        <f>GDP!C19+INWARD!C19</f>
        <v>205602.69099999999</v>
      </c>
      <c r="D19" s="180">
        <f>GDP!D19+INWARD!D19</f>
        <v>391381.533</v>
      </c>
      <c r="E19" s="180">
        <f>GDP!E19+INWARD!E19</f>
        <v>78254.410999999993</v>
      </c>
      <c r="F19" s="180">
        <f>GDP!F19+INWARD!F19</f>
        <v>1694248.2170000002</v>
      </c>
      <c r="G19" s="180">
        <f>GDP!G19+INWARD!G19</f>
        <v>231874.68399999998</v>
      </c>
      <c r="H19" s="180">
        <f>GDP!H19+INWARD!H19</f>
        <v>234883.88499999998</v>
      </c>
      <c r="I19" s="180">
        <f>GDP!I19+INWARD!I19</f>
        <v>585771.38899999997</v>
      </c>
      <c r="J19" s="180">
        <f>GDP!J19+INWARD!J19</f>
        <v>562250.96900000004</v>
      </c>
      <c r="K19" s="180">
        <f>GDP!K19+INWARD!K19</f>
        <v>57373.474999999999</v>
      </c>
      <c r="L19" s="180">
        <f>GDP!L19+INWARD!L19</f>
        <v>55488.021000000001</v>
      </c>
      <c r="M19" s="180">
        <f>GDP!M19+INWARD!M19</f>
        <v>490394.81800000003</v>
      </c>
      <c r="N19" s="180">
        <f>GDP!N19+INWARD!N19</f>
        <v>625538.98199999996</v>
      </c>
      <c r="O19" s="180">
        <f>GDP!O19+INWARD!O19</f>
        <v>1964507.8810000001</v>
      </c>
      <c r="P19" s="180">
        <f>GDP!P19+INWARD!P19</f>
        <v>165131.67200000002</v>
      </c>
      <c r="Q19" s="181">
        <f>GDP!Q19+INWARD!Q19</f>
        <v>7342702.6279999996</v>
      </c>
      <c r="R19" s="189">
        <f t="shared" si="0"/>
        <v>8.9667942948729049</v>
      </c>
    </row>
    <row r="20" spans="2:18" ht="16" customHeight="1" x14ac:dyDescent="0.35">
      <c r="B20" s="188" t="str">
        <f>GDP!B20</f>
        <v xml:space="preserve">GEMINIA INSURANCE COMPANY </v>
      </c>
      <c r="C20" s="180">
        <f>GDP!C20+INWARD!C20</f>
        <v>8359.125</v>
      </c>
      <c r="D20" s="180">
        <f>GDP!D20+INWARD!D20</f>
        <v>42172.139000000003</v>
      </c>
      <c r="E20" s="180">
        <f>GDP!E20+INWARD!E20</f>
        <v>35066.491999999998</v>
      </c>
      <c r="F20" s="180">
        <f>GDP!F20+INWARD!F20</f>
        <v>262995.674</v>
      </c>
      <c r="G20" s="180">
        <f>GDP!G20+INWARD!G20</f>
        <v>56930.360999999997</v>
      </c>
      <c r="H20" s="180">
        <f>GDP!H20+INWARD!H20</f>
        <v>59372.207000000002</v>
      </c>
      <c r="I20" s="180">
        <f>GDP!I20+INWARD!I20</f>
        <v>282010.16600000003</v>
      </c>
      <c r="J20" s="180">
        <f>GDP!J20+INWARD!J20</f>
        <v>341802.35600000003</v>
      </c>
      <c r="K20" s="180">
        <f>GDP!K20+INWARD!K20</f>
        <v>0</v>
      </c>
      <c r="L20" s="180">
        <f>GDP!L20+INWARD!L20</f>
        <v>25450.944</v>
      </c>
      <c r="M20" s="180">
        <f>GDP!M20+INWARD!M20</f>
        <v>97360.638000000006</v>
      </c>
      <c r="N20" s="180">
        <f>GDP!N20+INWARD!N20</f>
        <v>165732.98199999999</v>
      </c>
      <c r="O20" s="180">
        <f>GDP!O20+INWARD!O20</f>
        <v>0</v>
      </c>
      <c r="P20" s="180">
        <f>GDP!P20+INWARD!P20</f>
        <v>28368.639999999999</v>
      </c>
      <c r="Q20" s="181">
        <f>GDP!Q20+INWARD!Q20</f>
        <v>1405621.7240000002</v>
      </c>
      <c r="R20" s="189">
        <f t="shared" si="0"/>
        <v>1.7165233966373588</v>
      </c>
    </row>
    <row r="21" spans="2:18" ht="16" customHeight="1" x14ac:dyDescent="0.35">
      <c r="B21" s="64" t="str">
        <f>GDP!B21</f>
        <v>ICEA LION GENERAL INSURANCE</v>
      </c>
      <c r="C21" s="180">
        <f>GDP!C21+INWARD!C21</f>
        <v>241110.31099999999</v>
      </c>
      <c r="D21" s="180">
        <f>GDP!D21+INWARD!D21</f>
        <v>63089.974999999999</v>
      </c>
      <c r="E21" s="180">
        <f>GDP!E21+INWARD!E21</f>
        <v>56763.71</v>
      </c>
      <c r="F21" s="180">
        <f>GDP!F21+INWARD!F21</f>
        <v>515648.76900000003</v>
      </c>
      <c r="G21" s="180">
        <f>GDP!G21+INWARD!G21</f>
        <v>113913.818</v>
      </c>
      <c r="H21" s="180">
        <f>GDP!H21+INWARD!H21</f>
        <v>54073.822</v>
      </c>
      <c r="I21" s="180">
        <f>GDP!I21+INWARD!I21</f>
        <v>768734.70600000001</v>
      </c>
      <c r="J21" s="180">
        <f>GDP!J21+INWARD!J21</f>
        <v>258544.03099999999</v>
      </c>
      <c r="K21" s="180">
        <f>GDP!K21+INWARD!K21</f>
        <v>0</v>
      </c>
      <c r="L21" s="180">
        <f>GDP!L21+INWARD!L21</f>
        <v>79863.763999999996</v>
      </c>
      <c r="M21" s="180">
        <f>GDP!M21+INWARD!M21</f>
        <v>72133.986999999994</v>
      </c>
      <c r="N21" s="180">
        <f>GDP!N21+INWARD!N21</f>
        <v>246397.66099999999</v>
      </c>
      <c r="O21" s="180">
        <f>GDP!O21+INWARD!O21</f>
        <v>270993.45799999998</v>
      </c>
      <c r="P21" s="180">
        <f>GDP!P21+INWARD!P21</f>
        <v>51445.72</v>
      </c>
      <c r="Q21" s="181">
        <f>GDP!Q21+INWARD!Q21</f>
        <v>2792713.7319999998</v>
      </c>
      <c r="R21" s="189">
        <f t="shared" si="0"/>
        <v>3.4104185921705588</v>
      </c>
    </row>
    <row r="22" spans="2:18" ht="16" customHeight="1" x14ac:dyDescent="0.35">
      <c r="B22" s="188" t="str">
        <f>GDP!B22</f>
        <v xml:space="preserve">INTRA-AFRICA ASSURANCE </v>
      </c>
      <c r="C22" s="180">
        <f>GDP!C22+INWARD!C22</f>
        <v>0</v>
      </c>
      <c r="D22" s="180">
        <f>GDP!D22+INWARD!D22</f>
        <v>113262.64300000001</v>
      </c>
      <c r="E22" s="180">
        <f>GDP!E22+INWARD!E22</f>
        <v>33057.991999999998</v>
      </c>
      <c r="F22" s="180">
        <f>GDP!F22+INWARD!F22</f>
        <v>265335.44800000003</v>
      </c>
      <c r="G22" s="180">
        <f>GDP!G22+INWARD!G22</f>
        <v>18582.815999999999</v>
      </c>
      <c r="H22" s="180">
        <f>GDP!H22+INWARD!H22</f>
        <v>79728.801999999996</v>
      </c>
      <c r="I22" s="180">
        <f>GDP!I22+INWARD!I22</f>
        <v>281542.65399999998</v>
      </c>
      <c r="J22" s="180">
        <f>GDP!J22+INWARD!J22</f>
        <v>154963.93400000001</v>
      </c>
      <c r="K22" s="180">
        <f>GDP!K22+INWARD!K22</f>
        <v>25247.882000000001</v>
      </c>
      <c r="L22" s="180">
        <f>GDP!L22+INWARD!L22</f>
        <v>12129.163</v>
      </c>
      <c r="M22" s="180">
        <f>GDP!M22+INWARD!M22</f>
        <v>48611.183000000005</v>
      </c>
      <c r="N22" s="180">
        <f>GDP!N22+INWARD!N22</f>
        <v>160319.75799999997</v>
      </c>
      <c r="O22" s="180">
        <f>GDP!O22+INWARD!O22</f>
        <v>0</v>
      </c>
      <c r="P22" s="180">
        <f>GDP!P22+INWARD!P22</f>
        <v>169675.87099999998</v>
      </c>
      <c r="Q22" s="181">
        <f>GDP!Q22+INWARD!Q22</f>
        <v>1362458.1459999999</v>
      </c>
      <c r="R22" s="189">
        <f t="shared" si="0"/>
        <v>1.6638127062328743</v>
      </c>
    </row>
    <row r="23" spans="2:18" ht="16" customHeight="1" x14ac:dyDescent="0.35">
      <c r="B23" s="188" t="str">
        <f>GDP!B23</f>
        <v>JUBILEE HEALTH INSURANCE</v>
      </c>
      <c r="C23" s="180">
        <f>GDP!C23+INWARD!C23</f>
        <v>0</v>
      </c>
      <c r="D23" s="180">
        <f>GDP!D23+INWARD!D23</f>
        <v>0</v>
      </c>
      <c r="E23" s="180">
        <f>GDP!E23+INWARD!E23</f>
        <v>0</v>
      </c>
      <c r="F23" s="180">
        <f>GDP!F23+INWARD!F23</f>
        <v>0</v>
      </c>
      <c r="G23" s="180">
        <f>GDP!G23+INWARD!G23</f>
        <v>0</v>
      </c>
      <c r="H23" s="180">
        <f>GDP!H23+INWARD!H23</f>
        <v>0</v>
      </c>
      <c r="I23" s="180">
        <f>GDP!I23+INWARD!I23</f>
        <v>0</v>
      </c>
      <c r="J23" s="180">
        <f>GDP!J23+INWARD!J23</f>
        <v>0</v>
      </c>
      <c r="K23" s="180">
        <f>GDP!K23+INWARD!K23</f>
        <v>0</v>
      </c>
      <c r="L23" s="180">
        <f>GDP!L23+INWARD!L23</f>
        <v>0</v>
      </c>
      <c r="M23" s="180">
        <f>GDP!M23+INWARD!M23</f>
        <v>0</v>
      </c>
      <c r="N23" s="180">
        <f>GDP!N23+INWARD!N23</f>
        <v>0</v>
      </c>
      <c r="O23" s="180">
        <f>GDP!O23+INWARD!O23</f>
        <v>4956327.1334643001</v>
      </c>
      <c r="P23" s="180">
        <f>GDP!P23+INWARD!P23</f>
        <v>0</v>
      </c>
      <c r="Q23" s="181">
        <f>GDP!Q23+INWARD!Q23</f>
        <v>4956327.1334643001</v>
      </c>
      <c r="R23" s="189">
        <f t="shared" si="0"/>
        <v>6.052589641094678</v>
      </c>
    </row>
    <row r="24" spans="2:18" ht="16" customHeight="1" x14ac:dyDescent="0.35">
      <c r="B24" s="188" t="str">
        <f>GDP!B24</f>
        <v xml:space="preserve">KENINDIA ASSURANCE COMPANY </v>
      </c>
      <c r="C24" s="180">
        <f>GDP!C24+INWARD!C24</f>
        <v>0</v>
      </c>
      <c r="D24" s="180">
        <f>GDP!D24+INWARD!D24</f>
        <v>92028.313000000009</v>
      </c>
      <c r="E24" s="180">
        <f>GDP!E24+INWARD!E24</f>
        <v>11729.334000000001</v>
      </c>
      <c r="F24" s="180">
        <f>GDP!F24+INWARD!F24</f>
        <v>361627.30499999999</v>
      </c>
      <c r="G24" s="180">
        <f>GDP!G24+INWARD!G24</f>
        <v>24263.57</v>
      </c>
      <c r="H24" s="180">
        <f>GDP!H24+INWARD!H24</f>
        <v>50018.224000000002</v>
      </c>
      <c r="I24" s="180">
        <f>GDP!I24+INWARD!I24</f>
        <v>149198.74599999998</v>
      </c>
      <c r="J24" s="180">
        <f>GDP!J24+INWARD!J24</f>
        <v>137576.64000000001</v>
      </c>
      <c r="K24" s="180">
        <f>GDP!K24+INWARD!K24</f>
        <v>0</v>
      </c>
      <c r="L24" s="180">
        <f>GDP!L24+INWARD!L24</f>
        <v>5418.7920000000004</v>
      </c>
      <c r="M24" s="180">
        <f>GDP!M24+INWARD!M24</f>
        <v>90200.573999999993</v>
      </c>
      <c r="N24" s="180">
        <f>GDP!N24+INWARD!N24</f>
        <v>90499.682000000001</v>
      </c>
      <c r="O24" s="180">
        <f>GDP!O24+INWARD!O24</f>
        <v>43972.142999999996</v>
      </c>
      <c r="P24" s="180">
        <f>GDP!P24+INWARD!P24</f>
        <v>7562.5439999999999</v>
      </c>
      <c r="Q24" s="181">
        <f>GDP!Q24+INWARD!Q24</f>
        <v>1064095.8670000001</v>
      </c>
      <c r="R24" s="189">
        <f t="shared" si="0"/>
        <v>1.2994573296525225</v>
      </c>
    </row>
    <row r="25" spans="2:18" ht="16" customHeight="1" x14ac:dyDescent="0.35">
      <c r="B25" s="188" t="str">
        <f>GDP!B25</f>
        <v>KENYA ORIENT INSURANCE</v>
      </c>
      <c r="C25" s="180">
        <f>GDP!C25+INWARD!C25</f>
        <v>0</v>
      </c>
      <c r="D25" s="180">
        <f>GDP!D25+INWARD!D25</f>
        <v>21941.546999999999</v>
      </c>
      <c r="E25" s="180">
        <f>GDP!E25+INWARD!E25</f>
        <v>7665.8239999999996</v>
      </c>
      <c r="F25" s="180">
        <f>GDP!F25+INWARD!F25</f>
        <v>34592.495000000003</v>
      </c>
      <c r="G25" s="180">
        <f>GDP!G25+INWARD!G25</f>
        <v>14005.39</v>
      </c>
      <c r="H25" s="180">
        <f>GDP!H25+INWARD!H25</f>
        <v>317.78500000000003</v>
      </c>
      <c r="I25" s="180">
        <f>GDP!I25+INWARD!I25</f>
        <v>91955.153000000006</v>
      </c>
      <c r="J25" s="180">
        <f>GDP!J25+INWARD!J25</f>
        <v>42337.981</v>
      </c>
      <c r="K25" s="180">
        <f>GDP!K25+INWARD!K25</f>
        <v>2935.0509999999999</v>
      </c>
      <c r="L25" s="180">
        <f>GDP!L25+INWARD!L25</f>
        <v>1538.9490000000001</v>
      </c>
      <c r="M25" s="180">
        <f>GDP!M25+INWARD!M25</f>
        <v>44773.224000000002</v>
      </c>
      <c r="N25" s="180">
        <f>GDP!N25+INWARD!N25</f>
        <v>54995.661</v>
      </c>
      <c r="O25" s="180">
        <f>GDP!O25+INWARD!O25</f>
        <v>0</v>
      </c>
      <c r="P25" s="180">
        <f>GDP!P25+INWARD!P25</f>
        <v>133478.432</v>
      </c>
      <c r="Q25" s="181">
        <f>GDP!Q25+INWARD!Q25</f>
        <v>450537.49200000003</v>
      </c>
      <c r="R25" s="189">
        <f t="shared" si="0"/>
        <v>0.55018938088090963</v>
      </c>
    </row>
    <row r="26" spans="2:18" ht="16" customHeight="1" x14ac:dyDescent="0.35">
      <c r="B26" s="188" t="str">
        <f>GDP!B26</f>
        <v>MADISON INSURANCE COMPANY</v>
      </c>
      <c r="C26" s="180">
        <f>GDP!C26+INWARD!C26</f>
        <v>0</v>
      </c>
      <c r="D26" s="180">
        <f>GDP!D26+INWARD!D26</f>
        <v>61461.118000000002</v>
      </c>
      <c r="E26" s="180">
        <f>GDP!E26+INWARD!E26</f>
        <v>10161.392</v>
      </c>
      <c r="F26" s="180">
        <f>GDP!F26+INWARD!F26</f>
        <v>177334.845</v>
      </c>
      <c r="G26" s="180">
        <f>GDP!G26+INWARD!G26</f>
        <v>113351.891</v>
      </c>
      <c r="H26" s="180">
        <f>GDP!H26+INWARD!H26</f>
        <v>12158.47</v>
      </c>
      <c r="I26" s="180">
        <f>GDP!I26+INWARD!I26</f>
        <v>220806.674</v>
      </c>
      <c r="J26" s="180">
        <f>GDP!J26+INWARD!J26</f>
        <v>1137233.43062</v>
      </c>
      <c r="K26" s="180">
        <f>GDP!K26+INWARD!K26</f>
        <v>0</v>
      </c>
      <c r="L26" s="180">
        <f>GDP!L26+INWARD!L26</f>
        <v>32981.553</v>
      </c>
      <c r="M26" s="180">
        <f>GDP!M26+INWARD!M26</f>
        <v>126362.988</v>
      </c>
      <c r="N26" s="180">
        <f>GDP!N26+INWARD!N26</f>
        <v>177931.38800000001</v>
      </c>
      <c r="O26" s="180">
        <f>GDP!O26+INWARD!O26</f>
        <v>1509588.76358</v>
      </c>
      <c r="P26" s="180">
        <f>GDP!P26+INWARD!P26</f>
        <v>108282.79738</v>
      </c>
      <c r="Q26" s="181">
        <f>GDP!Q26+INWARD!Q26</f>
        <v>3687655.3105799998</v>
      </c>
      <c r="R26" s="189">
        <f t="shared" si="0"/>
        <v>4.503307334587392</v>
      </c>
    </row>
    <row r="27" spans="2:18" ht="16" customHeight="1" x14ac:dyDescent="0.35">
      <c r="B27" s="188" t="str">
        <f>GDP!B27</f>
        <v>MAYFAIR INSURANCE COMPANY</v>
      </c>
      <c r="C27" s="180">
        <f>GDP!C27+INWARD!C27</f>
        <v>327291.50199999998</v>
      </c>
      <c r="D27" s="180">
        <f>GDP!D27+INWARD!D27</f>
        <v>354389.29200000002</v>
      </c>
      <c r="E27" s="180">
        <f>GDP!E27+INWARD!E27</f>
        <v>73600.532999999996</v>
      </c>
      <c r="F27" s="180">
        <f>GDP!F27+INWARD!F27</f>
        <v>1262671.905</v>
      </c>
      <c r="G27" s="180">
        <f>GDP!G27+INWARD!G27</f>
        <v>110570.736</v>
      </c>
      <c r="H27" s="180">
        <f>GDP!H27+INWARD!H27</f>
        <v>379174.1</v>
      </c>
      <c r="I27" s="180">
        <f>GDP!I27+INWARD!I27</f>
        <v>328678.47000000003</v>
      </c>
      <c r="J27" s="180">
        <f>GDP!J27+INWARD!J27</f>
        <v>331913.04399999999</v>
      </c>
      <c r="K27" s="180">
        <f>GDP!K27+INWARD!K27</f>
        <v>11461.366</v>
      </c>
      <c r="L27" s="180">
        <f>GDP!L27+INWARD!L27</f>
        <v>38749.284999999996</v>
      </c>
      <c r="M27" s="180">
        <f>GDP!M27+INWARD!M27</f>
        <v>156703.747</v>
      </c>
      <c r="N27" s="180">
        <f>GDP!N27+INWARD!N27</f>
        <v>367374.90300000005</v>
      </c>
      <c r="O27" s="180">
        <f>GDP!O27+INWARD!O27</f>
        <v>0</v>
      </c>
      <c r="P27" s="180">
        <f>GDP!P27+INWARD!P27</f>
        <v>396453.34400000004</v>
      </c>
      <c r="Q27" s="181">
        <f>GDP!Q27+INWARD!Q27</f>
        <v>4139032.227</v>
      </c>
      <c r="R27" s="189">
        <f t="shared" si="0"/>
        <v>5.054521807519766</v>
      </c>
    </row>
    <row r="28" spans="2:18" ht="16" customHeight="1" x14ac:dyDescent="0.35">
      <c r="B28" s="188" t="str">
        <f>GDP!B28</f>
        <v>MUA INSURANCE COMPANY</v>
      </c>
      <c r="C28" s="180">
        <f>GDP!C28+INWARD!C28</f>
        <v>2702.9029999999998</v>
      </c>
      <c r="D28" s="180">
        <f>GDP!D28+INWARD!D28</f>
        <v>5748.375</v>
      </c>
      <c r="E28" s="180">
        <f>GDP!E28+INWARD!E28</f>
        <v>2099.1469999999999</v>
      </c>
      <c r="F28" s="180">
        <f>GDP!F28+INWARD!F28</f>
        <v>113638.82951</v>
      </c>
      <c r="G28" s="180">
        <f>GDP!G28+INWARD!G28</f>
        <v>21126.951000000001</v>
      </c>
      <c r="H28" s="180">
        <f>GDP!H28+INWARD!H28</f>
        <v>36466.406219999997</v>
      </c>
      <c r="I28" s="180">
        <f>GDP!I28+INWARD!I28</f>
        <v>87517.20967000004</v>
      </c>
      <c r="J28" s="180">
        <f>GDP!J28+INWARD!J28</f>
        <v>16061.17828</v>
      </c>
      <c r="K28" s="180">
        <f>GDP!K28+INWARD!K28</f>
        <v>0</v>
      </c>
      <c r="L28" s="180">
        <f>GDP!L28+INWARD!L28</f>
        <v>740.80399999999997</v>
      </c>
      <c r="M28" s="180">
        <f>GDP!M28+INWARD!M28</f>
        <v>2282.143</v>
      </c>
      <c r="N28" s="180">
        <f>GDP!N28+INWARD!N28</f>
        <v>12706.625</v>
      </c>
      <c r="O28" s="180">
        <f>GDP!O28+INWARD!O28</f>
        <v>344865.30674999999</v>
      </c>
      <c r="P28" s="180">
        <f>GDP!P28+INWARD!P28</f>
        <v>6984.9134100000001</v>
      </c>
      <c r="Q28" s="181">
        <f>GDP!Q28+INWARD!Q28</f>
        <v>652940.79183999996</v>
      </c>
      <c r="R28" s="189">
        <f t="shared" si="0"/>
        <v>0.79736114395190105</v>
      </c>
    </row>
    <row r="29" spans="2:18" ht="16" customHeight="1" x14ac:dyDescent="0.35">
      <c r="B29" s="188" t="str">
        <f>GDP!B29</f>
        <v>NCBA INSURANCE COMPANY</v>
      </c>
      <c r="C29" s="180">
        <f>GDP!C29+INWARD!C29</f>
        <v>0</v>
      </c>
      <c r="D29" s="180">
        <f>GDP!D29+INWARD!D29</f>
        <v>6198.9088300000003</v>
      </c>
      <c r="E29" s="180">
        <f>GDP!E29+INWARD!E29</f>
        <v>31768.56088999999</v>
      </c>
      <c r="F29" s="180">
        <f>GDP!F29+INWARD!F29</f>
        <v>249347.91872999989</v>
      </c>
      <c r="G29" s="180">
        <f>GDP!G29+INWARD!G29</f>
        <v>339329.82351000013</v>
      </c>
      <c r="H29" s="180">
        <f>GDP!H29+INWARD!H29</f>
        <v>18822.71931</v>
      </c>
      <c r="I29" s="180">
        <f>GDP!I29+INWARD!I29</f>
        <v>334887.24819000001</v>
      </c>
      <c r="J29" s="180">
        <f>GDP!J29+INWARD!J29</f>
        <v>97350.269620000006</v>
      </c>
      <c r="K29" s="180">
        <f>GDP!K29+INWARD!K29</f>
        <v>0</v>
      </c>
      <c r="L29" s="180">
        <f>GDP!L29+INWARD!L29</f>
        <v>54200.370119999418</v>
      </c>
      <c r="M29" s="180">
        <f>GDP!M29+INWARD!M29</f>
        <v>66499.951589999997</v>
      </c>
      <c r="N29" s="180">
        <f>GDP!N29+INWARD!N29</f>
        <v>68240.868999999992</v>
      </c>
      <c r="O29" s="180">
        <f>GDP!O29+INWARD!O29</f>
        <v>0</v>
      </c>
      <c r="P29" s="180">
        <f>GDP!P29+INWARD!P29</f>
        <v>71.039000000000001</v>
      </c>
      <c r="Q29" s="181">
        <f>GDP!Q29+INWARD!Q29</f>
        <v>1266717.6787899989</v>
      </c>
      <c r="R29" s="189">
        <f t="shared" si="0"/>
        <v>1.5468959361197232</v>
      </c>
    </row>
    <row r="30" spans="2:18" ht="16" customHeight="1" x14ac:dyDescent="0.35">
      <c r="B30" s="188" t="str">
        <f>GDP!B30</f>
        <v xml:space="preserve">OCCIDENTAL INSURANCE COMPANY </v>
      </c>
      <c r="C30" s="180">
        <f>GDP!C30+INWARD!C30</f>
        <v>12448.842000000001</v>
      </c>
      <c r="D30" s="180">
        <f>GDP!D30+INWARD!D30</f>
        <v>37795.303</v>
      </c>
      <c r="E30" s="180">
        <f>GDP!E30+INWARD!E30</f>
        <v>10069.333000000001</v>
      </c>
      <c r="F30" s="180">
        <f>GDP!F30+INWARD!F30</f>
        <v>101013.228</v>
      </c>
      <c r="G30" s="180">
        <f>GDP!G30+INWARD!G30</f>
        <v>2929.3270000000002</v>
      </c>
      <c r="H30" s="180">
        <f>GDP!H30+INWARD!H30</f>
        <v>23793.401000000002</v>
      </c>
      <c r="I30" s="180">
        <f>GDP!I30+INWARD!I30</f>
        <v>93789.634999999995</v>
      </c>
      <c r="J30" s="180">
        <f>GDP!J30+INWARD!J30</f>
        <v>148834.57800000001</v>
      </c>
      <c r="K30" s="180">
        <f>GDP!K30+INWARD!K30</f>
        <v>0</v>
      </c>
      <c r="L30" s="180">
        <f>GDP!L30+INWARD!L30</f>
        <v>9235.4629999999997</v>
      </c>
      <c r="M30" s="180">
        <f>GDP!M30+INWARD!M30</f>
        <v>25884.04</v>
      </c>
      <c r="N30" s="180">
        <f>GDP!N30+INWARD!N30</f>
        <v>55055.377</v>
      </c>
      <c r="O30" s="180">
        <f>GDP!O30+INWARD!O30</f>
        <v>0</v>
      </c>
      <c r="P30" s="180">
        <f>GDP!P30+INWARD!P30</f>
        <v>22938.916000000001</v>
      </c>
      <c r="Q30" s="181">
        <f>GDP!Q30+INWARD!Q30</f>
        <v>543787.44299999997</v>
      </c>
      <c r="R30" s="189">
        <f t="shared" si="0"/>
        <v>0.66406477131759523</v>
      </c>
    </row>
    <row r="31" spans="2:18" ht="16" customHeight="1" x14ac:dyDescent="0.35">
      <c r="B31" s="188" t="str">
        <f>GDP!B31</f>
        <v xml:space="preserve">OLD MUTUAL GENERAL INSURANCE </v>
      </c>
      <c r="C31" s="180">
        <f>GDP!C31+INWARD!C31</f>
        <v>78616.429999999993</v>
      </c>
      <c r="D31" s="180">
        <f>GDP!D31+INWARD!D31</f>
        <v>348678.47688999982</v>
      </c>
      <c r="E31" s="180">
        <f>GDP!E31+INWARD!E31</f>
        <v>78269.351710000032</v>
      </c>
      <c r="F31" s="180">
        <f>GDP!F31+INWARD!F31</f>
        <v>503831.48019999987</v>
      </c>
      <c r="G31" s="180">
        <f>GDP!G31+INWARD!G31</f>
        <v>142148.21253000002</v>
      </c>
      <c r="H31" s="180">
        <f>GDP!H31+INWARD!H31</f>
        <v>76638.602469999998</v>
      </c>
      <c r="I31" s="180">
        <f>GDP!I31+INWARD!I31</f>
        <v>540564.73074999999</v>
      </c>
      <c r="J31" s="180">
        <f>GDP!J31+INWARD!J31</f>
        <v>512678.61364999978</v>
      </c>
      <c r="K31" s="180">
        <f>GDP!K31+INWARD!K31</f>
        <v>0</v>
      </c>
      <c r="L31" s="180">
        <f>GDP!L31+INWARD!L31</f>
        <v>44080.109889998996</v>
      </c>
      <c r="M31" s="180">
        <f>GDP!M31+INWARD!M31</f>
        <v>209093.7218599999</v>
      </c>
      <c r="N31" s="180">
        <f>GDP!N31+INWARD!N31</f>
        <v>136295.46088</v>
      </c>
      <c r="O31" s="180">
        <f>GDP!O31+INWARD!O31</f>
        <v>4715396.3833199963</v>
      </c>
      <c r="P31" s="180">
        <f>GDP!P31+INWARD!P31</f>
        <v>91149.752100000012</v>
      </c>
      <c r="Q31" s="181">
        <f>GDP!Q31+INWARD!Q31</f>
        <v>7477441.3262499934</v>
      </c>
      <c r="R31" s="189">
        <f t="shared" si="0"/>
        <v>9.1313350984401787</v>
      </c>
    </row>
    <row r="32" spans="2:18" ht="16" customHeight="1" x14ac:dyDescent="0.35">
      <c r="B32" s="188" t="str">
        <f>GDP!B32</f>
        <v>PACIS INSURANCE COMPANY</v>
      </c>
      <c r="C32" s="180">
        <f>GDP!C32+INWARD!C32</f>
        <v>0</v>
      </c>
      <c r="D32" s="180">
        <f>GDP!D32+INWARD!D32</f>
        <v>5622.4750000000004</v>
      </c>
      <c r="E32" s="180">
        <f>GDP!E32+INWARD!E32</f>
        <v>6058.5140000000001</v>
      </c>
      <c r="F32" s="180">
        <f>GDP!F32+INWARD!F32</f>
        <v>81935.179999999993</v>
      </c>
      <c r="G32" s="180">
        <f>GDP!G32+INWARD!G32</f>
        <v>25570.721000000001</v>
      </c>
      <c r="H32" s="180">
        <f>GDP!H32+INWARD!H32</f>
        <v>1973.7089999999998</v>
      </c>
      <c r="I32" s="180">
        <f>GDP!I32+INWARD!I32</f>
        <v>219710.356</v>
      </c>
      <c r="J32" s="180">
        <f>GDP!J32+INWARD!J32</f>
        <v>286738.64499999996</v>
      </c>
      <c r="K32" s="180">
        <f>GDP!K32+INWARD!K32</f>
        <v>23811.304</v>
      </c>
      <c r="L32" s="180">
        <f>GDP!L32+INWARD!L32</f>
        <v>15794.789000000001</v>
      </c>
      <c r="M32" s="180">
        <f>GDP!M32+INWARD!M32</f>
        <v>16370.567999999999</v>
      </c>
      <c r="N32" s="180">
        <f>GDP!N32+INWARD!N32</f>
        <v>73063.59</v>
      </c>
      <c r="O32" s="180">
        <f>GDP!O32+INWARD!O32</f>
        <v>654597.42024000012</v>
      </c>
      <c r="P32" s="180">
        <f>GDP!P32+INWARD!P32</f>
        <v>1753.7309999999998</v>
      </c>
      <c r="Q32" s="181">
        <f>GDP!Q32+INWARD!Q32</f>
        <v>1413001.0022400001</v>
      </c>
      <c r="R32" s="189">
        <f t="shared" si="0"/>
        <v>1.7255348565009776</v>
      </c>
    </row>
    <row r="33" spans="2:18" ht="16" customHeight="1" x14ac:dyDescent="0.35">
      <c r="B33" s="188" t="str">
        <f>GDP!B33</f>
        <v>PIONEER INSURANCE COMPANY</v>
      </c>
      <c r="C33" s="180">
        <f>GDP!C33+INWARD!C33</f>
        <v>5863.487349</v>
      </c>
      <c r="D33" s="180">
        <f>GDP!D33+INWARD!D33</f>
        <v>35209.756999999998</v>
      </c>
      <c r="E33" s="180">
        <f>GDP!E33+INWARD!E33</f>
        <v>7535.5249999999996</v>
      </c>
      <c r="F33" s="180">
        <f>GDP!F33+INWARD!F33</f>
        <v>79589.668364000012</v>
      </c>
      <c r="G33" s="180">
        <f>GDP!G33+INWARD!G33</f>
        <v>39409.153909999986</v>
      </c>
      <c r="H33" s="180">
        <f>GDP!H33+INWARD!H33</f>
        <v>26988.128499999999</v>
      </c>
      <c r="I33" s="180">
        <f>GDP!I33+INWARD!I33</f>
        <v>447002.781946</v>
      </c>
      <c r="J33" s="180">
        <f>GDP!J33+INWARD!J33</f>
        <v>279834.50134199997</v>
      </c>
      <c r="K33" s="180">
        <f>GDP!K33+INWARD!K33</f>
        <v>0</v>
      </c>
      <c r="L33" s="180">
        <f>GDP!L33+INWARD!L33</f>
        <v>11236.368</v>
      </c>
      <c r="M33" s="180">
        <f>GDP!M33+INWARD!M33</f>
        <v>13307.625</v>
      </c>
      <c r="N33" s="180">
        <f>GDP!N33+INWARD!N33</f>
        <v>46439.275999999998</v>
      </c>
      <c r="O33" s="180">
        <f>GDP!O33+INWARD!O33</f>
        <v>0</v>
      </c>
      <c r="P33" s="180">
        <f>GDP!P33+INWARD!P33</f>
        <v>21875.421999999999</v>
      </c>
      <c r="Q33" s="181">
        <f>GDP!Q33+INWARD!Q33</f>
        <v>1014291.694411</v>
      </c>
      <c r="R33" s="189">
        <f t="shared" si="0"/>
        <v>1.2386372483749628</v>
      </c>
    </row>
    <row r="34" spans="2:18" ht="16" customHeight="1" x14ac:dyDescent="0.35">
      <c r="B34" s="188" t="str">
        <f>GDP!B34</f>
        <v>SANLAM ALLIANZ GENERAL INSURANCE</v>
      </c>
      <c r="C34" s="180">
        <f>GDP!C34+INWARD!C34</f>
        <v>0</v>
      </c>
      <c r="D34" s="180">
        <f>GDP!D34+INWARD!D34</f>
        <v>78304.532000000007</v>
      </c>
      <c r="E34" s="180">
        <f>GDP!E34+INWARD!E34</f>
        <v>25829.741000000002</v>
      </c>
      <c r="F34" s="180">
        <f>GDP!F34+INWARD!F34</f>
        <v>926343.05500000005</v>
      </c>
      <c r="G34" s="180">
        <f>GDP!G34+INWARD!G34</f>
        <v>69008.324999999997</v>
      </c>
      <c r="H34" s="180">
        <f>GDP!H34+INWARD!H34</f>
        <v>62760.286999999997</v>
      </c>
      <c r="I34" s="180">
        <f>GDP!I34+INWARD!I34</f>
        <v>711940.31099999999</v>
      </c>
      <c r="J34" s="180">
        <f>GDP!J34+INWARD!J34</f>
        <v>459933.80099999998</v>
      </c>
      <c r="K34" s="180">
        <f>GDP!K34+INWARD!K34</f>
        <v>0</v>
      </c>
      <c r="L34" s="180">
        <f>GDP!L34+INWARD!L34</f>
        <v>4619.9309999999996</v>
      </c>
      <c r="M34" s="180">
        <f>GDP!M34+INWARD!M34</f>
        <v>191387.60200000001</v>
      </c>
      <c r="N34" s="180">
        <f>GDP!N34+INWARD!N34</f>
        <v>10480.141</v>
      </c>
      <c r="O34" s="180">
        <f>GDP!O34+INWARD!O34</f>
        <v>0</v>
      </c>
      <c r="P34" s="180">
        <f>GDP!P34+INWARD!P34</f>
        <v>0</v>
      </c>
      <c r="Q34" s="181">
        <f>GDP!Q34+INWARD!Q34</f>
        <v>2540607.7259999998</v>
      </c>
      <c r="R34" s="189">
        <f t="shared" si="0"/>
        <v>3.1025506570476389</v>
      </c>
    </row>
    <row r="35" spans="2:18" ht="16" customHeight="1" x14ac:dyDescent="0.35">
      <c r="B35" s="188" t="str">
        <f>GDP!B35</f>
        <v>STAR DISCOVER INSURANCE</v>
      </c>
      <c r="C35" s="180">
        <f>GDP!C35+INWARD!C35</f>
        <v>42.9</v>
      </c>
      <c r="D35" s="180">
        <f>GDP!D35+INWARD!D35</f>
        <v>13609.608</v>
      </c>
      <c r="E35" s="180">
        <f>GDP!E35+INWARD!E35</f>
        <v>0</v>
      </c>
      <c r="F35" s="180">
        <f>GDP!F35+INWARD!F35</f>
        <v>5606.4279999999999</v>
      </c>
      <c r="G35" s="180">
        <f>GDP!G35+INWARD!G35</f>
        <v>312.8</v>
      </c>
      <c r="H35" s="180">
        <f>GDP!H35+INWARD!H35</f>
        <v>331.37099999999998</v>
      </c>
      <c r="I35" s="180">
        <f>GDP!I35+INWARD!I35</f>
        <v>15313.665999999999</v>
      </c>
      <c r="J35" s="180">
        <f>GDP!J35+INWARD!J35</f>
        <v>15297.681</v>
      </c>
      <c r="K35" s="180">
        <f>GDP!K35+INWARD!K35</f>
        <v>0</v>
      </c>
      <c r="L35" s="180">
        <f>GDP!L35+INWARD!L35</f>
        <v>337.625</v>
      </c>
      <c r="M35" s="180">
        <f>GDP!M35+INWARD!M35</f>
        <v>343.57499999999999</v>
      </c>
      <c r="N35" s="180">
        <f>GDP!N35+INWARD!N35</f>
        <v>6656.5479999999998</v>
      </c>
      <c r="O35" s="180">
        <f>GDP!O35+INWARD!O35</f>
        <v>841982.81</v>
      </c>
      <c r="P35" s="180">
        <f>GDP!P35+INWARD!P35</f>
        <v>7495.6719999999996</v>
      </c>
      <c r="Q35" s="181">
        <f>GDP!Q35+INWARD!Q35</f>
        <v>907330.68400000001</v>
      </c>
      <c r="R35" s="189">
        <f t="shared" si="0"/>
        <v>1.1080181253466299</v>
      </c>
    </row>
    <row r="36" spans="2:18" ht="16" customHeight="1" x14ac:dyDescent="0.35">
      <c r="B36" s="188" t="str">
        <f>GDP!B36</f>
        <v>TAKAFUL INSURANCE OF AFRICA</v>
      </c>
      <c r="C36" s="180">
        <f>GDP!C36+INWARD!C36</f>
        <v>0</v>
      </c>
      <c r="D36" s="180">
        <f>GDP!D36+INWARD!D36</f>
        <v>16022.352000000001</v>
      </c>
      <c r="E36" s="180">
        <f>GDP!E36+INWARD!E36</f>
        <v>1389.606</v>
      </c>
      <c r="F36" s="180">
        <f>GDP!F36+INWARD!F36</f>
        <v>21006.894</v>
      </c>
      <c r="G36" s="180">
        <f>GDP!G36+INWARD!G36</f>
        <v>24623.150999999998</v>
      </c>
      <c r="H36" s="180">
        <f>GDP!H36+INWARD!H36</f>
        <v>7082.8909999999996</v>
      </c>
      <c r="I36" s="180">
        <f>GDP!I36+INWARD!I36</f>
        <v>75806.739000000001</v>
      </c>
      <c r="J36" s="180">
        <f>GDP!J36+INWARD!J36</f>
        <v>242878.50840000002</v>
      </c>
      <c r="K36" s="180">
        <f>GDP!K36+INWARD!K36</f>
        <v>0</v>
      </c>
      <c r="L36" s="180">
        <f>GDP!L36+INWARD!L36</f>
        <v>1224.029</v>
      </c>
      <c r="M36" s="180">
        <f>GDP!M36+INWARD!M36</f>
        <v>14026.341</v>
      </c>
      <c r="N36" s="180">
        <f>GDP!N36+INWARD!N36</f>
        <v>23913.434000000001</v>
      </c>
      <c r="O36" s="180">
        <f>GDP!O36+INWARD!O36</f>
        <v>10870.101000000001</v>
      </c>
      <c r="P36" s="180">
        <f>GDP!P36+INWARD!P36</f>
        <v>14036.28</v>
      </c>
      <c r="Q36" s="181">
        <f>GDP!Q36+INWARD!Q36</f>
        <v>452880.32639999996</v>
      </c>
      <c r="R36" s="189">
        <f t="shared" si="0"/>
        <v>0.55305041382695896</v>
      </c>
    </row>
    <row r="37" spans="2:18" ht="16" customHeight="1" x14ac:dyDescent="0.35">
      <c r="B37" s="188" t="str">
        <f>GDP!B37</f>
        <v>TAUSI ASSURANCE COMPANY</v>
      </c>
      <c r="C37" s="180">
        <f>GDP!C37+INWARD!C37</f>
        <v>0</v>
      </c>
      <c r="D37" s="180">
        <f>GDP!D37+INWARD!D37</f>
        <v>106251.961</v>
      </c>
      <c r="E37" s="180">
        <f>GDP!E37+INWARD!E37</f>
        <v>46246.557999999997</v>
      </c>
      <c r="F37" s="180">
        <f>GDP!F37+INWARD!F37</f>
        <v>530983.78200000001</v>
      </c>
      <c r="G37" s="180">
        <f>GDP!G37+INWARD!G37</f>
        <v>39912.794000000002</v>
      </c>
      <c r="H37" s="180">
        <f>GDP!H37+INWARD!H37</f>
        <v>69354.217000000004</v>
      </c>
      <c r="I37" s="180">
        <f>GDP!I37+INWARD!I37</f>
        <v>135456.82</v>
      </c>
      <c r="J37" s="180">
        <f>GDP!J37+INWARD!J37</f>
        <v>124510.307</v>
      </c>
      <c r="K37" s="180">
        <f>GDP!K37+INWARD!K37</f>
        <v>0</v>
      </c>
      <c r="L37" s="180">
        <f>GDP!L37+INWARD!L37</f>
        <v>5190.59</v>
      </c>
      <c r="M37" s="180">
        <f>GDP!M37+INWARD!M37</f>
        <v>83987.452000000005</v>
      </c>
      <c r="N37" s="180">
        <f>GDP!N37+INWARD!N37</f>
        <v>191823.36199999999</v>
      </c>
      <c r="O37" s="180">
        <f>GDP!O37+INWARD!O37</f>
        <v>2383.4430000000002</v>
      </c>
      <c r="P37" s="180">
        <f>GDP!P37+INWARD!P37</f>
        <v>7675.5940000000001</v>
      </c>
      <c r="Q37" s="181">
        <f>GDP!Q37+INWARD!Q37</f>
        <v>1343776.8800000001</v>
      </c>
      <c r="R37" s="189">
        <f t="shared" si="0"/>
        <v>1.6409994346248111</v>
      </c>
    </row>
    <row r="38" spans="2:18" ht="16" customHeight="1" x14ac:dyDescent="0.35">
      <c r="B38" s="188" t="str">
        <f>GDP!B38</f>
        <v>THE HERITAGE INSURANCE COMPANY</v>
      </c>
      <c r="C38" s="180">
        <f>GDP!C38+INWARD!C38</f>
        <v>19560.328000000001</v>
      </c>
      <c r="D38" s="180">
        <f>GDP!D38+INWARD!D38</f>
        <v>30926.230999999996</v>
      </c>
      <c r="E38" s="180">
        <f>GDP!E38+INWARD!E38</f>
        <v>60219.59</v>
      </c>
      <c r="F38" s="180">
        <f>GDP!F38+INWARD!F38</f>
        <v>277449.65499999997</v>
      </c>
      <c r="G38" s="180">
        <f>GDP!G38+INWARD!G38</f>
        <v>84686.581000000006</v>
      </c>
      <c r="H38" s="180">
        <f>GDP!H38+INWARD!H38</f>
        <v>28426.635999999999</v>
      </c>
      <c r="I38" s="180">
        <f>GDP!I38+INWARD!I38</f>
        <v>367194.30599999998</v>
      </c>
      <c r="J38" s="180">
        <f>GDP!J38+INWARD!J38</f>
        <v>205898.80799999999</v>
      </c>
      <c r="K38" s="180">
        <f>GDP!K38+INWARD!K38</f>
        <v>0</v>
      </c>
      <c r="L38" s="180">
        <f>GDP!L38+INWARD!L38</f>
        <v>89416.577000000005</v>
      </c>
      <c r="M38" s="180">
        <f>GDP!M38+INWARD!M38</f>
        <v>53554.368000000002</v>
      </c>
      <c r="N38" s="180">
        <f>GDP!N38+INWARD!N38</f>
        <v>189306.092</v>
      </c>
      <c r="O38" s="180">
        <f>GDP!O38+INWARD!O38</f>
        <v>1824193.784</v>
      </c>
      <c r="P38" s="180">
        <f>GDP!P38+INWARD!P38</f>
        <v>202244.38099999999</v>
      </c>
      <c r="Q38" s="181">
        <f>GDP!Q38+INWARD!Q38</f>
        <v>3433077.3370000003</v>
      </c>
      <c r="R38" s="189">
        <f t="shared" si="0"/>
        <v>4.1924206710865963</v>
      </c>
    </row>
    <row r="39" spans="2:18" ht="16" customHeight="1" x14ac:dyDescent="0.35">
      <c r="B39" s="188" t="str">
        <f>GDP!B39</f>
        <v xml:space="preserve">THE KENYAN ALLIANCE INSURANCE </v>
      </c>
      <c r="C39" s="180">
        <f>GDP!C39+INWARD!C39</f>
        <v>0</v>
      </c>
      <c r="D39" s="180">
        <f>GDP!D39+INWARD!D39</f>
        <v>0</v>
      </c>
      <c r="E39" s="180">
        <f>GDP!E39+INWARD!E39</f>
        <v>0</v>
      </c>
      <c r="F39" s="180">
        <f>GDP!F39+INWARD!F39</f>
        <v>0</v>
      </c>
      <c r="G39" s="180">
        <f>GDP!G39+INWARD!G39</f>
        <v>0</v>
      </c>
      <c r="H39" s="180">
        <f>GDP!H39+INWARD!H39</f>
        <v>0</v>
      </c>
      <c r="I39" s="180">
        <f>GDP!I39+INWARD!I39</f>
        <v>0</v>
      </c>
      <c r="J39" s="180">
        <f>GDP!J39+INWARD!J39</f>
        <v>0</v>
      </c>
      <c r="K39" s="180">
        <f>GDP!K39+INWARD!K39</f>
        <v>0</v>
      </c>
      <c r="L39" s="180">
        <f>GDP!L39+INWARD!L39</f>
        <v>0</v>
      </c>
      <c r="M39" s="180">
        <f>GDP!M39+INWARD!M39</f>
        <v>0</v>
      </c>
      <c r="N39" s="180">
        <f>GDP!N39+INWARD!N39</f>
        <v>0</v>
      </c>
      <c r="O39" s="180">
        <f>GDP!O39+INWARD!O39</f>
        <v>0</v>
      </c>
      <c r="P39" s="180">
        <f>GDP!P39+INWARD!P39</f>
        <v>0</v>
      </c>
      <c r="Q39" s="181">
        <f>GDP!Q39+INWARD!Q39</f>
        <v>0</v>
      </c>
      <c r="R39" s="189">
        <f t="shared" si="0"/>
        <v>0</v>
      </c>
    </row>
    <row r="40" spans="2:18" ht="16" customHeight="1" x14ac:dyDescent="0.35">
      <c r="B40" s="188" t="str">
        <f>GDP!B40</f>
        <v xml:space="preserve">THE MONARCH INSURANCE </v>
      </c>
      <c r="C40" s="180">
        <f>GDP!C40+INWARD!C40</f>
        <v>0</v>
      </c>
      <c r="D40" s="180">
        <f>GDP!D40+INWARD!D40</f>
        <v>0</v>
      </c>
      <c r="E40" s="180">
        <f>GDP!E40+INWARD!E40</f>
        <v>0</v>
      </c>
      <c r="F40" s="180">
        <f>GDP!F40+INWARD!F40</f>
        <v>0</v>
      </c>
      <c r="G40" s="180">
        <f>GDP!G40+INWARD!G40</f>
        <v>0</v>
      </c>
      <c r="H40" s="180">
        <f>GDP!H40+INWARD!H40</f>
        <v>0</v>
      </c>
      <c r="I40" s="180">
        <f>GDP!I40+INWARD!I40</f>
        <v>0</v>
      </c>
      <c r="J40" s="180">
        <f>GDP!J40+INWARD!J40</f>
        <v>0</v>
      </c>
      <c r="K40" s="180">
        <f>GDP!K40+INWARD!K40</f>
        <v>0</v>
      </c>
      <c r="L40" s="180">
        <f>GDP!L40+INWARD!L40</f>
        <v>0</v>
      </c>
      <c r="M40" s="180">
        <f>GDP!M40+INWARD!M40</f>
        <v>0</v>
      </c>
      <c r="N40" s="180">
        <f>GDP!N40+INWARD!N40</f>
        <v>0</v>
      </c>
      <c r="O40" s="180">
        <f>GDP!O40+INWARD!O40</f>
        <v>0</v>
      </c>
      <c r="P40" s="180">
        <f>GDP!P40+INWARD!P40</f>
        <v>0</v>
      </c>
      <c r="Q40" s="181">
        <f>GDP!Q40+INWARD!Q40</f>
        <v>0</v>
      </c>
      <c r="R40" s="189">
        <f t="shared" si="0"/>
        <v>0</v>
      </c>
    </row>
    <row r="41" spans="2:18" ht="16" customHeight="1" x14ac:dyDescent="0.35">
      <c r="B41" s="190" t="s">
        <v>7</v>
      </c>
      <c r="C41" s="182">
        <f t="shared" ref="C41:Q41" si="1">SUM(C6:C40)</f>
        <v>1150660.7854889999</v>
      </c>
      <c r="D41" s="182">
        <f t="shared" si="1"/>
        <v>2543506.1051000007</v>
      </c>
      <c r="E41" s="182">
        <f t="shared" si="1"/>
        <v>768668.25046000001</v>
      </c>
      <c r="F41" s="182">
        <f t="shared" si="1"/>
        <v>9870190.2107939981</v>
      </c>
      <c r="G41" s="182">
        <f t="shared" si="1"/>
        <v>2147973.0234400001</v>
      </c>
      <c r="H41" s="182">
        <f t="shared" si="1"/>
        <v>1626347.2626800004</v>
      </c>
      <c r="I41" s="182">
        <f t="shared" si="1"/>
        <v>9552572.0746260006</v>
      </c>
      <c r="J41" s="182">
        <f t="shared" si="1"/>
        <v>8457893.6030119993</v>
      </c>
      <c r="K41" s="182">
        <f t="shared" si="1"/>
        <v>982404.60124999937</v>
      </c>
      <c r="L41" s="182">
        <f t="shared" si="1"/>
        <v>994390.28104722581</v>
      </c>
      <c r="M41" s="182">
        <f t="shared" si="1"/>
        <v>2924354.3024000004</v>
      </c>
      <c r="N41" s="182">
        <f t="shared" si="1"/>
        <v>3829758.1074499995</v>
      </c>
      <c r="O41" s="182">
        <f t="shared" si="1"/>
        <v>35202970.162016541</v>
      </c>
      <c r="P41" s="182">
        <f t="shared" si="1"/>
        <v>1836022.5631299999</v>
      </c>
      <c r="Q41" s="182">
        <f t="shared" si="1"/>
        <v>81887711.332894742</v>
      </c>
      <c r="R41" s="182">
        <f t="shared" si="0"/>
        <v>100</v>
      </c>
    </row>
    <row r="42" spans="2:18" ht="16" customHeight="1" x14ac:dyDescent="0.35">
      <c r="B42" s="300" t="s">
        <v>142</v>
      </c>
      <c r="C42" s="301"/>
      <c r="D42" s="301"/>
      <c r="E42" s="301"/>
      <c r="F42" s="301"/>
      <c r="G42" s="301"/>
      <c r="H42" s="301"/>
      <c r="I42" s="301"/>
      <c r="J42" s="301"/>
      <c r="K42" s="301"/>
      <c r="L42" s="301"/>
      <c r="M42" s="301"/>
      <c r="N42" s="301"/>
      <c r="O42" s="301"/>
      <c r="P42" s="301"/>
      <c r="Q42" s="301"/>
      <c r="R42" s="302"/>
    </row>
    <row r="43" spans="2:18" ht="16" customHeight="1" x14ac:dyDescent="0.35">
      <c r="B43" s="64" t="str">
        <f>GDP!B43</f>
        <v>CONTINENTAL REINSURANCE</v>
      </c>
      <c r="C43" s="180">
        <f>GDP!C43+INWARD!C43</f>
        <v>5274.3779999999997</v>
      </c>
      <c r="D43" s="180">
        <f>GDP!D43+INWARD!D43</f>
        <v>185475.53</v>
      </c>
      <c r="E43" s="180">
        <f>GDP!E43+INWARD!E43</f>
        <v>241354.94399999999</v>
      </c>
      <c r="F43" s="180">
        <f>GDP!F43+INWARD!F43</f>
        <v>686933.30200000003</v>
      </c>
      <c r="G43" s="180">
        <f>GDP!G43+INWARD!G43</f>
        <v>102572.076</v>
      </c>
      <c r="H43" s="180">
        <f>GDP!H43+INWARD!H43</f>
        <v>60655.34</v>
      </c>
      <c r="I43" s="180">
        <f>GDP!I43+INWARD!I43</f>
        <v>26864.115000000002</v>
      </c>
      <c r="J43" s="180">
        <f>GDP!J43+INWARD!J43</f>
        <v>114783.037</v>
      </c>
      <c r="K43" s="180">
        <f>GDP!K43+INWARD!K43</f>
        <v>0</v>
      </c>
      <c r="L43" s="180">
        <f>GDP!L43+INWARD!L43</f>
        <v>72189.141000000003</v>
      </c>
      <c r="M43" s="180">
        <f>GDP!M43+INWARD!M43</f>
        <v>3799.4290000000001</v>
      </c>
      <c r="N43" s="180">
        <f>GDP!N43+INWARD!N43</f>
        <v>7598.857</v>
      </c>
      <c r="O43" s="180">
        <f>GDP!O43+INWARD!O43</f>
        <v>427757.66200000001</v>
      </c>
      <c r="P43" s="180">
        <f>GDP!P43+INWARD!P43</f>
        <v>296355.424</v>
      </c>
      <c r="Q43" s="181">
        <f>GDP!Q43+INWARD!Q43</f>
        <v>2231613.2349999999</v>
      </c>
      <c r="R43" s="191">
        <f>Q43/$Q$48*100</f>
        <v>24.981463406689731</v>
      </c>
    </row>
    <row r="44" spans="2:18" ht="16" customHeight="1" x14ac:dyDescent="0.35">
      <c r="B44" s="64" t="str">
        <f>GDP!B44</f>
        <v xml:space="preserve">EAST AFRICA REINSURANCE </v>
      </c>
      <c r="C44" s="180">
        <f>GDP!C44+INWARD!C44</f>
        <v>932.69701096247229</v>
      </c>
      <c r="D44" s="180">
        <f>GDP!D44+INWARD!D44</f>
        <v>115411.5881271454</v>
      </c>
      <c r="E44" s="180">
        <f>GDP!E44+INWARD!E44</f>
        <v>0</v>
      </c>
      <c r="F44" s="180">
        <f>GDP!F44+INWARD!F44</f>
        <v>629079.04897505103</v>
      </c>
      <c r="G44" s="180">
        <f>GDP!G44+INWARD!G44</f>
        <v>22734.493204844031</v>
      </c>
      <c r="H44" s="180">
        <f>GDP!H44+INWARD!H44</f>
        <v>53870.156386241993</v>
      </c>
      <c r="I44" s="180">
        <f>GDP!I44+INWARD!I44</f>
        <v>0</v>
      </c>
      <c r="J44" s="180">
        <f>GDP!J44+INWARD!J44</f>
        <v>124013.48580540231</v>
      </c>
      <c r="K44" s="180">
        <f>GDP!K44+INWARD!K44</f>
        <v>0</v>
      </c>
      <c r="L44" s="180">
        <f>GDP!L44+INWARD!L44</f>
        <v>47657.195666517982</v>
      </c>
      <c r="M44" s="180">
        <f>GDP!M44+INWARD!M44</f>
        <v>0</v>
      </c>
      <c r="N44" s="180">
        <f>GDP!N44+INWARD!N44</f>
        <v>0</v>
      </c>
      <c r="O44" s="180">
        <f>GDP!O44+INWARD!O44</f>
        <v>357483.57284199382</v>
      </c>
      <c r="P44" s="180">
        <f>GDP!P44+INWARD!P44</f>
        <v>264259.93774748553</v>
      </c>
      <c r="Q44" s="181">
        <f>GDP!Q44+INWARD!Q44</f>
        <v>1615442.175765645</v>
      </c>
      <c r="R44" s="191">
        <f>Q44/$Q$48*100</f>
        <v>18.083827863439204</v>
      </c>
    </row>
    <row r="45" spans="2:18" ht="16" customHeight="1" x14ac:dyDescent="0.35">
      <c r="B45" s="64" t="str">
        <f>GDP!B45</f>
        <v>GHANA REINSURANCE COMPANY</v>
      </c>
      <c r="C45" s="180">
        <f>GDP!C45+INWARD!C45</f>
        <v>610.20399999999995</v>
      </c>
      <c r="D45" s="180">
        <f>GDP!D45+INWARD!D45</f>
        <v>36223.394</v>
      </c>
      <c r="E45" s="180">
        <f>GDP!E45+INWARD!E45</f>
        <v>51989.559000000001</v>
      </c>
      <c r="F45" s="180">
        <f>GDP!F45+INWARD!F45</f>
        <v>381256.77100000001</v>
      </c>
      <c r="G45" s="180">
        <f>GDP!G45+INWARD!G45</f>
        <v>24008.492999999999</v>
      </c>
      <c r="H45" s="180">
        <f>GDP!H45+INWARD!H45</f>
        <v>26797.863000000001</v>
      </c>
      <c r="I45" s="180">
        <f>GDP!I45+INWARD!I45</f>
        <v>28509.376</v>
      </c>
      <c r="J45" s="180">
        <f>GDP!J45+INWARD!J45</f>
        <v>30885.154999999999</v>
      </c>
      <c r="K45" s="180">
        <f>GDP!K45+INWARD!K45</f>
        <v>0</v>
      </c>
      <c r="L45" s="180">
        <f>GDP!L45+INWARD!L45</f>
        <v>1975.8150000000001</v>
      </c>
      <c r="M45" s="180">
        <f>GDP!M45+INWARD!M45</f>
        <v>4670.3890000000001</v>
      </c>
      <c r="N45" s="180">
        <f>GDP!N45+INWARD!N45</f>
        <v>13103.54</v>
      </c>
      <c r="O45" s="180">
        <f>GDP!O45+INWARD!O45</f>
        <v>96179.642000000007</v>
      </c>
      <c r="P45" s="180">
        <f>GDP!P45+INWARD!P45</f>
        <v>56621.273000000001</v>
      </c>
      <c r="Q45" s="181">
        <f>GDP!Q45+INWARD!Q45</f>
        <v>752831.47400000005</v>
      </c>
      <c r="R45" s="191">
        <f>Q45/$Q$48*100</f>
        <v>8.4274602893432338</v>
      </c>
    </row>
    <row r="46" spans="2:18" ht="16" customHeight="1" x14ac:dyDescent="0.35">
      <c r="B46" s="64" t="str">
        <f>GDP!B46</f>
        <v>KENYA REINSURANCE CORPORATION</v>
      </c>
      <c r="C46" s="180">
        <f>GDP!C46+INWARD!C46</f>
        <v>37117.938600000001</v>
      </c>
      <c r="D46" s="180">
        <f>GDP!D46+INWARD!D46</f>
        <v>429012.00251000002</v>
      </c>
      <c r="E46" s="180">
        <f>GDP!E46+INWARD!E46</f>
        <v>13385.788930000001</v>
      </c>
      <c r="F46" s="180">
        <f>GDP!F46+INWARD!F46</f>
        <v>893574.22651999979</v>
      </c>
      <c r="G46" s="180">
        <f>GDP!G46+INWARD!G46</f>
        <v>33883.287499999999</v>
      </c>
      <c r="H46" s="180">
        <f>GDP!H46+INWARD!H46</f>
        <v>166192.39287000001</v>
      </c>
      <c r="I46" s="180">
        <f>GDP!I46+INWARD!I46</f>
        <v>3802.0976300000002</v>
      </c>
      <c r="J46" s="180">
        <f>GDP!J46+INWARD!J46</f>
        <v>208668.00122999999</v>
      </c>
      <c r="K46" s="180">
        <f>GDP!K46+INWARD!K46</f>
        <v>0</v>
      </c>
      <c r="L46" s="180">
        <f>GDP!L46+INWARD!L46</f>
        <v>155819.05119999999</v>
      </c>
      <c r="M46" s="180">
        <f>GDP!M46+INWARD!M46</f>
        <v>12906.042450000001</v>
      </c>
      <c r="N46" s="180">
        <f>GDP!N46+INWARD!N46</f>
        <v>23664.948039999999</v>
      </c>
      <c r="O46" s="180">
        <f>GDP!O46+INWARD!O46</f>
        <v>378275.92745999998</v>
      </c>
      <c r="P46" s="180">
        <f>GDP!P46+INWARD!P46</f>
        <v>501974.66857999988</v>
      </c>
      <c r="Q46" s="181">
        <f>GDP!Q46+INWARD!Q46</f>
        <v>2858276.373519999</v>
      </c>
      <c r="R46" s="191">
        <f>Q46/$Q$48*100</f>
        <v>31.996550975507944</v>
      </c>
    </row>
    <row r="47" spans="2:18" ht="16" customHeight="1" x14ac:dyDescent="0.35">
      <c r="B47" s="64" t="str">
        <f>GDP!B47</f>
        <v>WAICA REINSURANCE KENYA LIMITED</v>
      </c>
      <c r="C47" s="180">
        <f>GDP!C47+INWARD!C47</f>
        <v>14242.40178</v>
      </c>
      <c r="D47" s="180">
        <f>GDP!D47+INWARD!D47</f>
        <v>201608.18748180001</v>
      </c>
      <c r="E47" s="180">
        <f>GDP!E47+INWARD!E47</f>
        <v>110970.9647582</v>
      </c>
      <c r="F47" s="180">
        <f>GDP!F47+INWARD!F47</f>
        <v>525011.52628539992</v>
      </c>
      <c r="G47" s="180">
        <f>GDP!G47+INWARD!G47</f>
        <v>54045.454321999998</v>
      </c>
      <c r="H47" s="180">
        <f>GDP!H47+INWARD!H47</f>
        <v>64960.652295199987</v>
      </c>
      <c r="I47" s="180">
        <f>GDP!I47+INWARD!I47</f>
        <v>22197.510792000001</v>
      </c>
      <c r="J47" s="180">
        <f>GDP!J47+INWARD!J47</f>
        <v>46020.632407599987</v>
      </c>
      <c r="K47" s="180">
        <f>GDP!K47+INWARD!K47</f>
        <v>0</v>
      </c>
      <c r="L47" s="180">
        <f>GDP!L47+INWARD!L47</f>
        <v>342270.46910000022</v>
      </c>
      <c r="M47" s="180">
        <f>GDP!M47+INWARD!M47</f>
        <v>14420.258</v>
      </c>
      <c r="N47" s="180">
        <f>GDP!N47+INWARD!N47</f>
        <v>0</v>
      </c>
      <c r="O47" s="180">
        <f>GDP!O47+INWARD!O47</f>
        <v>7906.0690000000004</v>
      </c>
      <c r="P47" s="180">
        <f>GDP!P47+INWARD!P47</f>
        <v>71259.107730000003</v>
      </c>
      <c r="Q47" s="181">
        <f>GDP!Q47+INWARD!Q47</f>
        <v>1474913.233952201</v>
      </c>
      <c r="R47" s="191">
        <f>Q47/$Q$48*100</f>
        <v>16.510697465019884</v>
      </c>
    </row>
    <row r="48" spans="2:18" ht="16" customHeight="1" x14ac:dyDescent="0.35">
      <c r="B48" s="190" t="s">
        <v>231</v>
      </c>
      <c r="C48" s="182">
        <f t="shared" ref="C48:R48" si="2">SUM(C43:C47)</f>
        <v>58177.619390962471</v>
      </c>
      <c r="D48" s="182">
        <f t="shared" si="2"/>
        <v>967730.70211894542</v>
      </c>
      <c r="E48" s="182">
        <f t="shared" si="2"/>
        <v>417701.25668819994</v>
      </c>
      <c r="F48" s="182">
        <f t="shared" si="2"/>
        <v>3115854.8747804509</v>
      </c>
      <c r="G48" s="182">
        <f t="shared" si="2"/>
        <v>237243.80402684404</v>
      </c>
      <c r="H48" s="182">
        <f t="shared" si="2"/>
        <v>372476.40455144196</v>
      </c>
      <c r="I48" s="182">
        <f t="shared" si="2"/>
        <v>81373.099421999999</v>
      </c>
      <c r="J48" s="182">
        <f t="shared" si="2"/>
        <v>524370.31144300231</v>
      </c>
      <c r="K48" s="182">
        <f t="shared" si="2"/>
        <v>0</v>
      </c>
      <c r="L48" s="182">
        <f t="shared" si="2"/>
        <v>619911.67196651816</v>
      </c>
      <c r="M48" s="182">
        <f t="shared" si="2"/>
        <v>35796.118450000002</v>
      </c>
      <c r="N48" s="182">
        <f t="shared" si="2"/>
        <v>44367.34504</v>
      </c>
      <c r="O48" s="182">
        <f t="shared" si="2"/>
        <v>1267602.8733019936</v>
      </c>
      <c r="P48" s="182">
        <f t="shared" si="2"/>
        <v>1190470.4110574855</v>
      </c>
      <c r="Q48" s="182">
        <f t="shared" si="2"/>
        <v>8933076.4922378454</v>
      </c>
      <c r="R48" s="182">
        <f t="shared" si="2"/>
        <v>100</v>
      </c>
    </row>
    <row r="49" spans="2:18" ht="16" customHeight="1" x14ac:dyDescent="0.5">
      <c r="B49" s="357" t="s">
        <v>149</v>
      </c>
      <c r="C49" s="358"/>
      <c r="D49" s="358"/>
      <c r="E49" s="358"/>
      <c r="F49" s="358"/>
      <c r="G49" s="358"/>
      <c r="H49" s="358"/>
      <c r="I49" s="358"/>
      <c r="J49" s="358"/>
      <c r="K49" s="358"/>
      <c r="L49" s="358"/>
      <c r="M49" s="358"/>
      <c r="N49" s="358"/>
      <c r="O49" s="358"/>
      <c r="P49" s="358"/>
      <c r="Q49" s="358"/>
      <c r="R49" s="324"/>
    </row>
  </sheetData>
  <sheetProtection algorithmName="SHA-512" hashValue="hnCH1ZKqsPnm51ZgawzOV/UmewX4STrY/Tt7aeYJK9oEGhFVSYDx0IrztQgS7dfK0bO2EZOfMJoFT0kfDlFupA==" saltValue="B1540LR9Ok+CYu0DaPLBFA==" spinCount="100000" sheet="1" objects="1" scenarios="1"/>
  <mergeCells count="4">
    <mergeCell ref="B5:R5"/>
    <mergeCell ref="B49:R49"/>
    <mergeCell ref="B42:R42"/>
    <mergeCell ref="B3:R3"/>
  </mergeCells>
  <pageMargins left="0.7" right="0.7" top="0.75" bottom="0.75" header="0.3" footer="0.3"/>
  <pageSetup scale="34"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5">
    <tabColor rgb="FF92D050"/>
  </sheetPr>
  <dimension ref="B3:Q49"/>
  <sheetViews>
    <sheetView showGridLines="0" topLeftCell="G3" zoomScale="70" zoomScaleNormal="70" workbookViewId="0">
      <selection activeCell="B42" sqref="B6:Q42"/>
    </sheetView>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119" width="9.453125" style="2" customWidth="1"/>
    <col min="120" max="16384" width="9.453125" style="2"/>
  </cols>
  <sheetData>
    <row r="3" spans="2:17" ht="14.5" customHeight="1" x14ac:dyDescent="0.35">
      <c r="B3" s="361" t="str">
        <f>_xlfn.CONCAT("GDP: SUMMARY OF GROSS DIRECT PREMIUM UNDER GENERAL INSURANCE BUSINESS FOR THE PERIOD ENDED"," ",Details!F18)</f>
        <v>GDP: SUMMARY OF GROSS DIRECT PREMIUM UNDER GENERAL INSURANCE BUSINESS FOR THE PERIOD ENDED 31.03.2026</v>
      </c>
      <c r="C3" s="301"/>
      <c r="D3" s="301"/>
      <c r="E3" s="301"/>
      <c r="F3" s="301"/>
      <c r="G3" s="301"/>
      <c r="H3" s="301"/>
      <c r="I3" s="301"/>
      <c r="J3" s="301"/>
      <c r="K3" s="301"/>
      <c r="L3" s="301"/>
      <c r="M3" s="301"/>
      <c r="N3" s="301"/>
      <c r="O3" s="301"/>
      <c r="P3" s="301"/>
      <c r="Q3" s="302"/>
    </row>
    <row r="4" spans="2:17" ht="28" customHeight="1" x14ac:dyDescent="0.3">
      <c r="B4" s="26" t="s">
        <v>87</v>
      </c>
      <c r="C4" s="27" t="s">
        <v>216</v>
      </c>
      <c r="D4" s="27" t="s">
        <v>217</v>
      </c>
      <c r="E4" s="27" t="s">
        <v>218</v>
      </c>
      <c r="F4" s="27" t="s">
        <v>219</v>
      </c>
      <c r="G4" s="27" t="s">
        <v>220</v>
      </c>
      <c r="H4" s="27" t="s">
        <v>221</v>
      </c>
      <c r="I4" s="27" t="s">
        <v>222</v>
      </c>
      <c r="J4" s="27" t="s">
        <v>223</v>
      </c>
      <c r="K4" s="27" t="s">
        <v>224</v>
      </c>
      <c r="L4" s="27" t="s">
        <v>225</v>
      </c>
      <c r="M4" s="27" t="s">
        <v>226</v>
      </c>
      <c r="N4" s="27" t="s">
        <v>227</v>
      </c>
      <c r="O4" s="27" t="s">
        <v>228</v>
      </c>
      <c r="P4" s="27" t="s">
        <v>229</v>
      </c>
      <c r="Q4" s="27" t="s">
        <v>230</v>
      </c>
    </row>
    <row r="5" spans="2:17" ht="14.5" customHeight="1" x14ac:dyDescent="0.35">
      <c r="B5" s="362" t="s">
        <v>106</v>
      </c>
      <c r="C5" s="301"/>
      <c r="D5" s="301"/>
      <c r="E5" s="301"/>
      <c r="F5" s="301"/>
      <c r="G5" s="301"/>
      <c r="H5" s="301"/>
      <c r="I5" s="301"/>
      <c r="J5" s="301"/>
      <c r="K5" s="301"/>
      <c r="L5" s="301"/>
      <c r="M5" s="301"/>
      <c r="N5" s="301"/>
      <c r="O5" s="301"/>
      <c r="P5" s="301"/>
      <c r="Q5" s="302"/>
    </row>
    <row r="6" spans="2:17" x14ac:dyDescent="0.3">
      <c r="B6" s="37" t="s">
        <v>107</v>
      </c>
      <c r="C6" s="28">
        <v>0</v>
      </c>
      <c r="D6" s="28">
        <v>553.15363000000013</v>
      </c>
      <c r="E6" s="28">
        <v>883.0247599999999</v>
      </c>
      <c r="F6" s="28">
        <v>6400.3602199999996</v>
      </c>
      <c r="G6" s="28">
        <v>11013.585709999999</v>
      </c>
      <c r="H6" s="28">
        <v>1162.8894700000001</v>
      </c>
      <c r="I6" s="28">
        <v>831.83488000000011</v>
      </c>
      <c r="J6" s="28">
        <v>991.74840000000006</v>
      </c>
      <c r="K6" s="28">
        <v>0</v>
      </c>
      <c r="L6" s="28">
        <v>4159.7112400000015</v>
      </c>
      <c r="M6" s="28">
        <v>4056.6085200000011</v>
      </c>
      <c r="N6" s="28">
        <v>31265.15454</v>
      </c>
      <c r="O6" s="28">
        <v>3608864.1992100002</v>
      </c>
      <c r="P6" s="28">
        <v>15724.250700000001</v>
      </c>
      <c r="Q6" s="40">
        <v>3685906.5212799991</v>
      </c>
    </row>
    <row r="7" spans="2:17" x14ac:dyDescent="0.3">
      <c r="B7" s="37" t="s">
        <v>108</v>
      </c>
      <c r="C7" s="28">
        <v>0</v>
      </c>
      <c r="D7" s="28">
        <v>9884.9030999999995</v>
      </c>
      <c r="E7" s="28">
        <v>180.28550999999999</v>
      </c>
      <c r="F7" s="28">
        <v>999.29943000000014</v>
      </c>
      <c r="G7" s="28">
        <v>17424.30557</v>
      </c>
      <c r="H7" s="28">
        <v>1460.3095000000001</v>
      </c>
      <c r="I7" s="28">
        <v>130767.3584</v>
      </c>
      <c r="J7" s="28">
        <v>419049.11787999998</v>
      </c>
      <c r="K7" s="28">
        <v>206347.65371000001</v>
      </c>
      <c r="L7" s="28">
        <v>6290.4838399999999</v>
      </c>
      <c r="M7" s="28">
        <v>933.29363000000001</v>
      </c>
      <c r="N7" s="28">
        <v>39521.213159999999</v>
      </c>
      <c r="O7" s="28">
        <v>0</v>
      </c>
      <c r="P7" s="28">
        <v>15441.11932</v>
      </c>
      <c r="Q7" s="40">
        <v>848299.34304999991</v>
      </c>
    </row>
    <row r="8" spans="2:17" x14ac:dyDescent="0.3">
      <c r="B8" s="37" t="s">
        <v>109</v>
      </c>
      <c r="C8" s="28">
        <v>146142.99600000001</v>
      </c>
      <c r="D8" s="28">
        <v>154835.03200000001</v>
      </c>
      <c r="E8" s="28">
        <v>46757.546999999999</v>
      </c>
      <c r="F8" s="28">
        <v>1086799.719</v>
      </c>
      <c r="G8" s="28">
        <v>200769.12599999999</v>
      </c>
      <c r="H8" s="28">
        <v>108625.49400000001</v>
      </c>
      <c r="I8" s="28">
        <v>809829.3</v>
      </c>
      <c r="J8" s="28">
        <v>817147.745</v>
      </c>
      <c r="K8" s="28">
        <v>0</v>
      </c>
      <c r="L8" s="28">
        <v>69113.758000000002</v>
      </c>
      <c r="M8" s="28">
        <v>138163.36199999999</v>
      </c>
      <c r="N8" s="28">
        <v>285271.47399999999</v>
      </c>
      <c r="O8" s="28">
        <v>3086652.84</v>
      </c>
      <c r="P8" s="28">
        <v>122213.326</v>
      </c>
      <c r="Q8" s="40">
        <v>7072321.7189999996</v>
      </c>
    </row>
    <row r="9" spans="2:17" x14ac:dyDescent="0.3">
      <c r="B9" s="37" t="s">
        <v>110</v>
      </c>
      <c r="C9" s="28">
        <v>102800.00614</v>
      </c>
      <c r="D9" s="28">
        <v>279643.50173999998</v>
      </c>
      <c r="E9" s="28">
        <v>64115.72694</v>
      </c>
      <c r="F9" s="28">
        <v>541621.08796000027</v>
      </c>
      <c r="G9" s="28">
        <v>189740.92138000001</v>
      </c>
      <c r="H9" s="28">
        <v>136447.23467999991</v>
      </c>
      <c r="I9" s="28">
        <v>581770.89910000155</v>
      </c>
      <c r="J9" s="28">
        <v>214933.45159000001</v>
      </c>
      <c r="K9" s="28">
        <v>0</v>
      </c>
      <c r="L9" s="28">
        <v>99999.670037227523</v>
      </c>
      <c r="M9" s="28">
        <v>53837.592470000003</v>
      </c>
      <c r="N9" s="28">
        <v>297539.48940000002</v>
      </c>
      <c r="O9" s="28">
        <v>2224467.040282249</v>
      </c>
      <c r="P9" s="28">
        <v>28666.335360000001</v>
      </c>
      <c r="Q9" s="40">
        <v>4815582.9570794785</v>
      </c>
    </row>
    <row r="10" spans="2:17" x14ac:dyDescent="0.3">
      <c r="B10" s="37" t="s">
        <v>111</v>
      </c>
      <c r="C10" s="28">
        <v>0</v>
      </c>
      <c r="D10" s="28">
        <v>0</v>
      </c>
      <c r="E10" s="28">
        <v>0</v>
      </c>
      <c r="F10" s="28">
        <v>0</v>
      </c>
      <c r="G10" s="28">
        <v>0</v>
      </c>
      <c r="H10" s="28">
        <v>0</v>
      </c>
      <c r="I10" s="28">
        <v>0</v>
      </c>
      <c r="J10" s="28">
        <v>0</v>
      </c>
      <c r="K10" s="28">
        <v>0</v>
      </c>
      <c r="L10" s="28">
        <v>0</v>
      </c>
      <c r="M10" s="28">
        <v>0</v>
      </c>
      <c r="N10" s="28">
        <v>0</v>
      </c>
      <c r="O10" s="28">
        <v>2503251.7259999998</v>
      </c>
      <c r="P10" s="28">
        <v>0</v>
      </c>
      <c r="Q10" s="40">
        <v>2503251.7259999998</v>
      </c>
    </row>
    <row r="11" spans="2:17" x14ac:dyDescent="0.3">
      <c r="B11" s="37" t="s">
        <v>112</v>
      </c>
      <c r="C11" s="28">
        <v>0</v>
      </c>
      <c r="D11" s="28">
        <v>16224.011780000001</v>
      </c>
      <c r="E11" s="28">
        <v>4462.7139999999999</v>
      </c>
      <c r="F11" s="28">
        <v>30727.724999999999</v>
      </c>
      <c r="G11" s="28">
        <v>12299.433999999999</v>
      </c>
      <c r="H11" s="28">
        <v>20559.228999999999</v>
      </c>
      <c r="I11" s="28">
        <v>304739.50636</v>
      </c>
      <c r="J11" s="28">
        <v>84570.952189999996</v>
      </c>
      <c r="K11" s="28">
        <v>0</v>
      </c>
      <c r="L11" s="28">
        <v>5682.62</v>
      </c>
      <c r="M11" s="28">
        <v>9829.8379999999997</v>
      </c>
      <c r="N11" s="28">
        <v>41139.26</v>
      </c>
      <c r="O11" s="28">
        <v>0</v>
      </c>
      <c r="P11" s="28">
        <v>14123.126</v>
      </c>
      <c r="Q11" s="40">
        <v>544358.41632999992</v>
      </c>
    </row>
    <row r="12" spans="2:17" x14ac:dyDescent="0.3">
      <c r="B12" s="37" t="s">
        <v>113</v>
      </c>
      <c r="C12" s="28">
        <v>0</v>
      </c>
      <c r="D12" s="28">
        <v>50524.0628</v>
      </c>
      <c r="E12" s="28">
        <v>41404.550649999997</v>
      </c>
      <c r="F12" s="28">
        <v>181827.64218</v>
      </c>
      <c r="G12" s="28">
        <v>81423.064830000018</v>
      </c>
      <c r="H12" s="28">
        <v>12898.716210000001</v>
      </c>
      <c r="I12" s="28">
        <v>1093604.5891100001</v>
      </c>
      <c r="J12" s="28">
        <v>1004615.3717</v>
      </c>
      <c r="K12" s="28">
        <v>0</v>
      </c>
      <c r="L12" s="28">
        <v>160370.95514999999</v>
      </c>
      <c r="M12" s="28">
        <v>405935.77805999998</v>
      </c>
      <c r="N12" s="28">
        <v>231298.3174</v>
      </c>
      <c r="O12" s="28">
        <v>4058650.7827800019</v>
      </c>
      <c r="P12" s="28">
        <v>90173.184859999979</v>
      </c>
      <c r="Q12" s="40">
        <v>7412727.015730002</v>
      </c>
    </row>
    <row r="13" spans="2:17" x14ac:dyDescent="0.3">
      <c r="B13" s="37" t="s">
        <v>114</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115</v>
      </c>
      <c r="C14" s="28">
        <v>0</v>
      </c>
      <c r="D14" s="28">
        <v>0</v>
      </c>
      <c r="E14" s="28">
        <v>0</v>
      </c>
      <c r="F14" s="28">
        <v>0</v>
      </c>
      <c r="G14" s="28">
        <v>0</v>
      </c>
      <c r="H14" s="28">
        <v>0</v>
      </c>
      <c r="I14" s="28">
        <v>111370.13722</v>
      </c>
      <c r="J14" s="28">
        <v>36215.914340000003</v>
      </c>
      <c r="K14" s="28">
        <v>610165.10753999942</v>
      </c>
      <c r="L14" s="28">
        <v>0</v>
      </c>
      <c r="M14" s="28">
        <v>0</v>
      </c>
      <c r="N14" s="28">
        <v>0</v>
      </c>
      <c r="O14" s="28">
        <v>0</v>
      </c>
      <c r="P14" s="28">
        <v>0</v>
      </c>
      <c r="Q14" s="40">
        <v>757751.15909999947</v>
      </c>
    </row>
    <row r="15" spans="2:17" x14ac:dyDescent="0.3">
      <c r="B15" s="37" t="s">
        <v>116</v>
      </c>
      <c r="C15" s="28">
        <v>0</v>
      </c>
      <c r="D15" s="28">
        <v>24976.628000000001</v>
      </c>
      <c r="E15" s="28">
        <v>285.56700000000001</v>
      </c>
      <c r="F15" s="28">
        <v>53862.87</v>
      </c>
      <c r="G15" s="28">
        <v>81387.634000000005</v>
      </c>
      <c r="H15" s="28">
        <v>643.45899999999995</v>
      </c>
      <c r="I15" s="28">
        <v>12977.982</v>
      </c>
      <c r="J15" s="28">
        <v>0</v>
      </c>
      <c r="K15" s="28">
        <v>0</v>
      </c>
      <c r="L15" s="28">
        <v>263.39800000000002</v>
      </c>
      <c r="M15" s="28">
        <v>419607.61800000002</v>
      </c>
      <c r="N15" s="28">
        <v>762.16099999999994</v>
      </c>
      <c r="O15" s="28">
        <v>0</v>
      </c>
      <c r="P15" s="28">
        <v>0</v>
      </c>
      <c r="Q15" s="40">
        <v>594767.31700000004</v>
      </c>
    </row>
    <row r="16" spans="2:17" x14ac:dyDescent="0.3">
      <c r="B16" s="37" t="s">
        <v>117</v>
      </c>
      <c r="C16" s="28">
        <v>0</v>
      </c>
      <c r="D16" s="28">
        <v>0</v>
      </c>
      <c r="E16" s="28">
        <v>0</v>
      </c>
      <c r="F16" s="28">
        <v>0</v>
      </c>
      <c r="G16" s="28">
        <v>0</v>
      </c>
      <c r="H16" s="28">
        <v>0</v>
      </c>
      <c r="I16" s="28">
        <v>0</v>
      </c>
      <c r="J16" s="28">
        <v>0</v>
      </c>
      <c r="K16" s="28">
        <v>0</v>
      </c>
      <c r="L16" s="28">
        <v>0</v>
      </c>
      <c r="M16" s="28">
        <v>0</v>
      </c>
      <c r="N16" s="28">
        <v>0</v>
      </c>
      <c r="O16" s="28">
        <v>1204994.17239</v>
      </c>
      <c r="P16" s="28">
        <v>0</v>
      </c>
      <c r="Q16" s="40">
        <v>1204994.17239</v>
      </c>
    </row>
    <row r="17" spans="2:17" x14ac:dyDescent="0.3">
      <c r="B17" s="37" t="s">
        <v>118</v>
      </c>
      <c r="C17" s="28">
        <v>119.264</v>
      </c>
      <c r="D17" s="28">
        <v>32429.581999999999</v>
      </c>
      <c r="E17" s="28">
        <v>14939.300999999999</v>
      </c>
      <c r="F17" s="28">
        <v>163102.20199999999</v>
      </c>
      <c r="G17" s="28">
        <v>39739.639000000003</v>
      </c>
      <c r="H17" s="28">
        <v>51092.726000000002</v>
      </c>
      <c r="I17" s="28">
        <v>521508.87</v>
      </c>
      <c r="J17" s="28">
        <v>337538.82500000001</v>
      </c>
      <c r="K17" s="28">
        <v>7480.9340000000002</v>
      </c>
      <c r="L17" s="28">
        <v>3852.1089999999999</v>
      </c>
      <c r="M17" s="28">
        <v>36140.311999999998</v>
      </c>
      <c r="N17" s="28">
        <v>133419.19699999999</v>
      </c>
      <c r="O17" s="28">
        <v>199207.06</v>
      </c>
      <c r="P17" s="28">
        <v>64958.665000000001</v>
      </c>
      <c r="Q17" s="40">
        <v>1605528.686</v>
      </c>
    </row>
    <row r="18" spans="2:17" x14ac:dyDescent="0.3">
      <c r="B18" s="37" t="s">
        <v>119</v>
      </c>
      <c r="C18" s="28">
        <v>0</v>
      </c>
      <c r="D18" s="28">
        <v>82147.557000000001</v>
      </c>
      <c r="E18" s="28">
        <v>19853.919000000002</v>
      </c>
      <c r="F18" s="28">
        <v>252422.14300000001</v>
      </c>
      <c r="G18" s="28">
        <v>39420.442000000003</v>
      </c>
      <c r="H18" s="28">
        <v>43276.305</v>
      </c>
      <c r="I18" s="28">
        <v>247272.986</v>
      </c>
      <c r="J18" s="28">
        <v>186147.32199999999</v>
      </c>
      <c r="K18" s="28">
        <v>37581.828000000001</v>
      </c>
      <c r="L18" s="28">
        <v>35419.678999999996</v>
      </c>
      <c r="M18" s="28">
        <v>45761.411</v>
      </c>
      <c r="N18" s="28">
        <v>11236.867</v>
      </c>
      <c r="O18" s="28">
        <v>1177203.7139999999</v>
      </c>
      <c r="P18" s="28">
        <v>45820.874000000003</v>
      </c>
      <c r="Q18" s="40">
        <v>2223565.0469999998</v>
      </c>
    </row>
    <row r="19" spans="2:17" x14ac:dyDescent="0.3">
      <c r="B19" s="37" t="s">
        <v>120</v>
      </c>
      <c r="C19" s="28">
        <v>205602.69099999999</v>
      </c>
      <c r="D19" s="28">
        <v>386125.69199999998</v>
      </c>
      <c r="E19" s="28">
        <v>78254.410999999993</v>
      </c>
      <c r="F19" s="28">
        <v>1682580.7420000001</v>
      </c>
      <c r="G19" s="28">
        <v>231520.88399999999</v>
      </c>
      <c r="H19" s="28">
        <v>233592.90599999999</v>
      </c>
      <c r="I19" s="28">
        <v>585771.38899999997</v>
      </c>
      <c r="J19" s="28">
        <v>562250.96900000004</v>
      </c>
      <c r="K19" s="28">
        <v>57373.474999999999</v>
      </c>
      <c r="L19" s="28">
        <v>54799.167999999998</v>
      </c>
      <c r="M19" s="28">
        <v>490394.81800000003</v>
      </c>
      <c r="N19" s="28">
        <v>625538.98199999996</v>
      </c>
      <c r="O19" s="28">
        <v>1964507.8810000001</v>
      </c>
      <c r="P19" s="28">
        <v>156594.90400000001</v>
      </c>
      <c r="Q19" s="40">
        <v>7314908.9119999995</v>
      </c>
    </row>
    <row r="20" spans="2:17" x14ac:dyDescent="0.3">
      <c r="B20" s="37" t="s">
        <v>121</v>
      </c>
      <c r="C20" s="28">
        <v>8359.125</v>
      </c>
      <c r="D20" s="28">
        <v>44234.107000000004</v>
      </c>
      <c r="E20" s="28">
        <v>35066.491999999998</v>
      </c>
      <c r="F20" s="28">
        <v>262733.80599999998</v>
      </c>
      <c r="G20" s="28">
        <v>56930.360999999997</v>
      </c>
      <c r="H20" s="28">
        <v>58295.101000000002</v>
      </c>
      <c r="I20" s="28">
        <v>282010.16600000003</v>
      </c>
      <c r="J20" s="28">
        <v>341802.35600000003</v>
      </c>
      <c r="K20" s="28">
        <v>0</v>
      </c>
      <c r="L20" s="28">
        <v>25450.944</v>
      </c>
      <c r="M20" s="28">
        <v>97360.638000000006</v>
      </c>
      <c r="N20" s="28">
        <v>165732.98199999999</v>
      </c>
      <c r="O20" s="28">
        <v>0</v>
      </c>
      <c r="P20" s="28">
        <v>26526.232</v>
      </c>
      <c r="Q20" s="40">
        <v>1404502.31</v>
      </c>
    </row>
    <row r="21" spans="2:17" x14ac:dyDescent="0.3">
      <c r="B21" s="37" t="s">
        <v>122</v>
      </c>
      <c r="C21" s="28">
        <v>241110.31099999999</v>
      </c>
      <c r="D21" s="28">
        <v>60296.432999999997</v>
      </c>
      <c r="E21" s="28">
        <v>56763.71</v>
      </c>
      <c r="F21" s="28">
        <v>504039.84700000001</v>
      </c>
      <c r="G21" s="28">
        <v>113913.818</v>
      </c>
      <c r="H21" s="28">
        <v>53440.646999999997</v>
      </c>
      <c r="I21" s="28">
        <v>767980.34499999997</v>
      </c>
      <c r="J21" s="28">
        <v>258544.03099999999</v>
      </c>
      <c r="K21" s="28">
        <v>0</v>
      </c>
      <c r="L21" s="28">
        <v>79863.763999999996</v>
      </c>
      <c r="M21" s="28">
        <v>72133.986999999994</v>
      </c>
      <c r="N21" s="28">
        <v>246397.66099999999</v>
      </c>
      <c r="O21" s="28">
        <v>270993.45799999998</v>
      </c>
      <c r="P21" s="28">
        <v>51445.72</v>
      </c>
      <c r="Q21" s="40">
        <v>2776923.7319999998</v>
      </c>
    </row>
    <row r="22" spans="2:17" x14ac:dyDescent="0.3">
      <c r="B22" s="37" t="s">
        <v>123</v>
      </c>
      <c r="C22" s="28">
        <v>0</v>
      </c>
      <c r="D22" s="28">
        <v>107425.24</v>
      </c>
      <c r="E22" s="28">
        <v>33057.991999999998</v>
      </c>
      <c r="F22" s="28">
        <v>262257.11900000001</v>
      </c>
      <c r="G22" s="28">
        <v>18406.752</v>
      </c>
      <c r="H22" s="28">
        <v>79217.703999999998</v>
      </c>
      <c r="I22" s="28">
        <v>281542.65399999998</v>
      </c>
      <c r="J22" s="28">
        <v>154963.93400000001</v>
      </c>
      <c r="K22" s="28">
        <v>25247.882000000001</v>
      </c>
      <c r="L22" s="28">
        <v>12110.053</v>
      </c>
      <c r="M22" s="28">
        <v>48357.87</v>
      </c>
      <c r="N22" s="28">
        <v>159849.93599999999</v>
      </c>
      <c r="O22" s="28">
        <v>0</v>
      </c>
      <c r="P22" s="28">
        <v>166599.10999999999</v>
      </c>
      <c r="Q22" s="40">
        <v>1349036.246</v>
      </c>
    </row>
    <row r="23" spans="2:17" x14ac:dyDescent="0.3">
      <c r="B23" s="37" t="s">
        <v>124</v>
      </c>
      <c r="C23" s="28">
        <v>0</v>
      </c>
      <c r="D23" s="28">
        <v>0</v>
      </c>
      <c r="E23" s="28">
        <v>0</v>
      </c>
      <c r="F23" s="28">
        <v>0</v>
      </c>
      <c r="G23" s="28">
        <v>0</v>
      </c>
      <c r="H23" s="28">
        <v>0</v>
      </c>
      <c r="I23" s="28">
        <v>0</v>
      </c>
      <c r="J23" s="28">
        <v>0</v>
      </c>
      <c r="K23" s="28">
        <v>0</v>
      </c>
      <c r="L23" s="28">
        <v>0</v>
      </c>
      <c r="M23" s="28">
        <v>0</v>
      </c>
      <c r="N23" s="28">
        <v>0</v>
      </c>
      <c r="O23" s="28">
        <v>4956327.1334643001</v>
      </c>
      <c r="P23" s="28">
        <v>0</v>
      </c>
      <c r="Q23" s="40">
        <v>4956327.1334643001</v>
      </c>
    </row>
    <row r="24" spans="2:17" x14ac:dyDescent="0.3">
      <c r="B24" s="37" t="s">
        <v>125</v>
      </c>
      <c r="C24" s="28">
        <v>0</v>
      </c>
      <c r="D24" s="28">
        <v>88913.3</v>
      </c>
      <c r="E24" s="28">
        <v>11729.334000000001</v>
      </c>
      <c r="F24" s="28">
        <v>333850.08299999998</v>
      </c>
      <c r="G24" s="28">
        <v>24053.069</v>
      </c>
      <c r="H24" s="28">
        <v>48810.016000000003</v>
      </c>
      <c r="I24" s="28">
        <v>149076.128</v>
      </c>
      <c r="J24" s="28">
        <v>137576.64000000001</v>
      </c>
      <c r="K24" s="28">
        <v>0</v>
      </c>
      <c r="L24" s="28">
        <v>5418.7920000000004</v>
      </c>
      <c r="M24" s="28">
        <v>89982.322</v>
      </c>
      <c r="N24" s="28">
        <v>90486.31</v>
      </c>
      <c r="O24" s="28">
        <v>43972.142999999996</v>
      </c>
      <c r="P24" s="28">
        <v>7020.67</v>
      </c>
      <c r="Q24" s="40">
        <v>1030888.807</v>
      </c>
    </row>
    <row r="25" spans="2:17" x14ac:dyDescent="0.3">
      <c r="B25" s="37" t="s">
        <v>126</v>
      </c>
      <c r="C25" s="28">
        <v>0</v>
      </c>
      <c r="D25" s="28">
        <v>21941.546999999999</v>
      </c>
      <c r="E25" s="28">
        <v>7665.8239999999996</v>
      </c>
      <c r="F25" s="28">
        <v>34592.495000000003</v>
      </c>
      <c r="G25" s="28">
        <v>14005.39</v>
      </c>
      <c r="H25" s="28">
        <v>317.78500000000003</v>
      </c>
      <c r="I25" s="28">
        <v>91955.153000000006</v>
      </c>
      <c r="J25" s="28">
        <v>42337.981</v>
      </c>
      <c r="K25" s="28">
        <v>2935.0509999999999</v>
      </c>
      <c r="L25" s="28">
        <v>1538.9490000000001</v>
      </c>
      <c r="M25" s="28">
        <v>44773.224000000002</v>
      </c>
      <c r="N25" s="28">
        <v>54995.661</v>
      </c>
      <c r="O25" s="28">
        <v>0</v>
      </c>
      <c r="P25" s="28">
        <v>133478.432</v>
      </c>
      <c r="Q25" s="40">
        <v>450537.49200000003</v>
      </c>
    </row>
    <row r="26" spans="2:17" x14ac:dyDescent="0.3">
      <c r="B26" s="37" t="s">
        <v>127</v>
      </c>
      <c r="C26" s="28">
        <v>0</v>
      </c>
      <c r="D26" s="28">
        <v>61461.118000000002</v>
      </c>
      <c r="E26" s="28">
        <v>10161.392</v>
      </c>
      <c r="F26" s="28">
        <v>177334.845</v>
      </c>
      <c r="G26" s="28">
        <v>113351.891</v>
      </c>
      <c r="H26" s="28">
        <v>12158.47</v>
      </c>
      <c r="I26" s="28">
        <v>220806.674</v>
      </c>
      <c r="J26" s="28">
        <v>1137233.43062</v>
      </c>
      <c r="K26" s="28">
        <v>0</v>
      </c>
      <c r="L26" s="28">
        <v>32981.553</v>
      </c>
      <c r="M26" s="28">
        <v>126362.988</v>
      </c>
      <c r="N26" s="28">
        <v>177931.38800000001</v>
      </c>
      <c r="O26" s="28">
        <v>1509588.76358</v>
      </c>
      <c r="P26" s="28">
        <v>108282.79738</v>
      </c>
      <c r="Q26" s="40">
        <v>3687655.3105799998</v>
      </c>
    </row>
    <row r="27" spans="2:17" x14ac:dyDescent="0.3">
      <c r="B27" s="37" t="s">
        <v>128</v>
      </c>
      <c r="C27" s="28">
        <v>327291.50199999998</v>
      </c>
      <c r="D27" s="28">
        <v>291419.03399999999</v>
      </c>
      <c r="E27" s="28">
        <v>73600.532999999996</v>
      </c>
      <c r="F27" s="28">
        <v>1169122.183</v>
      </c>
      <c r="G27" s="28">
        <v>108626.75900000001</v>
      </c>
      <c r="H27" s="28">
        <v>365636.72899999999</v>
      </c>
      <c r="I27" s="28">
        <v>328536.14</v>
      </c>
      <c r="J27" s="28">
        <v>331913.04399999999</v>
      </c>
      <c r="K27" s="28">
        <v>11461.366</v>
      </c>
      <c r="L27" s="28">
        <v>31419.977999999999</v>
      </c>
      <c r="M27" s="28">
        <v>155971.867</v>
      </c>
      <c r="N27" s="28">
        <v>367109.91600000003</v>
      </c>
      <c r="O27" s="28">
        <v>0</v>
      </c>
      <c r="P27" s="28">
        <v>378752.82900000003</v>
      </c>
      <c r="Q27" s="40">
        <v>3940861.88</v>
      </c>
    </row>
    <row r="28" spans="2:17" x14ac:dyDescent="0.3">
      <c r="B28" s="37" t="s">
        <v>129</v>
      </c>
      <c r="C28" s="28">
        <v>2702.9029999999998</v>
      </c>
      <c r="D28" s="28">
        <v>5831.2910000000002</v>
      </c>
      <c r="E28" s="28">
        <v>2099.1469999999999</v>
      </c>
      <c r="F28" s="28">
        <v>113726.24825999999</v>
      </c>
      <c r="G28" s="28">
        <v>21126.951000000001</v>
      </c>
      <c r="H28" s="28">
        <v>36466.406219999997</v>
      </c>
      <c r="I28" s="28">
        <v>87439.059659999984</v>
      </c>
      <c r="J28" s="28">
        <v>16061.17828</v>
      </c>
      <c r="K28" s="28">
        <v>0</v>
      </c>
      <c r="L28" s="28">
        <v>740.80399999999997</v>
      </c>
      <c r="M28" s="28">
        <v>2282.143</v>
      </c>
      <c r="N28" s="28">
        <v>12706.625</v>
      </c>
      <c r="O28" s="28">
        <v>344865.30674999999</v>
      </c>
      <c r="P28" s="28">
        <v>6984.9134100000001</v>
      </c>
      <c r="Q28" s="40">
        <v>653032.9765799999</v>
      </c>
    </row>
    <row r="29" spans="2:17" x14ac:dyDescent="0.3">
      <c r="B29" s="37" t="s">
        <v>130</v>
      </c>
      <c r="C29" s="28">
        <v>0</v>
      </c>
      <c r="D29" s="28">
        <v>6198.9088300000003</v>
      </c>
      <c r="E29" s="28">
        <v>31768.56088999999</v>
      </c>
      <c r="F29" s="28">
        <v>241300.3971899999</v>
      </c>
      <c r="G29" s="28">
        <v>301126.64921000012</v>
      </c>
      <c r="H29" s="28">
        <v>18183.493109999999</v>
      </c>
      <c r="I29" s="28">
        <v>334887.24819000001</v>
      </c>
      <c r="J29" s="28">
        <v>97350.269620000006</v>
      </c>
      <c r="K29" s="28">
        <v>0</v>
      </c>
      <c r="L29" s="28">
        <v>54200.370119999418</v>
      </c>
      <c r="M29" s="28">
        <v>12327.19959</v>
      </c>
      <c r="N29" s="28">
        <v>68162.179999999993</v>
      </c>
      <c r="O29" s="28">
        <v>0</v>
      </c>
      <c r="P29" s="28">
        <v>71.039000000000001</v>
      </c>
      <c r="Q29" s="40">
        <v>1165576.3157499989</v>
      </c>
    </row>
    <row r="30" spans="2:17" x14ac:dyDescent="0.3">
      <c r="B30" s="37" t="s">
        <v>131</v>
      </c>
      <c r="C30" s="28">
        <v>12448.842000000001</v>
      </c>
      <c r="D30" s="28">
        <v>37795.303</v>
      </c>
      <c r="E30" s="28">
        <v>10069.333000000001</v>
      </c>
      <c r="F30" s="28">
        <v>99424.793000000005</v>
      </c>
      <c r="G30" s="28">
        <v>2884.8270000000002</v>
      </c>
      <c r="H30" s="28">
        <v>23693.772000000001</v>
      </c>
      <c r="I30" s="28">
        <v>92846.346999999994</v>
      </c>
      <c r="J30" s="28">
        <v>148834.57800000001</v>
      </c>
      <c r="K30" s="28">
        <v>0</v>
      </c>
      <c r="L30" s="28">
        <v>9235.4629999999997</v>
      </c>
      <c r="M30" s="28">
        <v>25787.79</v>
      </c>
      <c r="N30" s="28">
        <v>55007.79</v>
      </c>
      <c r="O30" s="28">
        <v>0</v>
      </c>
      <c r="P30" s="28">
        <v>22859.291000000001</v>
      </c>
      <c r="Q30" s="40">
        <v>540888.12899999996</v>
      </c>
    </row>
    <row r="31" spans="2:17" x14ac:dyDescent="0.3">
      <c r="B31" s="37" t="s">
        <v>132</v>
      </c>
      <c r="C31" s="28">
        <v>82</v>
      </c>
      <c r="D31" s="28">
        <v>331477.26334999979</v>
      </c>
      <c r="E31" s="28">
        <v>78269.351710000032</v>
      </c>
      <c r="F31" s="28">
        <v>475369.91091999988</v>
      </c>
      <c r="G31" s="28">
        <v>141987.26878000001</v>
      </c>
      <c r="H31" s="28">
        <v>45351.560309999993</v>
      </c>
      <c r="I31" s="28">
        <v>540564.73074999999</v>
      </c>
      <c r="J31" s="28">
        <v>512678.61364999978</v>
      </c>
      <c r="K31" s="28">
        <v>0</v>
      </c>
      <c r="L31" s="28">
        <v>35894.161839998997</v>
      </c>
      <c r="M31" s="28">
        <v>207368.4169499999</v>
      </c>
      <c r="N31" s="28">
        <v>136295.41282999999</v>
      </c>
      <c r="O31" s="28">
        <v>4715396.3833199963</v>
      </c>
      <c r="P31" s="28">
        <v>80257.928840000008</v>
      </c>
      <c r="Q31" s="40">
        <v>7300993.0032499935</v>
      </c>
    </row>
    <row r="32" spans="2:17" x14ac:dyDescent="0.3">
      <c r="B32" s="37" t="s">
        <v>133</v>
      </c>
      <c r="C32" s="28">
        <v>0</v>
      </c>
      <c r="D32" s="28">
        <v>6292.2910000000002</v>
      </c>
      <c r="E32" s="28">
        <v>6058.5140000000001</v>
      </c>
      <c r="F32" s="28">
        <v>81297.017999999996</v>
      </c>
      <c r="G32" s="28">
        <v>4423.5879999999997</v>
      </c>
      <c r="H32" s="28">
        <v>1869.9359999999999</v>
      </c>
      <c r="I32" s="28">
        <v>219550.09700000001</v>
      </c>
      <c r="J32" s="28">
        <v>286244.62099999998</v>
      </c>
      <c r="K32" s="28">
        <v>23811.304</v>
      </c>
      <c r="L32" s="28">
        <v>15794.789000000001</v>
      </c>
      <c r="M32" s="28">
        <v>16370.567999999999</v>
      </c>
      <c r="N32" s="28">
        <v>72754.563999999998</v>
      </c>
      <c r="O32" s="28">
        <v>654597.42024000012</v>
      </c>
      <c r="P32" s="28">
        <v>1156.7149999999999</v>
      </c>
      <c r="Q32" s="40">
        <v>1390221.42524</v>
      </c>
    </row>
    <row r="33" spans="2:17" x14ac:dyDescent="0.3">
      <c r="B33" s="37" t="s">
        <v>134</v>
      </c>
      <c r="C33" s="28">
        <v>5863.487349</v>
      </c>
      <c r="D33" s="28">
        <v>33510.517</v>
      </c>
      <c r="E33" s="28">
        <v>7535.5249999999996</v>
      </c>
      <c r="F33" s="28">
        <v>76535.428664000006</v>
      </c>
      <c r="G33" s="28">
        <v>38242.284909999988</v>
      </c>
      <c r="H33" s="28">
        <v>26526.047500000001</v>
      </c>
      <c r="I33" s="28">
        <v>446635.35594600003</v>
      </c>
      <c r="J33" s="28">
        <v>279760.24034199998</v>
      </c>
      <c r="K33" s="28">
        <v>0</v>
      </c>
      <c r="L33" s="28">
        <v>11236.368</v>
      </c>
      <c r="M33" s="28">
        <v>13307.625</v>
      </c>
      <c r="N33" s="28">
        <v>41630.044000000002</v>
      </c>
      <c r="O33" s="28">
        <v>0</v>
      </c>
      <c r="P33" s="28">
        <v>21875.421999999999</v>
      </c>
      <c r="Q33" s="40">
        <v>1002658.345711</v>
      </c>
    </row>
    <row r="34" spans="2:17" x14ac:dyDescent="0.3">
      <c r="B34" s="37" t="s">
        <v>135</v>
      </c>
      <c r="C34" s="28">
        <v>0</v>
      </c>
      <c r="D34" s="28">
        <v>78304.532000000007</v>
      </c>
      <c r="E34" s="28">
        <v>25829.741000000002</v>
      </c>
      <c r="F34" s="28">
        <v>926343.05500000005</v>
      </c>
      <c r="G34" s="28">
        <v>69008.324999999997</v>
      </c>
      <c r="H34" s="28">
        <v>62760.286999999997</v>
      </c>
      <c r="I34" s="28">
        <v>711940.31099999999</v>
      </c>
      <c r="J34" s="28">
        <v>459933.80099999998</v>
      </c>
      <c r="K34" s="28">
        <v>0</v>
      </c>
      <c r="L34" s="28">
        <v>4619.9309999999996</v>
      </c>
      <c r="M34" s="28">
        <v>191387.60200000001</v>
      </c>
      <c r="N34" s="28">
        <v>10480.141</v>
      </c>
      <c r="O34" s="28">
        <v>0</v>
      </c>
      <c r="P34" s="28">
        <v>0</v>
      </c>
      <c r="Q34" s="40">
        <v>2540607.7259999998</v>
      </c>
    </row>
    <row r="35" spans="2:17" x14ac:dyDescent="0.3">
      <c r="B35" s="37" t="s">
        <v>136</v>
      </c>
      <c r="C35" s="28">
        <v>42.9</v>
      </c>
      <c r="D35" s="28">
        <v>13609.608</v>
      </c>
      <c r="E35" s="28">
        <v>0</v>
      </c>
      <c r="F35" s="28">
        <v>5606.4279999999999</v>
      </c>
      <c r="G35" s="28">
        <v>312.8</v>
      </c>
      <c r="H35" s="28">
        <v>331.37099999999998</v>
      </c>
      <c r="I35" s="28">
        <v>15313.665999999999</v>
      </c>
      <c r="J35" s="28">
        <v>15297.681</v>
      </c>
      <c r="K35" s="28">
        <v>0</v>
      </c>
      <c r="L35" s="28">
        <v>337.625</v>
      </c>
      <c r="M35" s="28">
        <v>343.57499999999999</v>
      </c>
      <c r="N35" s="28">
        <v>6656.5479999999998</v>
      </c>
      <c r="O35" s="28">
        <v>841982.81</v>
      </c>
      <c r="P35" s="28">
        <v>7495.6719999999996</v>
      </c>
      <c r="Q35" s="40">
        <v>907330.68400000001</v>
      </c>
    </row>
    <row r="36" spans="2:17" x14ac:dyDescent="0.3">
      <c r="B36" s="37" t="s">
        <v>137</v>
      </c>
      <c r="C36" s="28">
        <v>0</v>
      </c>
      <c r="D36" s="28">
        <v>16022.352000000001</v>
      </c>
      <c r="E36" s="28">
        <v>1389.606</v>
      </c>
      <c r="F36" s="28">
        <v>19454.535</v>
      </c>
      <c r="G36" s="28">
        <v>24190.991999999998</v>
      </c>
      <c r="H36" s="28">
        <v>7082.8909999999996</v>
      </c>
      <c r="I36" s="28">
        <v>75494.305999999997</v>
      </c>
      <c r="J36" s="28">
        <v>242793.43040000001</v>
      </c>
      <c r="K36" s="28">
        <v>0</v>
      </c>
      <c r="L36" s="28">
        <v>1224.029</v>
      </c>
      <c r="M36" s="28">
        <v>14026.341</v>
      </c>
      <c r="N36" s="28">
        <v>23599.472000000002</v>
      </c>
      <c r="O36" s="28">
        <v>10870.101000000001</v>
      </c>
      <c r="P36" s="28">
        <v>14036.28</v>
      </c>
      <c r="Q36" s="40">
        <v>450184.33539999998</v>
      </c>
    </row>
    <row r="37" spans="2:17" x14ac:dyDescent="0.3">
      <c r="B37" s="37" t="s">
        <v>138</v>
      </c>
      <c r="C37" s="28">
        <v>0</v>
      </c>
      <c r="D37" s="28">
        <v>106251.961</v>
      </c>
      <c r="E37" s="28">
        <v>46246.557999999997</v>
      </c>
      <c r="F37" s="28">
        <v>517654.31699999998</v>
      </c>
      <c r="G37" s="28">
        <v>39912.794000000002</v>
      </c>
      <c r="H37" s="28">
        <v>69354.217000000004</v>
      </c>
      <c r="I37" s="28">
        <v>135456.82</v>
      </c>
      <c r="J37" s="28">
        <v>124510.307</v>
      </c>
      <c r="K37" s="28">
        <v>0</v>
      </c>
      <c r="L37" s="28">
        <v>5190.59</v>
      </c>
      <c r="M37" s="28">
        <v>83987.452000000005</v>
      </c>
      <c r="N37" s="28">
        <v>191823.36199999999</v>
      </c>
      <c r="O37" s="28">
        <v>2383.4430000000002</v>
      </c>
      <c r="P37" s="28">
        <v>7675.5940000000001</v>
      </c>
      <c r="Q37" s="40">
        <v>1330447.415</v>
      </c>
    </row>
    <row r="38" spans="2:17" x14ac:dyDescent="0.3">
      <c r="B38" s="37" t="s">
        <v>139</v>
      </c>
      <c r="C38" s="28">
        <v>19560.328000000001</v>
      </c>
      <c r="D38" s="28">
        <v>32858.572999999997</v>
      </c>
      <c r="E38" s="28">
        <v>60219.59</v>
      </c>
      <c r="F38" s="28">
        <v>277468.74599999998</v>
      </c>
      <c r="G38" s="28">
        <v>83839.057000000001</v>
      </c>
      <c r="H38" s="28">
        <v>28426.635999999999</v>
      </c>
      <c r="I38" s="28">
        <v>367194.30599999998</v>
      </c>
      <c r="J38" s="28">
        <v>205898.80799999999</v>
      </c>
      <c r="K38" s="28">
        <v>0</v>
      </c>
      <c r="L38" s="28">
        <v>81107.642000000007</v>
      </c>
      <c r="M38" s="28">
        <v>53546.529000000002</v>
      </c>
      <c r="N38" s="28">
        <v>189306.092</v>
      </c>
      <c r="O38" s="28">
        <v>1824193.784</v>
      </c>
      <c r="P38" s="28">
        <v>185945.19699999999</v>
      </c>
      <c r="Q38" s="40">
        <v>3409565.2880000002</v>
      </c>
    </row>
    <row r="39" spans="2:17" x14ac:dyDescent="0.3">
      <c r="B39" s="37" t="s">
        <v>140</v>
      </c>
      <c r="C39" s="28">
        <v>0</v>
      </c>
      <c r="D39" s="28">
        <v>0</v>
      </c>
      <c r="E39" s="28">
        <v>0</v>
      </c>
      <c r="F39" s="28">
        <v>0</v>
      </c>
      <c r="G39" s="28">
        <v>0</v>
      </c>
      <c r="H39" s="28">
        <v>0</v>
      </c>
      <c r="I39" s="28">
        <v>0</v>
      </c>
      <c r="J39" s="28">
        <v>0</v>
      </c>
      <c r="K39" s="28">
        <v>0</v>
      </c>
      <c r="L39" s="28">
        <v>0</v>
      </c>
      <c r="M39" s="28">
        <v>0</v>
      </c>
      <c r="N39" s="28">
        <v>0</v>
      </c>
      <c r="O39" s="28">
        <v>0</v>
      </c>
      <c r="P39" s="28">
        <v>0</v>
      </c>
      <c r="Q39" s="40">
        <v>0</v>
      </c>
    </row>
    <row r="40" spans="2:17" x14ac:dyDescent="0.3">
      <c r="B40" s="37" t="s">
        <v>141</v>
      </c>
      <c r="C40" s="28">
        <v>0</v>
      </c>
      <c r="D40" s="28">
        <v>0</v>
      </c>
      <c r="E40" s="28">
        <v>0</v>
      </c>
      <c r="F40" s="28">
        <v>0</v>
      </c>
      <c r="G40" s="28">
        <v>0</v>
      </c>
      <c r="H40" s="28">
        <v>0</v>
      </c>
      <c r="I40" s="28">
        <v>0</v>
      </c>
      <c r="J40" s="28">
        <v>0</v>
      </c>
      <c r="K40" s="28">
        <v>0</v>
      </c>
      <c r="L40" s="28">
        <v>0</v>
      </c>
      <c r="M40" s="28">
        <v>0</v>
      </c>
      <c r="N40" s="28">
        <v>0</v>
      </c>
      <c r="O40" s="28">
        <v>0</v>
      </c>
      <c r="P40" s="28">
        <v>0</v>
      </c>
      <c r="Q40" s="40">
        <v>0</v>
      </c>
    </row>
    <row r="41" spans="2:17" x14ac:dyDescent="0.3">
      <c r="B41" s="38" t="s">
        <v>7</v>
      </c>
      <c r="C41" s="39">
        <f t="shared" ref="C41:Q41" si="0">SUM(C6:C40)</f>
        <v>1072126.3554889997</v>
      </c>
      <c r="D41" s="39">
        <f t="shared" si="0"/>
        <v>2381187.5032300004</v>
      </c>
      <c r="E41" s="39">
        <f t="shared" si="0"/>
        <v>768668.25046000001</v>
      </c>
      <c r="F41" s="39">
        <f t="shared" si="0"/>
        <v>9578455.0458239987</v>
      </c>
      <c r="G41" s="39">
        <f t="shared" si="0"/>
        <v>2081082.6133900005</v>
      </c>
      <c r="H41" s="39">
        <f t="shared" si="0"/>
        <v>1547682.338</v>
      </c>
      <c r="I41" s="39">
        <f t="shared" si="0"/>
        <v>9549674.3596160002</v>
      </c>
      <c r="J41" s="39">
        <f t="shared" si="0"/>
        <v>8457196.3620119989</v>
      </c>
      <c r="K41" s="39">
        <f t="shared" si="0"/>
        <v>982404.60124999937</v>
      </c>
      <c r="L41" s="39">
        <f t="shared" si="0"/>
        <v>848317.35822722584</v>
      </c>
      <c r="M41" s="39">
        <f t="shared" si="0"/>
        <v>2860338.7692200001</v>
      </c>
      <c r="N41" s="39">
        <f t="shared" si="0"/>
        <v>3767918.2003300004</v>
      </c>
      <c r="O41" s="39">
        <f t="shared" si="0"/>
        <v>35202970.162016541</v>
      </c>
      <c r="P41" s="39">
        <f t="shared" si="0"/>
        <v>1774179.6278700002</v>
      </c>
      <c r="Q41" s="39">
        <f t="shared" si="0"/>
        <v>80872201.546934754</v>
      </c>
    </row>
    <row r="42" spans="2:17" ht="14.5" customHeight="1" x14ac:dyDescent="0.35">
      <c r="B42" s="359" t="s">
        <v>143</v>
      </c>
      <c r="C42" s="301"/>
      <c r="D42" s="301"/>
      <c r="E42" s="301"/>
      <c r="F42" s="301"/>
      <c r="G42" s="301"/>
      <c r="H42" s="301"/>
      <c r="I42" s="301"/>
      <c r="J42" s="301"/>
      <c r="K42" s="301"/>
      <c r="L42" s="301"/>
      <c r="M42" s="301"/>
      <c r="N42" s="301"/>
      <c r="O42" s="301"/>
      <c r="P42" s="301"/>
      <c r="Q42" s="302"/>
    </row>
    <row r="43" spans="2:17" x14ac:dyDescent="0.3">
      <c r="B43" s="37" t="s">
        <v>143</v>
      </c>
      <c r="C43" s="28">
        <v>0</v>
      </c>
      <c r="D43" s="28">
        <v>0</v>
      </c>
      <c r="E43" s="28">
        <v>0</v>
      </c>
      <c r="F43" s="28">
        <v>0</v>
      </c>
      <c r="G43" s="28">
        <v>0</v>
      </c>
      <c r="H43" s="28">
        <v>0</v>
      </c>
      <c r="I43" s="28">
        <v>0</v>
      </c>
      <c r="J43" s="28">
        <v>0</v>
      </c>
      <c r="K43" s="28">
        <v>0</v>
      </c>
      <c r="L43" s="28">
        <v>0</v>
      </c>
      <c r="M43" s="28">
        <v>0</v>
      </c>
      <c r="N43" s="28">
        <v>0</v>
      </c>
      <c r="O43" s="28">
        <v>0</v>
      </c>
      <c r="P43" s="28">
        <v>0</v>
      </c>
      <c r="Q43" s="40">
        <v>0</v>
      </c>
    </row>
    <row r="44" spans="2:17" x14ac:dyDescent="0.3">
      <c r="B44" s="37" t="s">
        <v>144</v>
      </c>
      <c r="C44" s="28">
        <v>0</v>
      </c>
      <c r="D44" s="28">
        <v>0</v>
      </c>
      <c r="E44" s="28">
        <v>0</v>
      </c>
      <c r="F44" s="28">
        <v>0</v>
      </c>
      <c r="G44" s="28">
        <v>0</v>
      </c>
      <c r="H44" s="28">
        <v>0</v>
      </c>
      <c r="I44" s="28">
        <v>0</v>
      </c>
      <c r="J44" s="28">
        <v>0</v>
      </c>
      <c r="K44" s="28">
        <v>0</v>
      </c>
      <c r="L44" s="28">
        <v>0</v>
      </c>
      <c r="M44" s="28">
        <v>0</v>
      </c>
      <c r="N44" s="28">
        <v>0</v>
      </c>
      <c r="O44" s="28">
        <v>0</v>
      </c>
      <c r="P44" s="28">
        <v>0</v>
      </c>
      <c r="Q44" s="28">
        <v>0</v>
      </c>
    </row>
    <row r="45" spans="2:17" x14ac:dyDescent="0.3">
      <c r="B45" s="37" t="s">
        <v>145</v>
      </c>
      <c r="C45" s="28">
        <v>0</v>
      </c>
      <c r="D45" s="28">
        <v>0</v>
      </c>
      <c r="E45" s="28">
        <v>0</v>
      </c>
      <c r="F45" s="28">
        <v>0</v>
      </c>
      <c r="G45" s="28">
        <v>0</v>
      </c>
      <c r="H45" s="28">
        <v>0</v>
      </c>
      <c r="I45" s="28">
        <v>0</v>
      </c>
      <c r="J45" s="28">
        <v>0</v>
      </c>
      <c r="K45" s="28">
        <v>0</v>
      </c>
      <c r="L45" s="28">
        <v>0</v>
      </c>
      <c r="M45" s="28">
        <v>0</v>
      </c>
      <c r="N45" s="28">
        <v>0</v>
      </c>
      <c r="O45" s="28">
        <v>0</v>
      </c>
      <c r="P45" s="28">
        <v>0</v>
      </c>
      <c r="Q45" s="28">
        <v>0</v>
      </c>
    </row>
    <row r="46" spans="2:17" x14ac:dyDescent="0.3">
      <c r="B46" s="4" t="s">
        <v>146</v>
      </c>
      <c r="C46" s="28">
        <v>37117.938600000001</v>
      </c>
      <c r="D46" s="28">
        <v>429012.00251000002</v>
      </c>
      <c r="E46" s="28">
        <v>13385.788930000001</v>
      </c>
      <c r="F46" s="28">
        <v>893574.22651999979</v>
      </c>
      <c r="G46" s="28">
        <v>33883.287499999999</v>
      </c>
      <c r="H46" s="28">
        <v>166192.39287000001</v>
      </c>
      <c r="I46" s="28">
        <v>3802.0976300000002</v>
      </c>
      <c r="J46" s="28">
        <v>208668.00122999999</v>
      </c>
      <c r="K46" s="28">
        <v>0</v>
      </c>
      <c r="L46" s="28">
        <v>155819.05119999999</v>
      </c>
      <c r="M46" s="28">
        <v>12906.042450000001</v>
      </c>
      <c r="N46" s="28">
        <v>23664.948039999999</v>
      </c>
      <c r="O46" s="28">
        <v>378275.92745999998</v>
      </c>
      <c r="P46" s="28">
        <v>501974.66857999988</v>
      </c>
      <c r="Q46" s="28">
        <v>2858276.373519999</v>
      </c>
    </row>
    <row r="47" spans="2:17" x14ac:dyDescent="0.3">
      <c r="B47" s="37" t="s">
        <v>147</v>
      </c>
      <c r="C47" s="28">
        <v>0</v>
      </c>
      <c r="D47" s="28">
        <v>0</v>
      </c>
      <c r="E47" s="28">
        <v>0</v>
      </c>
      <c r="F47" s="28">
        <v>0</v>
      </c>
      <c r="G47" s="28">
        <v>0</v>
      </c>
      <c r="H47" s="28">
        <v>0</v>
      </c>
      <c r="I47" s="28">
        <v>0</v>
      </c>
      <c r="J47" s="28">
        <v>0</v>
      </c>
      <c r="K47" s="28">
        <v>0</v>
      </c>
      <c r="L47" s="28">
        <v>0</v>
      </c>
      <c r="M47" s="28">
        <v>0</v>
      </c>
      <c r="N47" s="28">
        <v>0</v>
      </c>
      <c r="O47" s="28">
        <v>0</v>
      </c>
      <c r="P47" s="28">
        <v>0</v>
      </c>
      <c r="Q47" s="40">
        <v>0</v>
      </c>
    </row>
    <row r="48" spans="2:17" x14ac:dyDescent="0.3">
      <c r="B48" s="38" t="s">
        <v>7</v>
      </c>
      <c r="C48" s="39">
        <f t="shared" ref="C48:Q48" si="1">SUM(C43:C47)</f>
        <v>37117.938600000001</v>
      </c>
      <c r="D48" s="39">
        <f t="shared" si="1"/>
        <v>429012.00251000002</v>
      </c>
      <c r="E48" s="39">
        <f t="shared" si="1"/>
        <v>13385.788930000001</v>
      </c>
      <c r="F48" s="39">
        <f t="shared" si="1"/>
        <v>893574.22651999979</v>
      </c>
      <c r="G48" s="39">
        <f t="shared" si="1"/>
        <v>33883.287499999999</v>
      </c>
      <c r="H48" s="39">
        <f t="shared" si="1"/>
        <v>166192.39287000001</v>
      </c>
      <c r="I48" s="39">
        <f t="shared" si="1"/>
        <v>3802.0976300000002</v>
      </c>
      <c r="J48" s="39">
        <f t="shared" si="1"/>
        <v>208668.00122999999</v>
      </c>
      <c r="K48" s="39">
        <f t="shared" si="1"/>
        <v>0</v>
      </c>
      <c r="L48" s="39">
        <f t="shared" si="1"/>
        <v>155819.05119999999</v>
      </c>
      <c r="M48" s="39">
        <f t="shared" si="1"/>
        <v>12906.042450000001</v>
      </c>
      <c r="N48" s="39">
        <f t="shared" si="1"/>
        <v>23664.948039999999</v>
      </c>
      <c r="O48" s="39">
        <f t="shared" si="1"/>
        <v>378275.92745999998</v>
      </c>
      <c r="P48" s="39">
        <f t="shared" si="1"/>
        <v>501974.66857999988</v>
      </c>
      <c r="Q48" s="39">
        <f t="shared" si="1"/>
        <v>2858276.373519999</v>
      </c>
    </row>
    <row r="49" spans="2:17" x14ac:dyDescent="0.3">
      <c r="B49" s="360" t="s">
        <v>149</v>
      </c>
      <c r="C49" s="308"/>
      <c r="D49" s="308"/>
      <c r="E49" s="308"/>
      <c r="F49" s="308"/>
      <c r="G49" s="308"/>
      <c r="H49" s="308"/>
      <c r="I49" s="308"/>
      <c r="J49" s="308"/>
      <c r="K49" s="308"/>
      <c r="L49" s="308"/>
      <c r="M49" s="308"/>
      <c r="N49" s="308"/>
      <c r="O49" s="308"/>
      <c r="P49" s="308"/>
      <c r="Q49" s="308"/>
    </row>
  </sheetData>
  <sheetProtection algorithmName="SHA-512" hashValue="DDlkZPVUF9up1VsCLm+lTLqrH0oWD5YeFhCUqVHVf7PiyGm76mwj2+RwEuoRuZhAOV/ke4UC8piBIarACs9QjA==" saltValue="I9kdNN3bkmf5YrtzVVsJMw==" spinCount="100000" sheet="1" objects="1" scenarios="1"/>
  <mergeCells count="4">
    <mergeCell ref="B42:Q42"/>
    <mergeCell ref="B49:Q49"/>
    <mergeCell ref="B3:Q3"/>
    <mergeCell ref="B5:Q5"/>
  </mergeCell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6">
    <tabColor rgb="FF92D050"/>
  </sheetPr>
  <dimension ref="A3:Q49"/>
  <sheetViews>
    <sheetView showGridLines="0" topLeftCell="H3" zoomScale="73" workbookViewId="0">
      <selection activeCell="B42" sqref="B6:Q42"/>
    </sheetView>
  </sheetViews>
  <sheetFormatPr defaultColWidth="9.453125" defaultRowHeight="14" x14ac:dyDescent="0.3"/>
  <cols>
    <col min="1" max="1" width="12.453125" style="2" customWidth="1"/>
    <col min="2" max="2" width="51.453125" style="2" customWidth="1"/>
    <col min="3" max="17" width="21.54296875" style="2" customWidth="1"/>
    <col min="18" max="19" width="6.453125" style="2" bestFit="1" customWidth="1"/>
    <col min="20" max="20" width="14.54296875" style="2" bestFit="1" customWidth="1"/>
    <col min="21" max="119" width="9.453125" style="2" customWidth="1"/>
    <col min="120" max="16384" width="9.453125" style="2"/>
  </cols>
  <sheetData>
    <row r="3" spans="2:17" ht="14.5" customHeight="1" x14ac:dyDescent="0.35">
      <c r="B3" s="361" t="str">
        <f>_xlfn.CONCAT("INWARD: SUMMARY OF NET PREMIUM INCOME UNDER GENERAL INSURANCE BUSINESS FOR THE PERIOD ENDED"," ",Details!F18)</f>
        <v>INWARD: SUMMARY OF NET PREMIUM INCOME UNDER GENERAL INSURANCE BUSINESS FOR THE PERIOD ENDED 31.03.2026</v>
      </c>
      <c r="C3" s="301"/>
      <c r="D3" s="301"/>
      <c r="E3" s="301"/>
      <c r="F3" s="301"/>
      <c r="G3" s="301"/>
      <c r="H3" s="301"/>
      <c r="I3" s="301"/>
      <c r="J3" s="301"/>
      <c r="K3" s="301"/>
      <c r="L3" s="301"/>
      <c r="M3" s="301"/>
      <c r="N3" s="301"/>
      <c r="O3" s="301"/>
      <c r="P3" s="301"/>
      <c r="Q3" s="302"/>
    </row>
    <row r="4" spans="2:17" ht="28" customHeight="1" x14ac:dyDescent="0.3">
      <c r="B4" s="26" t="s">
        <v>87</v>
      </c>
      <c r="C4" s="27" t="s">
        <v>216</v>
      </c>
      <c r="D4" s="27" t="s">
        <v>217</v>
      </c>
      <c r="E4" s="27" t="s">
        <v>218</v>
      </c>
      <c r="F4" s="27" t="s">
        <v>219</v>
      </c>
      <c r="G4" s="27" t="s">
        <v>220</v>
      </c>
      <c r="H4" s="27" t="s">
        <v>221</v>
      </c>
      <c r="I4" s="27" t="s">
        <v>222</v>
      </c>
      <c r="J4" s="27" t="s">
        <v>223</v>
      </c>
      <c r="K4" s="27" t="s">
        <v>224</v>
      </c>
      <c r="L4" s="27" t="s">
        <v>225</v>
      </c>
      <c r="M4" s="27" t="s">
        <v>226</v>
      </c>
      <c r="N4" s="27" t="s">
        <v>227</v>
      </c>
      <c r="O4" s="27" t="s">
        <v>228</v>
      </c>
      <c r="P4" s="27" t="s">
        <v>229</v>
      </c>
      <c r="Q4" s="27" t="s">
        <v>230</v>
      </c>
    </row>
    <row r="5" spans="2:17" ht="14.5" customHeight="1" x14ac:dyDescent="0.35">
      <c r="B5" s="362" t="s">
        <v>106</v>
      </c>
      <c r="C5" s="301"/>
      <c r="D5" s="301"/>
      <c r="E5" s="301"/>
      <c r="F5" s="301"/>
      <c r="G5" s="301"/>
      <c r="H5" s="301"/>
      <c r="I5" s="301"/>
      <c r="J5" s="301"/>
      <c r="K5" s="301"/>
      <c r="L5" s="301"/>
      <c r="M5" s="301"/>
      <c r="N5" s="301"/>
      <c r="O5" s="301"/>
      <c r="P5" s="301"/>
      <c r="Q5" s="302"/>
    </row>
    <row r="6" spans="2:17" x14ac:dyDescent="0.3">
      <c r="B6" s="37" t="s">
        <v>107</v>
      </c>
      <c r="C6" s="28">
        <v>0</v>
      </c>
      <c r="D6" s="28">
        <v>0</v>
      </c>
      <c r="E6" s="28">
        <v>0</v>
      </c>
      <c r="F6" s="28">
        <v>0</v>
      </c>
      <c r="G6" s="28">
        <v>0</v>
      </c>
      <c r="H6" s="28">
        <v>0</v>
      </c>
      <c r="I6" s="28">
        <v>0</v>
      </c>
      <c r="J6" s="28">
        <v>0</v>
      </c>
      <c r="K6" s="28">
        <v>0</v>
      </c>
      <c r="L6" s="28">
        <v>0</v>
      </c>
      <c r="M6" s="28">
        <v>0</v>
      </c>
      <c r="N6" s="28">
        <v>0</v>
      </c>
      <c r="O6" s="28">
        <v>0</v>
      </c>
      <c r="P6" s="28">
        <v>0</v>
      </c>
      <c r="Q6" s="40">
        <v>0</v>
      </c>
    </row>
    <row r="7" spans="2:17" x14ac:dyDescent="0.3">
      <c r="B7" s="37" t="s">
        <v>108</v>
      </c>
      <c r="C7" s="28">
        <v>0</v>
      </c>
      <c r="D7" s="28">
        <v>0</v>
      </c>
      <c r="E7" s="28">
        <v>0</v>
      </c>
      <c r="F7" s="28">
        <v>0</v>
      </c>
      <c r="G7" s="28">
        <v>0</v>
      </c>
      <c r="H7" s="28">
        <v>0</v>
      </c>
      <c r="I7" s="28">
        <v>0</v>
      </c>
      <c r="J7" s="28">
        <v>0</v>
      </c>
      <c r="K7" s="28">
        <v>0</v>
      </c>
      <c r="L7" s="28">
        <v>0</v>
      </c>
      <c r="M7" s="28">
        <v>0</v>
      </c>
      <c r="N7" s="28">
        <v>0</v>
      </c>
      <c r="O7" s="28">
        <v>0</v>
      </c>
      <c r="P7" s="28">
        <v>0</v>
      </c>
      <c r="Q7" s="40">
        <v>0</v>
      </c>
    </row>
    <row r="8" spans="2:17" x14ac:dyDescent="0.3">
      <c r="B8" s="37" t="s">
        <v>109</v>
      </c>
      <c r="C8" s="28">
        <v>0</v>
      </c>
      <c r="D8" s="28">
        <v>316.43599999999998</v>
      </c>
      <c r="E8" s="28">
        <v>0</v>
      </c>
      <c r="F8" s="28">
        <v>10992.954</v>
      </c>
      <c r="G8" s="28">
        <v>0</v>
      </c>
      <c r="H8" s="28">
        <v>132.82</v>
      </c>
      <c r="I8" s="28">
        <v>0</v>
      </c>
      <c r="J8" s="28">
        <v>0</v>
      </c>
      <c r="K8" s="28">
        <v>0</v>
      </c>
      <c r="L8" s="28">
        <v>40047.623</v>
      </c>
      <c r="M8" s="28">
        <v>0</v>
      </c>
      <c r="N8" s="28">
        <v>26476.563999999998</v>
      </c>
      <c r="O8" s="28">
        <v>0</v>
      </c>
      <c r="P8" s="28">
        <v>0</v>
      </c>
      <c r="Q8" s="40">
        <v>77966.396999999997</v>
      </c>
    </row>
    <row r="9" spans="2:17" x14ac:dyDescent="0.3">
      <c r="B9" s="37" t="s">
        <v>110</v>
      </c>
      <c r="C9" s="28">
        <v>0</v>
      </c>
      <c r="D9" s="28">
        <v>6201.8410800000001</v>
      </c>
      <c r="E9" s="28">
        <v>0</v>
      </c>
      <c r="F9" s="28">
        <v>33199.542399999998</v>
      </c>
      <c r="G9" s="28">
        <v>170.60400000000001</v>
      </c>
      <c r="H9" s="28">
        <v>25172.78961</v>
      </c>
      <c r="I9" s="28">
        <v>0</v>
      </c>
      <c r="J9" s="28">
        <v>0</v>
      </c>
      <c r="K9" s="28">
        <v>0</v>
      </c>
      <c r="L9" s="28">
        <v>5457.2737699999998</v>
      </c>
      <c r="M9" s="28">
        <v>6809.9422699999996</v>
      </c>
      <c r="N9" s="28">
        <v>1141.8254999999999</v>
      </c>
      <c r="O9" s="28">
        <v>0</v>
      </c>
      <c r="P9" s="28">
        <v>0</v>
      </c>
      <c r="Q9" s="40">
        <v>78153.818629999994</v>
      </c>
    </row>
    <row r="10" spans="2:17" x14ac:dyDescent="0.3">
      <c r="B10" s="37" t="s">
        <v>111</v>
      </c>
      <c r="C10" s="28">
        <v>0</v>
      </c>
      <c r="D10" s="28">
        <v>0</v>
      </c>
      <c r="E10" s="28">
        <v>0</v>
      </c>
      <c r="F10" s="28">
        <v>0</v>
      </c>
      <c r="G10" s="28">
        <v>0</v>
      </c>
      <c r="H10" s="28">
        <v>0</v>
      </c>
      <c r="I10" s="28">
        <v>0</v>
      </c>
      <c r="J10" s="28">
        <v>0</v>
      </c>
      <c r="K10" s="28">
        <v>0</v>
      </c>
      <c r="L10" s="28">
        <v>0</v>
      </c>
      <c r="M10" s="28">
        <v>0</v>
      </c>
      <c r="N10" s="28">
        <v>0</v>
      </c>
      <c r="O10" s="28">
        <v>0</v>
      </c>
      <c r="P10" s="28">
        <v>0</v>
      </c>
      <c r="Q10" s="40">
        <v>0</v>
      </c>
    </row>
    <row r="11" spans="2:17" x14ac:dyDescent="0.3">
      <c r="B11" s="37" t="s">
        <v>112</v>
      </c>
      <c r="C11" s="28">
        <v>0</v>
      </c>
      <c r="D11" s="28">
        <v>4.1509999999999998</v>
      </c>
      <c r="E11" s="28">
        <v>0</v>
      </c>
      <c r="F11" s="28">
        <v>1553.0319999999999</v>
      </c>
      <c r="G11" s="28">
        <v>362.01</v>
      </c>
      <c r="H11" s="28">
        <v>367.10899999999998</v>
      </c>
      <c r="I11" s="28">
        <v>16.850000000000001</v>
      </c>
      <c r="J11" s="28">
        <v>43.878</v>
      </c>
      <c r="K11" s="28">
        <v>0</v>
      </c>
      <c r="L11" s="28">
        <v>0</v>
      </c>
      <c r="M11" s="28">
        <v>0</v>
      </c>
      <c r="N11" s="28">
        <v>5554.3549999999996</v>
      </c>
      <c r="O11" s="28">
        <v>0</v>
      </c>
      <c r="P11" s="28">
        <v>283.02999999999997</v>
      </c>
      <c r="Q11" s="40">
        <v>8184.415</v>
      </c>
    </row>
    <row r="12" spans="2:17" x14ac:dyDescent="0.3">
      <c r="B12" s="37" t="s">
        <v>113</v>
      </c>
      <c r="C12" s="28">
        <v>0</v>
      </c>
      <c r="D12" s="28">
        <v>51188.451249999998</v>
      </c>
      <c r="E12" s="28">
        <v>0</v>
      </c>
      <c r="F12" s="28">
        <v>11801.3308</v>
      </c>
      <c r="G12" s="28">
        <v>0</v>
      </c>
      <c r="H12" s="28">
        <v>351.57870999999989</v>
      </c>
      <c r="I12" s="28">
        <v>0</v>
      </c>
      <c r="J12" s="28">
        <v>0</v>
      </c>
      <c r="K12" s="28">
        <v>0</v>
      </c>
      <c r="L12" s="28">
        <v>0</v>
      </c>
      <c r="M12" s="28">
        <v>0</v>
      </c>
      <c r="N12" s="28">
        <v>22360.437569999998</v>
      </c>
      <c r="O12" s="28">
        <v>0</v>
      </c>
      <c r="P12" s="28">
        <v>0</v>
      </c>
      <c r="Q12" s="40">
        <v>85701.798330000005</v>
      </c>
    </row>
    <row r="13" spans="2:17" x14ac:dyDescent="0.3">
      <c r="B13" s="37" t="s">
        <v>114</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115</v>
      </c>
      <c r="C14" s="28">
        <v>0</v>
      </c>
      <c r="D14" s="28">
        <v>0</v>
      </c>
      <c r="E14" s="28">
        <v>0</v>
      </c>
      <c r="F14" s="28">
        <v>0</v>
      </c>
      <c r="G14" s="28">
        <v>0</v>
      </c>
      <c r="H14" s="28">
        <v>0</v>
      </c>
      <c r="I14" s="28">
        <v>0</v>
      </c>
      <c r="J14" s="28">
        <v>0</v>
      </c>
      <c r="K14" s="28">
        <v>0</v>
      </c>
      <c r="L14" s="28">
        <v>0</v>
      </c>
      <c r="M14" s="28">
        <v>0</v>
      </c>
      <c r="N14" s="28">
        <v>0</v>
      </c>
      <c r="O14" s="28">
        <v>0</v>
      </c>
      <c r="P14" s="28">
        <v>0</v>
      </c>
      <c r="Q14" s="40">
        <v>0</v>
      </c>
    </row>
    <row r="15" spans="2:17" x14ac:dyDescent="0.3">
      <c r="B15" s="37" t="s">
        <v>116</v>
      </c>
      <c r="C15" s="28">
        <v>0</v>
      </c>
      <c r="D15" s="28">
        <v>0</v>
      </c>
      <c r="E15" s="28">
        <v>0</v>
      </c>
      <c r="F15" s="28">
        <v>0</v>
      </c>
      <c r="G15" s="28">
        <v>0</v>
      </c>
      <c r="H15" s="28">
        <v>0</v>
      </c>
      <c r="I15" s="28">
        <v>0</v>
      </c>
      <c r="J15" s="28">
        <v>0</v>
      </c>
      <c r="K15" s="28">
        <v>0</v>
      </c>
      <c r="L15" s="28">
        <v>0</v>
      </c>
      <c r="M15" s="28">
        <v>0</v>
      </c>
      <c r="N15" s="28">
        <v>0</v>
      </c>
      <c r="O15" s="28">
        <v>0</v>
      </c>
      <c r="P15" s="28">
        <v>0</v>
      </c>
      <c r="Q15" s="40">
        <v>0</v>
      </c>
    </row>
    <row r="16" spans="2:17" x14ac:dyDescent="0.3">
      <c r="B16" s="37" t="s">
        <v>117</v>
      </c>
      <c r="C16" s="28">
        <v>0</v>
      </c>
      <c r="D16" s="28">
        <v>0</v>
      </c>
      <c r="E16" s="28">
        <v>0</v>
      </c>
      <c r="F16" s="28">
        <v>0</v>
      </c>
      <c r="G16" s="28">
        <v>0</v>
      </c>
      <c r="H16" s="28">
        <v>0</v>
      </c>
      <c r="I16" s="28">
        <v>0</v>
      </c>
      <c r="J16" s="28">
        <v>0</v>
      </c>
      <c r="K16" s="28">
        <v>0</v>
      </c>
      <c r="L16" s="28">
        <v>0</v>
      </c>
      <c r="M16" s="28">
        <v>0</v>
      </c>
      <c r="N16" s="28">
        <v>0</v>
      </c>
      <c r="O16" s="28">
        <v>0</v>
      </c>
      <c r="P16" s="28">
        <v>0</v>
      </c>
      <c r="Q16" s="40">
        <v>0</v>
      </c>
    </row>
    <row r="17" spans="1:17" x14ac:dyDescent="0.3">
      <c r="B17" s="37" t="s">
        <v>118</v>
      </c>
      <c r="C17" s="28">
        <v>0</v>
      </c>
      <c r="D17" s="28">
        <v>0</v>
      </c>
      <c r="E17" s="28">
        <v>0</v>
      </c>
      <c r="F17" s="28">
        <v>0</v>
      </c>
      <c r="G17" s="28">
        <v>1105</v>
      </c>
      <c r="H17" s="28">
        <v>0</v>
      </c>
      <c r="I17" s="28">
        <v>0</v>
      </c>
      <c r="J17" s="28">
        <v>0</v>
      </c>
      <c r="K17" s="28">
        <v>0</v>
      </c>
      <c r="L17" s="28">
        <v>0</v>
      </c>
      <c r="M17" s="28">
        <v>0</v>
      </c>
      <c r="N17" s="28">
        <v>0</v>
      </c>
      <c r="O17" s="28">
        <v>0</v>
      </c>
      <c r="P17" s="28">
        <v>0</v>
      </c>
      <c r="Q17" s="40">
        <v>1105</v>
      </c>
    </row>
    <row r="18" spans="1:17" x14ac:dyDescent="0.3">
      <c r="B18" s="37" t="s">
        <v>119</v>
      </c>
      <c r="C18" s="28">
        <v>0</v>
      </c>
      <c r="D18" s="28">
        <v>10482.254000000001</v>
      </c>
      <c r="E18" s="28">
        <v>0</v>
      </c>
      <c r="F18" s="28">
        <v>29679.526000000002</v>
      </c>
      <c r="G18" s="28">
        <v>566.15099999999995</v>
      </c>
      <c r="H18" s="28">
        <v>1790.9390000000001</v>
      </c>
      <c r="I18" s="28">
        <v>0</v>
      </c>
      <c r="J18" s="28">
        <v>0</v>
      </c>
      <c r="K18" s="28">
        <v>0</v>
      </c>
      <c r="L18" s="28">
        <v>76035.873000000007</v>
      </c>
      <c r="M18" s="28">
        <v>0</v>
      </c>
      <c r="N18" s="28">
        <v>0</v>
      </c>
      <c r="O18" s="28">
        <v>0</v>
      </c>
      <c r="P18" s="28">
        <v>1993.931</v>
      </c>
      <c r="Q18" s="40">
        <v>120548.674</v>
      </c>
    </row>
    <row r="19" spans="1:17" x14ac:dyDescent="0.3">
      <c r="B19" s="37" t="s">
        <v>120</v>
      </c>
      <c r="C19" s="28">
        <v>0</v>
      </c>
      <c r="D19" s="28">
        <v>5255.8410000000003</v>
      </c>
      <c r="E19" s="28">
        <v>0</v>
      </c>
      <c r="F19" s="28">
        <v>11667.475</v>
      </c>
      <c r="G19" s="28">
        <v>353.8</v>
      </c>
      <c r="H19" s="28">
        <v>1290.979</v>
      </c>
      <c r="I19" s="28">
        <v>0</v>
      </c>
      <c r="J19" s="28">
        <v>0</v>
      </c>
      <c r="K19" s="28">
        <v>0</v>
      </c>
      <c r="L19" s="28">
        <v>688.85299999999995</v>
      </c>
      <c r="M19" s="28">
        <v>0</v>
      </c>
      <c r="N19" s="28">
        <v>0</v>
      </c>
      <c r="O19" s="28">
        <v>0</v>
      </c>
      <c r="P19" s="28">
        <v>8536.768</v>
      </c>
      <c r="Q19" s="40">
        <v>27793.716</v>
      </c>
    </row>
    <row r="20" spans="1:17" x14ac:dyDescent="0.3">
      <c r="B20" s="37" t="s">
        <v>121</v>
      </c>
      <c r="C20" s="28">
        <v>0</v>
      </c>
      <c r="D20" s="28">
        <v>-2061.9679999999998</v>
      </c>
      <c r="E20" s="28">
        <v>0</v>
      </c>
      <c r="F20" s="28">
        <v>261.86799999999999</v>
      </c>
      <c r="G20" s="28">
        <v>0</v>
      </c>
      <c r="H20" s="28">
        <v>1077.106</v>
      </c>
      <c r="I20" s="28">
        <v>0</v>
      </c>
      <c r="J20" s="28">
        <v>0</v>
      </c>
      <c r="K20" s="28">
        <v>0</v>
      </c>
      <c r="L20" s="28">
        <v>0</v>
      </c>
      <c r="M20" s="28">
        <v>0</v>
      </c>
      <c r="N20" s="28">
        <v>0</v>
      </c>
      <c r="O20" s="28">
        <v>0</v>
      </c>
      <c r="P20" s="28">
        <v>1842.4079999999999</v>
      </c>
      <c r="Q20" s="40">
        <v>1119.414</v>
      </c>
    </row>
    <row r="21" spans="1:17" x14ac:dyDescent="0.3">
      <c r="B21" s="37" t="s">
        <v>122</v>
      </c>
      <c r="C21" s="28">
        <v>0</v>
      </c>
      <c r="D21" s="28">
        <v>2793.5419999999999</v>
      </c>
      <c r="E21" s="28">
        <v>0</v>
      </c>
      <c r="F21" s="28">
        <v>11608.922</v>
      </c>
      <c r="G21" s="28">
        <v>0</v>
      </c>
      <c r="H21" s="28">
        <v>633.17499999999995</v>
      </c>
      <c r="I21" s="28">
        <v>754.36099999999999</v>
      </c>
      <c r="J21" s="28">
        <v>0</v>
      </c>
      <c r="K21" s="28">
        <v>0</v>
      </c>
      <c r="L21" s="28">
        <v>0</v>
      </c>
      <c r="M21" s="28">
        <v>0</v>
      </c>
      <c r="N21" s="28">
        <v>0</v>
      </c>
      <c r="O21" s="28">
        <v>0</v>
      </c>
      <c r="P21" s="28">
        <v>0</v>
      </c>
      <c r="Q21" s="40">
        <v>15790</v>
      </c>
    </row>
    <row r="22" spans="1:17" x14ac:dyDescent="0.3">
      <c r="B22" s="37" t="s">
        <v>123</v>
      </c>
      <c r="C22" s="28">
        <v>0</v>
      </c>
      <c r="D22" s="28">
        <v>5837.4030000000002</v>
      </c>
      <c r="E22" s="28">
        <v>0</v>
      </c>
      <c r="F22" s="28">
        <v>3078.3290000000002</v>
      </c>
      <c r="G22" s="28">
        <v>176.06399999999999</v>
      </c>
      <c r="H22" s="28">
        <v>511.09800000000001</v>
      </c>
      <c r="I22" s="28">
        <v>0</v>
      </c>
      <c r="J22" s="28">
        <v>0</v>
      </c>
      <c r="K22" s="28">
        <v>0</v>
      </c>
      <c r="L22" s="28">
        <v>19.11</v>
      </c>
      <c r="M22" s="28">
        <v>253.31299999999999</v>
      </c>
      <c r="N22" s="28">
        <v>469.822</v>
      </c>
      <c r="O22" s="28">
        <v>0</v>
      </c>
      <c r="P22" s="28">
        <v>3076.761</v>
      </c>
      <c r="Q22" s="40">
        <v>13421.9</v>
      </c>
    </row>
    <row r="23" spans="1:17" x14ac:dyDescent="0.3">
      <c r="B23" s="37" t="s">
        <v>124</v>
      </c>
      <c r="C23" s="28">
        <v>0</v>
      </c>
      <c r="D23" s="28">
        <v>0</v>
      </c>
      <c r="E23" s="28">
        <v>0</v>
      </c>
      <c r="F23" s="28">
        <v>0</v>
      </c>
      <c r="G23" s="28">
        <v>0</v>
      </c>
      <c r="H23" s="28">
        <v>0</v>
      </c>
      <c r="I23" s="28">
        <v>0</v>
      </c>
      <c r="J23" s="28">
        <v>0</v>
      </c>
      <c r="K23" s="28">
        <v>0</v>
      </c>
      <c r="L23" s="28">
        <v>0</v>
      </c>
      <c r="M23" s="28">
        <v>0</v>
      </c>
      <c r="N23" s="28">
        <v>0</v>
      </c>
      <c r="O23" s="28">
        <v>0</v>
      </c>
      <c r="P23" s="28">
        <v>0</v>
      </c>
      <c r="Q23" s="40">
        <v>0</v>
      </c>
    </row>
    <row r="24" spans="1:17" x14ac:dyDescent="0.3">
      <c r="B24" s="37" t="s">
        <v>125</v>
      </c>
      <c r="C24" s="28">
        <v>0</v>
      </c>
      <c r="D24" s="28">
        <v>3115.0129999999999</v>
      </c>
      <c r="E24" s="28">
        <v>0</v>
      </c>
      <c r="F24" s="28">
        <v>27777.222000000002</v>
      </c>
      <c r="G24" s="28">
        <v>210.501</v>
      </c>
      <c r="H24" s="28">
        <v>1208.2080000000001</v>
      </c>
      <c r="I24" s="28">
        <v>122.61799999999999</v>
      </c>
      <c r="J24" s="28">
        <v>0</v>
      </c>
      <c r="K24" s="28">
        <v>0</v>
      </c>
      <c r="L24" s="28">
        <v>0</v>
      </c>
      <c r="M24" s="28">
        <v>218.25200000000001</v>
      </c>
      <c r="N24" s="28">
        <v>13.372</v>
      </c>
      <c r="O24" s="28">
        <v>0</v>
      </c>
      <c r="P24" s="28">
        <v>541.87400000000002</v>
      </c>
      <c r="Q24" s="40">
        <v>33207.06</v>
      </c>
    </row>
    <row r="25" spans="1:17" x14ac:dyDescent="0.3">
      <c r="B25" s="37" t="s">
        <v>126</v>
      </c>
      <c r="C25" s="28">
        <v>0</v>
      </c>
      <c r="D25" s="28">
        <v>0</v>
      </c>
      <c r="E25" s="28">
        <v>0</v>
      </c>
      <c r="F25" s="28">
        <v>0</v>
      </c>
      <c r="G25" s="28">
        <v>0</v>
      </c>
      <c r="H25" s="28">
        <v>0</v>
      </c>
      <c r="I25" s="28">
        <v>0</v>
      </c>
      <c r="J25" s="28">
        <v>0</v>
      </c>
      <c r="K25" s="28">
        <v>0</v>
      </c>
      <c r="L25" s="28">
        <v>0</v>
      </c>
      <c r="M25" s="28">
        <v>0</v>
      </c>
      <c r="N25" s="28">
        <v>0</v>
      </c>
      <c r="O25" s="28">
        <v>0</v>
      </c>
      <c r="P25" s="28">
        <v>0</v>
      </c>
      <c r="Q25" s="40">
        <v>0</v>
      </c>
    </row>
    <row r="26" spans="1:17" x14ac:dyDescent="0.3">
      <c r="B26" s="37" t="s">
        <v>127</v>
      </c>
      <c r="C26" s="28">
        <v>0</v>
      </c>
      <c r="D26" s="28">
        <v>0</v>
      </c>
      <c r="E26" s="28">
        <v>0</v>
      </c>
      <c r="F26" s="28">
        <v>0</v>
      </c>
      <c r="G26" s="28">
        <v>0</v>
      </c>
      <c r="H26" s="28">
        <v>0</v>
      </c>
      <c r="I26" s="28">
        <v>0</v>
      </c>
      <c r="J26" s="28">
        <v>0</v>
      </c>
      <c r="K26" s="28">
        <v>0</v>
      </c>
      <c r="L26" s="28">
        <v>0</v>
      </c>
      <c r="M26" s="28">
        <v>0</v>
      </c>
      <c r="N26" s="28">
        <v>0</v>
      </c>
      <c r="O26" s="28">
        <v>0</v>
      </c>
      <c r="P26" s="28">
        <v>0</v>
      </c>
      <c r="Q26" s="40">
        <v>0</v>
      </c>
    </row>
    <row r="27" spans="1:17" x14ac:dyDescent="0.3">
      <c r="B27" s="37" t="s">
        <v>128</v>
      </c>
      <c r="C27" s="28">
        <v>0</v>
      </c>
      <c r="D27" s="28">
        <v>62970.258000000002</v>
      </c>
      <c r="E27" s="28">
        <v>0</v>
      </c>
      <c r="F27" s="28">
        <v>93549.721999999994</v>
      </c>
      <c r="G27" s="28">
        <v>1943.9770000000001</v>
      </c>
      <c r="H27" s="28">
        <v>13537.370999999999</v>
      </c>
      <c r="I27" s="28">
        <v>142.33000000000001</v>
      </c>
      <c r="J27" s="28">
        <v>0</v>
      </c>
      <c r="K27" s="28">
        <v>0</v>
      </c>
      <c r="L27" s="28">
        <v>7329.3069999999998</v>
      </c>
      <c r="M27" s="28">
        <v>731.88</v>
      </c>
      <c r="N27" s="28">
        <v>264.98700000000002</v>
      </c>
      <c r="O27" s="28">
        <v>0</v>
      </c>
      <c r="P27" s="28">
        <v>17700.514999999999</v>
      </c>
      <c r="Q27" s="40">
        <v>198170.34700000001</v>
      </c>
    </row>
    <row r="28" spans="1:17" x14ac:dyDescent="0.3">
      <c r="B28" s="37" t="s">
        <v>129</v>
      </c>
      <c r="C28" s="28">
        <v>0</v>
      </c>
      <c r="D28" s="28">
        <v>-82.915999999999997</v>
      </c>
      <c r="E28" s="28">
        <v>0</v>
      </c>
      <c r="F28" s="28">
        <v>-87.418750000000003</v>
      </c>
      <c r="G28" s="28">
        <v>0</v>
      </c>
      <c r="H28" s="28">
        <v>0</v>
      </c>
      <c r="I28" s="28">
        <v>78.150010000059609</v>
      </c>
      <c r="J28" s="28">
        <v>0</v>
      </c>
      <c r="K28" s="28">
        <v>0</v>
      </c>
      <c r="L28" s="28">
        <v>0</v>
      </c>
      <c r="M28" s="28">
        <v>0</v>
      </c>
      <c r="N28" s="28">
        <v>0</v>
      </c>
      <c r="O28" s="28">
        <v>0</v>
      </c>
      <c r="P28" s="28">
        <v>0</v>
      </c>
      <c r="Q28" s="40">
        <v>-92.18473999994039</v>
      </c>
    </row>
    <row r="29" spans="1:17" x14ac:dyDescent="0.3">
      <c r="A29" s="95"/>
      <c r="B29" s="37" t="s">
        <v>130</v>
      </c>
      <c r="C29" s="28">
        <v>0</v>
      </c>
      <c r="D29" s="28">
        <v>0</v>
      </c>
      <c r="E29" s="28">
        <v>0</v>
      </c>
      <c r="F29" s="28">
        <v>8047.5215399999988</v>
      </c>
      <c r="G29" s="28">
        <v>38203.174299999999</v>
      </c>
      <c r="H29" s="28">
        <v>639.22619999999995</v>
      </c>
      <c r="I29" s="28">
        <v>0</v>
      </c>
      <c r="J29" s="28">
        <v>0</v>
      </c>
      <c r="K29" s="28">
        <v>0</v>
      </c>
      <c r="L29" s="28">
        <v>0</v>
      </c>
      <c r="M29" s="28">
        <v>54172.752</v>
      </c>
      <c r="N29" s="28">
        <v>78.688999999999993</v>
      </c>
      <c r="O29" s="28">
        <v>0</v>
      </c>
      <c r="P29" s="28">
        <v>0</v>
      </c>
      <c r="Q29" s="40">
        <v>101141.36304</v>
      </c>
    </row>
    <row r="30" spans="1:17" x14ac:dyDescent="0.3">
      <c r="B30" s="37" t="s">
        <v>131</v>
      </c>
      <c r="C30" s="28">
        <v>0</v>
      </c>
      <c r="D30" s="28">
        <v>0</v>
      </c>
      <c r="E30" s="28">
        <v>0</v>
      </c>
      <c r="F30" s="28">
        <v>1588.4349999999999</v>
      </c>
      <c r="G30" s="28">
        <v>44.5</v>
      </c>
      <c r="H30" s="28">
        <v>99.629000000000005</v>
      </c>
      <c r="I30" s="28">
        <v>943.28800000000001</v>
      </c>
      <c r="J30" s="28">
        <v>0</v>
      </c>
      <c r="K30" s="28">
        <v>0</v>
      </c>
      <c r="L30" s="28">
        <v>0</v>
      </c>
      <c r="M30" s="28">
        <v>96.25</v>
      </c>
      <c r="N30" s="28">
        <v>47.587000000000003</v>
      </c>
      <c r="O30" s="28">
        <v>0</v>
      </c>
      <c r="P30" s="28">
        <v>79.625</v>
      </c>
      <c r="Q30" s="40">
        <v>2899.3139999999999</v>
      </c>
    </row>
    <row r="31" spans="1:17" x14ac:dyDescent="0.3">
      <c r="B31" s="37" t="s">
        <v>132</v>
      </c>
      <c r="C31" s="28">
        <v>78534.429999999993</v>
      </c>
      <c r="D31" s="28">
        <v>17201.213540000001</v>
      </c>
      <c r="E31" s="28">
        <v>0</v>
      </c>
      <c r="F31" s="28">
        <v>28461.56928</v>
      </c>
      <c r="G31" s="28">
        <v>160.94374999999999</v>
      </c>
      <c r="H31" s="28">
        <v>31287.042160000001</v>
      </c>
      <c r="I31" s="28">
        <v>0</v>
      </c>
      <c r="J31" s="28">
        <v>0</v>
      </c>
      <c r="K31" s="28">
        <v>0</v>
      </c>
      <c r="L31" s="28">
        <v>8185.94805</v>
      </c>
      <c r="M31" s="28">
        <v>1725.3049100000001</v>
      </c>
      <c r="N31" s="28">
        <v>4.8050000000046569E-2</v>
      </c>
      <c r="O31" s="28">
        <v>0</v>
      </c>
      <c r="P31" s="28">
        <v>10891.823259999999</v>
      </c>
      <c r="Q31" s="40">
        <v>176448.323</v>
      </c>
    </row>
    <row r="32" spans="1:17" x14ac:dyDescent="0.3">
      <c r="B32" s="37" t="s">
        <v>133</v>
      </c>
      <c r="C32" s="28">
        <v>0</v>
      </c>
      <c r="D32" s="28">
        <v>-669.81600000000003</v>
      </c>
      <c r="E32" s="28">
        <v>0</v>
      </c>
      <c r="F32" s="28">
        <v>638.16200000000003</v>
      </c>
      <c r="G32" s="28">
        <v>21147.133000000002</v>
      </c>
      <c r="H32" s="28">
        <v>103.773</v>
      </c>
      <c r="I32" s="28">
        <v>160.25899999999999</v>
      </c>
      <c r="J32" s="28">
        <v>494.024</v>
      </c>
      <c r="K32" s="28">
        <v>0</v>
      </c>
      <c r="L32" s="28">
        <v>0</v>
      </c>
      <c r="M32" s="28">
        <v>0</v>
      </c>
      <c r="N32" s="28">
        <v>309.02600000000001</v>
      </c>
      <c r="O32" s="28">
        <v>0</v>
      </c>
      <c r="P32" s="28">
        <v>597.01599999999996</v>
      </c>
      <c r="Q32" s="40">
        <v>22779.577000000001</v>
      </c>
    </row>
    <row r="33" spans="2:17" x14ac:dyDescent="0.3">
      <c r="B33" s="37" t="s">
        <v>134</v>
      </c>
      <c r="C33" s="28">
        <v>0</v>
      </c>
      <c r="D33" s="28">
        <v>1699.24</v>
      </c>
      <c r="E33" s="28">
        <v>0</v>
      </c>
      <c r="F33" s="28">
        <v>3054.2397000000001</v>
      </c>
      <c r="G33" s="28">
        <v>1166.8689999999999</v>
      </c>
      <c r="H33" s="28">
        <v>462.08100000000002</v>
      </c>
      <c r="I33" s="28">
        <v>367.42599999999999</v>
      </c>
      <c r="J33" s="28">
        <v>74.260999999999996</v>
      </c>
      <c r="K33" s="28">
        <v>0</v>
      </c>
      <c r="L33" s="28">
        <v>0</v>
      </c>
      <c r="M33" s="28">
        <v>0</v>
      </c>
      <c r="N33" s="28">
        <v>4809.232</v>
      </c>
      <c r="O33" s="28">
        <v>0</v>
      </c>
      <c r="P33" s="28">
        <v>0</v>
      </c>
      <c r="Q33" s="40">
        <v>11633.3487</v>
      </c>
    </row>
    <row r="34" spans="2:17" x14ac:dyDescent="0.3">
      <c r="B34" s="37" t="s">
        <v>135</v>
      </c>
      <c r="C34" s="28">
        <v>0</v>
      </c>
      <c r="D34" s="28">
        <v>0</v>
      </c>
      <c r="E34" s="28">
        <v>0</v>
      </c>
      <c r="F34" s="28">
        <v>0</v>
      </c>
      <c r="G34" s="28">
        <v>0</v>
      </c>
      <c r="H34" s="28">
        <v>0</v>
      </c>
      <c r="I34" s="28">
        <v>0</v>
      </c>
      <c r="J34" s="28">
        <v>0</v>
      </c>
      <c r="K34" s="28">
        <v>0</v>
      </c>
      <c r="L34" s="28">
        <v>0</v>
      </c>
      <c r="M34" s="28">
        <v>0</v>
      </c>
      <c r="N34" s="28">
        <v>0</v>
      </c>
      <c r="O34" s="28">
        <v>0</v>
      </c>
      <c r="P34" s="28">
        <v>0</v>
      </c>
      <c r="Q34" s="40">
        <v>0</v>
      </c>
    </row>
    <row r="35" spans="2:17" x14ac:dyDescent="0.3">
      <c r="B35" s="37" t="s">
        <v>136</v>
      </c>
      <c r="C35" s="28">
        <v>0</v>
      </c>
      <c r="D35" s="28">
        <v>0</v>
      </c>
      <c r="E35" s="28">
        <v>0</v>
      </c>
      <c r="F35" s="28">
        <v>0</v>
      </c>
      <c r="G35" s="28">
        <v>0</v>
      </c>
      <c r="H35" s="28">
        <v>0</v>
      </c>
      <c r="I35" s="28">
        <v>0</v>
      </c>
      <c r="J35" s="28">
        <v>0</v>
      </c>
      <c r="K35" s="28">
        <v>0</v>
      </c>
      <c r="L35" s="28">
        <v>0</v>
      </c>
      <c r="M35" s="28">
        <v>0</v>
      </c>
      <c r="N35" s="28">
        <v>0</v>
      </c>
      <c r="O35" s="28">
        <v>0</v>
      </c>
      <c r="P35" s="28">
        <v>0</v>
      </c>
      <c r="Q35" s="40">
        <v>0</v>
      </c>
    </row>
    <row r="36" spans="2:17" x14ac:dyDescent="0.3">
      <c r="B36" s="37" t="s">
        <v>137</v>
      </c>
      <c r="C36" s="28">
        <v>0</v>
      </c>
      <c r="D36" s="28">
        <v>0</v>
      </c>
      <c r="E36" s="28">
        <v>0</v>
      </c>
      <c r="F36" s="28">
        <v>1552.3589999999999</v>
      </c>
      <c r="G36" s="28">
        <v>432.15899999999999</v>
      </c>
      <c r="H36" s="28">
        <v>0</v>
      </c>
      <c r="I36" s="28">
        <v>312.43299999999999</v>
      </c>
      <c r="J36" s="28">
        <v>85.078000000000003</v>
      </c>
      <c r="K36" s="28">
        <v>0</v>
      </c>
      <c r="L36" s="28">
        <v>0</v>
      </c>
      <c r="M36" s="28">
        <v>0</v>
      </c>
      <c r="N36" s="28">
        <v>313.96199999999999</v>
      </c>
      <c r="O36" s="28">
        <v>0</v>
      </c>
      <c r="P36" s="28">
        <v>0</v>
      </c>
      <c r="Q36" s="40">
        <v>2695.991</v>
      </c>
    </row>
    <row r="37" spans="2:17" x14ac:dyDescent="0.3">
      <c r="B37" s="37" t="s">
        <v>138</v>
      </c>
      <c r="C37" s="28">
        <v>0</v>
      </c>
      <c r="D37" s="28">
        <v>0</v>
      </c>
      <c r="E37" s="28">
        <v>0</v>
      </c>
      <c r="F37" s="28">
        <v>13329.465</v>
      </c>
      <c r="G37" s="28">
        <v>0</v>
      </c>
      <c r="H37" s="28">
        <v>0</v>
      </c>
      <c r="I37" s="28">
        <v>0</v>
      </c>
      <c r="J37" s="28">
        <v>0</v>
      </c>
      <c r="K37" s="28">
        <v>0</v>
      </c>
      <c r="L37" s="28">
        <v>0</v>
      </c>
      <c r="M37" s="28">
        <v>0</v>
      </c>
      <c r="N37" s="28">
        <v>0</v>
      </c>
      <c r="O37" s="28">
        <v>0</v>
      </c>
      <c r="P37" s="28">
        <v>0</v>
      </c>
      <c r="Q37" s="40">
        <v>13329.465</v>
      </c>
    </row>
    <row r="38" spans="2:17" x14ac:dyDescent="0.3">
      <c r="B38" s="37" t="s">
        <v>139</v>
      </c>
      <c r="C38" s="28">
        <v>0</v>
      </c>
      <c r="D38" s="28">
        <v>-1932.3420000000001</v>
      </c>
      <c r="E38" s="28">
        <v>0</v>
      </c>
      <c r="F38" s="28">
        <v>-19.091000000000001</v>
      </c>
      <c r="G38" s="28">
        <v>847.524</v>
      </c>
      <c r="H38" s="28">
        <v>0</v>
      </c>
      <c r="I38" s="28">
        <v>0</v>
      </c>
      <c r="J38" s="28">
        <v>0</v>
      </c>
      <c r="K38" s="28">
        <v>0</v>
      </c>
      <c r="L38" s="28">
        <v>8308.9349999999995</v>
      </c>
      <c r="M38" s="28">
        <v>7.8390000000000004</v>
      </c>
      <c r="N38" s="28">
        <v>0</v>
      </c>
      <c r="O38" s="28">
        <v>0</v>
      </c>
      <c r="P38" s="28">
        <v>16299.183999999999</v>
      </c>
      <c r="Q38" s="40">
        <v>23512.048999999999</v>
      </c>
    </row>
    <row r="39" spans="2:17" x14ac:dyDescent="0.3">
      <c r="B39" s="37" t="s">
        <v>140</v>
      </c>
      <c r="C39" s="28">
        <v>0</v>
      </c>
      <c r="D39" s="28">
        <v>0</v>
      </c>
      <c r="E39" s="28">
        <v>0</v>
      </c>
      <c r="F39" s="28">
        <v>0</v>
      </c>
      <c r="G39" s="28">
        <v>0</v>
      </c>
      <c r="H39" s="28">
        <v>0</v>
      </c>
      <c r="I39" s="28">
        <v>0</v>
      </c>
      <c r="J39" s="28">
        <v>0</v>
      </c>
      <c r="K39" s="28">
        <v>0</v>
      </c>
      <c r="L39" s="28">
        <v>0</v>
      </c>
      <c r="M39" s="28">
        <v>0</v>
      </c>
      <c r="N39" s="28">
        <v>0</v>
      </c>
      <c r="O39" s="28">
        <v>0</v>
      </c>
      <c r="P39" s="28">
        <v>0</v>
      </c>
      <c r="Q39" s="40">
        <v>0</v>
      </c>
    </row>
    <row r="40" spans="2:17" x14ac:dyDescent="0.3">
      <c r="B40" s="93" t="s">
        <v>141</v>
      </c>
      <c r="C40" s="28">
        <v>0</v>
      </c>
      <c r="D40" s="28">
        <v>0</v>
      </c>
      <c r="E40" s="28">
        <v>0</v>
      </c>
      <c r="F40" s="28">
        <v>0</v>
      </c>
      <c r="G40" s="28">
        <v>0</v>
      </c>
      <c r="H40" s="28">
        <v>0</v>
      </c>
      <c r="I40" s="28">
        <v>0</v>
      </c>
      <c r="J40" s="28">
        <v>0</v>
      </c>
      <c r="K40" s="28">
        <v>0</v>
      </c>
      <c r="L40" s="28">
        <v>0</v>
      </c>
      <c r="M40" s="28">
        <v>0</v>
      </c>
      <c r="N40" s="28">
        <v>0</v>
      </c>
      <c r="O40" s="28">
        <v>0</v>
      </c>
      <c r="P40" s="28">
        <v>0</v>
      </c>
      <c r="Q40" s="40">
        <v>0</v>
      </c>
    </row>
    <row r="41" spans="2:17" x14ac:dyDescent="0.3">
      <c r="B41" s="38" t="s">
        <v>7</v>
      </c>
      <c r="C41" s="39">
        <f t="shared" ref="C41:Q41" si="0">SUM(C6:C40)</f>
        <v>78534.429999999993</v>
      </c>
      <c r="D41" s="39">
        <f t="shared" si="0"/>
        <v>162318.60187000001</v>
      </c>
      <c r="E41" s="39">
        <f t="shared" si="0"/>
        <v>0</v>
      </c>
      <c r="F41" s="39">
        <f t="shared" si="0"/>
        <v>291735.16496999998</v>
      </c>
      <c r="G41" s="39">
        <f t="shared" si="0"/>
        <v>66890.410050000006</v>
      </c>
      <c r="H41" s="39">
        <f t="shared" si="0"/>
        <v>78664.924680000011</v>
      </c>
      <c r="I41" s="39">
        <f t="shared" si="0"/>
        <v>2897.7150100000595</v>
      </c>
      <c r="J41" s="39">
        <f t="shared" si="0"/>
        <v>697.24099999999999</v>
      </c>
      <c r="K41" s="39">
        <f t="shared" si="0"/>
        <v>0</v>
      </c>
      <c r="L41" s="39">
        <f t="shared" si="0"/>
        <v>146072.92282000001</v>
      </c>
      <c r="M41" s="39">
        <f t="shared" si="0"/>
        <v>64015.533179999999</v>
      </c>
      <c r="N41" s="39">
        <f t="shared" si="0"/>
        <v>61839.907119999989</v>
      </c>
      <c r="O41" s="39">
        <f t="shared" si="0"/>
        <v>0</v>
      </c>
      <c r="P41" s="39">
        <f t="shared" si="0"/>
        <v>61842.935259999998</v>
      </c>
      <c r="Q41" s="39">
        <f t="shared" si="0"/>
        <v>1015509.78596</v>
      </c>
    </row>
    <row r="42" spans="2:17" ht="14.5" customHeight="1" x14ac:dyDescent="0.35">
      <c r="B42" s="359" t="s">
        <v>143</v>
      </c>
      <c r="C42" s="301"/>
      <c r="D42" s="301"/>
      <c r="E42" s="301"/>
      <c r="F42" s="301"/>
      <c r="G42" s="301"/>
      <c r="H42" s="301"/>
      <c r="I42" s="301"/>
      <c r="J42" s="301"/>
      <c r="K42" s="301"/>
      <c r="L42" s="301"/>
      <c r="M42" s="301"/>
      <c r="N42" s="301"/>
      <c r="O42" s="301"/>
      <c r="P42" s="301"/>
      <c r="Q42" s="302"/>
    </row>
    <row r="43" spans="2:17" x14ac:dyDescent="0.3">
      <c r="B43" s="37" t="s">
        <v>143</v>
      </c>
      <c r="C43" s="28">
        <v>5274.3779999999997</v>
      </c>
      <c r="D43" s="28">
        <v>185475.53</v>
      </c>
      <c r="E43" s="28">
        <v>241354.94399999999</v>
      </c>
      <c r="F43" s="28">
        <v>686933.30200000003</v>
      </c>
      <c r="G43" s="28">
        <v>102572.076</v>
      </c>
      <c r="H43" s="28">
        <v>60655.34</v>
      </c>
      <c r="I43" s="28">
        <v>26864.115000000002</v>
      </c>
      <c r="J43" s="28">
        <v>114783.037</v>
      </c>
      <c r="K43" s="28">
        <v>0</v>
      </c>
      <c r="L43" s="28">
        <v>72189.141000000003</v>
      </c>
      <c r="M43" s="28">
        <v>3799.4290000000001</v>
      </c>
      <c r="N43" s="28">
        <v>7598.857</v>
      </c>
      <c r="O43" s="28">
        <v>427757.66200000001</v>
      </c>
      <c r="P43" s="28">
        <v>296355.424</v>
      </c>
      <c r="Q43" s="40">
        <v>2231613.2349999999</v>
      </c>
    </row>
    <row r="44" spans="2:17" x14ac:dyDescent="0.3">
      <c r="B44" s="37" t="s">
        <v>144</v>
      </c>
      <c r="C44" s="28">
        <v>932.69701096247229</v>
      </c>
      <c r="D44" s="28">
        <v>115411.5881271454</v>
      </c>
      <c r="E44" s="28">
        <v>0</v>
      </c>
      <c r="F44" s="28">
        <v>629079.04897505103</v>
      </c>
      <c r="G44" s="28">
        <v>22734.493204844031</v>
      </c>
      <c r="H44" s="28">
        <v>53870.156386241993</v>
      </c>
      <c r="I44" s="28">
        <v>0</v>
      </c>
      <c r="J44" s="28">
        <v>124013.48580540231</v>
      </c>
      <c r="K44" s="28">
        <v>0</v>
      </c>
      <c r="L44" s="28">
        <v>47657.195666517982</v>
      </c>
      <c r="M44" s="28">
        <v>0</v>
      </c>
      <c r="N44" s="28">
        <v>0</v>
      </c>
      <c r="O44" s="28">
        <v>357483.57284199382</v>
      </c>
      <c r="P44" s="28">
        <v>264259.93774748553</v>
      </c>
      <c r="Q44" s="40">
        <v>1615442.175765645</v>
      </c>
    </row>
    <row r="45" spans="2:17" x14ac:dyDescent="0.3">
      <c r="B45" s="37" t="s">
        <v>145</v>
      </c>
      <c r="C45" s="28">
        <v>610.20399999999995</v>
      </c>
      <c r="D45" s="28">
        <v>36223.394</v>
      </c>
      <c r="E45" s="28">
        <v>51989.559000000001</v>
      </c>
      <c r="F45" s="28">
        <v>381256.77100000001</v>
      </c>
      <c r="G45" s="28">
        <v>24008.492999999999</v>
      </c>
      <c r="H45" s="28">
        <v>26797.863000000001</v>
      </c>
      <c r="I45" s="28">
        <v>28509.376</v>
      </c>
      <c r="J45" s="28">
        <v>30885.154999999999</v>
      </c>
      <c r="K45" s="28">
        <v>0</v>
      </c>
      <c r="L45" s="28">
        <v>1975.8150000000001</v>
      </c>
      <c r="M45" s="28">
        <v>4670.3890000000001</v>
      </c>
      <c r="N45" s="28">
        <v>13103.54</v>
      </c>
      <c r="O45" s="28">
        <v>96179.642000000007</v>
      </c>
      <c r="P45" s="28">
        <v>56621.273000000001</v>
      </c>
      <c r="Q45" s="40">
        <v>752831.47400000005</v>
      </c>
    </row>
    <row r="46" spans="2:17" x14ac:dyDescent="0.3">
      <c r="B46" s="4" t="s">
        <v>146</v>
      </c>
      <c r="C46" s="28">
        <v>0</v>
      </c>
      <c r="D46" s="28">
        <v>0</v>
      </c>
      <c r="E46" s="28">
        <v>0</v>
      </c>
      <c r="F46" s="28">
        <v>0</v>
      </c>
      <c r="G46" s="28">
        <v>0</v>
      </c>
      <c r="H46" s="28">
        <v>0</v>
      </c>
      <c r="I46" s="28">
        <v>0</v>
      </c>
      <c r="J46" s="28">
        <v>0</v>
      </c>
      <c r="K46" s="28">
        <v>0</v>
      </c>
      <c r="L46" s="28">
        <v>0</v>
      </c>
      <c r="M46" s="28">
        <v>0</v>
      </c>
      <c r="N46" s="28">
        <v>0</v>
      </c>
      <c r="O46" s="28">
        <v>0</v>
      </c>
      <c r="P46" s="28">
        <v>0</v>
      </c>
      <c r="Q46" s="40">
        <v>0</v>
      </c>
    </row>
    <row r="47" spans="2:17" x14ac:dyDescent="0.3">
      <c r="B47" s="37" t="s">
        <v>147</v>
      </c>
      <c r="C47" s="28">
        <v>14242.40178</v>
      </c>
      <c r="D47" s="28">
        <v>201608.18748180001</v>
      </c>
      <c r="E47" s="28">
        <v>110970.9647582</v>
      </c>
      <c r="F47" s="28">
        <v>525011.52628539992</v>
      </c>
      <c r="G47" s="28">
        <v>54045.454321999998</v>
      </c>
      <c r="H47" s="28">
        <v>64960.652295199987</v>
      </c>
      <c r="I47" s="28">
        <v>22197.510792000001</v>
      </c>
      <c r="J47" s="28">
        <v>46020.632407599987</v>
      </c>
      <c r="K47" s="28">
        <v>0</v>
      </c>
      <c r="L47" s="28">
        <v>342270.46910000022</v>
      </c>
      <c r="M47" s="28">
        <v>14420.258</v>
      </c>
      <c r="N47" s="28">
        <v>0</v>
      </c>
      <c r="O47" s="28">
        <v>7906.0690000000004</v>
      </c>
      <c r="P47" s="28">
        <v>71259.107730000003</v>
      </c>
      <c r="Q47" s="40">
        <v>1474913.233952201</v>
      </c>
    </row>
    <row r="48" spans="2:17" x14ac:dyDescent="0.3">
      <c r="B48" s="38" t="s">
        <v>7</v>
      </c>
      <c r="C48" s="39">
        <f t="shared" ref="C48:Q48" si="1">SUM(C43:C47)</f>
        <v>21059.680790962473</v>
      </c>
      <c r="D48" s="39">
        <f t="shared" si="1"/>
        <v>538718.6996089454</v>
      </c>
      <c r="E48" s="39">
        <f t="shared" si="1"/>
        <v>404315.46775819996</v>
      </c>
      <c r="F48" s="39">
        <f t="shared" si="1"/>
        <v>2222280.6482604509</v>
      </c>
      <c r="G48" s="39">
        <f t="shared" si="1"/>
        <v>203360.51652684403</v>
      </c>
      <c r="H48" s="39">
        <f t="shared" si="1"/>
        <v>206284.01168144197</v>
      </c>
      <c r="I48" s="39">
        <f t="shared" si="1"/>
        <v>77571.001791999995</v>
      </c>
      <c r="J48" s="39">
        <f t="shared" si="1"/>
        <v>315702.31021300232</v>
      </c>
      <c r="K48" s="39">
        <f t="shared" si="1"/>
        <v>0</v>
      </c>
      <c r="L48" s="39">
        <f t="shared" si="1"/>
        <v>464092.62076651817</v>
      </c>
      <c r="M48" s="39">
        <f t="shared" si="1"/>
        <v>22890.076000000001</v>
      </c>
      <c r="N48" s="39">
        <f t="shared" si="1"/>
        <v>20702.397000000001</v>
      </c>
      <c r="O48" s="39">
        <f t="shared" si="1"/>
        <v>889326.94584199379</v>
      </c>
      <c r="P48" s="39">
        <f t="shared" si="1"/>
        <v>688495.74247748568</v>
      </c>
      <c r="Q48" s="39">
        <f t="shared" si="1"/>
        <v>6074800.1187178465</v>
      </c>
    </row>
    <row r="49" spans="2:17" x14ac:dyDescent="0.3">
      <c r="B49" s="360" t="s">
        <v>149</v>
      </c>
      <c r="C49" s="308"/>
      <c r="D49" s="308"/>
      <c r="E49" s="308"/>
      <c r="F49" s="308"/>
      <c r="G49" s="308"/>
      <c r="H49" s="308"/>
      <c r="I49" s="308"/>
      <c r="J49" s="308"/>
      <c r="K49" s="308"/>
      <c r="L49" s="308"/>
      <c r="M49" s="308"/>
      <c r="N49" s="308"/>
      <c r="O49" s="308"/>
      <c r="P49" s="308"/>
      <c r="Q49" s="308"/>
    </row>
  </sheetData>
  <sheetProtection algorithmName="SHA-512" hashValue="M2TLN1wxtRSKvZVE7gIuVOc6MX/McoGrW5AkduoLGmzd4eGgknWNDVl+7Ash0SgVTrUPsP4j4L6taW6PSOVF2g==" saltValue="mLppHRTqVNvZHq9ni9hCWw==" spinCount="100000" sheet="1" objects="1" scenarios="1"/>
  <mergeCells count="4">
    <mergeCell ref="B42:Q42"/>
    <mergeCell ref="B49:Q49"/>
    <mergeCell ref="B3:Q3"/>
    <mergeCell ref="B5:Q5"/>
  </mergeCell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7">
    <tabColor rgb="FF92D050"/>
    <pageSetUpPr fitToPage="1"/>
  </sheetPr>
  <dimension ref="B3:S49"/>
  <sheetViews>
    <sheetView showGridLines="0" zoomScale="70" zoomScaleNormal="70" workbookViewId="0">
      <pane xSplit="2" ySplit="5" topLeftCell="L42" activePane="bottomRight" state="frozen"/>
      <selection activeCell="A4" sqref="A4:XFD4"/>
      <selection pane="topRight" activeCell="A4" sqref="A4:XFD4"/>
      <selection pane="bottomLeft" activeCell="A4" sqref="A4:XFD4"/>
      <selection pane="bottomRight" activeCell="N45" sqref="N45"/>
    </sheetView>
  </sheetViews>
  <sheetFormatPr defaultColWidth="9.453125" defaultRowHeight="15.5" x14ac:dyDescent="0.35"/>
  <cols>
    <col min="1" max="1" width="16.54296875" style="132" customWidth="1"/>
    <col min="2" max="2" width="43.453125" style="132" customWidth="1"/>
    <col min="3" max="16" width="17.453125" style="132" customWidth="1"/>
    <col min="17" max="17" width="10.6328125" style="132" bestFit="1" customWidth="1"/>
    <col min="18" max="18" width="2" style="132" customWidth="1"/>
    <col min="19" max="60" width="9.453125" style="132" customWidth="1"/>
    <col min="61" max="16384" width="9.453125" style="132"/>
  </cols>
  <sheetData>
    <row r="3" spans="2:19" s="276" customFormat="1" ht="22" x14ac:dyDescent="0.5">
      <c r="B3" s="297" t="str">
        <f>_xlfn.CONCAT('Table of Contents'!B31,": ",'Table of Contents'!C31)</f>
        <v>APPENDIX 19: SUMMARY OF GENERAL INSURANCE BUSINESS MARKET SHARE PER CLASS FOR THE PERIOD ENDED 31.03.2026</v>
      </c>
      <c r="C3" s="298"/>
      <c r="D3" s="298"/>
      <c r="E3" s="298"/>
      <c r="F3" s="298"/>
      <c r="G3" s="298"/>
      <c r="H3" s="298"/>
      <c r="I3" s="298"/>
      <c r="J3" s="298"/>
      <c r="K3" s="298"/>
      <c r="L3" s="298"/>
      <c r="M3" s="298"/>
      <c r="N3" s="298"/>
      <c r="O3" s="298"/>
      <c r="P3" s="298"/>
      <c r="Q3" s="299"/>
    </row>
    <row r="4" spans="2:19" s="187" customFormat="1" ht="46.5" x14ac:dyDescent="0.35">
      <c r="B4" s="106" t="s">
        <v>87</v>
      </c>
      <c r="C4" s="74" t="s">
        <v>216</v>
      </c>
      <c r="D4" s="74" t="s">
        <v>217</v>
      </c>
      <c r="E4" s="74" t="s">
        <v>218</v>
      </c>
      <c r="F4" s="74" t="s">
        <v>219</v>
      </c>
      <c r="G4" s="74" t="s">
        <v>220</v>
      </c>
      <c r="H4" s="74" t="s">
        <v>221</v>
      </c>
      <c r="I4" s="74" t="s">
        <v>222</v>
      </c>
      <c r="J4" s="74" t="s">
        <v>223</v>
      </c>
      <c r="K4" s="74" t="s">
        <v>224</v>
      </c>
      <c r="L4" s="74" t="s">
        <v>225</v>
      </c>
      <c r="M4" s="74" t="s">
        <v>226</v>
      </c>
      <c r="N4" s="74" t="s">
        <v>227</v>
      </c>
      <c r="O4" s="74" t="s">
        <v>228</v>
      </c>
      <c r="P4" s="74" t="s">
        <v>229</v>
      </c>
      <c r="Q4" s="74" t="s">
        <v>180</v>
      </c>
    </row>
    <row r="5" spans="2:19" ht="18" customHeight="1" x14ac:dyDescent="0.35">
      <c r="B5" s="300" t="s">
        <v>106</v>
      </c>
      <c r="C5" s="301"/>
      <c r="D5" s="301"/>
      <c r="E5" s="301"/>
      <c r="F5" s="301"/>
      <c r="G5" s="301"/>
      <c r="H5" s="301"/>
      <c r="I5" s="301"/>
      <c r="J5" s="301"/>
      <c r="K5" s="301"/>
      <c r="L5" s="301"/>
      <c r="M5" s="301"/>
      <c r="N5" s="301"/>
      <c r="O5" s="301"/>
      <c r="P5" s="301"/>
      <c r="Q5" s="302"/>
    </row>
    <row r="6" spans="2:19" ht="18" customHeight="1" x14ac:dyDescent="0.35">
      <c r="B6" s="192" t="str">
        <f>'APPENDIX 18'!B6</f>
        <v>AAR INSURANCE KENYA</v>
      </c>
      <c r="C6" s="193">
        <f>IFERROR('APPENDIX 18'!C6/'APPENDIX 18'!C$41*100,"")</f>
        <v>0</v>
      </c>
      <c r="D6" s="193">
        <f>IFERROR('APPENDIX 18'!D6/'APPENDIX 18'!D$41*100,"")</f>
        <v>2.1747682417229831E-2</v>
      </c>
      <c r="E6" s="193">
        <f>IFERROR('APPENDIX 18'!E6/'APPENDIX 18'!E$41*100,"")</f>
        <v>0.11487722557443536</v>
      </c>
      <c r="F6" s="193">
        <f>IFERROR('APPENDIX 18'!F6/'APPENDIX 18'!F$41*100,"")</f>
        <v>6.4845358430890135E-2</v>
      </c>
      <c r="G6" s="193">
        <f>IFERROR('APPENDIX 18'!G6/'APPENDIX 18'!G$41*100,"")</f>
        <v>0.51274320439842547</v>
      </c>
      <c r="H6" s="193">
        <f>IFERROR('APPENDIX 18'!H6/'APPENDIX 18'!H$41*100,"")</f>
        <v>7.1503146756229388E-2</v>
      </c>
      <c r="I6" s="193">
        <f>IFERROR('APPENDIX 18'!I6/'APPENDIX 18'!I$41*100,"")</f>
        <v>8.7079675871753939E-3</v>
      </c>
      <c r="J6" s="193">
        <f>IFERROR('APPENDIX 18'!J6/'APPENDIX 18'!J$41*100,"")</f>
        <v>1.1725713830767766E-2</v>
      </c>
      <c r="K6" s="193">
        <f>IFERROR('APPENDIX 18'!K6/'APPENDIX 18'!K$41*100,"")</f>
        <v>0</v>
      </c>
      <c r="L6" s="193">
        <f>IFERROR('APPENDIX 18'!L6/'APPENDIX 18'!L$41*100,"")</f>
        <v>0.41831776911770191</v>
      </c>
      <c r="M6" s="193">
        <f>IFERROR('APPENDIX 18'!M6/'APPENDIX 18'!M$41*100,"")</f>
        <v>0.13871809297084031</v>
      </c>
      <c r="N6" s="193">
        <f>IFERROR('APPENDIX 18'!N6/'APPENDIX 18'!N$41*100,"")</f>
        <v>0.81637413285137062</v>
      </c>
      <c r="O6" s="193">
        <f>IFERROR('APPENDIX 18'!O6/'APPENDIX 18'!O$41*100,"")</f>
        <v>10.251590086293085</v>
      </c>
      <c r="P6" s="193">
        <f>IFERROR('APPENDIX 18'!P6/'APPENDIX 18'!P$41*100,"")</f>
        <v>0.85643014501922776</v>
      </c>
      <c r="Q6" s="194">
        <f>IFERROR('APPENDIX 18'!$Q6/'APPENDIX 18'!Q$41*100,"")</f>
        <v>4.5011717402820492</v>
      </c>
      <c r="S6" s="132">
        <f>COUNTIF(Q6:Q40,"&gt;5")</f>
        <v>7</v>
      </c>
    </row>
    <row r="7" spans="2:19" ht="18" customHeight="1" x14ac:dyDescent="0.35">
      <c r="B7" s="192" t="str">
        <f>'APPENDIX 18'!B7</f>
        <v xml:space="preserve">AFRICAN MERCHANT ASSURANCE </v>
      </c>
      <c r="C7" s="193">
        <f>IFERROR('APPENDIX 18'!C7/'APPENDIX 18'!C$41*100,"")</f>
        <v>0</v>
      </c>
      <c r="D7" s="193">
        <f>IFERROR('APPENDIX 18'!D7/'APPENDIX 18'!D$41*100,"")</f>
        <v>0.38863296141415643</v>
      </c>
      <c r="E7" s="193">
        <f>IFERROR('APPENDIX 18'!E7/'APPENDIX 18'!E$41*100,"")</f>
        <v>2.3454267805663932E-2</v>
      </c>
      <c r="F7" s="193">
        <f>IFERROR('APPENDIX 18'!F7/'APPENDIX 18'!F$41*100,"")</f>
        <v>1.0124419171853149E-2</v>
      </c>
      <c r="G7" s="193">
        <f>IFERROR('APPENDIX 18'!G7/'APPENDIX 18'!G$41*100,"")</f>
        <v>0.81119759791465174</v>
      </c>
      <c r="H7" s="193">
        <f>IFERROR('APPENDIX 18'!H7/'APPENDIX 18'!H$41*100,"")</f>
        <v>8.9790755855770163E-2</v>
      </c>
      <c r="I7" s="193">
        <f>IFERROR('APPENDIX 18'!I7/'APPENDIX 18'!I$41*100,"")</f>
        <v>1.3689230228092235</v>
      </c>
      <c r="J7" s="193">
        <f>IFERROR('APPENDIX 18'!J7/'APPENDIX 18'!J$41*100,"")</f>
        <v>4.9545328606494827</v>
      </c>
      <c r="K7" s="193">
        <f>IFERROR('APPENDIX 18'!K7/'APPENDIX 18'!K$41*100,"")</f>
        <v>21.00434520028162</v>
      </c>
      <c r="L7" s="193">
        <f>IFERROR('APPENDIX 18'!L7/'APPENDIX 18'!L$41*100,"")</f>
        <v>0.6325970758056163</v>
      </c>
      <c r="M7" s="193">
        <f>IFERROR('APPENDIX 18'!M7/'APPENDIX 18'!M$41*100,"")</f>
        <v>3.191451970214592E-2</v>
      </c>
      <c r="N7" s="193">
        <f>IFERROR('APPENDIX 18'!N7/'APPENDIX 18'!N$41*100,"")</f>
        <v>1.031950636337049</v>
      </c>
      <c r="O7" s="193">
        <f>IFERROR('APPENDIX 18'!O7/'APPENDIX 18'!O$41*100,"")</f>
        <v>0</v>
      </c>
      <c r="P7" s="193">
        <f>IFERROR('APPENDIX 18'!P7/'APPENDIX 18'!P$41*100,"")</f>
        <v>0.8410092354026637</v>
      </c>
      <c r="Q7" s="194">
        <f>IFERROR('APPENDIX 18'!$Q7/'APPENDIX 18'!Q$41*100,"")</f>
        <v>1.0359299695181901</v>
      </c>
    </row>
    <row r="8" spans="2:19" ht="18" customHeight="1" x14ac:dyDescent="0.35">
      <c r="B8" s="192" t="str">
        <f>'APPENDIX 18'!B8</f>
        <v>APA INSURANCE LIMITED</v>
      </c>
      <c r="C8" s="193">
        <f>IFERROR('APPENDIX 18'!C8/'APPENDIX 18'!C$41*100,"")</f>
        <v>12.700788785279856</v>
      </c>
      <c r="D8" s="193">
        <f>IFERROR('APPENDIX 18'!D8/'APPENDIX 18'!D$41*100,"")</f>
        <v>6.0999054686326399</v>
      </c>
      <c r="E8" s="193">
        <f>IFERROR('APPENDIX 18'!E8/'APPENDIX 18'!E$41*100,"")</f>
        <v>6.0829294005598022</v>
      </c>
      <c r="F8" s="193">
        <f>IFERROR('APPENDIX 18'!F8/'APPENDIX 18'!F$41*100,"")</f>
        <v>11.122305138552028</v>
      </c>
      <c r="G8" s="193">
        <f>IFERROR('APPENDIX 18'!G8/'APPENDIX 18'!G$41*100,"")</f>
        <v>9.3469109625253211</v>
      </c>
      <c r="H8" s="193">
        <f>IFERROR('APPENDIX 18'!H8/'APPENDIX 18'!H$41*100,"")</f>
        <v>6.6872750055102639</v>
      </c>
      <c r="I8" s="193">
        <f>IFERROR('APPENDIX 18'!I8/'APPENDIX 18'!I$41*100,"")</f>
        <v>8.4776047086952371</v>
      </c>
      <c r="J8" s="193">
        <f>IFERROR('APPENDIX 18'!J8/'APPENDIX 18'!J$41*100,"")</f>
        <v>9.6613623125857231</v>
      </c>
      <c r="K8" s="193">
        <f>IFERROR('APPENDIX 18'!K8/'APPENDIX 18'!K$41*100,"")</f>
        <v>0</v>
      </c>
      <c r="L8" s="193">
        <f>IFERROR('APPENDIX 18'!L8/'APPENDIX 18'!L$41*100,"")</f>
        <v>10.977720024077314</v>
      </c>
      <c r="M8" s="193">
        <f>IFERROR('APPENDIX 18'!M8/'APPENDIX 18'!M$41*100,"")</f>
        <v>4.7245767001149668</v>
      </c>
      <c r="N8" s="193">
        <f>IFERROR('APPENDIX 18'!N8/'APPENDIX 18'!N$41*100,"")</f>
        <v>8.1401495669807158</v>
      </c>
      <c r="O8" s="193">
        <f>IFERROR('APPENDIX 18'!O8/'APPENDIX 18'!O$41*100,"")</f>
        <v>8.7681602597568613</v>
      </c>
      <c r="P8" s="193">
        <f>IFERROR('APPENDIX 18'!P8/'APPENDIX 18'!P$41*100,"")</f>
        <v>6.6564174348518979</v>
      </c>
      <c r="Q8" s="194">
        <f>IFERROR('APPENDIX 18'!$Q8/'APPENDIX 18'!Q$41*100,"")</f>
        <v>8.7318206842199171</v>
      </c>
    </row>
    <row r="9" spans="2:19" ht="18" customHeight="1" x14ac:dyDescent="0.35">
      <c r="B9" s="192" t="str">
        <f>'APPENDIX 18'!B9</f>
        <v>BRITAM GENERAL INSURANCE</v>
      </c>
      <c r="C9" s="193">
        <f>IFERROR('APPENDIX 18'!C9/'APPENDIX 18'!C$41*100,"")</f>
        <v>8.9339975287602034</v>
      </c>
      <c r="D9" s="193">
        <f>IFERROR('APPENDIX 18'!D9/'APPENDIX 18'!D$41*100,"")</f>
        <v>11.238240877301202</v>
      </c>
      <c r="E9" s="193">
        <f>IFERROR('APPENDIX 18'!E9/'APPENDIX 18'!E$41*100,"")</f>
        <v>8.341144167413022</v>
      </c>
      <c r="F9" s="193">
        <f>IFERROR('APPENDIX 18'!F9/'APPENDIX 18'!F$41*100,"")</f>
        <v>5.823804993457764</v>
      </c>
      <c r="G9" s="193">
        <f>IFERROR('APPENDIX 18'!G9/'APPENDIX 18'!G$41*100,"")</f>
        <v>8.8414297250276839</v>
      </c>
      <c r="H9" s="193">
        <f>IFERROR('APPENDIX 18'!H9/'APPENDIX 18'!H$41*100,"")</f>
        <v>9.9376085291693457</v>
      </c>
      <c r="I9" s="193">
        <f>IFERROR('APPENDIX 18'!I9/'APPENDIX 18'!I$41*100,"")</f>
        <v>6.0902016185287868</v>
      </c>
      <c r="J9" s="193">
        <f>IFERROR('APPENDIX 18'!J9/'APPENDIX 18'!J$41*100,"")</f>
        <v>2.5412172542990912</v>
      </c>
      <c r="K9" s="193">
        <f>IFERROR('APPENDIX 18'!K9/'APPENDIX 18'!K$41*100,"")</f>
        <v>0</v>
      </c>
      <c r="L9" s="193">
        <f>IFERROR('APPENDIX 18'!L9/'APPENDIX 18'!L$41*100,"")</f>
        <v>10.605186496409365</v>
      </c>
      <c r="M9" s="193">
        <f>IFERROR('APPENDIX 18'!M9/'APPENDIX 18'!M$41*100,"")</f>
        <v>2.0738778023657027</v>
      </c>
      <c r="N9" s="193">
        <f>IFERROR('APPENDIX 18'!N9/'APPENDIX 18'!N$41*100,"")</f>
        <v>7.7989603134197294</v>
      </c>
      <c r="O9" s="193">
        <f>IFERROR('APPENDIX 18'!O9/'APPENDIX 18'!O$41*100,"")</f>
        <v>6.3189754445277302</v>
      </c>
      <c r="P9" s="193">
        <f>IFERROR('APPENDIX 18'!P9/'APPENDIX 18'!P$41*100,"")</f>
        <v>1.5613280542222985</v>
      </c>
      <c r="Q9" s="194">
        <f>IFERROR('APPENDIX 18'!$Q9/'APPENDIX 18'!Q$41*100,"")</f>
        <v>5.9761552692749849</v>
      </c>
    </row>
    <row r="10" spans="2:19" ht="18" customHeight="1" x14ac:dyDescent="0.35">
      <c r="B10" s="192" t="str">
        <f>'APPENDIX 18'!B10</f>
        <v>BUPA GLOBAL INSURANCE</v>
      </c>
      <c r="C10" s="193">
        <f>IFERROR('APPENDIX 18'!C10/'APPENDIX 18'!C$41*100,"")</f>
        <v>0</v>
      </c>
      <c r="D10" s="193">
        <f>IFERROR('APPENDIX 18'!D10/'APPENDIX 18'!D$41*100,"")</f>
        <v>0</v>
      </c>
      <c r="E10" s="193">
        <f>IFERROR('APPENDIX 18'!E10/'APPENDIX 18'!E$41*100,"")</f>
        <v>0</v>
      </c>
      <c r="F10" s="193">
        <f>IFERROR('APPENDIX 18'!F10/'APPENDIX 18'!F$41*100,"")</f>
        <v>0</v>
      </c>
      <c r="G10" s="193">
        <f>IFERROR('APPENDIX 18'!G10/'APPENDIX 18'!G$41*100,"")</f>
        <v>0</v>
      </c>
      <c r="H10" s="193">
        <f>IFERROR('APPENDIX 18'!H10/'APPENDIX 18'!H$41*100,"")</f>
        <v>0</v>
      </c>
      <c r="I10" s="193">
        <f>IFERROR('APPENDIX 18'!I10/'APPENDIX 18'!I$41*100,"")</f>
        <v>0</v>
      </c>
      <c r="J10" s="193">
        <f>IFERROR('APPENDIX 18'!J10/'APPENDIX 18'!J$41*100,"")</f>
        <v>0</v>
      </c>
      <c r="K10" s="193">
        <f>IFERROR('APPENDIX 18'!K10/'APPENDIX 18'!K$41*100,"")</f>
        <v>0</v>
      </c>
      <c r="L10" s="193">
        <f>IFERROR('APPENDIX 18'!L10/'APPENDIX 18'!L$41*100,"")</f>
        <v>0</v>
      </c>
      <c r="M10" s="193">
        <f>IFERROR('APPENDIX 18'!M10/'APPENDIX 18'!M$41*100,"")</f>
        <v>0</v>
      </c>
      <c r="N10" s="193">
        <f>IFERROR('APPENDIX 18'!N10/'APPENDIX 18'!N$41*100,"")</f>
        <v>0</v>
      </c>
      <c r="O10" s="193">
        <f>IFERROR('APPENDIX 18'!O10/'APPENDIX 18'!O$41*100,"")</f>
        <v>7.1109105694182855</v>
      </c>
      <c r="P10" s="193">
        <f>IFERROR('APPENDIX 18'!P10/'APPENDIX 18'!P$41*100,"")</f>
        <v>0</v>
      </c>
      <c r="Q10" s="194">
        <f>IFERROR('APPENDIX 18'!$Q10/'APPENDIX 18'!Q$41*100,"")</f>
        <v>3.0569320906083619</v>
      </c>
    </row>
    <row r="11" spans="2:19" ht="18" customHeight="1" x14ac:dyDescent="0.35">
      <c r="B11" s="192" t="str">
        <f>'APPENDIX 18'!B11</f>
        <v>CANNON GENERAL INSURANCE</v>
      </c>
      <c r="C11" s="193">
        <f>IFERROR('APPENDIX 18'!C11/'APPENDIX 18'!C$41*100,"")</f>
        <v>0</v>
      </c>
      <c r="D11" s="193">
        <f>IFERROR('APPENDIX 18'!D11/'APPENDIX 18'!D$41*100,"")</f>
        <v>0.63802334688565543</v>
      </c>
      <c r="E11" s="193">
        <f>IFERROR('APPENDIX 18'!E11/'APPENDIX 18'!E$41*100,"")</f>
        <v>0.58057738137738146</v>
      </c>
      <c r="F11" s="193">
        <f>IFERROR('APPENDIX 18'!F11/'APPENDIX 18'!F$41*100,"")</f>
        <v>0.32705303859998458</v>
      </c>
      <c r="G11" s="193">
        <f>IFERROR('APPENDIX 18'!G11/'APPENDIX 18'!G$41*100,"")</f>
        <v>0.58946010316845465</v>
      </c>
      <c r="H11" s="193">
        <f>IFERROR('APPENDIX 18'!H11/'APPENDIX 18'!H$41*100,"")</f>
        <v>1.2867078563231462</v>
      </c>
      <c r="I11" s="193">
        <f>IFERROR('APPENDIX 18'!I11/'APPENDIX 18'!I$41*100,"")</f>
        <v>3.1903067988307403</v>
      </c>
      <c r="J11" s="193">
        <f>IFERROR('APPENDIX 18'!J11/'APPENDIX 18'!J$41*100,"")</f>
        <v>1.0004243865147135</v>
      </c>
      <c r="K11" s="193">
        <f>IFERROR('APPENDIX 18'!K11/'APPENDIX 18'!K$41*100,"")</f>
        <v>0</v>
      </c>
      <c r="L11" s="193">
        <f>IFERROR('APPENDIX 18'!L11/'APPENDIX 18'!L$41*100,"")</f>
        <v>0.57146777360046619</v>
      </c>
      <c r="M11" s="193">
        <f>IFERROR('APPENDIX 18'!M11/'APPENDIX 18'!M$41*100,"")</f>
        <v>0.33613704030092079</v>
      </c>
      <c r="N11" s="193">
        <f>IFERROR('APPENDIX 18'!N11/'APPENDIX 18'!N$41*100,"")</f>
        <v>1.2192314420372208</v>
      </c>
      <c r="O11" s="193">
        <f>IFERROR('APPENDIX 18'!O11/'APPENDIX 18'!O$41*100,"")</f>
        <v>0</v>
      </c>
      <c r="P11" s="193">
        <f>IFERROR('APPENDIX 18'!P11/'APPENDIX 18'!P$41*100,"")</f>
        <v>0.78463937694974673</v>
      </c>
      <c r="Q11" s="194">
        <f>IFERROR('APPENDIX 18'!$Q11/'APPENDIX 18'!Q$41*100,"")</f>
        <v>0.67475671542921778</v>
      </c>
    </row>
    <row r="12" spans="2:19" ht="18" customHeight="1" x14ac:dyDescent="0.35">
      <c r="B12" s="192" t="str">
        <f>'APPENDIX 18'!B12</f>
        <v>CIC GENERAL INSURANCE COMPANY</v>
      </c>
      <c r="C12" s="193">
        <f>IFERROR('APPENDIX 18'!C12/'APPENDIX 18'!C$41*100,"")</f>
        <v>0</v>
      </c>
      <c r="D12" s="193">
        <f>IFERROR('APPENDIX 18'!D12/'APPENDIX 18'!D$41*100,"")</f>
        <v>3.998909766564176</v>
      </c>
      <c r="E12" s="193">
        <f>IFERROR('APPENDIX 18'!E12/'APPENDIX 18'!E$41*100,"")</f>
        <v>5.3865306164554028</v>
      </c>
      <c r="F12" s="193">
        <f>IFERROR('APPENDIX 18'!F12/'APPENDIX 18'!F$41*100,"")</f>
        <v>1.9617552331286197</v>
      </c>
      <c r="G12" s="193">
        <f>IFERROR('APPENDIX 18'!G12/'APPENDIX 18'!G$41*100,"")</f>
        <v>3.7906930832678785</v>
      </c>
      <c r="H12" s="193">
        <f>IFERROR('APPENDIX 18'!H12/'APPENDIX 18'!H$41*100,"")</f>
        <v>0.81472728635859148</v>
      </c>
      <c r="I12" s="193">
        <f>IFERROR('APPENDIX 18'!I12/'APPENDIX 18'!I$41*100,"")</f>
        <v>11.44827362271241</v>
      </c>
      <c r="J12" s="193">
        <f>IFERROR('APPENDIX 18'!J12/'APPENDIX 18'!J$41*100,"")</f>
        <v>11.87784357256799</v>
      </c>
      <c r="K12" s="193">
        <f>IFERROR('APPENDIX 18'!K12/'APPENDIX 18'!K$41*100,"")</f>
        <v>0</v>
      </c>
      <c r="L12" s="193">
        <f>IFERROR('APPENDIX 18'!L12/'APPENDIX 18'!L$41*100,"")</f>
        <v>16.127566631193133</v>
      </c>
      <c r="M12" s="193">
        <f>IFERROR('APPENDIX 18'!M12/'APPENDIX 18'!M$41*100,"")</f>
        <v>13.881210553962317</v>
      </c>
      <c r="N12" s="193">
        <f>IFERROR('APPENDIX 18'!N12/'APPENDIX 18'!N$41*100,"")</f>
        <v>6.6233623078324335</v>
      </c>
      <c r="O12" s="193">
        <f>IFERROR('APPENDIX 18'!O12/'APPENDIX 18'!O$41*100,"")</f>
        <v>11.529285069130966</v>
      </c>
      <c r="P12" s="193">
        <f>IFERROR('APPENDIX 18'!P12/'APPENDIX 18'!P$41*100,"")</f>
        <v>4.9113331541130547</v>
      </c>
      <c r="Q12" s="194">
        <f>IFERROR('APPENDIX 18'!$Q12/'APPENDIX 18'!Q$41*100,"")</f>
        <v>9.1569646922685966</v>
      </c>
    </row>
    <row r="13" spans="2:19" ht="18" customHeight="1" x14ac:dyDescent="0.35">
      <c r="B13" s="192" t="str">
        <f>'APPENDIX 18'!B13</f>
        <v>DEFINITE ASSURANCE COMPANY</v>
      </c>
      <c r="C13" s="193">
        <f>IFERROR('APPENDIX 18'!C13/'APPENDIX 18'!C$41*100,"")</f>
        <v>0</v>
      </c>
      <c r="D13" s="193">
        <f>IFERROR('APPENDIX 18'!D13/'APPENDIX 18'!D$41*100,"")</f>
        <v>0</v>
      </c>
      <c r="E13" s="193">
        <f>IFERROR('APPENDIX 18'!E13/'APPENDIX 18'!E$41*100,"")</f>
        <v>0</v>
      </c>
      <c r="F13" s="193">
        <f>IFERROR('APPENDIX 18'!F13/'APPENDIX 18'!F$41*100,"")</f>
        <v>0</v>
      </c>
      <c r="G13" s="193">
        <f>IFERROR('APPENDIX 18'!G13/'APPENDIX 18'!G$41*100,"")</f>
        <v>0</v>
      </c>
      <c r="H13" s="193">
        <f>IFERROR('APPENDIX 18'!H13/'APPENDIX 18'!H$41*100,"")</f>
        <v>0</v>
      </c>
      <c r="I13" s="193">
        <f>IFERROR('APPENDIX 18'!I13/'APPENDIX 18'!I$41*100,"")</f>
        <v>0</v>
      </c>
      <c r="J13" s="193">
        <f>IFERROR('APPENDIX 18'!J13/'APPENDIX 18'!J$41*100,"")</f>
        <v>0</v>
      </c>
      <c r="K13" s="193">
        <f>IFERROR('APPENDIX 18'!K13/'APPENDIX 18'!K$41*100,"")</f>
        <v>0</v>
      </c>
      <c r="L13" s="193">
        <f>IFERROR('APPENDIX 18'!L13/'APPENDIX 18'!L$41*100,"")</f>
        <v>0</v>
      </c>
      <c r="M13" s="193">
        <f>IFERROR('APPENDIX 18'!M13/'APPENDIX 18'!M$41*100,"")</f>
        <v>0</v>
      </c>
      <c r="N13" s="193">
        <f>IFERROR('APPENDIX 18'!N13/'APPENDIX 18'!N$41*100,"")</f>
        <v>0</v>
      </c>
      <c r="O13" s="193">
        <f>IFERROR('APPENDIX 18'!O13/'APPENDIX 18'!O$41*100,"")</f>
        <v>0</v>
      </c>
      <c r="P13" s="193">
        <f>IFERROR('APPENDIX 18'!P13/'APPENDIX 18'!P$41*100,"")</f>
        <v>0</v>
      </c>
      <c r="Q13" s="194">
        <f>IFERROR('APPENDIX 18'!$Q13/'APPENDIX 18'!Q$41*100,"")</f>
        <v>0</v>
      </c>
    </row>
    <row r="14" spans="2:19" ht="18" customHeight="1" x14ac:dyDescent="0.35">
      <c r="B14" s="192" t="str">
        <f>'APPENDIX 18'!B14</f>
        <v>DIRECTLINE ASSURANCE COMPANY</v>
      </c>
      <c r="C14" s="193">
        <f>IFERROR('APPENDIX 18'!C14/'APPENDIX 18'!C$41*100,"")</f>
        <v>0</v>
      </c>
      <c r="D14" s="193">
        <f>IFERROR('APPENDIX 18'!D14/'APPENDIX 18'!D$41*100,"")</f>
        <v>0</v>
      </c>
      <c r="E14" s="193">
        <f>IFERROR('APPENDIX 18'!E14/'APPENDIX 18'!E$41*100,"")</f>
        <v>0</v>
      </c>
      <c r="F14" s="193">
        <f>IFERROR('APPENDIX 18'!F14/'APPENDIX 18'!F$41*100,"")</f>
        <v>0</v>
      </c>
      <c r="G14" s="193">
        <f>IFERROR('APPENDIX 18'!G14/'APPENDIX 18'!G$41*100,"")</f>
        <v>0</v>
      </c>
      <c r="H14" s="193">
        <f>IFERROR('APPENDIX 18'!H14/'APPENDIX 18'!H$41*100,"")</f>
        <v>0</v>
      </c>
      <c r="I14" s="193">
        <f>IFERROR('APPENDIX 18'!I14/'APPENDIX 18'!I$41*100,"")</f>
        <v>1.1658654480694963</v>
      </c>
      <c r="J14" s="193">
        <f>IFERROR('APPENDIX 18'!J14/'APPENDIX 18'!J$41*100,"")</f>
        <v>0.42819070610090082</v>
      </c>
      <c r="K14" s="193">
        <f>IFERROR('APPENDIX 18'!K14/'APPENDIX 18'!K$41*100,"")</f>
        <v>62.109349524995395</v>
      </c>
      <c r="L14" s="193">
        <f>IFERROR('APPENDIX 18'!L14/'APPENDIX 18'!L$41*100,"")</f>
        <v>0</v>
      </c>
      <c r="M14" s="193">
        <f>IFERROR('APPENDIX 18'!M14/'APPENDIX 18'!M$41*100,"")</f>
        <v>0</v>
      </c>
      <c r="N14" s="193">
        <f>IFERROR('APPENDIX 18'!N14/'APPENDIX 18'!N$41*100,"")</f>
        <v>0</v>
      </c>
      <c r="O14" s="193">
        <f>IFERROR('APPENDIX 18'!O14/'APPENDIX 18'!O$41*100,"")</f>
        <v>0</v>
      </c>
      <c r="P14" s="193">
        <f>IFERROR('APPENDIX 18'!P14/'APPENDIX 18'!P$41*100,"")</f>
        <v>0</v>
      </c>
      <c r="Q14" s="194">
        <f>IFERROR('APPENDIX 18'!$Q14/'APPENDIX 18'!Q$41*100,"")</f>
        <v>0.92535393499953222</v>
      </c>
    </row>
    <row r="15" spans="2:19" ht="18" customHeight="1" x14ac:dyDescent="0.35">
      <c r="B15" s="192" t="str">
        <f>'APPENDIX 18'!B15</f>
        <v>EQUITY GENERAL INSURANCE LIMITED</v>
      </c>
      <c r="C15" s="193">
        <f>IFERROR('APPENDIX 18'!C15/'APPENDIX 18'!C$41*100,"")</f>
        <v>0</v>
      </c>
      <c r="D15" s="193">
        <f>IFERROR('APPENDIX 18'!D15/'APPENDIX 18'!D$41*100,"")</f>
        <v>0.98197633376696847</v>
      </c>
      <c r="E15" s="193">
        <f>IFERROR('APPENDIX 18'!E15/'APPENDIX 18'!E$41*100,"")</f>
        <v>3.7150877485717139E-2</v>
      </c>
      <c r="F15" s="193">
        <f>IFERROR('APPENDIX 18'!F15/'APPENDIX 18'!F$41*100,"")</f>
        <v>0.5457125835436869</v>
      </c>
      <c r="G15" s="193">
        <f>IFERROR('APPENDIX 18'!G15/'APPENDIX 18'!G$41*100,"")</f>
        <v>3.7890435825705531</v>
      </c>
      <c r="H15" s="193">
        <f>IFERROR('APPENDIX 18'!H15/'APPENDIX 18'!H$41*100,"")</f>
        <v>3.9564674455790365E-2</v>
      </c>
      <c r="I15" s="193">
        <f>IFERROR('APPENDIX 18'!I15/'APPENDIX 18'!I$41*100,"")</f>
        <v>0.13585850908649763</v>
      </c>
      <c r="J15" s="193">
        <f>IFERROR('APPENDIX 18'!J15/'APPENDIX 18'!J$41*100,"")</f>
        <v>0</v>
      </c>
      <c r="K15" s="193">
        <f>IFERROR('APPENDIX 18'!K15/'APPENDIX 18'!K$41*100,"")</f>
        <v>0</v>
      </c>
      <c r="L15" s="193">
        <f>IFERROR('APPENDIX 18'!L15/'APPENDIX 18'!L$41*100,"")</f>
        <v>2.6488392437082824E-2</v>
      </c>
      <c r="M15" s="193">
        <f>IFERROR('APPENDIX 18'!M15/'APPENDIX 18'!M$41*100,"")</f>
        <v>14.348727090135094</v>
      </c>
      <c r="N15" s="193">
        <f>IFERROR('APPENDIX 18'!N15/'APPENDIX 18'!N$41*100,"")</f>
        <v>1.9901021908338649E-2</v>
      </c>
      <c r="O15" s="193">
        <f>IFERROR('APPENDIX 18'!O15/'APPENDIX 18'!O$41*100,"")</f>
        <v>0</v>
      </c>
      <c r="P15" s="193">
        <f>IFERROR('APPENDIX 18'!P15/'APPENDIX 18'!P$41*100,"")</f>
        <v>0</v>
      </c>
      <c r="Q15" s="194">
        <f>IFERROR('APPENDIX 18'!$Q15/'APPENDIX 18'!Q$41*100,"")</f>
        <v>0.72632060088004768</v>
      </c>
    </row>
    <row r="16" spans="2:19" ht="18" customHeight="1" x14ac:dyDescent="0.35">
      <c r="B16" s="192" t="str">
        <f>'APPENDIX 18'!B16</f>
        <v>EQUITY HEALTH INSURANCE LIMITED</v>
      </c>
      <c r="C16" s="193">
        <f>IFERROR('APPENDIX 18'!C16/'APPENDIX 18'!C$41*100,"")</f>
        <v>0</v>
      </c>
      <c r="D16" s="193">
        <f>IFERROR('APPENDIX 18'!D16/'APPENDIX 18'!D$41*100,"")</f>
        <v>0</v>
      </c>
      <c r="E16" s="193">
        <f>IFERROR('APPENDIX 18'!E16/'APPENDIX 18'!E$41*100,"")</f>
        <v>0</v>
      </c>
      <c r="F16" s="193">
        <f>IFERROR('APPENDIX 18'!F16/'APPENDIX 18'!F$41*100,"")</f>
        <v>0</v>
      </c>
      <c r="G16" s="193">
        <f>IFERROR('APPENDIX 18'!G16/'APPENDIX 18'!G$41*100,"")</f>
        <v>0</v>
      </c>
      <c r="H16" s="193">
        <f>IFERROR('APPENDIX 18'!H16/'APPENDIX 18'!H$41*100,"")</f>
        <v>0</v>
      </c>
      <c r="I16" s="193">
        <f>IFERROR('APPENDIX 18'!I16/'APPENDIX 18'!I$41*100,"")</f>
        <v>0</v>
      </c>
      <c r="J16" s="193">
        <f>IFERROR('APPENDIX 18'!J16/'APPENDIX 18'!J$41*100,"")</f>
        <v>0</v>
      </c>
      <c r="K16" s="193">
        <f>IFERROR('APPENDIX 18'!K16/'APPENDIX 18'!K$41*100,"")</f>
        <v>0</v>
      </c>
      <c r="L16" s="193">
        <f>IFERROR('APPENDIX 18'!L16/'APPENDIX 18'!L$41*100,"")</f>
        <v>0</v>
      </c>
      <c r="M16" s="193">
        <f>IFERROR('APPENDIX 18'!M16/'APPENDIX 18'!M$41*100,"")</f>
        <v>0</v>
      </c>
      <c r="N16" s="193">
        <f>IFERROR('APPENDIX 18'!N16/'APPENDIX 18'!N$41*100,"")</f>
        <v>0</v>
      </c>
      <c r="O16" s="193">
        <f>IFERROR('APPENDIX 18'!O16/'APPENDIX 18'!O$41*100,"")</f>
        <v>3.4229900682930725</v>
      </c>
      <c r="P16" s="193">
        <f>IFERROR('APPENDIX 18'!P16/'APPENDIX 18'!P$41*100,"")</f>
        <v>0</v>
      </c>
      <c r="Q16" s="194">
        <f>IFERROR('APPENDIX 18'!$Q16/'APPENDIX 18'!Q$41*100,"")</f>
        <v>1.4715201496979036</v>
      </c>
    </row>
    <row r="17" spans="2:17" ht="18" customHeight="1" x14ac:dyDescent="0.35">
      <c r="B17" s="192" t="str">
        <f>'APPENDIX 18'!B17</f>
        <v xml:space="preserve">FIDELITY SHIELD INSURANCE  </v>
      </c>
      <c r="C17" s="193">
        <f>IFERROR('APPENDIX 18'!C17/'APPENDIX 18'!C$41*100,"")</f>
        <v>1.0364827019747266E-2</v>
      </c>
      <c r="D17" s="193">
        <f>IFERROR('APPENDIX 18'!D17/'APPENDIX 18'!D$41*100,"")</f>
        <v>1.2749952490766676</v>
      </c>
      <c r="E17" s="193">
        <f>IFERROR('APPENDIX 18'!E17/'APPENDIX 18'!E$41*100,"")</f>
        <v>1.9435303840193425</v>
      </c>
      <c r="F17" s="193">
        <f>IFERROR('APPENDIX 18'!F17/'APPENDIX 18'!F$41*100,"")</f>
        <v>1.6524727337233289</v>
      </c>
      <c r="G17" s="193">
        <f>IFERROR('APPENDIX 18'!G17/'APPENDIX 18'!G$41*100,"")</f>
        <v>1.9015433878488339</v>
      </c>
      <c r="H17" s="193">
        <f>IFERROR('APPENDIX 18'!H17/'APPENDIX 18'!H$41*100,"")</f>
        <v>3.1415631318372985</v>
      </c>
      <c r="I17" s="193">
        <f>IFERROR('APPENDIX 18'!I17/'APPENDIX 18'!I$41*100,"")</f>
        <v>5.4593555110173604</v>
      </c>
      <c r="J17" s="193">
        <f>IFERROR('APPENDIX 18'!J17/'APPENDIX 18'!J$41*100,"")</f>
        <v>3.9908142717685253</v>
      </c>
      <c r="K17" s="193">
        <f>IFERROR('APPENDIX 18'!K17/'APPENDIX 18'!K$41*100,"")</f>
        <v>0.7614921581679639</v>
      </c>
      <c r="L17" s="193">
        <f>IFERROR('APPENDIX 18'!L17/'APPENDIX 18'!L$41*100,"")</f>
        <v>0.38738401545349122</v>
      </c>
      <c r="M17" s="193">
        <f>IFERROR('APPENDIX 18'!M17/'APPENDIX 18'!M$41*100,"")</f>
        <v>1.2358390353159281</v>
      </c>
      <c r="N17" s="193">
        <f>IFERROR('APPENDIX 18'!N17/'APPENDIX 18'!N$41*100,"")</f>
        <v>3.4837499721055654</v>
      </c>
      <c r="O17" s="193">
        <f>IFERROR('APPENDIX 18'!O17/'APPENDIX 18'!O$41*100,"")</f>
        <v>0.56588139887963573</v>
      </c>
      <c r="P17" s="193">
        <f>IFERROR('APPENDIX 18'!P17/'APPENDIX 18'!P$41*100,"")</f>
        <v>3.5380101696168857</v>
      </c>
      <c r="Q17" s="194">
        <f>IFERROR('APPENDIX 18'!$Q17/'APPENDIX 18'!Q$41*100,"")</f>
        <v>1.9619960795687867</v>
      </c>
    </row>
    <row r="18" spans="2:17" ht="18" customHeight="1" x14ac:dyDescent="0.35">
      <c r="B18" s="192" t="str">
        <f>'APPENDIX 18'!B18</f>
        <v>FIRST ASSURANCE COMPANY</v>
      </c>
      <c r="C18" s="193">
        <f>IFERROR('APPENDIX 18'!C18/'APPENDIX 18'!C$41*100,"")</f>
        <v>0</v>
      </c>
      <c r="D18" s="193">
        <f>IFERROR('APPENDIX 18'!D18/'APPENDIX 18'!D$41*100,"")</f>
        <v>3.6418159490267139</v>
      </c>
      <c r="E18" s="193">
        <f>IFERROR('APPENDIX 18'!E18/'APPENDIX 18'!E$41*100,"")</f>
        <v>2.5828982773932276</v>
      </c>
      <c r="F18" s="193">
        <f>IFERROR('APPENDIX 18'!F18/'APPENDIX 18'!F$41*100,"")</f>
        <v>2.8581178576629132</v>
      </c>
      <c r="G18" s="193">
        <f>IFERROR('APPENDIX 18'!G18/'APPENDIX 18'!G$41*100,"")</f>
        <v>1.8615966105552422</v>
      </c>
      <c r="H18" s="193">
        <f>IFERROR('APPENDIX 18'!H18/'APPENDIX 18'!H$41*100,"")</f>
        <v>2.7710714085585431</v>
      </c>
      <c r="I18" s="193">
        <f>IFERROR('APPENDIX 18'!I18/'APPENDIX 18'!I$41*100,"")</f>
        <v>2.5885487601482575</v>
      </c>
      <c r="J18" s="193">
        <f>IFERROR('APPENDIX 18'!J18/'APPENDIX 18'!J$41*100,"")</f>
        <v>2.2008709347408884</v>
      </c>
      <c r="K18" s="193">
        <f>IFERROR('APPENDIX 18'!K18/'APPENDIX 18'!K$41*100,"")</f>
        <v>3.8254938904175888</v>
      </c>
      <c r="L18" s="193">
        <f>IFERROR('APPENDIX 18'!L18/'APPENDIX 18'!L$41*100,"")</f>
        <v>11.208431349773694</v>
      </c>
      <c r="M18" s="193">
        <f>IFERROR('APPENDIX 18'!M18/'APPENDIX 18'!M$41*100,"")</f>
        <v>1.5648381238362219</v>
      </c>
      <c r="N18" s="193">
        <f>IFERROR('APPENDIX 18'!N18/'APPENDIX 18'!N$41*100,"")</f>
        <v>0.29340931423687067</v>
      </c>
      <c r="O18" s="193">
        <f>IFERROR('APPENDIX 18'!O18/'APPENDIX 18'!O$41*100,"")</f>
        <v>3.3440465636339534</v>
      </c>
      <c r="P18" s="193">
        <f>IFERROR('APPENDIX 18'!P18/'APPENDIX 18'!P$41*100,"")</f>
        <v>2.6042602068291938</v>
      </c>
      <c r="Q18" s="194">
        <f>IFERROR('APPENDIX 18'!$Q18/'APPENDIX 18'!Q$41*100,"")</f>
        <v>2.8625952329655067</v>
      </c>
    </row>
    <row r="19" spans="2:17" ht="18" customHeight="1" x14ac:dyDescent="0.35">
      <c r="B19" s="192" t="str">
        <f>'APPENDIX 18'!B19</f>
        <v>GA INSURANCE COMPANY</v>
      </c>
      <c r="C19" s="193">
        <f>IFERROR('APPENDIX 18'!C19/'APPENDIX 18'!C$41*100,"")</f>
        <v>17.868227855929266</v>
      </c>
      <c r="D19" s="193">
        <f>IFERROR('APPENDIX 18'!D19/'APPENDIX 18'!D$41*100,"")</f>
        <v>15.387481563941927</v>
      </c>
      <c r="E19" s="193">
        <f>IFERROR('APPENDIX 18'!E19/'APPENDIX 18'!E$41*100,"")</f>
        <v>10.180518182345843</v>
      </c>
      <c r="F19" s="193">
        <f>IFERROR('APPENDIX 18'!F19/'APPENDIX 18'!F$41*100,"")</f>
        <v>17.165304627535726</v>
      </c>
      <c r="G19" s="193">
        <f>IFERROR('APPENDIX 18'!G19/'APPENDIX 18'!G$41*100,"")</f>
        <v>10.795046374867892</v>
      </c>
      <c r="H19" s="193">
        <f>IFERROR('APPENDIX 18'!H19/'APPENDIX 18'!H$41*100,"")</f>
        <v>14.442418934129917</v>
      </c>
      <c r="I19" s="193">
        <f>IFERROR('APPENDIX 18'!I19/'APPENDIX 18'!I$41*100,"")</f>
        <v>6.1320802860619494</v>
      </c>
      <c r="J19" s="193">
        <f>IFERROR('APPENDIX 18'!J19/'APPENDIX 18'!J$41*100,"")</f>
        <v>6.6476476932716784</v>
      </c>
      <c r="K19" s="193">
        <f>IFERROR('APPENDIX 18'!K19/'APPENDIX 18'!K$41*100,"")</f>
        <v>5.8401065026567167</v>
      </c>
      <c r="L19" s="193">
        <f>IFERROR('APPENDIX 18'!L19/'APPENDIX 18'!L$41*100,"")</f>
        <v>5.5801049203300437</v>
      </c>
      <c r="M19" s="193">
        <f>IFERROR('APPENDIX 18'!M19/'APPENDIX 18'!M$41*100,"")</f>
        <v>16.769336656558199</v>
      </c>
      <c r="N19" s="193">
        <f>IFERROR('APPENDIX 18'!N19/'APPENDIX 18'!N$41*100,"")</f>
        <v>16.333642085204904</v>
      </c>
      <c r="O19" s="193">
        <f>IFERROR('APPENDIX 18'!O19/'APPENDIX 18'!O$41*100,"")</f>
        <v>5.5805174164527553</v>
      </c>
      <c r="P19" s="193">
        <f>IFERROR('APPENDIX 18'!P19/'APPENDIX 18'!P$41*100,"")</f>
        <v>8.9939892524244467</v>
      </c>
      <c r="Q19" s="194">
        <f>IFERROR('APPENDIX 18'!$Q19/'APPENDIX 18'!Q$41*100,"")</f>
        <v>8.9667942948729049</v>
      </c>
    </row>
    <row r="20" spans="2:17" ht="18" customHeight="1" x14ac:dyDescent="0.35">
      <c r="B20" s="192" t="str">
        <f>'APPENDIX 18'!B20</f>
        <v xml:space="preserve">GEMINIA INSURANCE COMPANY </v>
      </c>
      <c r="C20" s="193">
        <f>IFERROR('APPENDIX 18'!C20/'APPENDIX 18'!C$41*100,"")</f>
        <v>0.72646301198555197</v>
      </c>
      <c r="D20" s="193">
        <f>IFERROR('APPENDIX 18'!D20/'APPENDIX 18'!D$41*100,"")</f>
        <v>1.6580317584235547</v>
      </c>
      <c r="E20" s="193">
        <f>IFERROR('APPENDIX 18'!E20/'APPENDIX 18'!E$41*100,"")</f>
        <v>4.561980019210484</v>
      </c>
      <c r="F20" s="193">
        <f>IFERROR('APPENDIX 18'!F20/'APPENDIX 18'!F$41*100,"")</f>
        <v>2.6645451443518184</v>
      </c>
      <c r="G20" s="193">
        <f>IFERROR('APPENDIX 18'!G20/'APPENDIX 18'!G$41*100,"")</f>
        <v>2.650422532254407</v>
      </c>
      <c r="H20" s="193">
        <f>IFERROR('APPENDIX 18'!H20/'APPENDIX 18'!H$41*100,"")</f>
        <v>3.6506475807732865</v>
      </c>
      <c r="I20" s="193">
        <f>IFERROR('APPENDIX 18'!I20/'APPENDIX 18'!I$41*100,"")</f>
        <v>2.9521909261390333</v>
      </c>
      <c r="J20" s="193">
        <f>IFERROR('APPENDIX 18'!J20/'APPENDIX 18'!J$41*100,"")</f>
        <v>4.0412231702498413</v>
      </c>
      <c r="K20" s="193">
        <f>IFERROR('APPENDIX 18'!K20/'APPENDIX 18'!K$41*100,"")</f>
        <v>0</v>
      </c>
      <c r="L20" s="193">
        <f>IFERROR('APPENDIX 18'!L20/'APPENDIX 18'!L$41*100,"")</f>
        <v>2.5594522075574546</v>
      </c>
      <c r="M20" s="193">
        <f>IFERROR('APPENDIX 18'!M20/'APPENDIX 18'!M$41*100,"")</f>
        <v>3.3293037687019216</v>
      </c>
      <c r="N20" s="193">
        <f>IFERROR('APPENDIX 18'!N20/'APPENDIX 18'!N$41*100,"")</f>
        <v>4.3275052196534523</v>
      </c>
      <c r="O20" s="193">
        <f>IFERROR('APPENDIX 18'!O20/'APPENDIX 18'!O$41*100,"")</f>
        <v>0</v>
      </c>
      <c r="P20" s="193">
        <f>IFERROR('APPENDIX 18'!P20/'APPENDIX 18'!P$41*100,"")</f>
        <v>1.5451139092559918</v>
      </c>
      <c r="Q20" s="194">
        <f>IFERROR('APPENDIX 18'!$Q20/'APPENDIX 18'!Q$41*100,"")</f>
        <v>1.7165233966373588</v>
      </c>
    </row>
    <row r="21" spans="2:17" ht="18" customHeight="1" x14ac:dyDescent="0.35">
      <c r="B21" s="192" t="str">
        <f>'APPENDIX 18'!B21</f>
        <v>ICEA LION GENERAL INSURANCE</v>
      </c>
      <c r="C21" s="193">
        <f>IFERROR('APPENDIX 18'!C21/'APPENDIX 18'!C$41*100,"")</f>
        <v>20.954073871348157</v>
      </c>
      <c r="D21" s="193">
        <f>IFERROR('APPENDIX 18'!D21/'APPENDIX 18'!D$41*100,"")</f>
        <v>2.4804334014963785</v>
      </c>
      <c r="E21" s="193">
        <f>IFERROR('APPENDIX 18'!E21/'APPENDIX 18'!E$41*100,"")</f>
        <v>7.3846825293005738</v>
      </c>
      <c r="F21" s="193">
        <f>IFERROR('APPENDIX 18'!F21/'APPENDIX 18'!F$41*100,"")</f>
        <v>5.2243042736510663</v>
      </c>
      <c r="G21" s="193">
        <f>IFERROR('APPENDIX 18'!G21/'APPENDIX 18'!G$41*100,"")</f>
        <v>5.3033169763727237</v>
      </c>
      <c r="H21" s="193">
        <f>IFERROR('APPENDIX 18'!H21/'APPENDIX 18'!H$41*100,"")</f>
        <v>3.3248632220706451</v>
      </c>
      <c r="I21" s="193">
        <f>IFERROR('APPENDIX 18'!I21/'APPENDIX 18'!I$41*100,"")</f>
        <v>8.0474106868238131</v>
      </c>
      <c r="J21" s="193">
        <f>IFERROR('APPENDIX 18'!J21/'APPENDIX 18'!J$41*100,"")</f>
        <v>3.0568371173163977</v>
      </c>
      <c r="K21" s="193">
        <f>IFERROR('APPENDIX 18'!K21/'APPENDIX 18'!K$41*100,"")</f>
        <v>0</v>
      </c>
      <c r="L21" s="193">
        <f>IFERROR('APPENDIX 18'!L21/'APPENDIX 18'!L$41*100,"")</f>
        <v>8.0314304677126156</v>
      </c>
      <c r="M21" s="193">
        <f>IFERROR('APPENDIX 18'!M21/'APPENDIX 18'!M$41*100,"")</f>
        <v>2.4666637329409795</v>
      </c>
      <c r="N21" s="193">
        <f>IFERROR('APPENDIX 18'!N21/'APPENDIX 18'!N$41*100,"")</f>
        <v>6.4337656344583358</v>
      </c>
      <c r="O21" s="193">
        <f>IFERROR('APPENDIX 18'!O21/'APPENDIX 18'!O$41*100,"")</f>
        <v>0.76980282275271683</v>
      </c>
      <c r="P21" s="193">
        <f>IFERROR('APPENDIX 18'!P21/'APPENDIX 18'!P$41*100,"")</f>
        <v>2.8020200314040138</v>
      </c>
      <c r="Q21" s="194">
        <f>IFERROR('APPENDIX 18'!$Q21/'APPENDIX 18'!Q$41*100,"")</f>
        <v>3.4104185921705588</v>
      </c>
    </row>
    <row r="22" spans="2:17" ht="18" customHeight="1" x14ac:dyDescent="0.35">
      <c r="B22" s="192" t="str">
        <f>'APPENDIX 18'!B22</f>
        <v xml:space="preserve">INTRA-AFRICA ASSURANCE </v>
      </c>
      <c r="C22" s="193">
        <f>IFERROR('APPENDIX 18'!C22/'APPENDIX 18'!C$41*100,"")</f>
        <v>0</v>
      </c>
      <c r="D22" s="193">
        <f>IFERROR('APPENDIX 18'!D22/'APPENDIX 18'!D$41*100,"")</f>
        <v>4.4530124292957796</v>
      </c>
      <c r="E22" s="193">
        <f>IFERROR('APPENDIX 18'!E22/'APPENDIX 18'!E$41*100,"")</f>
        <v>4.3006839400764703</v>
      </c>
      <c r="F22" s="193">
        <f>IFERROR('APPENDIX 18'!F22/'APPENDIX 18'!F$41*100,"")</f>
        <v>2.6882506044293888</v>
      </c>
      <c r="G22" s="193">
        <f>IFERROR('APPENDIX 18'!G22/'APPENDIX 18'!G$41*100,"")</f>
        <v>0.8651326528412091</v>
      </c>
      <c r="H22" s="193">
        <f>IFERROR('APPENDIX 18'!H22/'APPENDIX 18'!H$41*100,"")</f>
        <v>4.9023233739526031</v>
      </c>
      <c r="I22" s="193">
        <f>IFERROR('APPENDIX 18'!I22/'APPENDIX 18'!I$41*100,"")</f>
        <v>2.9472968306394365</v>
      </c>
      <c r="J22" s="193">
        <f>IFERROR('APPENDIX 18'!J22/'APPENDIX 18'!J$41*100,"")</f>
        <v>1.8321811703189872</v>
      </c>
      <c r="K22" s="193">
        <f>IFERROR('APPENDIX 18'!K22/'APPENDIX 18'!K$41*100,"")</f>
        <v>2.5700085247844839</v>
      </c>
      <c r="L22" s="193">
        <f>IFERROR('APPENDIX 18'!L22/'APPENDIX 18'!L$41*100,"")</f>
        <v>1.2197588040810667</v>
      </c>
      <c r="M22" s="193">
        <f>IFERROR('APPENDIX 18'!M22/'APPENDIX 18'!M$41*100,"")</f>
        <v>1.6622877385310355</v>
      </c>
      <c r="N22" s="193">
        <f>IFERROR('APPENDIX 18'!N22/'APPENDIX 18'!N$41*100,"")</f>
        <v>4.1861588513418422</v>
      </c>
      <c r="O22" s="193">
        <f>IFERROR('APPENDIX 18'!O22/'APPENDIX 18'!O$41*100,"")</f>
        <v>0</v>
      </c>
      <c r="P22" s="193">
        <f>IFERROR('APPENDIX 18'!P22/'APPENDIX 18'!P$41*100,"")</f>
        <v>9.2414916029540137</v>
      </c>
      <c r="Q22" s="194">
        <f>IFERROR('APPENDIX 18'!$Q22/'APPENDIX 18'!Q$41*100,"")</f>
        <v>1.6638127062328743</v>
      </c>
    </row>
    <row r="23" spans="2:17" ht="18" customHeight="1" x14ac:dyDescent="0.35">
      <c r="B23" s="192" t="str">
        <f>'APPENDIX 18'!B23</f>
        <v>JUBILEE HEALTH INSURANCE</v>
      </c>
      <c r="C23" s="193">
        <f>IFERROR('APPENDIX 18'!C23/'APPENDIX 18'!C$41*100,"")</f>
        <v>0</v>
      </c>
      <c r="D23" s="193">
        <f>IFERROR('APPENDIX 18'!D23/'APPENDIX 18'!D$41*100,"")</f>
        <v>0</v>
      </c>
      <c r="E23" s="193">
        <f>IFERROR('APPENDIX 18'!E23/'APPENDIX 18'!E$41*100,"")</f>
        <v>0</v>
      </c>
      <c r="F23" s="193">
        <f>IFERROR('APPENDIX 18'!F23/'APPENDIX 18'!F$41*100,"")</f>
        <v>0</v>
      </c>
      <c r="G23" s="193">
        <f>IFERROR('APPENDIX 18'!G23/'APPENDIX 18'!G$41*100,"")</f>
        <v>0</v>
      </c>
      <c r="H23" s="193">
        <f>IFERROR('APPENDIX 18'!H23/'APPENDIX 18'!H$41*100,"")</f>
        <v>0</v>
      </c>
      <c r="I23" s="193">
        <f>IFERROR('APPENDIX 18'!I23/'APPENDIX 18'!I$41*100,"")</f>
        <v>0</v>
      </c>
      <c r="J23" s="193">
        <f>IFERROR('APPENDIX 18'!J23/'APPENDIX 18'!J$41*100,"")</f>
        <v>0</v>
      </c>
      <c r="K23" s="193">
        <f>IFERROR('APPENDIX 18'!K23/'APPENDIX 18'!K$41*100,"")</f>
        <v>0</v>
      </c>
      <c r="L23" s="193">
        <f>IFERROR('APPENDIX 18'!L23/'APPENDIX 18'!L$41*100,"")</f>
        <v>0</v>
      </c>
      <c r="M23" s="193">
        <f>IFERROR('APPENDIX 18'!M23/'APPENDIX 18'!M$41*100,"")</f>
        <v>0</v>
      </c>
      <c r="N23" s="193">
        <f>IFERROR('APPENDIX 18'!N23/'APPENDIX 18'!N$41*100,"")</f>
        <v>0</v>
      </c>
      <c r="O23" s="193">
        <f>IFERROR('APPENDIX 18'!O23/'APPENDIX 18'!O$41*100,"")</f>
        <v>14.079286806350504</v>
      </c>
      <c r="P23" s="193">
        <f>IFERROR('APPENDIX 18'!P23/'APPENDIX 18'!P$41*100,"")</f>
        <v>0</v>
      </c>
      <c r="Q23" s="194">
        <f>IFERROR('APPENDIX 18'!$Q23/'APPENDIX 18'!Q$41*100,"")</f>
        <v>6.052589641094678</v>
      </c>
    </row>
    <row r="24" spans="2:17" ht="18" customHeight="1" x14ac:dyDescent="0.35">
      <c r="B24" s="192" t="str">
        <f>'APPENDIX 18'!B24</f>
        <v xml:space="preserve">KENINDIA ASSURANCE COMPANY </v>
      </c>
      <c r="C24" s="193">
        <f>IFERROR('APPENDIX 18'!C24/'APPENDIX 18'!C$41*100,"")</f>
        <v>0</v>
      </c>
      <c r="D24" s="193">
        <f>IFERROR('APPENDIX 18'!D24/'APPENDIX 18'!D$41*100,"")</f>
        <v>3.6181675685964914</v>
      </c>
      <c r="E24" s="193">
        <f>IFERROR('APPENDIX 18'!E24/'APPENDIX 18'!E$41*100,"")</f>
        <v>1.5259292930312558</v>
      </c>
      <c r="F24" s="193">
        <f>IFERROR('APPENDIX 18'!F24/'APPENDIX 18'!F$41*100,"")</f>
        <v>3.663833191426503</v>
      </c>
      <c r="G24" s="193">
        <f>IFERROR('APPENDIX 18'!G24/'APPENDIX 18'!G$41*100,"")</f>
        <v>1.1296031065204744</v>
      </c>
      <c r="H24" s="193">
        <f>IFERROR('APPENDIX 18'!H24/'APPENDIX 18'!H$41*100,"")</f>
        <v>3.0754947081582524</v>
      </c>
      <c r="I24" s="193">
        <f>IFERROR('APPENDIX 18'!I24/'APPENDIX 18'!I$41*100,"")</f>
        <v>1.5618698800117807</v>
      </c>
      <c r="J24" s="193">
        <f>IFERROR('APPENDIX 18'!J24/'APPENDIX 18'!J$41*100,"")</f>
        <v>1.6266064159403311</v>
      </c>
      <c r="K24" s="193">
        <f>IFERROR('APPENDIX 18'!K24/'APPENDIX 18'!K$41*100,"")</f>
        <v>0</v>
      </c>
      <c r="L24" s="193">
        <f>IFERROR('APPENDIX 18'!L24/'APPENDIX 18'!L$41*100,"")</f>
        <v>0.54493613858467005</v>
      </c>
      <c r="M24" s="193">
        <f>IFERROR('APPENDIX 18'!M24/'APPENDIX 18'!M$41*100,"")</f>
        <v>3.0844612065635451</v>
      </c>
      <c r="N24" s="193">
        <f>IFERROR('APPENDIX 18'!N24/'APPENDIX 18'!N$41*100,"")</f>
        <v>2.3630652239876886</v>
      </c>
      <c r="O24" s="193">
        <f>IFERROR('APPENDIX 18'!O24/'APPENDIX 18'!O$41*100,"")</f>
        <v>0.1249103209121975</v>
      </c>
      <c r="P24" s="193">
        <f>IFERROR('APPENDIX 18'!P24/'APPENDIX 18'!P$41*100,"")</f>
        <v>0.41189820603879645</v>
      </c>
      <c r="Q24" s="194">
        <f>IFERROR('APPENDIX 18'!$Q24/'APPENDIX 18'!Q$41*100,"")</f>
        <v>1.2994573296525225</v>
      </c>
    </row>
    <row r="25" spans="2:17" ht="18" customHeight="1" x14ac:dyDescent="0.35">
      <c r="B25" s="192" t="str">
        <f>'APPENDIX 18'!B25</f>
        <v>KENYA ORIENT INSURANCE</v>
      </c>
      <c r="C25" s="193">
        <f>IFERROR('APPENDIX 18'!C25/'APPENDIX 18'!C$41*100,"")</f>
        <v>0</v>
      </c>
      <c r="D25" s="193">
        <f>IFERROR('APPENDIX 18'!D25/'APPENDIX 18'!D$41*100,"")</f>
        <v>0.86264966913210306</v>
      </c>
      <c r="E25" s="193">
        <f>IFERROR('APPENDIX 18'!E25/'APPENDIX 18'!E$41*100,"")</f>
        <v>0.99728641002311236</v>
      </c>
      <c r="F25" s="193">
        <f>IFERROR('APPENDIX 18'!F25/'APPENDIX 18'!F$41*100,"")</f>
        <v>0.35047445146669814</v>
      </c>
      <c r="G25" s="193">
        <f>IFERROR('APPENDIX 18'!G25/'APPENDIX 18'!G$41*100,"")</f>
        <v>0.65202820739201972</v>
      </c>
      <c r="H25" s="193">
        <f>IFERROR('APPENDIX 18'!H25/'APPENDIX 18'!H$41*100,"")</f>
        <v>1.9539799850391934E-2</v>
      </c>
      <c r="I25" s="193">
        <f>IFERROR('APPENDIX 18'!I25/'APPENDIX 18'!I$41*100,"")</f>
        <v>0.96262192299240212</v>
      </c>
      <c r="J25" s="193">
        <f>IFERROR('APPENDIX 18'!J25/'APPENDIX 18'!J$41*100,"")</f>
        <v>0.50057358235060712</v>
      </c>
      <c r="K25" s="193">
        <f>IFERROR('APPENDIX 18'!K25/'APPENDIX 18'!K$41*100,"")</f>
        <v>0.29876193538441065</v>
      </c>
      <c r="L25" s="193">
        <f>IFERROR('APPENDIX 18'!L25/'APPENDIX 18'!L$41*100,"")</f>
        <v>0.15476307736830264</v>
      </c>
      <c r="M25" s="193">
        <f>IFERROR('APPENDIX 18'!M25/'APPENDIX 18'!M$41*100,"")</f>
        <v>1.531046493349143</v>
      </c>
      <c r="N25" s="193">
        <f>IFERROR('APPENDIX 18'!N25/'APPENDIX 18'!N$41*100,"")</f>
        <v>1.4360087362441341</v>
      </c>
      <c r="O25" s="193">
        <f>IFERROR('APPENDIX 18'!O25/'APPENDIX 18'!O$41*100,"")</f>
        <v>0</v>
      </c>
      <c r="P25" s="193">
        <f>IFERROR('APPENDIX 18'!P25/'APPENDIX 18'!P$41*100,"")</f>
        <v>7.2699777595570332</v>
      </c>
      <c r="Q25" s="194">
        <f>IFERROR('APPENDIX 18'!$Q25/'APPENDIX 18'!Q$41*100,"")</f>
        <v>0.55018938088090963</v>
      </c>
    </row>
    <row r="26" spans="2:17" ht="18" customHeight="1" x14ac:dyDescent="0.35">
      <c r="B26" s="192" t="str">
        <f>'APPENDIX 18'!B26</f>
        <v>MADISON INSURANCE COMPANY</v>
      </c>
      <c r="C26" s="193">
        <f>IFERROR('APPENDIX 18'!C26/'APPENDIX 18'!C$41*100,"")</f>
        <v>0</v>
      </c>
      <c r="D26" s="193">
        <f>IFERROR('APPENDIX 18'!D26/'APPENDIX 18'!D$41*100,"")</f>
        <v>2.4163935709359579</v>
      </c>
      <c r="E26" s="193">
        <f>IFERROR('APPENDIX 18'!E26/'APPENDIX 18'!E$41*100,"")</f>
        <v>1.3219476664892873</v>
      </c>
      <c r="F26" s="193">
        <f>IFERROR('APPENDIX 18'!F26/'APPENDIX 18'!F$41*100,"")</f>
        <v>1.7966709983569251</v>
      </c>
      <c r="G26" s="193">
        <f>IFERROR('APPENDIX 18'!G26/'APPENDIX 18'!G$41*100,"")</f>
        <v>5.2771561729609537</v>
      </c>
      <c r="H26" s="193">
        <f>IFERROR('APPENDIX 18'!H26/'APPENDIX 18'!H$41*100,"")</f>
        <v>0.74759371992697821</v>
      </c>
      <c r="I26" s="193">
        <f>IFERROR('APPENDIX 18'!I26/'APPENDIX 18'!I$41*100,"")</f>
        <v>2.3114892227457489</v>
      </c>
      <c r="J26" s="193">
        <f>IFERROR('APPENDIX 18'!J26/'APPENDIX 18'!J$41*100,"")</f>
        <v>13.445823321955858</v>
      </c>
      <c r="K26" s="193">
        <f>IFERROR('APPENDIX 18'!K26/'APPENDIX 18'!K$41*100,"")</f>
        <v>0</v>
      </c>
      <c r="L26" s="193">
        <f>IFERROR('APPENDIX 18'!L26/'APPENDIX 18'!L$41*100,"")</f>
        <v>3.3167613992833895</v>
      </c>
      <c r="M26" s="193">
        <f>IFERROR('APPENDIX 18'!M26/'APPENDIX 18'!M$41*100,"")</f>
        <v>4.3210560326529048</v>
      </c>
      <c r="N26" s="193">
        <f>IFERROR('APPENDIX 18'!N26/'APPENDIX 18'!N$41*100,"")</f>
        <v>4.646021576503002</v>
      </c>
      <c r="O26" s="193">
        <f>IFERROR('APPENDIX 18'!O26/'APPENDIX 18'!O$41*100,"")</f>
        <v>4.2882426017814339</v>
      </c>
      <c r="P26" s="193">
        <f>IFERROR('APPENDIX 18'!P26/'APPENDIX 18'!P$41*100,"")</f>
        <v>5.8976833702632998</v>
      </c>
      <c r="Q26" s="194">
        <f>IFERROR('APPENDIX 18'!$Q26/'APPENDIX 18'!Q$41*100,"")</f>
        <v>4.503307334587392</v>
      </c>
    </row>
    <row r="27" spans="2:17" ht="18" customHeight="1" x14ac:dyDescent="0.35">
      <c r="B27" s="192" t="str">
        <f>'APPENDIX 18'!B27</f>
        <v>MAYFAIR INSURANCE COMPANY</v>
      </c>
      <c r="C27" s="193">
        <f>IFERROR('APPENDIX 18'!C27/'APPENDIX 18'!C$41*100,"")</f>
        <v>28.443786920305094</v>
      </c>
      <c r="D27" s="193">
        <f>IFERROR('APPENDIX 18'!D27/'APPENDIX 18'!D$41*100,"")</f>
        <v>13.933101685480986</v>
      </c>
      <c r="E27" s="193">
        <f>IFERROR('APPENDIX 18'!E27/'APPENDIX 18'!E$41*100,"")</f>
        <v>9.575071294535018</v>
      </c>
      <c r="F27" s="193">
        <f>IFERROR('APPENDIX 18'!F27/'APPENDIX 18'!F$41*100,"")</f>
        <v>12.79278188194537</v>
      </c>
      <c r="G27" s="193">
        <f>IFERROR('APPENDIX 18'!G27/'APPENDIX 18'!G$41*100,"")</f>
        <v>5.1476780570977505</v>
      </c>
      <c r="H27" s="193">
        <f>IFERROR('APPENDIX 18'!H27/'APPENDIX 18'!H$41*100,"")</f>
        <v>23.314461105629576</v>
      </c>
      <c r="I27" s="193">
        <f>IFERROR('APPENDIX 18'!I27/'APPENDIX 18'!I$41*100,"")</f>
        <v>3.4407326888749838</v>
      </c>
      <c r="J27" s="193">
        <f>IFERROR('APPENDIX 18'!J27/'APPENDIX 18'!J$41*100,"")</f>
        <v>3.9242991172388373</v>
      </c>
      <c r="K27" s="193">
        <f>IFERROR('APPENDIX 18'!K27/'APPENDIX 18'!K$41*100,"")</f>
        <v>1.1666645275700767</v>
      </c>
      <c r="L27" s="193">
        <f>IFERROR('APPENDIX 18'!L27/'APPENDIX 18'!L$41*100,"")</f>
        <v>3.8967883876732805</v>
      </c>
      <c r="M27" s="193">
        <f>IFERROR('APPENDIX 18'!M27/'APPENDIX 18'!M$41*100,"")</f>
        <v>5.358575972528163</v>
      </c>
      <c r="N27" s="193">
        <f>IFERROR('APPENDIX 18'!N27/'APPENDIX 18'!N$41*100,"")</f>
        <v>9.5926398663494812</v>
      </c>
      <c r="O27" s="193">
        <f>IFERROR('APPENDIX 18'!O27/'APPENDIX 18'!O$41*100,"")</f>
        <v>0</v>
      </c>
      <c r="P27" s="193">
        <f>IFERROR('APPENDIX 18'!P27/'APPENDIX 18'!P$41*100,"")</f>
        <v>21.593054026751037</v>
      </c>
      <c r="Q27" s="194">
        <f>IFERROR('APPENDIX 18'!$Q27/'APPENDIX 18'!Q$41*100,"")</f>
        <v>5.054521807519766</v>
      </c>
    </row>
    <row r="28" spans="2:17" ht="18" customHeight="1" x14ac:dyDescent="0.35">
      <c r="B28" s="192" t="str">
        <f>'APPENDIX 18'!B28</f>
        <v>MUA INSURANCE COMPANY</v>
      </c>
      <c r="C28" s="193">
        <f>IFERROR('APPENDIX 18'!C28/'APPENDIX 18'!C$41*100,"")</f>
        <v>0.23490007081898934</v>
      </c>
      <c r="D28" s="193">
        <f>IFERROR('APPENDIX 18'!D28/'APPENDIX 18'!D$41*100,"")</f>
        <v>0.22600201306668366</v>
      </c>
      <c r="E28" s="193">
        <f>IFERROR('APPENDIX 18'!E28/'APPENDIX 18'!E$41*100,"")</f>
        <v>0.27308881285831582</v>
      </c>
      <c r="F28" s="193">
        <f>IFERROR('APPENDIX 18'!F28/'APPENDIX 18'!F$41*100,"")</f>
        <v>1.1513337340320458</v>
      </c>
      <c r="G28" s="193">
        <f>IFERROR('APPENDIX 18'!G28/'APPENDIX 18'!G$41*100,"")</f>
        <v>0.9835761794701211</v>
      </c>
      <c r="H28" s="193">
        <f>IFERROR('APPENDIX 18'!H28/'APPENDIX 18'!H$41*100,"")</f>
        <v>2.2422275400094005</v>
      </c>
      <c r="I28" s="193">
        <f>IFERROR('APPENDIX 18'!I28/'APPENDIX 18'!I$41*100,"")</f>
        <v>0.91616382463595802</v>
      </c>
      <c r="J28" s="193">
        <f>IFERROR('APPENDIX 18'!J28/'APPENDIX 18'!J$41*100,"")</f>
        <v>0.189895723851153</v>
      </c>
      <c r="K28" s="193">
        <f>IFERROR('APPENDIX 18'!K28/'APPENDIX 18'!K$41*100,"")</f>
        <v>0</v>
      </c>
      <c r="L28" s="193">
        <f>IFERROR('APPENDIX 18'!L28/'APPENDIX 18'!L$41*100,"")</f>
        <v>7.4498314607402874E-2</v>
      </c>
      <c r="M28" s="193">
        <f>IFERROR('APPENDIX 18'!M28/'APPENDIX 18'!M$41*100,"")</f>
        <v>7.8039210164344952E-2</v>
      </c>
      <c r="N28" s="193">
        <f>IFERROR('APPENDIX 18'!N28/'APPENDIX 18'!N$41*100,"")</f>
        <v>0.33178662055135799</v>
      </c>
      <c r="O28" s="193">
        <f>IFERROR('APPENDIX 18'!O28/'APPENDIX 18'!O$41*100,"")</f>
        <v>0.97964832274892621</v>
      </c>
      <c r="P28" s="193">
        <f>IFERROR('APPENDIX 18'!P28/'APPENDIX 18'!P$41*100,"")</f>
        <v>0.3804372315606141</v>
      </c>
      <c r="Q28" s="194">
        <f>IFERROR('APPENDIX 18'!$Q28/'APPENDIX 18'!Q$41*100,"")</f>
        <v>0.79736114395190105</v>
      </c>
    </row>
    <row r="29" spans="2:17" ht="18" customHeight="1" x14ac:dyDescent="0.35">
      <c r="B29" s="192" t="str">
        <f>'APPENDIX 18'!B29</f>
        <v>NCBA INSURANCE COMPANY</v>
      </c>
      <c r="C29" s="193">
        <f>IFERROR('APPENDIX 18'!C29/'APPENDIX 18'!C$41*100,"")</f>
        <v>0</v>
      </c>
      <c r="D29" s="193">
        <f>IFERROR('APPENDIX 18'!D29/'APPENDIX 18'!D$41*100,"")</f>
        <v>0.24371511503630863</v>
      </c>
      <c r="E29" s="193">
        <f>IFERROR('APPENDIX 18'!E29/'APPENDIX 18'!E$41*100,"")</f>
        <v>4.1329352254354834</v>
      </c>
      <c r="F29" s="193">
        <f>IFERROR('APPENDIX 18'!F29/'APPENDIX 18'!F$41*100,"")</f>
        <v>2.5262726797029105</v>
      </c>
      <c r="G29" s="193">
        <f>IFERROR('APPENDIX 18'!G29/'APPENDIX 18'!G$41*100,"")</f>
        <v>15.797676218789752</v>
      </c>
      <c r="H29" s="193">
        <f>IFERROR('APPENDIX 18'!H29/'APPENDIX 18'!H$41*100,"")</f>
        <v>1.1573616374514448</v>
      </c>
      <c r="I29" s="193">
        <f>IFERROR('APPENDIX 18'!I29/'APPENDIX 18'!I$41*100,"")</f>
        <v>3.505728567906266</v>
      </c>
      <c r="J29" s="193">
        <f>IFERROR('APPENDIX 18'!J29/'APPENDIX 18'!J$41*100,"")</f>
        <v>1.1509989861462897</v>
      </c>
      <c r="K29" s="193">
        <f>IFERROR('APPENDIX 18'!K29/'APPENDIX 18'!K$41*100,"")</f>
        <v>0</v>
      </c>
      <c r="L29" s="193">
        <f>IFERROR('APPENDIX 18'!L29/'APPENDIX 18'!L$41*100,"")</f>
        <v>5.4506134214142952</v>
      </c>
      <c r="M29" s="193">
        <f>IFERROR('APPENDIX 18'!M29/'APPENDIX 18'!M$41*100,"")</f>
        <v>2.2740046079718823</v>
      </c>
      <c r="N29" s="193">
        <f>IFERROR('APPENDIX 18'!N29/'APPENDIX 18'!N$41*100,"")</f>
        <v>1.7818584643048745</v>
      </c>
      <c r="O29" s="193">
        <f>IFERROR('APPENDIX 18'!O29/'APPENDIX 18'!O$41*100,"")</f>
        <v>0</v>
      </c>
      <c r="P29" s="193">
        <f>IFERROR('APPENDIX 18'!P29/'APPENDIX 18'!P$41*100,"")</f>
        <v>3.869179030071107E-3</v>
      </c>
      <c r="Q29" s="194">
        <f>IFERROR('APPENDIX 18'!$Q29/'APPENDIX 18'!Q$41*100,"")</f>
        <v>1.5468959361197232</v>
      </c>
    </row>
    <row r="30" spans="2:17" ht="18" customHeight="1" x14ac:dyDescent="0.35">
      <c r="B30" s="192" t="str">
        <f>'APPENDIX 18'!B30</f>
        <v xml:space="preserve">OCCIDENTAL INSURANCE COMPANY </v>
      </c>
      <c r="C30" s="193">
        <f>IFERROR('APPENDIX 18'!C30/'APPENDIX 18'!C$41*100,"")</f>
        <v>1.0818863523457591</v>
      </c>
      <c r="D30" s="193">
        <f>IFERROR('APPENDIX 18'!D30/'APPENDIX 18'!D$41*100,"")</f>
        <v>1.4859529105991289</v>
      </c>
      <c r="E30" s="193">
        <f>IFERROR('APPENDIX 18'!E30/'APPENDIX 18'!E$41*100,"")</f>
        <v>1.3099712384340232</v>
      </c>
      <c r="F30" s="193">
        <f>IFERROR('APPENDIX 18'!F30/'APPENDIX 18'!F$41*100,"")</f>
        <v>1.0234172375881101</v>
      </c>
      <c r="G30" s="193">
        <f>IFERROR('APPENDIX 18'!G30/'APPENDIX 18'!G$41*100,"")</f>
        <v>0.13637634030005896</v>
      </c>
      <c r="H30" s="193">
        <f>IFERROR('APPENDIX 18'!H30/'APPENDIX 18'!H$41*100,"")</f>
        <v>1.4629963443841443</v>
      </c>
      <c r="I30" s="193">
        <f>IFERROR('APPENDIX 18'!I30/'APPENDIX 18'!I$41*100,"")</f>
        <v>0.98182598641813457</v>
      </c>
      <c r="J30" s="193">
        <f>IFERROR('APPENDIX 18'!J30/'APPENDIX 18'!J$41*100,"")</f>
        <v>1.7597121101996067</v>
      </c>
      <c r="K30" s="193">
        <f>IFERROR('APPENDIX 18'!K30/'APPENDIX 18'!K$41*100,"")</f>
        <v>0</v>
      </c>
      <c r="L30" s="193">
        <f>IFERROR('APPENDIX 18'!L30/'APPENDIX 18'!L$41*100,"")</f>
        <v>0.92875636216735979</v>
      </c>
      <c r="M30" s="193">
        <f>IFERROR('APPENDIX 18'!M30/'APPENDIX 18'!M$41*100,"")</f>
        <v>0.88511983581322962</v>
      </c>
      <c r="N30" s="193">
        <f>IFERROR('APPENDIX 18'!N30/'APPENDIX 18'!N$41*100,"")</f>
        <v>1.4375679992138717</v>
      </c>
      <c r="O30" s="193">
        <f>IFERROR('APPENDIX 18'!O30/'APPENDIX 18'!O$41*100,"")</f>
        <v>0</v>
      </c>
      <c r="P30" s="193">
        <f>IFERROR('APPENDIX 18'!P30/'APPENDIX 18'!P$41*100,"")</f>
        <v>1.2493809422959583</v>
      </c>
      <c r="Q30" s="194">
        <f>IFERROR('APPENDIX 18'!$Q30/'APPENDIX 18'!Q$41*100,"")</f>
        <v>0.66406477131759523</v>
      </c>
    </row>
    <row r="31" spans="2:17" ht="18" customHeight="1" x14ac:dyDescent="0.35">
      <c r="B31" s="192" t="str">
        <f>'APPENDIX 18'!B31</f>
        <v xml:space="preserve">OLD MUTUAL GENERAL INSURANCE </v>
      </c>
      <c r="C31" s="193">
        <f>IFERROR('APPENDIX 18'!C31/'APPENDIX 18'!C$41*100,"")</f>
        <v>6.8322854998999665</v>
      </c>
      <c r="D31" s="193">
        <f>IFERROR('APPENDIX 18'!D31/'APPENDIX 18'!D$41*100,"")</f>
        <v>13.708576369872372</v>
      </c>
      <c r="E31" s="193">
        <f>IFERROR('APPENDIX 18'!E31/'APPENDIX 18'!E$41*100,"")</f>
        <v>10.182461896033914</v>
      </c>
      <c r="F31" s="193">
        <f>IFERROR('APPENDIX 18'!F31/'APPENDIX 18'!F$41*100,"")</f>
        <v>5.1045772111768617</v>
      </c>
      <c r="G31" s="193">
        <f>IFERROR('APPENDIX 18'!G31/'APPENDIX 18'!G$41*100,"")</f>
        <v>6.6177838817709294</v>
      </c>
      <c r="H31" s="193">
        <f>IFERROR('APPENDIX 18'!H31/'APPENDIX 18'!H$41*100,"")</f>
        <v>4.7123147822507443</v>
      </c>
      <c r="I31" s="193">
        <f>IFERROR('APPENDIX 18'!I31/'APPENDIX 18'!I$41*100,"")</f>
        <v>5.6588395934313223</v>
      </c>
      <c r="J31" s="193">
        <f>IFERROR('APPENDIX 18'!J31/'APPENDIX 18'!J$41*100,"")</f>
        <v>6.061540115229473</v>
      </c>
      <c r="K31" s="193">
        <f>IFERROR('APPENDIX 18'!K31/'APPENDIX 18'!K$41*100,"")</f>
        <v>0</v>
      </c>
      <c r="L31" s="193">
        <f>IFERROR('APPENDIX 18'!L31/'APPENDIX 18'!L$41*100,"")</f>
        <v>4.4328781897965408</v>
      </c>
      <c r="M31" s="193">
        <f>IFERROR('APPENDIX 18'!M31/'APPENDIX 18'!M$41*100,"")</f>
        <v>7.150081701399789</v>
      </c>
      <c r="N31" s="193">
        <f>IFERROR('APPENDIX 18'!N31/'APPENDIX 18'!N$41*100,"")</f>
        <v>3.5588529890403642</v>
      </c>
      <c r="O31" s="193">
        <f>IFERROR('APPENDIX 18'!O31/'APPENDIX 18'!O$41*100,"")</f>
        <v>13.394882197774994</v>
      </c>
      <c r="P31" s="193">
        <f>IFERROR('APPENDIX 18'!P31/'APPENDIX 18'!P$41*100,"")</f>
        <v>4.9645224372738896</v>
      </c>
      <c r="Q31" s="194">
        <f>IFERROR('APPENDIX 18'!$Q31/'APPENDIX 18'!Q$41*100,"")</f>
        <v>9.1313350984401787</v>
      </c>
    </row>
    <row r="32" spans="2:17" ht="18" customHeight="1" x14ac:dyDescent="0.35">
      <c r="B32" s="192" t="str">
        <f>'APPENDIX 18'!B32</f>
        <v>PACIS INSURANCE COMPANY</v>
      </c>
      <c r="C32" s="193">
        <f>IFERROR('APPENDIX 18'!C32/'APPENDIX 18'!C$41*100,"")</f>
        <v>0</v>
      </c>
      <c r="D32" s="193">
        <f>IFERROR('APPENDIX 18'!D32/'APPENDIX 18'!D$41*100,"")</f>
        <v>0.22105215272439643</v>
      </c>
      <c r="E32" s="193">
        <f>IFERROR('APPENDIX 18'!E32/'APPENDIX 18'!E$41*100,"")</f>
        <v>0.78818319819692795</v>
      </c>
      <c r="F32" s="193">
        <f>IFERROR('APPENDIX 18'!F32/'APPENDIX 18'!F$41*100,"")</f>
        <v>0.83012766978285812</v>
      </c>
      <c r="G32" s="193">
        <f>IFERROR('APPENDIX 18'!G32/'APPENDIX 18'!G$41*100,"")</f>
        <v>1.1904582004036641</v>
      </c>
      <c r="H32" s="193">
        <f>IFERROR('APPENDIX 18'!H32/'APPENDIX 18'!H$41*100,"")</f>
        <v>0.12135839898962256</v>
      </c>
      <c r="I32" s="193">
        <f>IFERROR('APPENDIX 18'!I32/'APPENDIX 18'!I$41*100,"")</f>
        <v>2.3000125440938066</v>
      </c>
      <c r="J32" s="193">
        <f>IFERROR('APPENDIX 18'!J32/'APPENDIX 18'!J$41*100,"")</f>
        <v>3.3901897855263567</v>
      </c>
      <c r="K32" s="193">
        <f>IFERROR('APPENDIX 18'!K32/'APPENDIX 18'!K$41*100,"")</f>
        <v>2.4237777357417496</v>
      </c>
      <c r="L32" s="193">
        <f>IFERROR('APPENDIX 18'!L32/'APPENDIX 18'!L$41*100,"")</f>
        <v>1.5883893176596595</v>
      </c>
      <c r="M32" s="193">
        <f>IFERROR('APPENDIX 18'!M32/'APPENDIX 18'!M$41*100,"")</f>
        <v>0.55980111529457188</v>
      </c>
      <c r="N32" s="193">
        <f>IFERROR('APPENDIX 18'!N32/'APPENDIX 18'!N$41*100,"")</f>
        <v>1.9077860259077446</v>
      </c>
      <c r="O32" s="193">
        <f>IFERROR('APPENDIX 18'!O32/'APPENDIX 18'!O$41*100,"")</f>
        <v>1.8594948586079838</v>
      </c>
      <c r="P32" s="193">
        <f>IFERROR('APPENDIX 18'!P32/'APPENDIX 18'!P$41*100,"")</f>
        <v>9.5517943799682301E-2</v>
      </c>
      <c r="Q32" s="194">
        <f>IFERROR('APPENDIX 18'!$Q32/'APPENDIX 18'!Q$41*100,"")</f>
        <v>1.7255348565009776</v>
      </c>
    </row>
    <row r="33" spans="2:17" ht="18" customHeight="1" x14ac:dyDescent="0.35">
      <c r="B33" s="192" t="str">
        <f>'APPENDIX 18'!B33</f>
        <v>PIONEER INSURANCE COMPANY</v>
      </c>
      <c r="C33" s="193">
        <f>IFERROR('APPENDIX 18'!C33/'APPENDIX 18'!C$41*100,"")</f>
        <v>0.50957566495221918</v>
      </c>
      <c r="D33" s="193">
        <f>IFERROR('APPENDIX 18'!D33/'APPENDIX 18'!D$41*100,"")</f>
        <v>1.384300078124471</v>
      </c>
      <c r="E33" s="193">
        <f>IFERROR('APPENDIX 18'!E33/'APPENDIX 18'!E$41*100,"")</f>
        <v>0.98033514399618538</v>
      </c>
      <c r="F33" s="193">
        <f>IFERROR('APPENDIX 18'!F33/'APPENDIX 18'!F$41*100,"")</f>
        <v>0.80636407874856453</v>
      </c>
      <c r="G33" s="193">
        <f>IFERROR('APPENDIX 18'!G33/'APPENDIX 18'!G$41*100,"")</f>
        <v>1.8347136337348333</v>
      </c>
      <c r="H33" s="193">
        <f>IFERROR('APPENDIX 18'!H33/'APPENDIX 18'!H$41*100,"")</f>
        <v>1.6594320978858605</v>
      </c>
      <c r="I33" s="193">
        <f>IFERROR('APPENDIX 18'!I33/'APPENDIX 18'!I$41*100,"")</f>
        <v>4.679397113719248</v>
      </c>
      <c r="J33" s="193">
        <f>IFERROR('APPENDIX 18'!J33/'APPENDIX 18'!J$41*100,"")</f>
        <v>3.3085601980420534</v>
      </c>
      <c r="K33" s="193">
        <f>IFERROR('APPENDIX 18'!K33/'APPENDIX 18'!K$41*100,"")</f>
        <v>0</v>
      </c>
      <c r="L33" s="193">
        <f>IFERROR('APPENDIX 18'!L33/'APPENDIX 18'!L$41*100,"")</f>
        <v>1.1299756457963974</v>
      </c>
      <c r="M33" s="193">
        <f>IFERROR('APPENDIX 18'!M33/'APPENDIX 18'!M$41*100,"")</f>
        <v>0.45506199399568342</v>
      </c>
      <c r="N33" s="193">
        <f>IFERROR('APPENDIX 18'!N33/'APPENDIX 18'!N$41*100,"")</f>
        <v>1.2125903176407415</v>
      </c>
      <c r="O33" s="193">
        <f>IFERROR('APPENDIX 18'!O33/'APPENDIX 18'!O$41*100,"")</f>
        <v>0</v>
      </c>
      <c r="P33" s="193">
        <f>IFERROR('APPENDIX 18'!P33/'APPENDIX 18'!P$41*100,"")</f>
        <v>1.1914571443341846</v>
      </c>
      <c r="Q33" s="194">
        <f>IFERROR('APPENDIX 18'!$Q33/'APPENDIX 18'!Q$41*100,"")</f>
        <v>1.2386372483749628</v>
      </c>
    </row>
    <row r="34" spans="2:17" ht="18" customHeight="1" x14ac:dyDescent="0.35">
      <c r="B34" s="192" t="str">
        <f>'APPENDIX 18'!B34</f>
        <v>SANLAM ALLIANZ GENERAL INSURANCE</v>
      </c>
      <c r="C34" s="193">
        <f>IFERROR('APPENDIX 18'!C34/'APPENDIX 18'!C$41*100,"")</f>
        <v>0</v>
      </c>
      <c r="D34" s="193">
        <f>IFERROR('APPENDIX 18'!D34/'APPENDIX 18'!D$41*100,"")</f>
        <v>3.0786060172213103</v>
      </c>
      <c r="E34" s="193">
        <f>IFERROR('APPENDIX 18'!E34/'APPENDIX 18'!E$41*100,"")</f>
        <v>3.3603236486667054</v>
      </c>
      <c r="F34" s="193">
        <f>IFERROR('APPENDIX 18'!F34/'APPENDIX 18'!F$41*100,"")</f>
        <v>9.385260417645803</v>
      </c>
      <c r="G34" s="193">
        <f>IFERROR('APPENDIX 18'!G34/'APPENDIX 18'!G$41*100,"")</f>
        <v>3.2127184208990891</v>
      </c>
      <c r="H34" s="193">
        <f>IFERROR('APPENDIX 18'!H34/'APPENDIX 18'!H$41*100,"")</f>
        <v>3.8589720928714528</v>
      </c>
      <c r="I34" s="193">
        <f>IFERROR('APPENDIX 18'!I34/'APPENDIX 18'!I$41*100,"")</f>
        <v>7.4528651073053922</v>
      </c>
      <c r="J34" s="193">
        <f>IFERROR('APPENDIX 18'!J34/'APPENDIX 18'!J$41*100,"")</f>
        <v>5.4379237028497229</v>
      </c>
      <c r="K34" s="193">
        <f>IFERROR('APPENDIX 18'!K34/'APPENDIX 18'!K$41*100,"")</f>
        <v>0</v>
      </c>
      <c r="L34" s="193">
        <f>IFERROR('APPENDIX 18'!L34/'APPENDIX 18'!L$41*100,"")</f>
        <v>0.46459937190200562</v>
      </c>
      <c r="M34" s="193">
        <f>IFERROR('APPENDIX 18'!M34/'APPENDIX 18'!M$41*100,"")</f>
        <v>6.5446106117486966</v>
      </c>
      <c r="N34" s="193">
        <f>IFERROR('APPENDIX 18'!N34/'APPENDIX 18'!N$41*100,"")</f>
        <v>0.27365020729672351</v>
      </c>
      <c r="O34" s="193">
        <f>IFERROR('APPENDIX 18'!O34/'APPENDIX 18'!O$41*100,"")</f>
        <v>0</v>
      </c>
      <c r="P34" s="193">
        <f>IFERROR('APPENDIX 18'!P34/'APPENDIX 18'!P$41*100,"")</f>
        <v>0</v>
      </c>
      <c r="Q34" s="194">
        <f>IFERROR('APPENDIX 18'!$Q34/'APPENDIX 18'!Q$41*100,"")</f>
        <v>3.1025506570476389</v>
      </c>
    </row>
    <row r="35" spans="2:17" ht="18" customHeight="1" x14ac:dyDescent="0.35">
      <c r="B35" s="192" t="str">
        <f>'APPENDIX 18'!B35</f>
        <v>STAR DISCOVER INSURANCE</v>
      </c>
      <c r="C35" s="193">
        <f>IFERROR('APPENDIX 18'!C35/'APPENDIX 18'!C$41*100,"")</f>
        <v>3.7282925203511344E-3</v>
      </c>
      <c r="D35" s="193">
        <f>IFERROR('APPENDIX 18'!D35/'APPENDIX 18'!D$41*100,"")</f>
        <v>0.53507274752402934</v>
      </c>
      <c r="E35" s="193">
        <f>IFERROR('APPENDIX 18'!E35/'APPENDIX 18'!E$41*100,"")</f>
        <v>0</v>
      </c>
      <c r="F35" s="193">
        <f>IFERROR('APPENDIX 18'!F35/'APPENDIX 18'!F$41*100,"")</f>
        <v>5.6801620640186179E-2</v>
      </c>
      <c r="G35" s="193">
        <f>IFERROR('APPENDIX 18'!G35/'APPENDIX 18'!G$41*100,"")</f>
        <v>1.4562566502769559E-2</v>
      </c>
      <c r="H35" s="193">
        <f>IFERROR('APPENDIX 18'!H35/'APPENDIX 18'!H$41*100,"")</f>
        <v>2.037516879721895E-2</v>
      </c>
      <c r="I35" s="193">
        <f>IFERROR('APPENDIX 18'!I35/'APPENDIX 18'!I$41*100,"")</f>
        <v>0.16030934789465648</v>
      </c>
      <c r="J35" s="193">
        <f>IFERROR('APPENDIX 18'!J35/'APPENDIX 18'!J$41*100,"")</f>
        <v>0.18086868572752249</v>
      </c>
      <c r="K35" s="193">
        <f>IFERROR('APPENDIX 18'!K35/'APPENDIX 18'!K$41*100,"")</f>
        <v>0</v>
      </c>
      <c r="L35" s="193">
        <f>IFERROR('APPENDIX 18'!L35/'APPENDIX 18'!L$41*100,"")</f>
        <v>3.3952966600240275E-2</v>
      </c>
      <c r="M35" s="193">
        <f>IFERROR('APPENDIX 18'!M35/'APPENDIX 18'!M$41*100,"")</f>
        <v>1.1748747397606028E-2</v>
      </c>
      <c r="N35" s="193">
        <f>IFERROR('APPENDIX 18'!N35/'APPENDIX 18'!N$41*100,"")</f>
        <v>0.17381118632665252</v>
      </c>
      <c r="O35" s="193">
        <f>IFERROR('APPENDIX 18'!O35/'APPENDIX 18'!O$41*100,"")</f>
        <v>2.3917948006230634</v>
      </c>
      <c r="P35" s="193">
        <f>IFERROR('APPENDIX 18'!P35/'APPENDIX 18'!P$41*100,"")</f>
        <v>0.40825598500388732</v>
      </c>
      <c r="Q35" s="194">
        <f>IFERROR('APPENDIX 18'!$Q35/'APPENDIX 18'!Q$41*100,"")</f>
        <v>1.1080181253466299</v>
      </c>
    </row>
    <row r="36" spans="2:17" ht="18" customHeight="1" x14ac:dyDescent="0.35">
      <c r="B36" s="192" t="str">
        <f>'APPENDIX 18'!B36</f>
        <v>TAKAFUL INSURANCE OF AFRICA</v>
      </c>
      <c r="C36" s="193">
        <f>IFERROR('APPENDIX 18'!C36/'APPENDIX 18'!C$41*100,"")</f>
        <v>0</v>
      </c>
      <c r="D36" s="193">
        <f>IFERROR('APPENDIX 18'!D36/'APPENDIX 18'!D$41*100,"")</f>
        <v>0.62993172958671018</v>
      </c>
      <c r="E36" s="193">
        <f>IFERROR('APPENDIX 18'!E36/'APPENDIX 18'!E$41*100,"")</f>
        <v>0.1807809805034106</v>
      </c>
      <c r="F36" s="193">
        <f>IFERROR('APPENDIX 18'!F36/'APPENDIX 18'!F$41*100,"")</f>
        <v>0.21283170386146105</v>
      </c>
      <c r="G36" s="193">
        <f>IFERROR('APPENDIX 18'!G36/'APPENDIX 18'!G$41*100,"")</f>
        <v>1.1463435867814473</v>
      </c>
      <c r="H36" s="193">
        <f>IFERROR('APPENDIX 18'!H36/'APPENDIX 18'!H$41*100,"")</f>
        <v>0.43550914140737401</v>
      </c>
      <c r="I36" s="193">
        <f>IFERROR('APPENDIX 18'!I36/'APPENDIX 18'!I$41*100,"")</f>
        <v>0.79357411184953519</v>
      </c>
      <c r="J36" s="193">
        <f>IFERROR('APPENDIX 18'!J36/'APPENDIX 18'!J$41*100,"")</f>
        <v>2.8716193392821454</v>
      </c>
      <c r="K36" s="193">
        <f>IFERROR('APPENDIX 18'!K36/'APPENDIX 18'!K$41*100,"")</f>
        <v>0</v>
      </c>
      <c r="L36" s="193">
        <f>IFERROR('APPENDIX 18'!L36/'APPENDIX 18'!L$41*100,"")</f>
        <v>0.12309341948826509</v>
      </c>
      <c r="M36" s="193">
        <f>IFERROR('APPENDIX 18'!M36/'APPENDIX 18'!M$41*100,"")</f>
        <v>0.47963890656096853</v>
      </c>
      <c r="N36" s="193">
        <f>IFERROR('APPENDIX 18'!N36/'APPENDIX 18'!N$41*100,"")</f>
        <v>0.62441108104142085</v>
      </c>
      <c r="O36" s="193">
        <f>IFERROR('APPENDIX 18'!O36/'APPENDIX 18'!O$41*100,"")</f>
        <v>3.0878363245975961E-2</v>
      </c>
      <c r="P36" s="193">
        <f>IFERROR('APPENDIX 18'!P36/'APPENDIX 18'!P$41*100,"")</f>
        <v>0.76449387288963067</v>
      </c>
      <c r="Q36" s="194">
        <f>IFERROR('APPENDIX 18'!$Q36/'APPENDIX 18'!Q$41*100,"")</f>
        <v>0.55305041382695896</v>
      </c>
    </row>
    <row r="37" spans="2:17" ht="18" customHeight="1" x14ac:dyDescent="0.35">
      <c r="B37" s="192" t="str">
        <f>'APPENDIX 18'!B37</f>
        <v>TAUSI ASSURANCE COMPANY</v>
      </c>
      <c r="C37" s="193">
        <f>IFERROR('APPENDIX 18'!C37/'APPENDIX 18'!C$41*100,"")</f>
        <v>0</v>
      </c>
      <c r="D37" s="193">
        <f>IFERROR('APPENDIX 18'!D37/'APPENDIX 18'!D$41*100,"")</f>
        <v>4.1773817954261441</v>
      </c>
      <c r="E37" s="193">
        <f>IFERROR('APPENDIX 18'!E37/'APPENDIX 18'!E$41*100,"")</f>
        <v>6.0164522174975117</v>
      </c>
      <c r="F37" s="193">
        <f>IFERROR('APPENDIX 18'!F37/'APPENDIX 18'!F$41*100,"")</f>
        <v>5.3796712186895688</v>
      </c>
      <c r="G37" s="193">
        <f>IFERROR('APPENDIX 18'!G37/'APPENDIX 18'!G$41*100,"")</f>
        <v>1.8581608597709138</v>
      </c>
      <c r="H37" s="193">
        <f>IFERROR('APPENDIX 18'!H37/'APPENDIX 18'!H$41*100,"")</f>
        <v>4.2644162530032874</v>
      </c>
      <c r="I37" s="193">
        <f>IFERROR('APPENDIX 18'!I37/'APPENDIX 18'!I$41*100,"")</f>
        <v>1.4180141111921774</v>
      </c>
      <c r="J37" s="193">
        <f>IFERROR('APPENDIX 18'!J37/'APPENDIX 18'!J$41*100,"")</f>
        <v>1.4721195707127335</v>
      </c>
      <c r="K37" s="193">
        <f>IFERROR('APPENDIX 18'!K37/'APPENDIX 18'!K$41*100,"")</f>
        <v>0</v>
      </c>
      <c r="L37" s="193">
        <f>IFERROR('APPENDIX 18'!L37/'APPENDIX 18'!L$41*100,"")</f>
        <v>0.52198720149734523</v>
      </c>
      <c r="M37" s="193">
        <f>IFERROR('APPENDIX 18'!M37/'APPENDIX 18'!M$41*100,"")</f>
        <v>2.8719998780952087</v>
      </c>
      <c r="N37" s="193">
        <f>IFERROR('APPENDIX 18'!N37/'APPENDIX 18'!N$41*100,"")</f>
        <v>5.0087592118898439</v>
      </c>
      <c r="O37" s="193">
        <f>IFERROR('APPENDIX 18'!O37/'APPENDIX 18'!O$41*100,"")</f>
        <v>6.7705735880539365E-3</v>
      </c>
      <c r="P37" s="193">
        <f>IFERROR('APPENDIX 18'!P37/'APPENDIX 18'!P$41*100,"")</f>
        <v>0.41805553777699023</v>
      </c>
      <c r="Q37" s="194">
        <f>IFERROR('APPENDIX 18'!$Q37/'APPENDIX 18'!Q$41*100,"")</f>
        <v>1.6409994346248111</v>
      </c>
    </row>
    <row r="38" spans="2:17" ht="18" customHeight="1" x14ac:dyDescent="0.35">
      <c r="B38" s="192" t="str">
        <f>'APPENDIX 18'!B38</f>
        <v>THE HERITAGE INSURANCE COMPANY</v>
      </c>
      <c r="C38" s="193">
        <f>IFERROR('APPENDIX 18'!C38/'APPENDIX 18'!C$41*100,"")</f>
        <v>1.6999213188348457</v>
      </c>
      <c r="D38" s="193">
        <f>IFERROR('APPENDIX 18'!D38/'APPENDIX 18'!D$41*100,"")</f>
        <v>1.2158897884298216</v>
      </c>
      <c r="E38" s="193">
        <f>IFERROR('APPENDIX 18'!E38/'APPENDIX 18'!E$41*100,"")</f>
        <v>7.834275705281482</v>
      </c>
      <c r="F38" s="193">
        <f>IFERROR('APPENDIX 18'!F38/'APPENDIX 18'!F$41*100,"")</f>
        <v>2.810985898697091</v>
      </c>
      <c r="G38" s="193">
        <f>IFERROR('APPENDIX 18'!G38/'APPENDIX 18'!G$41*100,"")</f>
        <v>3.9426277739919477</v>
      </c>
      <c r="H38" s="193">
        <f>IFERROR('APPENDIX 18'!H38/'APPENDIX 18'!H$41*100,"")</f>
        <v>1.7478823036327888</v>
      </c>
      <c r="I38" s="193">
        <f>IFERROR('APPENDIX 18'!I38/'APPENDIX 18'!I$41*100,"")</f>
        <v>3.843931279779182</v>
      </c>
      <c r="J38" s="193">
        <f>IFERROR('APPENDIX 18'!J38/'APPENDIX 18'!J$41*100,"")</f>
        <v>2.4343981807323272</v>
      </c>
      <c r="K38" s="193">
        <f>IFERROR('APPENDIX 18'!K38/'APPENDIX 18'!K$41*100,"")</f>
        <v>0</v>
      </c>
      <c r="L38" s="193">
        <f>IFERROR('APPENDIX 18'!L38/'APPENDIX 18'!L$41*100,"")</f>
        <v>8.9921008586118116</v>
      </c>
      <c r="M38" s="193">
        <f>IFERROR('APPENDIX 18'!M38/'APPENDIX 18'!M$41*100,"")</f>
        <v>1.8313228310279726</v>
      </c>
      <c r="N38" s="193">
        <f>IFERROR('APPENDIX 18'!N38/'APPENDIX 18'!N$41*100,"")</f>
        <v>4.9430299953342818</v>
      </c>
      <c r="O38" s="193">
        <f>IFERROR('APPENDIX 18'!O38/'APPENDIX 18'!O$41*100,"")</f>
        <v>5.1819314552278231</v>
      </c>
      <c r="P38" s="193">
        <f>IFERROR('APPENDIX 18'!P38/'APPENDIX 18'!P$41*100,"")</f>
        <v>11.0153537903815</v>
      </c>
      <c r="Q38" s="194">
        <f>IFERROR('APPENDIX 18'!$Q38/'APPENDIX 18'!Q$41*100,"")</f>
        <v>4.1924206710865963</v>
      </c>
    </row>
    <row r="39" spans="2:17" ht="18" customHeight="1" x14ac:dyDescent="0.35">
      <c r="B39" s="192" t="str">
        <f>'APPENDIX 18'!B39</f>
        <v xml:space="preserve">THE KENYAN ALLIANCE INSURANCE </v>
      </c>
      <c r="C39" s="193">
        <f>IFERROR('APPENDIX 18'!C39/'APPENDIX 18'!C$41*100,"")</f>
        <v>0</v>
      </c>
      <c r="D39" s="193">
        <f>IFERROR('APPENDIX 18'!D39/'APPENDIX 18'!D$41*100,"")</f>
        <v>0</v>
      </c>
      <c r="E39" s="193">
        <f>IFERROR('APPENDIX 18'!E39/'APPENDIX 18'!E$41*100,"")</f>
        <v>0</v>
      </c>
      <c r="F39" s="193">
        <f>IFERROR('APPENDIX 18'!F39/'APPENDIX 18'!F$41*100,"")</f>
        <v>0</v>
      </c>
      <c r="G39" s="193">
        <f>IFERROR('APPENDIX 18'!G39/'APPENDIX 18'!G$41*100,"")</f>
        <v>0</v>
      </c>
      <c r="H39" s="193">
        <f>IFERROR('APPENDIX 18'!H39/'APPENDIX 18'!H$41*100,"")</f>
        <v>0</v>
      </c>
      <c r="I39" s="193">
        <f>IFERROR('APPENDIX 18'!I39/'APPENDIX 18'!I$41*100,"")</f>
        <v>0</v>
      </c>
      <c r="J39" s="193">
        <f>IFERROR('APPENDIX 18'!J39/'APPENDIX 18'!J$41*100,"")</f>
        <v>0</v>
      </c>
      <c r="K39" s="193">
        <f>IFERROR('APPENDIX 18'!K39/'APPENDIX 18'!K$41*100,"")</f>
        <v>0</v>
      </c>
      <c r="L39" s="193">
        <f>IFERROR('APPENDIX 18'!L39/'APPENDIX 18'!L$41*100,"")</f>
        <v>0</v>
      </c>
      <c r="M39" s="193">
        <f>IFERROR('APPENDIX 18'!M39/'APPENDIX 18'!M$41*100,"")</f>
        <v>0</v>
      </c>
      <c r="N39" s="193">
        <f>IFERROR('APPENDIX 18'!N39/'APPENDIX 18'!N$41*100,"")</f>
        <v>0</v>
      </c>
      <c r="O39" s="193">
        <f>IFERROR('APPENDIX 18'!O39/'APPENDIX 18'!O$41*100,"")</f>
        <v>0</v>
      </c>
      <c r="P39" s="193">
        <f>IFERROR('APPENDIX 18'!P39/'APPENDIX 18'!P$41*100,"")</f>
        <v>0</v>
      </c>
      <c r="Q39" s="194">
        <f>IFERROR('APPENDIX 18'!$Q39/'APPENDIX 18'!Q$41*100,"")</f>
        <v>0</v>
      </c>
    </row>
    <row r="40" spans="2:17" ht="18" customHeight="1" x14ac:dyDescent="0.35">
      <c r="B40" s="192" t="str">
        <f>'APPENDIX 18'!B40</f>
        <v xml:space="preserve">THE MONARCH INSURANCE </v>
      </c>
      <c r="C40" s="193">
        <f>IFERROR('APPENDIX 18'!C40/'APPENDIX 18'!C$41*100,"")</f>
        <v>0</v>
      </c>
      <c r="D40" s="193">
        <f>IFERROR('APPENDIX 18'!D40/'APPENDIX 18'!D$41*100,"")</f>
        <v>0</v>
      </c>
      <c r="E40" s="193">
        <f>IFERROR('APPENDIX 18'!E40/'APPENDIX 18'!E$41*100,"")</f>
        <v>0</v>
      </c>
      <c r="F40" s="193">
        <f>IFERROR('APPENDIX 18'!F40/'APPENDIX 18'!F$41*100,"")</f>
        <v>0</v>
      </c>
      <c r="G40" s="193">
        <f>IFERROR('APPENDIX 18'!G40/'APPENDIX 18'!G$41*100,"")</f>
        <v>0</v>
      </c>
      <c r="H40" s="193">
        <f>IFERROR('APPENDIX 18'!H40/'APPENDIX 18'!H$41*100,"")</f>
        <v>0</v>
      </c>
      <c r="I40" s="193">
        <f>IFERROR('APPENDIX 18'!I40/'APPENDIX 18'!I$41*100,"")</f>
        <v>0</v>
      </c>
      <c r="J40" s="193">
        <f>IFERROR('APPENDIX 18'!J40/'APPENDIX 18'!J$41*100,"")</f>
        <v>0</v>
      </c>
      <c r="K40" s="193">
        <f>IFERROR('APPENDIX 18'!K40/'APPENDIX 18'!K$41*100,"")</f>
        <v>0</v>
      </c>
      <c r="L40" s="193">
        <f>IFERROR('APPENDIX 18'!L40/'APPENDIX 18'!L$41*100,"")</f>
        <v>0</v>
      </c>
      <c r="M40" s="193">
        <f>IFERROR('APPENDIX 18'!M40/'APPENDIX 18'!M$41*100,"")</f>
        <v>0</v>
      </c>
      <c r="N40" s="193">
        <f>IFERROR('APPENDIX 18'!N40/'APPENDIX 18'!N$41*100,"")</f>
        <v>0</v>
      </c>
      <c r="O40" s="193">
        <f>IFERROR('APPENDIX 18'!O40/'APPENDIX 18'!O$41*100,"")</f>
        <v>0</v>
      </c>
      <c r="P40" s="193">
        <f>IFERROR('APPENDIX 18'!P40/'APPENDIX 18'!P$41*100,"")</f>
        <v>0</v>
      </c>
      <c r="Q40" s="194">
        <f>IFERROR('APPENDIX 18'!$Q40/'APPENDIX 18'!Q$41*100,"")</f>
        <v>0</v>
      </c>
    </row>
    <row r="41" spans="2:17" ht="18" customHeight="1" x14ac:dyDescent="0.35">
      <c r="B41" s="195" t="s">
        <v>7</v>
      </c>
      <c r="C41" s="196">
        <f>IFERROR('APPENDIX 18'!C41/'APPENDIX 18'!C$41*100,"")</f>
        <v>100</v>
      </c>
      <c r="D41" s="196">
        <f>IFERROR('APPENDIX 18'!D41/'APPENDIX 18'!D$41*100,"")</f>
        <v>100</v>
      </c>
      <c r="E41" s="196">
        <f>IFERROR('APPENDIX 18'!E41/'APPENDIX 18'!E$41*100,"")</f>
        <v>100</v>
      </c>
      <c r="F41" s="196">
        <f>IFERROR('APPENDIX 18'!F41/'APPENDIX 18'!F$41*100,"")</f>
        <v>100</v>
      </c>
      <c r="G41" s="196">
        <f>IFERROR('APPENDIX 18'!G41/'APPENDIX 18'!G$41*100,"")</f>
        <v>100</v>
      </c>
      <c r="H41" s="196">
        <f>IFERROR('APPENDIX 18'!H41/'APPENDIX 18'!H$41*100,"")</f>
        <v>100</v>
      </c>
      <c r="I41" s="196">
        <f>IFERROR('APPENDIX 18'!I41/'APPENDIX 18'!I$41*100,"")</f>
        <v>100</v>
      </c>
      <c r="J41" s="196">
        <f>IFERROR('APPENDIX 18'!J41/'APPENDIX 18'!J$41*100,"")</f>
        <v>100</v>
      </c>
      <c r="K41" s="196">
        <f>IFERROR('APPENDIX 18'!K41/'APPENDIX 18'!K$41*100,"")</f>
        <v>100</v>
      </c>
      <c r="L41" s="196">
        <f>IFERROR('APPENDIX 18'!L41/'APPENDIX 18'!L$41*100,"")</f>
        <v>100</v>
      </c>
      <c r="M41" s="196">
        <f>IFERROR('APPENDIX 18'!M41/'APPENDIX 18'!M$41*100,"")</f>
        <v>100</v>
      </c>
      <c r="N41" s="196">
        <f>IFERROR('APPENDIX 18'!N41/'APPENDIX 18'!N$41*100,"")</f>
        <v>100</v>
      </c>
      <c r="O41" s="196">
        <f>IFERROR('APPENDIX 18'!O41/'APPENDIX 18'!O$41*100,"")</f>
        <v>100</v>
      </c>
      <c r="P41" s="196">
        <f>IFERROR('APPENDIX 18'!P41/'APPENDIX 18'!P$41*100,"")</f>
        <v>100</v>
      </c>
      <c r="Q41" s="196">
        <f>IFERROR('APPENDIX 18'!$Q41/'APPENDIX 18'!Q$41*100,"")</f>
        <v>100</v>
      </c>
    </row>
    <row r="42" spans="2:17" ht="18" customHeight="1" x14ac:dyDescent="0.35">
      <c r="B42" s="300" t="s">
        <v>142</v>
      </c>
      <c r="C42" s="301"/>
      <c r="D42" s="301"/>
      <c r="E42" s="301"/>
      <c r="F42" s="301"/>
      <c r="G42" s="301"/>
      <c r="H42" s="301"/>
      <c r="I42" s="301"/>
      <c r="J42" s="301"/>
      <c r="K42" s="301"/>
      <c r="L42" s="301"/>
      <c r="M42" s="301"/>
      <c r="N42" s="301"/>
      <c r="O42" s="301"/>
      <c r="P42" s="301"/>
      <c r="Q42" s="302"/>
    </row>
    <row r="43" spans="2:17" ht="18" customHeight="1" x14ac:dyDescent="0.35">
      <c r="B43" s="192" t="str">
        <f>'APPENDIX 18'!B43</f>
        <v>CONTINENTAL REINSURANCE</v>
      </c>
      <c r="C43" s="197">
        <f>IFERROR('APPENDIX 18'!C43/'APPENDIX 18'!C$48*100,"")</f>
        <v>9.0659914503468695</v>
      </c>
      <c r="D43" s="197">
        <f>IFERROR('APPENDIX 18'!D43/'APPENDIX 18'!D$48*100,"")</f>
        <v>19.166027242277458</v>
      </c>
      <c r="E43" s="197">
        <f>IFERROR('APPENDIX 18'!E43/'APPENDIX 18'!E$48*100,"")</f>
        <v>57.781713637544406</v>
      </c>
      <c r="F43" s="197">
        <f>IFERROR('APPENDIX 18'!F43/'APPENDIX 18'!F$48*100,"")</f>
        <v>22.046383082857883</v>
      </c>
      <c r="G43" s="197">
        <f>IFERROR('APPENDIX 18'!G43/'APPENDIX 18'!G$48*100,"")</f>
        <v>43.234880852101838</v>
      </c>
      <c r="H43" s="197">
        <f>IFERROR('APPENDIX 18'!H43/'APPENDIX 18'!H$48*100,"")</f>
        <v>16.284344258811437</v>
      </c>
      <c r="I43" s="197">
        <f>IFERROR('APPENDIX 18'!I43/'APPENDIX 18'!I$48*100,"")</f>
        <v>33.013508383996779</v>
      </c>
      <c r="J43" s="197">
        <f>IFERROR('APPENDIX 18'!J43/'APPENDIX 18'!J$48*100,"")</f>
        <v>21.889690261855456</v>
      </c>
      <c r="K43" s="198">
        <f>IFERROR('APPENDIX 18'!K43/'APPENDIX 18'!K$48*100,0)</f>
        <v>0</v>
      </c>
      <c r="L43" s="197">
        <f>IFERROR('APPENDIX 18'!L43/'APPENDIX 18'!L$48*100,"")</f>
        <v>11.645068848437329</v>
      </c>
      <c r="M43" s="197">
        <f>IFERROR('APPENDIX 18'!M43/'APPENDIX 18'!M$48*100,"")</f>
        <v>10.614080980056652</v>
      </c>
      <c r="N43" s="197">
        <f>IFERROR('APPENDIX 18'!N43/'APPENDIX 18'!N$48*100,"")</f>
        <v>17.127139325441142</v>
      </c>
      <c r="O43" s="197">
        <f>IFERROR('APPENDIX 18'!O43/'APPENDIX 18'!O$48*100,"")</f>
        <v>33.745400157206099</v>
      </c>
      <c r="P43" s="197">
        <f>IFERROR('APPENDIX 18'!P43/'APPENDIX 18'!$P$48*100,"")</f>
        <v>24.893976469079128</v>
      </c>
      <c r="Q43" s="199">
        <f>IFERROR('APPENDIX 18'!$Q43/'APPENDIX 18'!$Q$48*100,"")</f>
        <v>24.981463406689731</v>
      </c>
    </row>
    <row r="44" spans="2:17" ht="18" customHeight="1" x14ac:dyDescent="0.35">
      <c r="B44" s="192" t="str">
        <f>'APPENDIX 18'!B44</f>
        <v xml:space="preserve">EAST AFRICA REINSURANCE </v>
      </c>
      <c r="C44" s="197">
        <f>IFERROR('APPENDIX 18'!C44/'APPENDIX 18'!C$48*100,"")</f>
        <v>1.6031886844571728</v>
      </c>
      <c r="D44" s="197">
        <f>IFERROR('APPENDIX 18'!D44/'APPENDIX 18'!D$48*100,"")</f>
        <v>11.926002541248295</v>
      </c>
      <c r="E44" s="197">
        <f>IFERROR('APPENDIX 18'!E44/'APPENDIX 18'!E$48*100,"")</f>
        <v>0</v>
      </c>
      <c r="F44" s="197">
        <f>IFERROR('APPENDIX 18'!F44/'APPENDIX 18'!F$48*100,"")</f>
        <v>20.189613260449978</v>
      </c>
      <c r="G44" s="197">
        <f>IFERROR('APPENDIX 18'!G44/'APPENDIX 18'!G$48*100,"")</f>
        <v>9.5827553002276229</v>
      </c>
      <c r="H44" s="197">
        <f>IFERROR('APPENDIX 18'!H44/'APPENDIX 18'!H$48*100,"")</f>
        <v>14.462703067356875</v>
      </c>
      <c r="I44" s="197">
        <f>IFERROR('APPENDIX 18'!I44/'APPENDIX 18'!I$48*100,"")</f>
        <v>0</v>
      </c>
      <c r="J44" s="197">
        <f>IFERROR('APPENDIX 18'!J44/'APPENDIX 18'!J$48*100,"")</f>
        <v>23.649982292882392</v>
      </c>
      <c r="K44" s="198">
        <f>IFERROR('APPENDIX 18'!K44/'APPENDIX 18'!K$48*100,0)</f>
        <v>0</v>
      </c>
      <c r="L44" s="197">
        <f>IFERROR('APPENDIX 18'!L44/'APPENDIX 18'!L$48*100,"")</f>
        <v>7.6877396928722419</v>
      </c>
      <c r="M44" s="197">
        <f>IFERROR('APPENDIX 18'!M44/'APPENDIX 18'!M$48*100,"")</f>
        <v>0</v>
      </c>
      <c r="N44" s="197">
        <f>IFERROR('APPENDIX 18'!N44/'APPENDIX 18'!N$48*100,"")</f>
        <v>0</v>
      </c>
      <c r="O44" s="197">
        <f>IFERROR('APPENDIX 18'!O44/'APPENDIX 18'!O$48*100,"")</f>
        <v>28.201543272837547</v>
      </c>
      <c r="P44" s="197">
        <f>IFERROR('APPENDIX 18'!P44/'APPENDIX 18'!$P$48*100,"")</f>
        <v>22.197942535400397</v>
      </c>
      <c r="Q44" s="199">
        <f>IFERROR('APPENDIX 18'!$Q44/'APPENDIX 18'!$Q$48*100,"")</f>
        <v>18.083827863439204</v>
      </c>
    </row>
    <row r="45" spans="2:17" ht="18" customHeight="1" x14ac:dyDescent="0.35">
      <c r="B45" s="192" t="str">
        <f>'APPENDIX 18'!B45</f>
        <v>GHANA REINSURANCE COMPANY</v>
      </c>
      <c r="C45" s="197">
        <f>IFERROR('APPENDIX 18'!C45/'APPENDIX 18'!C$48*100,"")</f>
        <v>1.0488638180592025</v>
      </c>
      <c r="D45" s="197">
        <f>IFERROR('APPENDIX 18'!D45/'APPENDIX 18'!D$48*100,"")</f>
        <v>3.7431274961810321</v>
      </c>
      <c r="E45" s="197">
        <f>IFERROR('APPENDIX 18'!E45/'APPENDIX 18'!E$48*100,"")</f>
        <v>12.446589079526872</v>
      </c>
      <c r="F45" s="197">
        <f>IFERROR('APPENDIX 18'!F45/'APPENDIX 18'!F$48*100,"")</f>
        <v>12.236024664879942</v>
      </c>
      <c r="G45" s="197">
        <f>IFERROR('APPENDIX 18'!G45/'APPENDIX 18'!G$48*100,"")</f>
        <v>10.119755539446437</v>
      </c>
      <c r="H45" s="197">
        <f>IFERROR('APPENDIX 18'!H45/'APPENDIX 18'!H$48*100,"")</f>
        <v>7.1945129067360831</v>
      </c>
      <c r="I45" s="197">
        <f>IFERROR('APPENDIX 18'!I45/'APPENDIX 18'!I$48*100,"")</f>
        <v>35.035381720131724</v>
      </c>
      <c r="J45" s="197">
        <f>IFERROR('APPENDIX 18'!J45/'APPENDIX 18'!J$48*100,"")</f>
        <v>5.889951113938519</v>
      </c>
      <c r="K45" s="198">
        <f>IFERROR('APPENDIX 18'!K45/'APPENDIX 18'!K$48*100,0)</f>
        <v>0</v>
      </c>
      <c r="L45" s="197">
        <f>IFERROR('APPENDIX 18'!L45/'APPENDIX 18'!L$48*100,"")</f>
        <v>0.31872524576480549</v>
      </c>
      <c r="M45" s="197">
        <f>IFERROR('APPENDIX 18'!M45/'APPENDIX 18'!M$48*100,"")</f>
        <v>13.047193947923702</v>
      </c>
      <c r="N45" s="197">
        <f>IFERROR('APPENDIX 18'!N45/'APPENDIX 18'!N$48*100,"")</f>
        <v>29.534199056054224</v>
      </c>
      <c r="O45" s="197">
        <f>IFERROR('APPENDIX 18'!O45/'APPENDIX 18'!O$48*100,"")</f>
        <v>7.5875216146726254</v>
      </c>
      <c r="P45" s="197">
        <f>IFERROR('APPENDIX 18'!P45/'APPENDIX 18'!$P$48*100,"")</f>
        <v>4.7562100220284993</v>
      </c>
      <c r="Q45" s="199">
        <f>IFERROR('APPENDIX 18'!$Q45/'APPENDIX 18'!$Q$48*100,"")</f>
        <v>8.4274602893432338</v>
      </c>
    </row>
    <row r="46" spans="2:17" ht="18" customHeight="1" x14ac:dyDescent="0.35">
      <c r="B46" s="192" t="str">
        <f>'APPENDIX 18'!B46</f>
        <v>KENYA REINSURANCE CORPORATION</v>
      </c>
      <c r="C46" s="197">
        <f>IFERROR('APPENDIX 18'!C46/'APPENDIX 18'!C$48*100,"")</f>
        <v>63.801061281936953</v>
      </c>
      <c r="D46" s="197">
        <f>IFERROR('APPENDIX 18'!D46/'APPENDIX 18'!D$48*100,"")</f>
        <v>44.33175485397274</v>
      </c>
      <c r="E46" s="197">
        <f>IFERROR('APPENDIX 18'!E46/'APPENDIX 18'!E$48*100,"")</f>
        <v>3.2046321900324202</v>
      </c>
      <c r="F46" s="197">
        <f>IFERROR('APPENDIX 18'!F46/'APPENDIX 18'!F$48*100,"")</f>
        <v>28.678300576594175</v>
      </c>
      <c r="G46" s="197">
        <f>IFERROR('APPENDIX 18'!G46/'APPENDIX 18'!G$48*100,"")</f>
        <v>14.282053703778127</v>
      </c>
      <c r="H46" s="197">
        <f>IFERROR('APPENDIX 18'!H46/'APPENDIX 18'!H$48*100,"")</f>
        <v>44.618233756347244</v>
      </c>
      <c r="I46" s="197">
        <f>IFERROR('APPENDIX 18'!I46/'APPENDIX 18'!I$48*100,"")</f>
        <v>4.672425724233956</v>
      </c>
      <c r="J46" s="197">
        <f>IFERROR('APPENDIX 18'!J46/'APPENDIX 18'!J$48*100,"")</f>
        <v>39.794015159968041</v>
      </c>
      <c r="K46" s="198">
        <f>IFERROR('APPENDIX 18'!K46/'APPENDIX 18'!K$48*100,0)</f>
        <v>0</v>
      </c>
      <c r="L46" s="197">
        <f>IFERROR('APPENDIX 18'!L46/'APPENDIX 18'!L$48*100,"")</f>
        <v>25.135685976955742</v>
      </c>
      <c r="M46" s="197">
        <f>IFERROR('APPENDIX 18'!M46/'APPENDIX 18'!M$48*100,"")</f>
        <v>36.054307027805692</v>
      </c>
      <c r="N46" s="197">
        <f>IFERROR('APPENDIX 18'!N46/'APPENDIX 18'!N$48*100,"")</f>
        <v>53.338661618504638</v>
      </c>
      <c r="O46" s="197">
        <f>IFERROR('APPENDIX 18'!O46/'APPENDIX 18'!O$48*100,"")</f>
        <v>29.841832598140506</v>
      </c>
      <c r="P46" s="197">
        <f>IFERROR('APPENDIX 18'!P46/'APPENDIX 18'!$P$48*100,"")</f>
        <v>42.1660768648672</v>
      </c>
      <c r="Q46" s="199">
        <f>IFERROR('APPENDIX 18'!$Q46/'APPENDIX 18'!$Q$48*100,"")</f>
        <v>31.996550975507944</v>
      </c>
    </row>
    <row r="47" spans="2:17" ht="18" customHeight="1" x14ac:dyDescent="0.35">
      <c r="B47" s="192" t="str">
        <f>'APPENDIX 18'!B47</f>
        <v>WAICA REINSURANCE KENYA LIMITED</v>
      </c>
      <c r="C47" s="197">
        <f>IFERROR('APPENDIX 18'!C47/'APPENDIX 18'!C$48*100,"")</f>
        <v>24.48089476519981</v>
      </c>
      <c r="D47" s="197">
        <f>IFERROR('APPENDIX 18'!D47/'APPENDIX 18'!D$48*100,"")</f>
        <v>20.833087866320479</v>
      </c>
      <c r="E47" s="197">
        <f>IFERROR('APPENDIX 18'!E47/'APPENDIX 18'!E$48*100,"")</f>
        <v>26.567065092896314</v>
      </c>
      <c r="F47" s="197">
        <f>IFERROR('APPENDIX 18'!F47/'APPENDIX 18'!F$48*100,"")</f>
        <v>16.849678415218015</v>
      </c>
      <c r="G47" s="197">
        <f>IFERROR('APPENDIX 18'!G47/'APPENDIX 18'!G$48*100,"")</f>
        <v>22.780554604445971</v>
      </c>
      <c r="H47" s="197">
        <f>IFERROR('APPENDIX 18'!H47/'APPENDIX 18'!H$48*100,"")</f>
        <v>17.440206010748369</v>
      </c>
      <c r="I47" s="197">
        <f>IFERROR('APPENDIX 18'!I47/'APPENDIX 18'!I$48*100,"")</f>
        <v>27.278684171637551</v>
      </c>
      <c r="J47" s="197">
        <f>IFERROR('APPENDIX 18'!J47/'APPENDIX 18'!J$48*100,"")</f>
        <v>8.7763611713555818</v>
      </c>
      <c r="K47" s="198">
        <f>IFERROR('APPENDIX 18'!K47/'APPENDIX 18'!K$48*100,0)</f>
        <v>0</v>
      </c>
      <c r="L47" s="197">
        <f>IFERROR('APPENDIX 18'!L47/'APPENDIX 18'!L$48*100,"")</f>
        <v>55.21278023596988</v>
      </c>
      <c r="M47" s="197">
        <f>IFERROR('APPENDIX 18'!M47/'APPENDIX 18'!M$48*100,"")</f>
        <v>40.28441804421395</v>
      </c>
      <c r="N47" s="197">
        <f>IFERROR('APPENDIX 18'!N47/'APPENDIX 18'!N$48*100,"")</f>
        <v>0</v>
      </c>
      <c r="O47" s="197">
        <f>IFERROR('APPENDIX 18'!O47/'APPENDIX 18'!O$48*100,"")</f>
        <v>0.62370235714324229</v>
      </c>
      <c r="P47" s="197">
        <f>IFERROR('APPENDIX 18'!P47/'APPENDIX 18'!$P$48*100,"")</f>
        <v>5.9857941086247664</v>
      </c>
      <c r="Q47" s="199">
        <f>IFERROR('APPENDIX 18'!$Q47/'APPENDIX 18'!$Q$48*100,"")</f>
        <v>16.510697465019884</v>
      </c>
    </row>
    <row r="48" spans="2:17" ht="18" customHeight="1" x14ac:dyDescent="0.35">
      <c r="B48" s="195" t="s">
        <v>231</v>
      </c>
      <c r="C48" s="196">
        <f t="shared" ref="C48:Q48" si="0">SUM(C43:C47)</f>
        <v>100</v>
      </c>
      <c r="D48" s="196">
        <f t="shared" si="0"/>
        <v>100</v>
      </c>
      <c r="E48" s="196">
        <f t="shared" si="0"/>
        <v>100</v>
      </c>
      <c r="F48" s="196">
        <f t="shared" si="0"/>
        <v>100</v>
      </c>
      <c r="G48" s="196">
        <f t="shared" si="0"/>
        <v>100</v>
      </c>
      <c r="H48" s="196">
        <f t="shared" si="0"/>
        <v>100</v>
      </c>
      <c r="I48" s="196">
        <f t="shared" si="0"/>
        <v>100.00000000000001</v>
      </c>
      <c r="J48" s="196">
        <f t="shared" si="0"/>
        <v>100</v>
      </c>
      <c r="K48" s="196">
        <f t="shared" si="0"/>
        <v>0</v>
      </c>
      <c r="L48" s="196">
        <f t="shared" si="0"/>
        <v>100</v>
      </c>
      <c r="M48" s="196">
        <f t="shared" si="0"/>
        <v>100</v>
      </c>
      <c r="N48" s="196">
        <f t="shared" si="0"/>
        <v>100</v>
      </c>
      <c r="O48" s="196">
        <f t="shared" si="0"/>
        <v>100.00000000000001</v>
      </c>
      <c r="P48" s="196">
        <f t="shared" si="0"/>
        <v>99.999999999999972</v>
      </c>
      <c r="Q48" s="196">
        <f t="shared" si="0"/>
        <v>100</v>
      </c>
    </row>
    <row r="49" spans="2:17" ht="18" customHeight="1" x14ac:dyDescent="0.5">
      <c r="B49" s="363" t="s">
        <v>232</v>
      </c>
      <c r="C49" s="358"/>
      <c r="D49" s="358"/>
      <c r="E49" s="358"/>
      <c r="F49" s="358"/>
      <c r="G49" s="358"/>
      <c r="H49" s="358"/>
      <c r="I49" s="358"/>
      <c r="J49" s="358"/>
      <c r="K49" s="358"/>
      <c r="L49" s="358"/>
      <c r="M49" s="358"/>
      <c r="N49" s="358"/>
      <c r="O49" s="358"/>
      <c r="P49" s="358"/>
      <c r="Q49" s="358"/>
    </row>
  </sheetData>
  <sheetProtection algorithmName="SHA-512" hashValue="vWqd36BqtWkFQCMI3ZTxhLr/McuEAOZaj0lRye2EZ0suhctaaRNfJYDRdoWh/YcMPmCsuxtkVNzXPU4JfGiqbA==" saltValue="QpUhFl1qDcKnwoKuFt3xhw==" spinCount="100000" sheet="1" objects="1" scenarios="1"/>
  <mergeCells count="4">
    <mergeCell ref="B42:Q42"/>
    <mergeCell ref="B49:Q49"/>
    <mergeCell ref="B3:Q3"/>
    <mergeCell ref="B5:Q5"/>
  </mergeCells>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8">
    <tabColor rgb="FF92D050"/>
    <pageSetUpPr fitToPage="1"/>
  </sheetPr>
  <dimension ref="B3:Q49"/>
  <sheetViews>
    <sheetView showGridLines="0" zoomScale="70" zoomScaleNormal="70" workbookViewId="0">
      <pane xSplit="2" ySplit="5" topLeftCell="P45" activePane="bottomRight" state="frozen"/>
      <selection activeCell="A4" sqref="A4:XFD4"/>
      <selection pane="topRight" activeCell="A4" sqref="A4:XFD4"/>
      <selection pane="bottomLeft" activeCell="A4" sqref="A4:XFD4"/>
      <selection pane="bottomRight" activeCell="P45" sqref="B3:Q49"/>
    </sheetView>
  </sheetViews>
  <sheetFormatPr defaultColWidth="9.453125" defaultRowHeight="15.5" x14ac:dyDescent="0.35"/>
  <cols>
    <col min="1" max="1" width="17" style="76" customWidth="1"/>
    <col min="2" max="2" width="45.453125" style="76" bestFit="1" customWidth="1"/>
    <col min="3" max="17" width="19.54296875" style="76" customWidth="1"/>
    <col min="18" max="18" width="11.54296875" style="76" customWidth="1"/>
    <col min="19" max="19" width="16.453125" style="76" customWidth="1"/>
    <col min="20" max="118" width="9.453125" style="76" customWidth="1"/>
    <col min="119" max="16384" width="9.453125" style="76"/>
  </cols>
  <sheetData>
    <row r="3" spans="2:17" s="275" customFormat="1" ht="22" x14ac:dyDescent="0.5">
      <c r="B3" s="367" t="str">
        <f>_xlfn.CONCAT('Table of Contents'!B32,": ",'Table of Contents'!C32)</f>
        <v>APPENDIX 20: SUMMARY OF CLAIMS PAID UNDER GENERAL INSURANCE BUSINESS FOR THE PERIOD ENDED 31.03.2026</v>
      </c>
      <c r="C3" s="298"/>
      <c r="D3" s="298"/>
      <c r="E3" s="298"/>
      <c r="F3" s="298"/>
      <c r="G3" s="298"/>
      <c r="H3" s="298"/>
      <c r="I3" s="298"/>
      <c r="J3" s="298"/>
      <c r="K3" s="298"/>
      <c r="L3" s="298"/>
      <c r="M3" s="298"/>
      <c r="N3" s="298"/>
      <c r="O3" s="298"/>
      <c r="P3" s="298"/>
      <c r="Q3" s="299"/>
    </row>
    <row r="4" spans="2:17" ht="46.5"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7" ht="18" customHeight="1" x14ac:dyDescent="0.35">
      <c r="B5" s="368" t="s">
        <v>106</v>
      </c>
      <c r="C5" s="301"/>
      <c r="D5" s="301"/>
      <c r="E5" s="301"/>
      <c r="F5" s="301"/>
      <c r="G5" s="301"/>
      <c r="H5" s="301"/>
      <c r="I5" s="301"/>
      <c r="J5" s="301"/>
      <c r="K5" s="301"/>
      <c r="L5" s="301"/>
      <c r="M5" s="301"/>
      <c r="N5" s="301"/>
      <c r="O5" s="301"/>
      <c r="P5" s="301"/>
      <c r="Q5" s="302"/>
    </row>
    <row r="6" spans="2:17" ht="18" customHeight="1" x14ac:dyDescent="0.35">
      <c r="B6" s="67" t="s">
        <v>107</v>
      </c>
      <c r="C6" s="68">
        <v>0</v>
      </c>
      <c r="D6" s="68">
        <v>938.76955090895217</v>
      </c>
      <c r="E6" s="68">
        <v>75.351271335772225</v>
      </c>
      <c r="F6" s="68">
        <v>108.44327646667649</v>
      </c>
      <c r="G6" s="68">
        <v>1699.887792937609</v>
      </c>
      <c r="H6" s="68">
        <v>0</v>
      </c>
      <c r="I6" s="68">
        <v>130.97968521479169</v>
      </c>
      <c r="J6" s="68">
        <v>21.409671075988101</v>
      </c>
      <c r="K6" s="68">
        <v>0</v>
      </c>
      <c r="L6" s="68">
        <v>503.42486492005798</v>
      </c>
      <c r="M6" s="68">
        <v>2228.3527507246558</v>
      </c>
      <c r="N6" s="68">
        <v>6181.5032969529002</v>
      </c>
      <c r="O6" s="68">
        <v>1594195.439750409</v>
      </c>
      <c r="P6" s="68">
        <v>41.257309053616822</v>
      </c>
      <c r="Q6" s="69">
        <v>1606124.8192199999</v>
      </c>
    </row>
    <row r="7" spans="2:17" ht="18" customHeight="1" x14ac:dyDescent="0.35">
      <c r="B7" s="67" t="s">
        <v>108</v>
      </c>
      <c r="C7" s="68">
        <v>0</v>
      </c>
      <c r="D7" s="68">
        <v>1899.5907524191471</v>
      </c>
      <c r="E7" s="68">
        <v>65.042636532359694</v>
      </c>
      <c r="F7" s="68">
        <v>360.52298164441629</v>
      </c>
      <c r="G7" s="68">
        <v>4064.3952917170282</v>
      </c>
      <c r="H7" s="68">
        <v>526.844226323302</v>
      </c>
      <c r="I7" s="68">
        <v>140541.89664223371</v>
      </c>
      <c r="J7" s="68">
        <v>6600.6632422841531</v>
      </c>
      <c r="K7" s="68">
        <v>50835.610549509671</v>
      </c>
      <c r="L7" s="68">
        <v>180.37811254632979</v>
      </c>
      <c r="M7" s="68">
        <v>14778.382467077339</v>
      </c>
      <c r="N7" s="68">
        <v>33.39498900957684</v>
      </c>
      <c r="O7" s="68">
        <v>0</v>
      </c>
      <c r="P7" s="68">
        <v>176.71282317221701</v>
      </c>
      <c r="Q7" s="69">
        <v>220063.4347144693</v>
      </c>
    </row>
    <row r="8" spans="2:17" ht="18" customHeight="1" x14ac:dyDescent="0.35">
      <c r="B8" s="67" t="s">
        <v>109</v>
      </c>
      <c r="C8" s="70">
        <v>0</v>
      </c>
      <c r="D8" s="70">
        <v>9383.1129999999994</v>
      </c>
      <c r="E8" s="70">
        <v>26791.277999999998</v>
      </c>
      <c r="F8" s="70">
        <v>36922.99895999999</v>
      </c>
      <c r="G8" s="70">
        <v>20790.847000000002</v>
      </c>
      <c r="H8" s="70">
        <v>24180.626370000002</v>
      </c>
      <c r="I8" s="70">
        <v>526980.31894000003</v>
      </c>
      <c r="J8" s="70">
        <v>451934.05265000003</v>
      </c>
      <c r="K8" s="70">
        <v>0</v>
      </c>
      <c r="L8" s="70">
        <v>13721.99</v>
      </c>
      <c r="M8" s="70">
        <v>12272.970799999999</v>
      </c>
      <c r="N8" s="70">
        <v>69563.240999999995</v>
      </c>
      <c r="O8" s="70">
        <v>737776.07252952829</v>
      </c>
      <c r="P8" s="70">
        <v>-1240.2219900000021</v>
      </c>
      <c r="Q8" s="69">
        <v>1929077.2872595279</v>
      </c>
    </row>
    <row r="9" spans="2:17" ht="18" customHeight="1" x14ac:dyDescent="0.35">
      <c r="B9" s="67" t="s">
        <v>110</v>
      </c>
      <c r="C9" s="70">
        <v>0</v>
      </c>
      <c r="D9" s="70">
        <v>8968.260594288171</v>
      </c>
      <c r="E9" s="70">
        <v>5480.1730717242008</v>
      </c>
      <c r="F9" s="70">
        <v>12220.03887192307</v>
      </c>
      <c r="G9" s="70">
        <v>196.73099999999999</v>
      </c>
      <c r="H9" s="70">
        <v>2057.6471603200062</v>
      </c>
      <c r="I9" s="70">
        <v>225265.09716999999</v>
      </c>
      <c r="J9" s="70">
        <v>116904.18563000001</v>
      </c>
      <c r="K9" s="70">
        <v>0</v>
      </c>
      <c r="L9" s="70">
        <v>15117.92314114518</v>
      </c>
      <c r="M9" s="70">
        <v>5055.2258499999998</v>
      </c>
      <c r="N9" s="70">
        <v>13722.78085395883</v>
      </c>
      <c r="O9" s="70">
        <v>1241418.3761100001</v>
      </c>
      <c r="P9" s="70">
        <v>46763.868000000002</v>
      </c>
      <c r="Q9" s="69">
        <v>1693170.307453359</v>
      </c>
    </row>
    <row r="10" spans="2:17" ht="18" customHeight="1" x14ac:dyDescent="0.35">
      <c r="B10" s="67" t="s">
        <v>111</v>
      </c>
      <c r="C10" s="70">
        <v>0</v>
      </c>
      <c r="D10" s="70">
        <v>0</v>
      </c>
      <c r="E10" s="70">
        <v>0</v>
      </c>
      <c r="F10" s="70">
        <v>0</v>
      </c>
      <c r="G10" s="70">
        <v>0</v>
      </c>
      <c r="H10" s="70">
        <v>0</v>
      </c>
      <c r="I10" s="70">
        <v>0</v>
      </c>
      <c r="J10" s="70">
        <v>0</v>
      </c>
      <c r="K10" s="70">
        <v>0</v>
      </c>
      <c r="L10" s="70">
        <v>0</v>
      </c>
      <c r="M10" s="70">
        <v>0</v>
      </c>
      <c r="N10" s="70">
        <v>0</v>
      </c>
      <c r="O10" s="70">
        <v>50211.254000000001</v>
      </c>
      <c r="P10" s="70">
        <v>0</v>
      </c>
      <c r="Q10" s="69">
        <v>50211.254000000001</v>
      </c>
    </row>
    <row r="11" spans="2:17" ht="18" customHeight="1" x14ac:dyDescent="0.35">
      <c r="B11" s="67" t="s">
        <v>112</v>
      </c>
      <c r="C11" s="70">
        <v>0</v>
      </c>
      <c r="D11" s="70">
        <v>2079.6799999999998</v>
      </c>
      <c r="E11" s="70">
        <v>214.38</v>
      </c>
      <c r="F11" s="70">
        <v>87.816000000000003</v>
      </c>
      <c r="G11" s="70">
        <v>1076.864</v>
      </c>
      <c r="H11" s="70">
        <v>1506.576</v>
      </c>
      <c r="I11" s="70">
        <v>221062.95</v>
      </c>
      <c r="J11" s="70">
        <v>53427.646000000001</v>
      </c>
      <c r="K11" s="70">
        <v>0</v>
      </c>
      <c r="L11" s="70">
        <v>6.2839999999999998</v>
      </c>
      <c r="M11" s="70">
        <v>3191.2530000000002</v>
      </c>
      <c r="N11" s="70">
        <v>9202.4470000000001</v>
      </c>
      <c r="O11" s="70">
        <v>0</v>
      </c>
      <c r="P11" s="70">
        <v>0</v>
      </c>
      <c r="Q11" s="69">
        <v>291855.89600000001</v>
      </c>
    </row>
    <row r="12" spans="2:17" ht="18" customHeight="1" x14ac:dyDescent="0.35">
      <c r="B12" s="67" t="s">
        <v>113</v>
      </c>
      <c r="C12" s="70">
        <v>0</v>
      </c>
      <c r="D12" s="70">
        <v>32340.986939999999</v>
      </c>
      <c r="E12" s="70">
        <v>1031.213</v>
      </c>
      <c r="F12" s="70">
        <v>25434.685010000001</v>
      </c>
      <c r="G12" s="70">
        <v>17205.823329999999</v>
      </c>
      <c r="H12" s="70">
        <v>2975.8326099999999</v>
      </c>
      <c r="I12" s="70">
        <v>645566.83195999998</v>
      </c>
      <c r="J12" s="70">
        <v>494626.10282999987</v>
      </c>
      <c r="K12" s="70">
        <v>0</v>
      </c>
      <c r="L12" s="70">
        <v>18527.672839999999</v>
      </c>
      <c r="M12" s="70">
        <v>31437.280340000001</v>
      </c>
      <c r="N12" s="70">
        <v>167683.09318</v>
      </c>
      <c r="O12" s="70">
        <v>1868211.1905499999</v>
      </c>
      <c r="P12" s="70">
        <v>281289.40700000001</v>
      </c>
      <c r="Q12" s="69">
        <v>3586330.1195899998</v>
      </c>
    </row>
    <row r="13" spans="2:17" ht="18"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69">
        <v>0</v>
      </c>
    </row>
    <row r="14" spans="2:17" ht="18" customHeight="1" x14ac:dyDescent="0.35">
      <c r="B14" s="67" t="s">
        <v>115</v>
      </c>
      <c r="C14" s="70">
        <v>0</v>
      </c>
      <c r="D14" s="70">
        <v>0</v>
      </c>
      <c r="E14" s="70">
        <v>0</v>
      </c>
      <c r="F14" s="70">
        <v>0</v>
      </c>
      <c r="G14" s="70">
        <v>0</v>
      </c>
      <c r="H14" s="70">
        <v>0</v>
      </c>
      <c r="I14" s="70">
        <v>53052.861897837283</v>
      </c>
      <c r="J14" s="70">
        <v>243105.9019311709</v>
      </c>
      <c r="K14" s="70">
        <v>0</v>
      </c>
      <c r="L14" s="70">
        <v>0</v>
      </c>
      <c r="M14" s="70">
        <v>0</v>
      </c>
      <c r="N14" s="70">
        <v>0</v>
      </c>
      <c r="O14" s="70">
        <v>0</v>
      </c>
      <c r="P14" s="70">
        <v>0</v>
      </c>
      <c r="Q14" s="69">
        <v>296158.76382900821</v>
      </c>
    </row>
    <row r="15" spans="2:17" ht="18" customHeight="1" x14ac:dyDescent="0.35">
      <c r="B15" s="67" t="s">
        <v>116</v>
      </c>
      <c r="C15" s="70">
        <v>0</v>
      </c>
      <c r="D15" s="70">
        <v>0</v>
      </c>
      <c r="E15" s="70">
        <v>0</v>
      </c>
      <c r="F15" s="70">
        <v>0</v>
      </c>
      <c r="G15" s="70">
        <v>0</v>
      </c>
      <c r="H15" s="70">
        <v>0</v>
      </c>
      <c r="I15" s="70">
        <v>226.072</v>
      </c>
      <c r="J15" s="70">
        <v>0</v>
      </c>
      <c r="K15" s="70">
        <v>0</v>
      </c>
      <c r="L15" s="70">
        <v>0</v>
      </c>
      <c r="M15" s="70">
        <v>257.62099999999998</v>
      </c>
      <c r="N15" s="70">
        <v>0</v>
      </c>
      <c r="O15" s="70">
        <v>63547.467420000001</v>
      </c>
      <c r="P15" s="70">
        <v>0</v>
      </c>
      <c r="Q15" s="69">
        <v>64031.16042</v>
      </c>
    </row>
    <row r="16" spans="2:17" ht="18" customHeight="1" x14ac:dyDescent="0.35">
      <c r="B16" s="67" t="s">
        <v>117</v>
      </c>
      <c r="C16" s="70">
        <v>0</v>
      </c>
      <c r="D16" s="70">
        <v>0</v>
      </c>
      <c r="E16" s="70">
        <v>0</v>
      </c>
      <c r="F16" s="70">
        <v>0</v>
      </c>
      <c r="G16" s="70">
        <v>0</v>
      </c>
      <c r="H16" s="70">
        <v>0</v>
      </c>
      <c r="I16" s="70">
        <v>0</v>
      </c>
      <c r="J16" s="70">
        <v>0</v>
      </c>
      <c r="K16" s="70">
        <v>0</v>
      </c>
      <c r="L16" s="70">
        <v>0</v>
      </c>
      <c r="M16" s="70">
        <v>0</v>
      </c>
      <c r="N16" s="70">
        <v>0</v>
      </c>
      <c r="O16" s="70">
        <v>-82045.748893333337</v>
      </c>
      <c r="P16" s="70">
        <v>0</v>
      </c>
      <c r="Q16" s="69">
        <v>-82045.748893333337</v>
      </c>
    </row>
    <row r="17" spans="2:17" ht="18" customHeight="1" x14ac:dyDescent="0.35">
      <c r="B17" s="67" t="s">
        <v>118</v>
      </c>
      <c r="C17" s="70">
        <v>0</v>
      </c>
      <c r="D17" s="70">
        <v>1641.47</v>
      </c>
      <c r="E17" s="70">
        <v>1818.29</v>
      </c>
      <c r="F17" s="70">
        <v>3667.642949999999</v>
      </c>
      <c r="G17" s="70">
        <v>5347.0169999999998</v>
      </c>
      <c r="H17" s="70">
        <v>2621.45</v>
      </c>
      <c r="I17" s="70">
        <v>269218.04499999998</v>
      </c>
      <c r="J17" s="70">
        <v>164617.299</v>
      </c>
      <c r="K17" s="70">
        <v>1363.45</v>
      </c>
      <c r="L17" s="70">
        <v>465.428</v>
      </c>
      <c r="M17" s="70">
        <v>1589.058</v>
      </c>
      <c r="N17" s="70">
        <v>23380.512999999999</v>
      </c>
      <c r="O17" s="70">
        <v>35279.625999999997</v>
      </c>
      <c r="P17" s="70">
        <v>3647.2130000000002</v>
      </c>
      <c r="Q17" s="69">
        <v>514656.50195000001</v>
      </c>
    </row>
    <row r="18" spans="2:17" ht="18" customHeight="1" x14ac:dyDescent="0.35">
      <c r="B18" s="67" t="s">
        <v>119</v>
      </c>
      <c r="C18" s="70">
        <v>0</v>
      </c>
      <c r="D18" s="70">
        <v>1951.5710300000001</v>
      </c>
      <c r="E18" s="70">
        <v>679.47930000000008</v>
      </c>
      <c r="F18" s="70">
        <v>7080.8949399999992</v>
      </c>
      <c r="G18" s="70">
        <v>2939.133019999997</v>
      </c>
      <c r="H18" s="70">
        <v>2900.2326800000001</v>
      </c>
      <c r="I18" s="70">
        <v>102772.08749999999</v>
      </c>
      <c r="J18" s="70">
        <v>104107.93875</v>
      </c>
      <c r="K18" s="70">
        <v>0</v>
      </c>
      <c r="L18" s="70">
        <v>11898.319450000001</v>
      </c>
      <c r="M18" s="70">
        <v>3531.2135899999998</v>
      </c>
      <c r="N18" s="70">
        <v>6937.8370000000004</v>
      </c>
      <c r="O18" s="70">
        <v>350225.02221000002</v>
      </c>
      <c r="P18" s="70">
        <v>1439.4428499999999</v>
      </c>
      <c r="Q18" s="69">
        <v>596463.17232000001</v>
      </c>
    </row>
    <row r="19" spans="2:17" ht="18" customHeight="1" x14ac:dyDescent="0.35">
      <c r="B19" s="67" t="s">
        <v>120</v>
      </c>
      <c r="C19" s="70">
        <v>81.828999999999994</v>
      </c>
      <c r="D19" s="70">
        <v>7176.5119999999997</v>
      </c>
      <c r="E19" s="70">
        <v>5393.1580000000004</v>
      </c>
      <c r="F19" s="70">
        <v>8061.7079999999996</v>
      </c>
      <c r="G19" s="70">
        <v>6181.1629999999996</v>
      </c>
      <c r="H19" s="70">
        <v>-48639.968000000001</v>
      </c>
      <c r="I19" s="70">
        <v>284602.39600000001</v>
      </c>
      <c r="J19" s="70">
        <v>279508.57900000003</v>
      </c>
      <c r="K19" s="70">
        <v>0</v>
      </c>
      <c r="L19" s="70">
        <v>908.47199999999998</v>
      </c>
      <c r="M19" s="70">
        <v>93743.481</v>
      </c>
      <c r="N19" s="70">
        <v>164725.883</v>
      </c>
      <c r="O19" s="70">
        <v>340124.86200000002</v>
      </c>
      <c r="P19" s="70">
        <v>1255.6759999999999</v>
      </c>
      <c r="Q19" s="69">
        <v>1143123.7509999999</v>
      </c>
    </row>
    <row r="20" spans="2:17" ht="18" customHeight="1" x14ac:dyDescent="0.35">
      <c r="B20" s="67" t="s">
        <v>121</v>
      </c>
      <c r="C20" s="70">
        <v>129.988</v>
      </c>
      <c r="D20" s="70">
        <v>3184.5140000000001</v>
      </c>
      <c r="E20" s="70">
        <v>3922.9520000000002</v>
      </c>
      <c r="F20" s="70">
        <v>9187.0949999999993</v>
      </c>
      <c r="G20" s="70">
        <v>16879.928</v>
      </c>
      <c r="H20" s="70">
        <v>10692.536</v>
      </c>
      <c r="I20" s="70">
        <v>229306.21</v>
      </c>
      <c r="J20" s="70">
        <v>246097.44</v>
      </c>
      <c r="K20" s="70">
        <v>0</v>
      </c>
      <c r="L20" s="70">
        <v>2413.9229999999998</v>
      </c>
      <c r="M20" s="70">
        <v>8064.2910000000002</v>
      </c>
      <c r="N20" s="70">
        <v>38744.411</v>
      </c>
      <c r="O20" s="70">
        <v>0</v>
      </c>
      <c r="P20" s="70">
        <v>44.587000000000003</v>
      </c>
      <c r="Q20" s="69">
        <v>568667.875</v>
      </c>
    </row>
    <row r="21" spans="2:17" ht="18" customHeight="1" x14ac:dyDescent="0.35">
      <c r="B21" s="67" t="s">
        <v>122</v>
      </c>
      <c r="C21" s="70">
        <v>1278.694</v>
      </c>
      <c r="D21" s="70">
        <v>9996.6180000000004</v>
      </c>
      <c r="E21" s="70">
        <v>7390.7569999999996</v>
      </c>
      <c r="F21" s="70">
        <v>6384.9629999999997</v>
      </c>
      <c r="G21" s="70">
        <v>5294.6850000000004</v>
      </c>
      <c r="H21" s="70">
        <v>12808.967000000001</v>
      </c>
      <c r="I21" s="70">
        <v>379466.11200000002</v>
      </c>
      <c r="J21" s="70">
        <v>70504.149000000005</v>
      </c>
      <c r="K21" s="70">
        <v>0</v>
      </c>
      <c r="L21" s="70">
        <v>11637.009</v>
      </c>
      <c r="M21" s="70">
        <v>13168.232</v>
      </c>
      <c r="N21" s="70">
        <v>34361.726000000002</v>
      </c>
      <c r="O21" s="70">
        <v>35279.288</v>
      </c>
      <c r="P21" s="70">
        <v>993.92499999999995</v>
      </c>
      <c r="Q21" s="69">
        <v>588565.125</v>
      </c>
    </row>
    <row r="22" spans="2:17" ht="18" customHeight="1" x14ac:dyDescent="0.35">
      <c r="B22" s="67" t="s">
        <v>123</v>
      </c>
      <c r="C22" s="70">
        <v>0</v>
      </c>
      <c r="D22" s="70">
        <v>7199.3940000000002</v>
      </c>
      <c r="E22" s="70">
        <v>14011.933999999999</v>
      </c>
      <c r="F22" s="70">
        <v>6734.5349999999999</v>
      </c>
      <c r="G22" s="70">
        <v>808.76700000000005</v>
      </c>
      <c r="H22" s="70">
        <v>8611.6959999999999</v>
      </c>
      <c r="I22" s="70">
        <v>305591.46999999997</v>
      </c>
      <c r="J22" s="70">
        <v>979.68299999999999</v>
      </c>
      <c r="K22" s="70">
        <v>22330.098000000002</v>
      </c>
      <c r="L22" s="70">
        <v>0</v>
      </c>
      <c r="M22" s="70">
        <v>0</v>
      </c>
      <c r="N22" s="70">
        <v>0</v>
      </c>
      <c r="O22" s="70">
        <v>0</v>
      </c>
      <c r="P22" s="70">
        <v>0</v>
      </c>
      <c r="Q22" s="69">
        <v>366267.57699999999</v>
      </c>
    </row>
    <row r="23" spans="2:17" ht="18" customHeight="1" x14ac:dyDescent="0.35">
      <c r="B23" s="67" t="s">
        <v>124</v>
      </c>
      <c r="C23" s="70">
        <v>0</v>
      </c>
      <c r="D23" s="70">
        <v>0</v>
      </c>
      <c r="E23" s="70">
        <v>0</v>
      </c>
      <c r="F23" s="70">
        <v>0</v>
      </c>
      <c r="G23" s="70">
        <v>0</v>
      </c>
      <c r="H23" s="70">
        <v>0</v>
      </c>
      <c r="I23" s="70">
        <v>0</v>
      </c>
      <c r="J23" s="70">
        <v>0</v>
      </c>
      <c r="K23" s="70">
        <v>0</v>
      </c>
      <c r="L23" s="70">
        <v>0</v>
      </c>
      <c r="M23" s="70">
        <v>0</v>
      </c>
      <c r="N23" s="70">
        <v>0</v>
      </c>
      <c r="O23" s="70">
        <v>3322799.3360000001</v>
      </c>
      <c r="P23" s="70">
        <v>0</v>
      </c>
      <c r="Q23" s="69">
        <v>3322799.3360000001</v>
      </c>
    </row>
    <row r="24" spans="2:17" ht="18" customHeight="1" x14ac:dyDescent="0.35">
      <c r="B24" s="67" t="s">
        <v>125</v>
      </c>
      <c r="C24" s="70">
        <v>0</v>
      </c>
      <c r="D24" s="70">
        <v>3248.0740000000001</v>
      </c>
      <c r="E24" s="70">
        <v>370.55</v>
      </c>
      <c r="F24" s="70">
        <v>4361.2839999999997</v>
      </c>
      <c r="G24" s="70">
        <v>26.666</v>
      </c>
      <c r="H24" s="70">
        <v>1309.3040000000001</v>
      </c>
      <c r="I24" s="70">
        <v>89191.976999999999</v>
      </c>
      <c r="J24" s="70">
        <v>77079.187999999995</v>
      </c>
      <c r="K24" s="70">
        <v>0</v>
      </c>
      <c r="L24" s="70">
        <v>112.542</v>
      </c>
      <c r="M24" s="70">
        <v>2685.9580000000001</v>
      </c>
      <c r="N24" s="70">
        <v>32590.082999999999</v>
      </c>
      <c r="O24" s="70">
        <v>7301.0230000000001</v>
      </c>
      <c r="P24" s="70">
        <v>7</v>
      </c>
      <c r="Q24" s="69">
        <v>218283.649</v>
      </c>
    </row>
    <row r="25" spans="2:17" ht="18" customHeight="1" x14ac:dyDescent="0.35">
      <c r="B25" s="67" t="s">
        <v>126</v>
      </c>
      <c r="C25" s="70">
        <v>0</v>
      </c>
      <c r="D25" s="70">
        <v>35.759</v>
      </c>
      <c r="E25" s="70">
        <v>757</v>
      </c>
      <c r="F25" s="70">
        <v>587.31500000000005</v>
      </c>
      <c r="G25" s="70">
        <v>108.88</v>
      </c>
      <c r="H25" s="70">
        <v>31.474</v>
      </c>
      <c r="I25" s="70">
        <v>102716.60719</v>
      </c>
      <c r="J25" s="70">
        <v>36779.94790999985</v>
      </c>
      <c r="K25" s="70">
        <v>9297.65</v>
      </c>
      <c r="L25" s="70">
        <v>58.3</v>
      </c>
      <c r="M25" s="70">
        <v>716.14099999999996</v>
      </c>
      <c r="N25" s="70">
        <v>561.125</v>
      </c>
      <c r="O25" s="70">
        <v>0</v>
      </c>
      <c r="P25" s="70">
        <v>4649.0219999999999</v>
      </c>
      <c r="Q25" s="69">
        <v>156299.22109999979</v>
      </c>
    </row>
    <row r="26" spans="2:17" ht="18" customHeight="1" x14ac:dyDescent="0.35">
      <c r="B26" s="67" t="s">
        <v>127</v>
      </c>
      <c r="C26" s="70">
        <v>0</v>
      </c>
      <c r="D26" s="70">
        <v>4152.8323948636598</v>
      </c>
      <c r="E26" s="70">
        <v>1276.68337330655</v>
      </c>
      <c r="F26" s="70">
        <v>13923.762588258451</v>
      </c>
      <c r="G26" s="70">
        <v>62335.201462404519</v>
      </c>
      <c r="H26" s="70">
        <v>29.823513976426231</v>
      </c>
      <c r="I26" s="70">
        <v>95841.680231313236</v>
      </c>
      <c r="J26" s="70">
        <v>703169.36812486604</v>
      </c>
      <c r="K26" s="70">
        <v>0</v>
      </c>
      <c r="L26" s="70">
        <v>1060.0146506196279</v>
      </c>
      <c r="M26" s="70">
        <v>4953.8919342125546</v>
      </c>
      <c r="N26" s="70">
        <v>16059.61186534218</v>
      </c>
      <c r="O26" s="70">
        <v>642721.38134341745</v>
      </c>
      <c r="P26" s="70">
        <v>1957.1051233368239</v>
      </c>
      <c r="Q26" s="69">
        <v>1547481.356605917</v>
      </c>
    </row>
    <row r="27" spans="2:17" ht="18" customHeight="1" x14ac:dyDescent="0.35">
      <c r="B27" s="67" t="s">
        <v>128</v>
      </c>
      <c r="C27" s="70">
        <v>21.457999999999998</v>
      </c>
      <c r="D27" s="70">
        <v>35913.103999999999</v>
      </c>
      <c r="E27" s="70">
        <v>2537.02</v>
      </c>
      <c r="F27" s="70">
        <v>69293.370999999999</v>
      </c>
      <c r="G27" s="70">
        <v>8842.4310000000005</v>
      </c>
      <c r="H27" s="70">
        <v>14396.985000000001</v>
      </c>
      <c r="I27" s="70">
        <v>63941.97</v>
      </c>
      <c r="J27" s="70">
        <v>94638.822</v>
      </c>
      <c r="K27" s="70">
        <v>0</v>
      </c>
      <c r="L27" s="70">
        <v>191.251</v>
      </c>
      <c r="M27" s="70">
        <v>5614.9449999999997</v>
      </c>
      <c r="N27" s="70">
        <v>70905.682000000001</v>
      </c>
      <c r="O27" s="70">
        <v>0</v>
      </c>
      <c r="P27" s="70">
        <v>19674.694</v>
      </c>
      <c r="Q27" s="69">
        <v>385971.73300000001</v>
      </c>
    </row>
    <row r="28" spans="2:17" ht="18" customHeight="1" x14ac:dyDescent="0.35">
      <c r="B28" s="67" t="s">
        <v>129</v>
      </c>
      <c r="C28" s="70">
        <v>601.30044999999927</v>
      </c>
      <c r="D28" s="70">
        <v>553.93791797100005</v>
      </c>
      <c r="E28" s="70">
        <v>170.78299999999999</v>
      </c>
      <c r="F28" s="70">
        <v>47.530999999999999</v>
      </c>
      <c r="G28" s="70">
        <v>5535.1480000000001</v>
      </c>
      <c r="H28" s="70">
        <v>0</v>
      </c>
      <c r="I28" s="70">
        <v>66986.286863950256</v>
      </c>
      <c r="J28" s="70">
        <v>41649.337355000003</v>
      </c>
      <c r="K28" s="70">
        <v>0</v>
      </c>
      <c r="L28" s="70">
        <v>0</v>
      </c>
      <c r="M28" s="70">
        <v>2571.672</v>
      </c>
      <c r="N28" s="70">
        <v>673.697</v>
      </c>
      <c r="O28" s="70">
        <v>129454</v>
      </c>
      <c r="P28" s="70">
        <v>3039.3119000000002</v>
      </c>
      <c r="Q28" s="69">
        <v>251283.00548692129</v>
      </c>
    </row>
    <row r="29" spans="2:17" ht="18" customHeight="1" x14ac:dyDescent="0.35">
      <c r="B29" s="67" t="s">
        <v>130</v>
      </c>
      <c r="C29" s="70">
        <v>0</v>
      </c>
      <c r="D29" s="70">
        <v>0</v>
      </c>
      <c r="E29" s="70">
        <v>6086.64048</v>
      </c>
      <c r="F29" s="70">
        <v>-13408.37706000001</v>
      </c>
      <c r="G29" s="70">
        <v>-10159.949189999999</v>
      </c>
      <c r="H29" s="70">
        <v>216.84010000000009</v>
      </c>
      <c r="I29" s="70">
        <v>113794.39966</v>
      </c>
      <c r="J29" s="70">
        <v>11324.29322000001</v>
      </c>
      <c r="K29" s="70">
        <v>0</v>
      </c>
      <c r="L29" s="70">
        <v>6165.64707</v>
      </c>
      <c r="M29" s="70">
        <v>0</v>
      </c>
      <c r="N29" s="70">
        <v>1524.0615400000011</v>
      </c>
      <c r="O29" s="70">
        <v>0</v>
      </c>
      <c r="P29" s="70">
        <v>0</v>
      </c>
      <c r="Q29" s="69">
        <v>115543.55581999999</v>
      </c>
    </row>
    <row r="30" spans="2:17" ht="18" customHeight="1" x14ac:dyDescent="0.35">
      <c r="B30" s="67" t="s">
        <v>131</v>
      </c>
      <c r="C30" s="70">
        <v>0</v>
      </c>
      <c r="D30" s="70">
        <v>4662.1880000000001</v>
      </c>
      <c r="E30" s="70">
        <v>1509.2919999999999</v>
      </c>
      <c r="F30" s="70">
        <v>11757.237999999999</v>
      </c>
      <c r="G30" s="70">
        <v>-243.32900000000001</v>
      </c>
      <c r="H30" s="70">
        <v>2083.8339999999998</v>
      </c>
      <c r="I30" s="70">
        <v>-4698.8530000000001</v>
      </c>
      <c r="J30" s="70">
        <v>108272.07</v>
      </c>
      <c r="K30" s="70">
        <v>0</v>
      </c>
      <c r="L30" s="70">
        <v>2597.0970000000002</v>
      </c>
      <c r="M30" s="70">
        <v>4043.181</v>
      </c>
      <c r="N30" s="70">
        <v>11926.8128</v>
      </c>
      <c r="O30" s="70">
        <v>0</v>
      </c>
      <c r="P30" s="70">
        <v>1133.1199999999999</v>
      </c>
      <c r="Q30" s="69">
        <v>143042.6508</v>
      </c>
    </row>
    <row r="31" spans="2:17" ht="18" customHeight="1" x14ac:dyDescent="0.35">
      <c r="B31" s="67" t="s">
        <v>132</v>
      </c>
      <c r="C31" s="70">
        <v>2033.2181660000381</v>
      </c>
      <c r="D31" s="70">
        <v>1386.672710000001</v>
      </c>
      <c r="E31" s="70">
        <v>2298.9882000000011</v>
      </c>
      <c r="F31" s="70">
        <v>16116.910849999989</v>
      </c>
      <c r="G31" s="70">
        <v>4451.3293855000011</v>
      </c>
      <c r="H31" s="70">
        <v>4157.1844499999997</v>
      </c>
      <c r="I31" s="70">
        <v>205932.57038546589</v>
      </c>
      <c r="J31" s="70">
        <v>217573.03490800029</v>
      </c>
      <c r="K31" s="70">
        <v>0</v>
      </c>
      <c r="L31" s="70">
        <v>895.07531999999992</v>
      </c>
      <c r="M31" s="70">
        <v>5523.7702399999998</v>
      </c>
      <c r="N31" s="70">
        <v>10014.403120000001</v>
      </c>
      <c r="O31" s="70">
        <v>2167220.4626598759</v>
      </c>
      <c r="P31" s="70">
        <v>1079.44076</v>
      </c>
      <c r="Q31" s="69">
        <v>2638683.0611548428</v>
      </c>
    </row>
    <row r="32" spans="2:17" ht="18" customHeight="1" x14ac:dyDescent="0.35">
      <c r="B32" s="67" t="s">
        <v>133</v>
      </c>
      <c r="C32" s="70">
        <v>0</v>
      </c>
      <c r="D32" s="70">
        <v>13173.103999999999</v>
      </c>
      <c r="E32" s="70">
        <v>379.44</v>
      </c>
      <c r="F32" s="70">
        <v>3656.1559999999999</v>
      </c>
      <c r="G32" s="70">
        <v>2381.8760000000002</v>
      </c>
      <c r="H32" s="70">
        <v>193.10599999999999</v>
      </c>
      <c r="I32" s="70">
        <v>74927.168999999994</v>
      </c>
      <c r="J32" s="70">
        <v>77629.808999999994</v>
      </c>
      <c r="K32" s="70">
        <v>0</v>
      </c>
      <c r="L32" s="70">
        <v>1757.4760000000001</v>
      </c>
      <c r="M32" s="70">
        <v>233.69800000000001</v>
      </c>
      <c r="N32" s="70">
        <v>4011.721</v>
      </c>
      <c r="O32" s="70">
        <v>193921.13699999999</v>
      </c>
      <c r="P32" s="70">
        <v>156.53700000000001</v>
      </c>
      <c r="Q32" s="69">
        <v>372421.22899999999</v>
      </c>
    </row>
    <row r="33" spans="2:17" ht="18" customHeight="1" x14ac:dyDescent="0.35">
      <c r="B33" s="67" t="s">
        <v>134</v>
      </c>
      <c r="C33" s="70">
        <v>0</v>
      </c>
      <c r="D33" s="70">
        <v>2679.7839600000002</v>
      </c>
      <c r="E33" s="70">
        <v>875.10227919876252</v>
      </c>
      <c r="F33" s="70">
        <v>3177.2558000000008</v>
      </c>
      <c r="G33" s="70">
        <v>15809.799574999999</v>
      </c>
      <c r="H33" s="70">
        <v>2012.5577066078299</v>
      </c>
      <c r="I33" s="70">
        <v>214881.96</v>
      </c>
      <c r="J33" s="70">
        <v>161928.79427799999</v>
      </c>
      <c r="K33" s="70">
        <v>0</v>
      </c>
      <c r="L33" s="70">
        <v>3442.1128000000008</v>
      </c>
      <c r="M33" s="70">
        <v>2865.4141257281731</v>
      </c>
      <c r="N33" s="70">
        <v>9017.6331399999854</v>
      </c>
      <c r="O33" s="70">
        <v>0</v>
      </c>
      <c r="P33" s="70">
        <v>397.01613429218719</v>
      </c>
      <c r="Q33" s="69">
        <v>417087.42979882698</v>
      </c>
    </row>
    <row r="34" spans="2:17" ht="18" customHeight="1" x14ac:dyDescent="0.35">
      <c r="B34" s="67" t="s">
        <v>135</v>
      </c>
      <c r="C34" s="70">
        <v>0</v>
      </c>
      <c r="D34" s="70">
        <v>3830.0390000000002</v>
      </c>
      <c r="E34" s="70">
        <v>16055.075999999999</v>
      </c>
      <c r="F34" s="70">
        <v>46231.048000000003</v>
      </c>
      <c r="G34" s="70">
        <v>-1861.2670000000001</v>
      </c>
      <c r="H34" s="70">
        <v>4967.8900000000003</v>
      </c>
      <c r="I34" s="70">
        <v>536766.58499999996</v>
      </c>
      <c r="J34" s="70">
        <v>17458.144</v>
      </c>
      <c r="K34" s="70">
        <v>11779.946</v>
      </c>
      <c r="L34" s="70">
        <v>0</v>
      </c>
      <c r="M34" s="70">
        <v>31137.027999999998</v>
      </c>
      <c r="N34" s="70">
        <v>0</v>
      </c>
      <c r="O34" s="70">
        <v>0</v>
      </c>
      <c r="P34" s="70">
        <v>0</v>
      </c>
      <c r="Q34" s="69">
        <v>666364.48899999994</v>
      </c>
    </row>
    <row r="35" spans="2:17" ht="18" customHeight="1" x14ac:dyDescent="0.35">
      <c r="B35" s="67" t="s">
        <v>136</v>
      </c>
      <c r="C35" s="70">
        <v>0</v>
      </c>
      <c r="D35" s="70">
        <v>146.2699999999995</v>
      </c>
      <c r="E35" s="70">
        <v>0</v>
      </c>
      <c r="F35" s="70">
        <v>426.8</v>
      </c>
      <c r="G35" s="70">
        <v>0</v>
      </c>
      <c r="H35" s="70">
        <v>0</v>
      </c>
      <c r="I35" s="70">
        <v>20510.184000000001</v>
      </c>
      <c r="J35" s="70">
        <v>4669.82</v>
      </c>
      <c r="K35" s="70">
        <v>0</v>
      </c>
      <c r="L35" s="70">
        <v>0</v>
      </c>
      <c r="M35" s="70">
        <v>696.00199999999973</v>
      </c>
      <c r="N35" s="70">
        <v>7956.2799999999988</v>
      </c>
      <c r="O35" s="70">
        <v>64708.882070000021</v>
      </c>
      <c r="P35" s="70">
        <v>150</v>
      </c>
      <c r="Q35" s="69">
        <v>99264.238070000021</v>
      </c>
    </row>
    <row r="36" spans="2:17" ht="18" customHeight="1" x14ac:dyDescent="0.35">
      <c r="B36" s="67" t="s">
        <v>137</v>
      </c>
      <c r="C36" s="70">
        <v>0</v>
      </c>
      <c r="D36" s="70">
        <v>96.512</v>
      </c>
      <c r="E36" s="70">
        <v>73.900000000000006</v>
      </c>
      <c r="F36" s="70">
        <v>115.58</v>
      </c>
      <c r="G36" s="70">
        <v>0</v>
      </c>
      <c r="H36" s="70">
        <v>1727.914</v>
      </c>
      <c r="I36" s="70">
        <v>43764.911</v>
      </c>
      <c r="J36" s="70">
        <v>88412.476999999999</v>
      </c>
      <c r="K36" s="70">
        <v>0</v>
      </c>
      <c r="L36" s="70">
        <v>215</v>
      </c>
      <c r="M36" s="70">
        <v>4208.7120000000004</v>
      </c>
      <c r="N36" s="70">
        <v>4405.9650000000001</v>
      </c>
      <c r="O36" s="70">
        <v>747.38299500000016</v>
      </c>
      <c r="P36" s="70">
        <v>70.180000000000007</v>
      </c>
      <c r="Q36" s="69">
        <v>143838.53399500001</v>
      </c>
    </row>
    <row r="37" spans="2:17" ht="18" customHeight="1" x14ac:dyDescent="0.35">
      <c r="B37" s="67" t="s">
        <v>138</v>
      </c>
      <c r="C37" s="70">
        <v>0</v>
      </c>
      <c r="D37" s="70">
        <v>6818.6710000000003</v>
      </c>
      <c r="E37" s="70">
        <v>1656.625</v>
      </c>
      <c r="F37" s="70">
        <v>3051.4319999999998</v>
      </c>
      <c r="G37" s="70">
        <v>290.14999999999998</v>
      </c>
      <c r="H37" s="70">
        <v>9625.9840000000004</v>
      </c>
      <c r="I37" s="70">
        <v>31215.442999999999</v>
      </c>
      <c r="J37" s="70">
        <v>14745.501</v>
      </c>
      <c r="K37" s="70">
        <v>0</v>
      </c>
      <c r="L37" s="70">
        <v>68.570999999999998</v>
      </c>
      <c r="M37" s="70">
        <v>6999.6229999999996</v>
      </c>
      <c r="N37" s="70">
        <v>21516.035</v>
      </c>
      <c r="O37" s="70">
        <v>327.34800000000001</v>
      </c>
      <c r="P37" s="70">
        <v>0</v>
      </c>
      <c r="Q37" s="69">
        <v>96315.383000000002</v>
      </c>
    </row>
    <row r="38" spans="2:17" ht="18" customHeight="1" x14ac:dyDescent="0.35">
      <c r="B38" s="67" t="s">
        <v>139</v>
      </c>
      <c r="C38" s="70">
        <v>0</v>
      </c>
      <c r="D38" s="70">
        <v>4658.9780000000001</v>
      </c>
      <c r="E38" s="70">
        <v>6130.3149999999996</v>
      </c>
      <c r="F38" s="70">
        <v>16301.967000000001</v>
      </c>
      <c r="G38" s="70">
        <v>3334.82</v>
      </c>
      <c r="H38" s="70">
        <v>2113.0300000000002</v>
      </c>
      <c r="I38" s="70">
        <v>175602.90100000001</v>
      </c>
      <c r="J38" s="70">
        <v>75459.993000000002</v>
      </c>
      <c r="K38" s="70">
        <v>3061.895</v>
      </c>
      <c r="L38" s="70">
        <v>7903.1289999999999</v>
      </c>
      <c r="M38" s="70">
        <v>20785.228999999999</v>
      </c>
      <c r="N38" s="70">
        <v>10659.974</v>
      </c>
      <c r="O38" s="70">
        <v>575508.05900000001</v>
      </c>
      <c r="P38" s="70">
        <v>6743.1490000000003</v>
      </c>
      <c r="Q38" s="69">
        <v>908263.43900000001</v>
      </c>
    </row>
    <row r="39" spans="2:17" ht="18"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69">
        <v>0</v>
      </c>
    </row>
    <row r="40" spans="2:17" ht="18"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69">
        <v>0</v>
      </c>
    </row>
    <row r="41" spans="2:17" ht="18" customHeight="1" x14ac:dyDescent="0.35">
      <c r="B41" s="71" t="s">
        <v>7</v>
      </c>
      <c r="C41" s="72">
        <f t="shared" ref="C41:Q41" si="0">SUM(C6:C40)</f>
        <v>4146.4876160000376</v>
      </c>
      <c r="D41" s="72">
        <f t="shared" si="0"/>
        <v>168116.40585045089</v>
      </c>
      <c r="E41" s="72">
        <f t="shared" si="0"/>
        <v>107051.42361209764</v>
      </c>
      <c r="F41" s="72">
        <f t="shared" si="0"/>
        <v>291890.61816829257</v>
      </c>
      <c r="G41" s="72">
        <f t="shared" si="0"/>
        <v>173336.99766755919</v>
      </c>
      <c r="H41" s="72">
        <f t="shared" si="0"/>
        <v>63108.366817227565</v>
      </c>
      <c r="I41" s="72">
        <f t="shared" si="0"/>
        <v>5215159.1201260155</v>
      </c>
      <c r="J41" s="72">
        <f t="shared" si="0"/>
        <v>3963225.6505003967</v>
      </c>
      <c r="K41" s="72">
        <f t="shared" si="0"/>
        <v>98668.649549509661</v>
      </c>
      <c r="L41" s="72">
        <f t="shared" si="0"/>
        <v>99847.040249231213</v>
      </c>
      <c r="M41" s="72">
        <f t="shared" si="0"/>
        <v>282352.62709774275</v>
      </c>
      <c r="N41" s="72">
        <f t="shared" si="0"/>
        <v>736359.91478526348</v>
      </c>
      <c r="O41" s="72">
        <f t="shared" si="0"/>
        <v>13338931.861744896</v>
      </c>
      <c r="P41" s="72">
        <f t="shared" si="0"/>
        <v>373468.44290985481</v>
      </c>
      <c r="Q41" s="72">
        <f t="shared" si="0"/>
        <v>24915663.606694534</v>
      </c>
    </row>
    <row r="42" spans="2:17" ht="18" customHeight="1" x14ac:dyDescent="0.35">
      <c r="B42" s="364" t="s">
        <v>142</v>
      </c>
      <c r="C42" s="301"/>
      <c r="D42" s="301"/>
      <c r="E42" s="301"/>
      <c r="F42" s="301"/>
      <c r="G42" s="301"/>
      <c r="H42" s="301"/>
      <c r="I42" s="301"/>
      <c r="J42" s="301"/>
      <c r="K42" s="301"/>
      <c r="L42" s="301"/>
      <c r="M42" s="301"/>
      <c r="N42" s="301"/>
      <c r="O42" s="301"/>
      <c r="P42" s="301"/>
      <c r="Q42" s="302"/>
    </row>
    <row r="43" spans="2:17" ht="18" customHeight="1" x14ac:dyDescent="0.35">
      <c r="B43" s="67" t="s">
        <v>143</v>
      </c>
      <c r="C43" s="70">
        <v>4304.7539999999999</v>
      </c>
      <c r="D43" s="70">
        <v>-1215.3130000000001</v>
      </c>
      <c r="E43" s="70">
        <v>41233.464</v>
      </c>
      <c r="F43" s="70">
        <v>117356.784</v>
      </c>
      <c r="G43" s="70">
        <v>19518.701000000001</v>
      </c>
      <c r="H43" s="70">
        <v>49504.663</v>
      </c>
      <c r="I43" s="70">
        <v>5112.0410000000002</v>
      </c>
      <c r="J43" s="70">
        <v>21842.356</v>
      </c>
      <c r="K43" s="70">
        <v>0</v>
      </c>
      <c r="L43" s="70">
        <v>19199.435000000001</v>
      </c>
      <c r="M43" s="70">
        <v>1010.497</v>
      </c>
      <c r="N43" s="70">
        <v>2020.9929999999999</v>
      </c>
      <c r="O43" s="70">
        <v>181598.269</v>
      </c>
      <c r="P43" s="70">
        <v>78818.731</v>
      </c>
      <c r="Q43" s="73">
        <v>540305.375</v>
      </c>
    </row>
    <row r="44" spans="2:17" ht="18" customHeight="1" x14ac:dyDescent="0.35">
      <c r="B44" s="67" t="s">
        <v>144</v>
      </c>
      <c r="C44" s="70">
        <v>11</v>
      </c>
      <c r="D44" s="70">
        <v>36132.333200000023</v>
      </c>
      <c r="E44" s="70">
        <v>0</v>
      </c>
      <c r="F44" s="70">
        <v>171969.36371000001</v>
      </c>
      <c r="G44" s="70">
        <v>2088.9397300000001</v>
      </c>
      <c r="H44" s="70">
        <v>11234.0772</v>
      </c>
      <c r="I44" s="70">
        <v>0</v>
      </c>
      <c r="J44" s="70">
        <v>46225.978200000012</v>
      </c>
      <c r="K44" s="70">
        <v>0</v>
      </c>
      <c r="L44" s="70">
        <v>5508.1111700000001</v>
      </c>
      <c r="M44" s="70">
        <v>0</v>
      </c>
      <c r="N44" s="70">
        <v>0</v>
      </c>
      <c r="O44" s="70">
        <v>225869.71213999999</v>
      </c>
      <c r="P44" s="70">
        <v>40519.478320000009</v>
      </c>
      <c r="Q44" s="73">
        <v>539558.99367000011</v>
      </c>
    </row>
    <row r="45" spans="2:17" ht="18" customHeight="1" x14ac:dyDescent="0.35">
      <c r="B45" s="67" t="s">
        <v>145</v>
      </c>
      <c r="C45" s="70">
        <v>463.34399999999999</v>
      </c>
      <c r="D45" s="70">
        <v>27221.748</v>
      </c>
      <c r="E45" s="70">
        <v>-5483.7475267999989</v>
      </c>
      <c r="F45" s="70">
        <v>64933.982473199998</v>
      </c>
      <c r="G45" s="70">
        <v>343.87700000000001</v>
      </c>
      <c r="H45" s="70">
        <v>79617.191000000006</v>
      </c>
      <c r="I45" s="70">
        <v>5787.0969999999998</v>
      </c>
      <c r="J45" s="70">
        <v>6269.3549999999996</v>
      </c>
      <c r="K45" s="70">
        <v>0</v>
      </c>
      <c r="L45" s="70">
        <v>0</v>
      </c>
      <c r="M45" s="70">
        <v>6425.8609999999999</v>
      </c>
      <c r="N45" s="70">
        <v>84.54</v>
      </c>
      <c r="O45" s="70">
        <v>98132.811000000002</v>
      </c>
      <c r="P45" s="70">
        <v>609.1</v>
      </c>
      <c r="Q45" s="73">
        <v>284405.15894639998</v>
      </c>
    </row>
    <row r="46" spans="2:17" ht="18" customHeight="1" x14ac:dyDescent="0.35">
      <c r="B46" s="64" t="s">
        <v>146</v>
      </c>
      <c r="C46" s="70">
        <v>32489.434069999999</v>
      </c>
      <c r="D46" s="70">
        <v>118482.94531</v>
      </c>
      <c r="E46" s="70">
        <v>4794.2977999999994</v>
      </c>
      <c r="F46" s="70">
        <v>302570.2057300001</v>
      </c>
      <c r="G46" s="70">
        <v>3019.170270000001</v>
      </c>
      <c r="H46" s="70">
        <v>79142.100189999997</v>
      </c>
      <c r="I46" s="70">
        <v>2136.8518100000001</v>
      </c>
      <c r="J46" s="70">
        <v>129532.49716</v>
      </c>
      <c r="K46" s="70">
        <v>0</v>
      </c>
      <c r="L46" s="70">
        <v>120793.28879999999</v>
      </c>
      <c r="M46" s="70">
        <v>34.064869999999992</v>
      </c>
      <c r="N46" s="70">
        <v>6214.1518099999994</v>
      </c>
      <c r="O46" s="70">
        <v>397239.62091000017</v>
      </c>
      <c r="P46" s="70">
        <v>286348.29061999958</v>
      </c>
      <c r="Q46" s="73">
        <v>1482796.9193500001</v>
      </c>
    </row>
    <row r="47" spans="2:17" ht="18" customHeight="1" x14ac:dyDescent="0.35">
      <c r="B47" s="67" t="s">
        <v>147</v>
      </c>
      <c r="C47" s="70">
        <v>-19398.24761686867</v>
      </c>
      <c r="D47" s="70">
        <v>90830.826178181116</v>
      </c>
      <c r="E47" s="70">
        <v>-110186.8967353378</v>
      </c>
      <c r="F47" s="70">
        <v>197779.92977825951</v>
      </c>
      <c r="G47" s="70">
        <v>20153.30816983795</v>
      </c>
      <c r="H47" s="70">
        <v>19925.83198440112</v>
      </c>
      <c r="I47" s="70">
        <v>1224.1384138969249</v>
      </c>
      <c r="J47" s="70">
        <v>6866.377665082573</v>
      </c>
      <c r="K47" s="70">
        <v>-824.28448080777207</v>
      </c>
      <c r="L47" s="70">
        <v>8830.7329575967651</v>
      </c>
      <c r="M47" s="70">
        <v>884.19301388039207</v>
      </c>
      <c r="N47" s="70">
        <v>7587.7509985258494</v>
      </c>
      <c r="O47" s="70">
        <v>-9360.8238645742204</v>
      </c>
      <c r="P47" s="70">
        <v>1593.2306048844159</v>
      </c>
      <c r="Q47" s="73">
        <v>215906.06706695809</v>
      </c>
    </row>
    <row r="48" spans="2:17" ht="18" customHeight="1" x14ac:dyDescent="0.35">
      <c r="B48" s="71" t="s">
        <v>7</v>
      </c>
      <c r="C48" s="72">
        <f t="shared" ref="C48:Q48" si="1">SUM(C43:C47)</f>
        <v>17870.284453131331</v>
      </c>
      <c r="D48" s="72">
        <f t="shared" si="1"/>
        <v>271452.53968818113</v>
      </c>
      <c r="E48" s="72">
        <f t="shared" si="1"/>
        <v>-69642.882462137786</v>
      </c>
      <c r="F48" s="72">
        <f t="shared" si="1"/>
        <v>854610.26569145964</v>
      </c>
      <c r="G48" s="72">
        <f t="shared" si="1"/>
        <v>45123.996169837948</v>
      </c>
      <c r="H48" s="72">
        <f t="shared" si="1"/>
        <v>239423.86337440112</v>
      </c>
      <c r="I48" s="72">
        <f t="shared" si="1"/>
        <v>14260.128223896923</v>
      </c>
      <c r="J48" s="72">
        <f t="shared" si="1"/>
        <v>210736.56402508257</v>
      </c>
      <c r="K48" s="72">
        <f t="shared" si="1"/>
        <v>-824.28448080777207</v>
      </c>
      <c r="L48" s="72">
        <f t="shared" si="1"/>
        <v>154331.56792759677</v>
      </c>
      <c r="M48" s="72">
        <f t="shared" si="1"/>
        <v>8354.6158838803931</v>
      </c>
      <c r="N48" s="72">
        <f t="shared" si="1"/>
        <v>15907.435808525848</v>
      </c>
      <c r="O48" s="72">
        <f t="shared" si="1"/>
        <v>893479.5891854259</v>
      </c>
      <c r="P48" s="72">
        <f t="shared" si="1"/>
        <v>407888.83054488397</v>
      </c>
      <c r="Q48" s="72">
        <f t="shared" si="1"/>
        <v>3062972.5140333585</v>
      </c>
    </row>
    <row r="49" spans="2:17" ht="18" customHeight="1" x14ac:dyDescent="0.45">
      <c r="B49" s="365" t="s">
        <v>149</v>
      </c>
      <c r="C49" s="366"/>
      <c r="D49" s="366"/>
      <c r="E49" s="366"/>
      <c r="F49" s="366"/>
      <c r="G49" s="366"/>
      <c r="H49" s="366"/>
      <c r="I49" s="366"/>
      <c r="J49" s="366"/>
      <c r="K49" s="366"/>
      <c r="L49" s="366"/>
      <c r="M49" s="366"/>
      <c r="N49" s="366"/>
      <c r="O49" s="366"/>
      <c r="P49" s="366"/>
      <c r="Q49" s="366"/>
    </row>
  </sheetData>
  <sheetProtection algorithmName="SHA-512" hashValue="CbFKnfKYEz+3XTIkHvDB2nyfGN+qqY1SO02UrMsgIVEIt6zVURyeGsqJXaLXI8LPIdFIwsDuwjJdj9F6TdYJJw==" saltValue="GH6QE0uDErdrY9YrSaLBkQ==" spinCount="100000" sheet="1" objects="1" scenarios="1"/>
  <mergeCells count="4">
    <mergeCell ref="B42:Q42"/>
    <mergeCell ref="B49:Q49"/>
    <mergeCell ref="B3:Q3"/>
    <mergeCell ref="B5:Q5"/>
  </mergeCells>
  <pageMargins left="0.7" right="0.7" top="0.75" bottom="0.75" header="0.3" footer="0.3"/>
  <pageSetup scale="34"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tabColor rgb="FF92D050"/>
  </sheetPr>
  <dimension ref="B3:S49"/>
  <sheetViews>
    <sheetView showGridLines="0" zoomScale="70" zoomScaleNormal="70" workbookViewId="0">
      <pane xSplit="2" ySplit="5" topLeftCell="K45" activePane="bottomRight" state="frozen"/>
      <selection activeCell="A4" sqref="A4:XFD4"/>
      <selection pane="topRight" activeCell="A4" sqref="A4:XFD4"/>
      <selection pane="bottomLeft" activeCell="A4" sqref="A4:XFD4"/>
      <selection pane="bottomRight" activeCell="L31" sqref="B3:Q49"/>
    </sheetView>
  </sheetViews>
  <sheetFormatPr defaultColWidth="9.453125" defaultRowHeight="15.5" x14ac:dyDescent="0.35"/>
  <cols>
    <col min="1" max="1" width="16.453125" style="76" customWidth="1"/>
    <col min="2" max="2" width="52.7265625" style="76" bestFit="1" customWidth="1"/>
    <col min="3" max="17" width="19.54296875" style="76" customWidth="1"/>
    <col min="18" max="18" width="21.54296875" style="76" customWidth="1"/>
    <col min="19" max="19" width="14.54296875" style="76" bestFit="1" customWidth="1"/>
    <col min="20" max="118" width="9.453125" style="76" customWidth="1"/>
    <col min="119" max="16384" width="9.453125" style="76"/>
  </cols>
  <sheetData>
    <row r="3" spans="2:17" s="275" customFormat="1" ht="22" x14ac:dyDescent="0.5">
      <c r="B3" s="367" t="str">
        <f>_xlfn.CONCAT('Table of Contents'!B33,": ",'Table of Contents'!C33)</f>
        <v>APPENDIX 21: SUMMARY OF CLAIMS INCURRED UNDER GENERAL INSURANCE BUSINESS FOR THE PERIOD ENDED 31.03.2026</v>
      </c>
      <c r="C3" s="298"/>
      <c r="D3" s="298"/>
      <c r="E3" s="298"/>
      <c r="F3" s="298"/>
      <c r="G3" s="298"/>
      <c r="H3" s="298"/>
      <c r="I3" s="298"/>
      <c r="J3" s="298"/>
      <c r="K3" s="298"/>
      <c r="L3" s="298"/>
      <c r="M3" s="298"/>
      <c r="N3" s="298"/>
      <c r="O3" s="298"/>
      <c r="P3" s="298"/>
      <c r="Q3" s="299"/>
    </row>
    <row r="4" spans="2:17" s="200" customFormat="1" ht="46.5" x14ac:dyDescent="0.35">
      <c r="B4" s="74" t="s">
        <v>87</v>
      </c>
      <c r="C4" s="74" t="s">
        <v>216</v>
      </c>
      <c r="D4" s="74" t="s">
        <v>217</v>
      </c>
      <c r="E4" s="74" t="s">
        <v>218</v>
      </c>
      <c r="F4" s="74" t="s">
        <v>219</v>
      </c>
      <c r="G4" s="74" t="s">
        <v>220</v>
      </c>
      <c r="H4" s="74" t="s">
        <v>221</v>
      </c>
      <c r="I4" s="74" t="s">
        <v>222</v>
      </c>
      <c r="J4" s="74" t="s">
        <v>223</v>
      </c>
      <c r="K4" s="74" t="s">
        <v>224</v>
      </c>
      <c r="L4" s="74" t="s">
        <v>225</v>
      </c>
      <c r="M4" s="74" t="s">
        <v>226</v>
      </c>
      <c r="N4" s="74" t="s">
        <v>227</v>
      </c>
      <c r="O4" s="74" t="s">
        <v>228</v>
      </c>
      <c r="P4" s="74" t="s">
        <v>229</v>
      </c>
      <c r="Q4" s="74" t="s">
        <v>230</v>
      </c>
    </row>
    <row r="5" spans="2:17" ht="20" customHeight="1" x14ac:dyDescent="0.35">
      <c r="B5" s="368" t="s">
        <v>106</v>
      </c>
      <c r="C5" s="301"/>
      <c r="D5" s="301"/>
      <c r="E5" s="301"/>
      <c r="F5" s="301"/>
      <c r="G5" s="301"/>
      <c r="H5" s="301"/>
      <c r="I5" s="301"/>
      <c r="J5" s="301"/>
      <c r="K5" s="301"/>
      <c r="L5" s="301"/>
      <c r="M5" s="301"/>
      <c r="N5" s="301"/>
      <c r="O5" s="301"/>
      <c r="P5" s="301"/>
      <c r="Q5" s="302"/>
    </row>
    <row r="6" spans="2:17" ht="20" customHeight="1" x14ac:dyDescent="0.35">
      <c r="B6" s="67" t="s">
        <v>107</v>
      </c>
      <c r="C6" s="68">
        <v>0</v>
      </c>
      <c r="D6" s="68">
        <v>953.88632060880934</v>
      </c>
      <c r="E6" s="68">
        <v>102.7406876398653</v>
      </c>
      <c r="F6" s="68">
        <v>396.74193078659891</v>
      </c>
      <c r="G6" s="68">
        <v>5862.2940525428094</v>
      </c>
      <c r="H6" s="68">
        <v>64.796593057682387</v>
      </c>
      <c r="I6" s="68">
        <v>-273.22001371120831</v>
      </c>
      <c r="J6" s="68">
        <v>72.038426895988096</v>
      </c>
      <c r="K6" s="68">
        <v>0</v>
      </c>
      <c r="L6" s="68">
        <v>1896.7617036541051</v>
      </c>
      <c r="M6" s="68">
        <v>3747.779658315796</v>
      </c>
      <c r="N6" s="68">
        <v>13169.984470220281</v>
      </c>
      <c r="O6" s="68">
        <v>1644208.7048049711</v>
      </c>
      <c r="P6" s="68">
        <v>322.33832060623541</v>
      </c>
      <c r="Q6" s="69">
        <v>1670524.8469555881</v>
      </c>
    </row>
    <row r="7" spans="2:17" ht="20" customHeight="1" x14ac:dyDescent="0.35">
      <c r="B7" s="67" t="s">
        <v>108</v>
      </c>
      <c r="C7" s="68">
        <v>0</v>
      </c>
      <c r="D7" s="68">
        <v>3343.0510759986232</v>
      </c>
      <c r="E7" s="68">
        <v>-4871.1442401596069</v>
      </c>
      <c r="F7" s="68">
        <v>-7248.0637167061723</v>
      </c>
      <c r="G7" s="68">
        <v>57384.00378424619</v>
      </c>
      <c r="H7" s="68">
        <v>2519.9371912886681</v>
      </c>
      <c r="I7" s="68">
        <v>22622.565025868411</v>
      </c>
      <c r="J7" s="68">
        <v>-76837.667765532373</v>
      </c>
      <c r="K7" s="68">
        <v>316128.56295210269</v>
      </c>
      <c r="L7" s="68">
        <v>134193.99340937589</v>
      </c>
      <c r="M7" s="68">
        <v>-56512.250458752656</v>
      </c>
      <c r="N7" s="68">
        <v>100942.9254621921</v>
      </c>
      <c r="O7" s="68">
        <v>0</v>
      </c>
      <c r="P7" s="68">
        <v>4019.206432622228</v>
      </c>
      <c r="Q7" s="69">
        <v>495685.11915254412</v>
      </c>
    </row>
    <row r="8" spans="2:17" ht="20" customHeight="1" x14ac:dyDescent="0.35">
      <c r="B8" s="67" t="s">
        <v>109</v>
      </c>
      <c r="C8" s="70">
        <v>-167.28700000000001</v>
      </c>
      <c r="D8" s="70">
        <v>47756.186999999998</v>
      </c>
      <c r="E8" s="70">
        <v>3857.9580000000001</v>
      </c>
      <c r="F8" s="70">
        <v>109398.86796</v>
      </c>
      <c r="G8" s="70">
        <v>12392.284</v>
      </c>
      <c r="H8" s="70">
        <v>49500.710225076618</v>
      </c>
      <c r="I8" s="70">
        <v>610178.97265520901</v>
      </c>
      <c r="J8" s="70">
        <v>605335.26165000012</v>
      </c>
      <c r="K8" s="70">
        <v>0</v>
      </c>
      <c r="L8" s="70">
        <v>221.96899999999999</v>
      </c>
      <c r="M8" s="70">
        <v>45034.248800000008</v>
      </c>
      <c r="N8" s="70">
        <v>112186.33681966161</v>
      </c>
      <c r="O8" s="70">
        <v>716895.1395295281</v>
      </c>
      <c r="P8" s="70">
        <v>3888.7610446911899</v>
      </c>
      <c r="Q8" s="69">
        <v>2316479.4096841668</v>
      </c>
    </row>
    <row r="9" spans="2:17" ht="20" customHeight="1" x14ac:dyDescent="0.35">
      <c r="B9" s="67" t="s">
        <v>110</v>
      </c>
      <c r="C9" s="70">
        <v>2.36</v>
      </c>
      <c r="D9" s="70">
        <v>12489.07515428799</v>
      </c>
      <c r="E9" s="70">
        <v>5824.6566517241972</v>
      </c>
      <c r="F9" s="70">
        <v>29362.50898192322</v>
      </c>
      <c r="G9" s="70">
        <v>24263.388950000019</v>
      </c>
      <c r="H9" s="70">
        <v>11203.87192032</v>
      </c>
      <c r="I9" s="70">
        <v>278678.31948000001</v>
      </c>
      <c r="J9" s="70">
        <v>133161.41526999971</v>
      </c>
      <c r="K9" s="70">
        <v>0</v>
      </c>
      <c r="L9" s="70">
        <v>27565.919751145069</v>
      </c>
      <c r="M9" s="70">
        <v>8254.5974099999967</v>
      </c>
      <c r="N9" s="70">
        <v>33812.317413958794</v>
      </c>
      <c r="O9" s="70">
        <v>1247759.1901100001</v>
      </c>
      <c r="P9" s="70">
        <v>22712.062180000012</v>
      </c>
      <c r="Q9" s="69">
        <v>1835089.683273359</v>
      </c>
    </row>
    <row r="10" spans="2:17" ht="20" customHeight="1" x14ac:dyDescent="0.35">
      <c r="B10" s="67" t="s">
        <v>111</v>
      </c>
      <c r="C10" s="70">
        <v>0</v>
      </c>
      <c r="D10" s="70">
        <v>0</v>
      </c>
      <c r="E10" s="70">
        <v>0</v>
      </c>
      <c r="F10" s="70">
        <v>0</v>
      </c>
      <c r="G10" s="70">
        <v>0</v>
      </c>
      <c r="H10" s="70">
        <v>0</v>
      </c>
      <c r="I10" s="70">
        <v>0</v>
      </c>
      <c r="J10" s="70">
        <v>0</v>
      </c>
      <c r="K10" s="70">
        <v>0</v>
      </c>
      <c r="L10" s="70">
        <v>0</v>
      </c>
      <c r="M10" s="70">
        <v>0</v>
      </c>
      <c r="N10" s="70">
        <v>0</v>
      </c>
      <c r="O10" s="70">
        <v>16658.973999999998</v>
      </c>
      <c r="P10" s="70">
        <v>0</v>
      </c>
      <c r="Q10" s="69">
        <v>16658.973999999998</v>
      </c>
    </row>
    <row r="11" spans="2:17" ht="20" customHeight="1" x14ac:dyDescent="0.35">
      <c r="B11" s="67" t="s">
        <v>112</v>
      </c>
      <c r="C11" s="70">
        <v>0</v>
      </c>
      <c r="D11" s="70">
        <v>182.626</v>
      </c>
      <c r="E11" s="70">
        <v>-48.47</v>
      </c>
      <c r="F11" s="70">
        <v>4552.5879999999997</v>
      </c>
      <c r="G11" s="70">
        <v>4602.7470000000003</v>
      </c>
      <c r="H11" s="70">
        <v>2777.68</v>
      </c>
      <c r="I11" s="70">
        <v>318845.51199999981</v>
      </c>
      <c r="J11" s="70">
        <v>61414.885000000002</v>
      </c>
      <c r="K11" s="70">
        <v>0</v>
      </c>
      <c r="L11" s="70">
        <v>572.55499999999995</v>
      </c>
      <c r="M11" s="70">
        <v>4595.4530000000004</v>
      </c>
      <c r="N11" s="70">
        <v>8163.3819999999996</v>
      </c>
      <c r="O11" s="70">
        <v>0</v>
      </c>
      <c r="P11" s="70">
        <v>35.664999999999999</v>
      </c>
      <c r="Q11" s="69">
        <v>405694.62299999979</v>
      </c>
    </row>
    <row r="12" spans="2:17" ht="20" customHeight="1" x14ac:dyDescent="0.35">
      <c r="B12" s="67" t="s">
        <v>113</v>
      </c>
      <c r="C12" s="70">
        <v>0</v>
      </c>
      <c r="D12" s="70">
        <v>11075.01724000001</v>
      </c>
      <c r="E12" s="70">
        <v>-7941.8289999999997</v>
      </c>
      <c r="F12" s="70">
        <v>-22173.43724000001</v>
      </c>
      <c r="G12" s="70">
        <v>8335.1901999999882</v>
      </c>
      <c r="H12" s="70">
        <v>6569.7216099999923</v>
      </c>
      <c r="I12" s="70">
        <v>678221.43506000016</v>
      </c>
      <c r="J12" s="70">
        <v>559611.49714999984</v>
      </c>
      <c r="K12" s="70">
        <v>0</v>
      </c>
      <c r="L12" s="70">
        <v>-4159.9591300000102</v>
      </c>
      <c r="M12" s="70">
        <v>4144.974290000021</v>
      </c>
      <c r="N12" s="70">
        <v>138623.94848000011</v>
      </c>
      <c r="O12" s="70">
        <v>1738188.4985499999</v>
      </c>
      <c r="P12" s="70">
        <v>134835.57399999999</v>
      </c>
      <c r="Q12" s="69">
        <v>3245330.6312099998</v>
      </c>
    </row>
    <row r="13" spans="2:17" ht="20"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69">
        <v>0</v>
      </c>
    </row>
    <row r="14" spans="2:17" ht="20" customHeight="1" x14ac:dyDescent="0.35">
      <c r="B14" s="67" t="s">
        <v>115</v>
      </c>
      <c r="C14" s="70">
        <v>0</v>
      </c>
      <c r="D14" s="70">
        <v>0</v>
      </c>
      <c r="E14" s="70">
        <v>0</v>
      </c>
      <c r="F14" s="70">
        <v>0</v>
      </c>
      <c r="G14" s="70">
        <v>0</v>
      </c>
      <c r="H14" s="70">
        <v>0</v>
      </c>
      <c r="I14" s="70">
        <v>130716.9659743427</v>
      </c>
      <c r="J14" s="70">
        <v>276266.86233639967</v>
      </c>
      <c r="K14" s="70">
        <v>497384.4540915289</v>
      </c>
      <c r="L14" s="70">
        <v>0</v>
      </c>
      <c r="M14" s="70">
        <v>0</v>
      </c>
      <c r="N14" s="70">
        <v>0</v>
      </c>
      <c r="O14" s="70">
        <v>0</v>
      </c>
      <c r="P14" s="70">
        <v>0</v>
      </c>
      <c r="Q14" s="69">
        <v>904368.28240227129</v>
      </c>
    </row>
    <row r="15" spans="2:17" ht="20" customHeight="1" x14ac:dyDescent="0.35">
      <c r="B15" s="67" t="s">
        <v>116</v>
      </c>
      <c r="C15" s="70">
        <v>0</v>
      </c>
      <c r="D15" s="70">
        <v>300</v>
      </c>
      <c r="E15" s="70">
        <v>0</v>
      </c>
      <c r="F15" s="70">
        <v>0</v>
      </c>
      <c r="G15" s="70">
        <v>20</v>
      </c>
      <c r="H15" s="70">
        <v>620.5</v>
      </c>
      <c r="I15" s="70">
        <v>4481.4949999999999</v>
      </c>
      <c r="J15" s="70">
        <v>0</v>
      </c>
      <c r="K15" s="70">
        <v>0</v>
      </c>
      <c r="L15" s="70">
        <v>0</v>
      </c>
      <c r="M15" s="70">
        <v>32066.539000000001</v>
      </c>
      <c r="N15" s="70">
        <v>100</v>
      </c>
      <c r="O15" s="70">
        <v>25499.724596000109</v>
      </c>
      <c r="P15" s="70">
        <v>0</v>
      </c>
      <c r="Q15" s="69">
        <v>63088.258596000102</v>
      </c>
    </row>
    <row r="16" spans="2:17" ht="20" customHeight="1" x14ac:dyDescent="0.35">
      <c r="B16" s="67" t="s">
        <v>117</v>
      </c>
      <c r="C16" s="70">
        <v>0</v>
      </c>
      <c r="D16" s="70">
        <v>0</v>
      </c>
      <c r="E16" s="70">
        <v>0</v>
      </c>
      <c r="F16" s="70">
        <v>0</v>
      </c>
      <c r="G16" s="70">
        <v>0</v>
      </c>
      <c r="H16" s="70">
        <v>0</v>
      </c>
      <c r="I16" s="70">
        <v>0</v>
      </c>
      <c r="J16" s="70">
        <v>0</v>
      </c>
      <c r="K16" s="70">
        <v>0</v>
      </c>
      <c r="L16" s="70">
        <v>0</v>
      </c>
      <c r="M16" s="70">
        <v>0</v>
      </c>
      <c r="N16" s="70">
        <v>0</v>
      </c>
      <c r="O16" s="70">
        <v>13540.42928520157</v>
      </c>
      <c r="P16" s="70">
        <v>0</v>
      </c>
      <c r="Q16" s="69">
        <v>13540.42928520157</v>
      </c>
    </row>
    <row r="17" spans="2:17" ht="20" customHeight="1" x14ac:dyDescent="0.35">
      <c r="B17" s="67" t="s">
        <v>118</v>
      </c>
      <c r="C17" s="70">
        <v>0</v>
      </c>
      <c r="D17" s="70">
        <v>2826.299</v>
      </c>
      <c r="E17" s="70">
        <v>2572.0859999999998</v>
      </c>
      <c r="F17" s="70">
        <v>32844.589949999987</v>
      </c>
      <c r="G17" s="70">
        <v>3344.07</v>
      </c>
      <c r="H17" s="70">
        <v>637.14700000000005</v>
      </c>
      <c r="I17" s="70">
        <v>335040.42700000003</v>
      </c>
      <c r="J17" s="70">
        <v>159732.15400000001</v>
      </c>
      <c r="K17" s="70">
        <v>4089.8130000000001</v>
      </c>
      <c r="L17" s="70">
        <v>339.49200000000002</v>
      </c>
      <c r="M17" s="70">
        <v>-5994.7039999999997</v>
      </c>
      <c r="N17" s="70">
        <v>30548.913</v>
      </c>
      <c r="O17" s="70">
        <v>49082.696000000004</v>
      </c>
      <c r="P17" s="70">
        <v>3141.1959999999999</v>
      </c>
      <c r="Q17" s="69">
        <v>618204.17895000009</v>
      </c>
    </row>
    <row r="18" spans="2:17" ht="20" customHeight="1" x14ac:dyDescent="0.35">
      <c r="B18" s="67" t="s">
        <v>119</v>
      </c>
      <c r="C18" s="70">
        <v>0</v>
      </c>
      <c r="D18" s="70">
        <v>2210.430699999994</v>
      </c>
      <c r="E18" s="70">
        <v>5255.752300000001</v>
      </c>
      <c r="F18" s="70">
        <v>40082.494229999931</v>
      </c>
      <c r="G18" s="70">
        <v>9790.2763799999884</v>
      </c>
      <c r="H18" s="70">
        <v>2506.1731700000018</v>
      </c>
      <c r="I18" s="70">
        <v>138648.99145000009</v>
      </c>
      <c r="J18" s="70">
        <v>123035.93674999991</v>
      </c>
      <c r="K18" s="70">
        <v>0</v>
      </c>
      <c r="L18" s="70">
        <v>8607.3560599999728</v>
      </c>
      <c r="M18" s="70">
        <v>7826.7290199999961</v>
      </c>
      <c r="N18" s="70">
        <v>5583.43</v>
      </c>
      <c r="O18" s="70">
        <v>305967.16921000002</v>
      </c>
      <c r="P18" s="70">
        <v>1313.283720000001</v>
      </c>
      <c r="Q18" s="69">
        <v>650828.02298999985</v>
      </c>
    </row>
    <row r="19" spans="2:17" ht="20" customHeight="1" x14ac:dyDescent="0.35">
      <c r="B19" s="67" t="s">
        <v>120</v>
      </c>
      <c r="C19" s="70">
        <v>-428.46600000000001</v>
      </c>
      <c r="D19" s="70">
        <v>27289.9</v>
      </c>
      <c r="E19" s="70">
        <v>13083.001</v>
      </c>
      <c r="F19" s="70">
        <v>102220.849</v>
      </c>
      <c r="G19" s="70">
        <v>25779.870999999999</v>
      </c>
      <c r="H19" s="70">
        <v>-46939.529000000002</v>
      </c>
      <c r="I19" s="70">
        <v>355812.07699999999</v>
      </c>
      <c r="J19" s="70">
        <v>290138.054</v>
      </c>
      <c r="K19" s="70">
        <v>0</v>
      </c>
      <c r="L19" s="70">
        <v>3219.4349999999999</v>
      </c>
      <c r="M19" s="70">
        <v>116422.61199999999</v>
      </c>
      <c r="N19" s="70">
        <v>213758.53</v>
      </c>
      <c r="O19" s="70">
        <v>320139.326</v>
      </c>
      <c r="P19" s="70">
        <v>1032.2380000000001</v>
      </c>
      <c r="Q19" s="69">
        <v>1421527.898</v>
      </c>
    </row>
    <row r="20" spans="2:17" ht="20" customHeight="1" x14ac:dyDescent="0.35">
      <c r="B20" s="67" t="s">
        <v>121</v>
      </c>
      <c r="C20" s="70">
        <v>29.945</v>
      </c>
      <c r="D20" s="70">
        <v>7911.6450000000004</v>
      </c>
      <c r="E20" s="70">
        <v>5519.4309999999996</v>
      </c>
      <c r="F20" s="70">
        <v>127719.281</v>
      </c>
      <c r="G20" s="70">
        <v>43484.133999999998</v>
      </c>
      <c r="H20" s="70">
        <v>17323.602999999999</v>
      </c>
      <c r="I20" s="70">
        <v>256548.59</v>
      </c>
      <c r="J20" s="70">
        <v>340565.342</v>
      </c>
      <c r="K20" s="70">
        <v>0</v>
      </c>
      <c r="L20" s="70">
        <v>16620.285</v>
      </c>
      <c r="M20" s="70">
        <v>11108.66</v>
      </c>
      <c r="N20" s="70">
        <v>88251.729000000007</v>
      </c>
      <c r="O20" s="70">
        <v>0</v>
      </c>
      <c r="P20" s="70">
        <v>-121.54300000000001</v>
      </c>
      <c r="Q20" s="69">
        <v>914961.10199999996</v>
      </c>
    </row>
    <row r="21" spans="2:17" ht="20" customHeight="1" x14ac:dyDescent="0.35">
      <c r="B21" s="67" t="s">
        <v>122</v>
      </c>
      <c r="C21" s="70">
        <v>1260.7909999999999</v>
      </c>
      <c r="D21" s="70">
        <v>10006.549000000001</v>
      </c>
      <c r="E21" s="70">
        <v>12371.349</v>
      </c>
      <c r="F21" s="70">
        <v>68899.686000000002</v>
      </c>
      <c r="G21" s="70">
        <v>35501.171999999999</v>
      </c>
      <c r="H21" s="70">
        <v>10700.808999999999</v>
      </c>
      <c r="I21" s="70">
        <v>490106.14600000001</v>
      </c>
      <c r="J21" s="70">
        <v>96870.603000000003</v>
      </c>
      <c r="K21" s="70">
        <v>0</v>
      </c>
      <c r="L21" s="70">
        <v>25193.190999999999</v>
      </c>
      <c r="M21" s="70">
        <v>22715.912</v>
      </c>
      <c r="N21" s="70">
        <v>32823.832000000002</v>
      </c>
      <c r="O21" s="70">
        <v>69902.944000000003</v>
      </c>
      <c r="P21" s="70">
        <v>1283.6489999999999</v>
      </c>
      <c r="Q21" s="69">
        <v>877636.63300000003</v>
      </c>
    </row>
    <row r="22" spans="2:17" ht="20" customHeight="1" x14ac:dyDescent="0.35">
      <c r="B22" s="67" t="s">
        <v>123</v>
      </c>
      <c r="C22" s="70">
        <v>0</v>
      </c>
      <c r="D22" s="70">
        <v>-6677.9279999999999</v>
      </c>
      <c r="E22" s="70">
        <v>13318.701999999999</v>
      </c>
      <c r="F22" s="70">
        <v>13253.126</v>
      </c>
      <c r="G22" s="70">
        <v>-3522.0230000000001</v>
      </c>
      <c r="H22" s="70">
        <v>-4061.788</v>
      </c>
      <c r="I22" s="70">
        <v>432392.81900000002</v>
      </c>
      <c r="J22" s="70">
        <v>28344.44</v>
      </c>
      <c r="K22" s="70">
        <v>22330.098000000002</v>
      </c>
      <c r="L22" s="70">
        <v>7750.2550000000001</v>
      </c>
      <c r="M22" s="70">
        <v>-19980.409</v>
      </c>
      <c r="N22" s="70">
        <v>3129.5619999999999</v>
      </c>
      <c r="O22" s="70">
        <v>0</v>
      </c>
      <c r="P22" s="70">
        <v>-3636.3049999999998</v>
      </c>
      <c r="Q22" s="69">
        <v>482640.549</v>
      </c>
    </row>
    <row r="23" spans="2:17" ht="20" customHeight="1" x14ac:dyDescent="0.35">
      <c r="B23" s="67" t="s">
        <v>124</v>
      </c>
      <c r="C23" s="70">
        <v>0</v>
      </c>
      <c r="D23" s="70">
        <v>0</v>
      </c>
      <c r="E23" s="70">
        <v>0</v>
      </c>
      <c r="F23" s="70">
        <v>0</v>
      </c>
      <c r="G23" s="70">
        <v>0</v>
      </c>
      <c r="H23" s="70">
        <v>0</v>
      </c>
      <c r="I23" s="70">
        <v>0</v>
      </c>
      <c r="J23" s="70">
        <v>0</v>
      </c>
      <c r="K23" s="70">
        <v>0</v>
      </c>
      <c r="L23" s="70">
        <v>0</v>
      </c>
      <c r="M23" s="70">
        <v>0</v>
      </c>
      <c r="N23" s="70">
        <v>0</v>
      </c>
      <c r="O23" s="70">
        <v>3261100.702</v>
      </c>
      <c r="P23" s="70">
        <v>0</v>
      </c>
      <c r="Q23" s="69">
        <v>3261100.702</v>
      </c>
    </row>
    <row r="24" spans="2:17" ht="20" customHeight="1" x14ac:dyDescent="0.35">
      <c r="B24" s="67" t="s">
        <v>125</v>
      </c>
      <c r="C24" s="70">
        <v>0</v>
      </c>
      <c r="D24" s="70">
        <v>3622.9650000000001</v>
      </c>
      <c r="E24" s="70">
        <v>-1904.518</v>
      </c>
      <c r="F24" s="70">
        <v>28151.686000000002</v>
      </c>
      <c r="G24" s="70">
        <v>-985.95399999999995</v>
      </c>
      <c r="H24" s="70">
        <v>-35666.565000000002</v>
      </c>
      <c r="I24" s="70">
        <v>105390.64200000001</v>
      </c>
      <c r="J24" s="70">
        <v>121265.584</v>
      </c>
      <c r="K24" s="70">
        <v>0</v>
      </c>
      <c r="L24" s="70">
        <v>-234.042</v>
      </c>
      <c r="M24" s="70">
        <v>10951.161</v>
      </c>
      <c r="N24" s="70">
        <v>10561.788</v>
      </c>
      <c r="O24" s="70">
        <v>3975.5790000000002</v>
      </c>
      <c r="P24" s="70">
        <v>-188.98500000000001</v>
      </c>
      <c r="Q24" s="69">
        <v>244939.34099999999</v>
      </c>
    </row>
    <row r="25" spans="2:17" ht="20" customHeight="1" x14ac:dyDescent="0.35">
      <c r="B25" s="67" t="s">
        <v>126</v>
      </c>
      <c r="C25" s="70">
        <v>0</v>
      </c>
      <c r="D25" s="70">
        <v>52385.453526606601</v>
      </c>
      <c r="E25" s="70">
        <v>34534.637279728289</v>
      </c>
      <c r="F25" s="70">
        <v>22451.08338713261</v>
      </c>
      <c r="G25" s="70">
        <v>10458.891978762311</v>
      </c>
      <c r="H25" s="70">
        <v>11044.84972118483</v>
      </c>
      <c r="I25" s="70">
        <v>-99127.928016928679</v>
      </c>
      <c r="J25" s="70">
        <v>-104255.4333970811</v>
      </c>
      <c r="K25" s="70">
        <v>9297.65</v>
      </c>
      <c r="L25" s="70">
        <v>3316.996600357721</v>
      </c>
      <c r="M25" s="70">
        <v>56880.808941915107</v>
      </c>
      <c r="N25" s="70">
        <v>22032.836009139159</v>
      </c>
      <c r="O25" s="70">
        <v>0</v>
      </c>
      <c r="P25" s="70">
        <v>150828.2240975372</v>
      </c>
      <c r="Q25" s="69">
        <v>169848.07012835401</v>
      </c>
    </row>
    <row r="26" spans="2:17" ht="20" customHeight="1" x14ac:dyDescent="0.35">
      <c r="B26" s="67" t="s">
        <v>127</v>
      </c>
      <c r="C26" s="70">
        <v>0</v>
      </c>
      <c r="D26" s="70">
        <v>8468.1577739671884</v>
      </c>
      <c r="E26" s="70">
        <v>2404.0276250313432</v>
      </c>
      <c r="F26" s="70">
        <v>7967.7684464711401</v>
      </c>
      <c r="G26" s="70">
        <v>72409.257843832369</v>
      </c>
      <c r="H26" s="70">
        <v>-126.7388556841169</v>
      </c>
      <c r="I26" s="70">
        <v>-14370.211786847711</v>
      </c>
      <c r="J26" s="70">
        <v>550093.77976960759</v>
      </c>
      <c r="K26" s="70">
        <v>0</v>
      </c>
      <c r="L26" s="70">
        <v>-350.88991998848132</v>
      </c>
      <c r="M26" s="70">
        <v>14447.972274873269</v>
      </c>
      <c r="N26" s="70">
        <v>19609.044353285371</v>
      </c>
      <c r="O26" s="70">
        <v>601470.83572228928</v>
      </c>
      <c r="P26" s="70">
        <v>422.66440735850858</v>
      </c>
      <c r="Q26" s="69">
        <v>1262445.667654196</v>
      </c>
    </row>
    <row r="27" spans="2:17" ht="20" customHeight="1" x14ac:dyDescent="0.35">
      <c r="B27" s="67" t="s">
        <v>128</v>
      </c>
      <c r="C27" s="70">
        <v>991.5865949460715</v>
      </c>
      <c r="D27" s="70">
        <v>32306.174747087891</v>
      </c>
      <c r="E27" s="70">
        <v>19524.42388097179</v>
      </c>
      <c r="F27" s="70">
        <v>165713.37421355111</v>
      </c>
      <c r="G27" s="70">
        <v>32566.381863322182</v>
      </c>
      <c r="H27" s="70">
        <v>-752.34808786323663</v>
      </c>
      <c r="I27" s="70">
        <v>117102.5355122131</v>
      </c>
      <c r="J27" s="70">
        <v>104342.2210265219</v>
      </c>
      <c r="K27" s="70">
        <v>0</v>
      </c>
      <c r="L27" s="70">
        <v>-245.584</v>
      </c>
      <c r="M27" s="70">
        <v>-9881.6675359858655</v>
      </c>
      <c r="N27" s="70">
        <v>92002.193319720027</v>
      </c>
      <c r="O27" s="70">
        <v>0</v>
      </c>
      <c r="P27" s="70">
        <v>-19953.580676601021</v>
      </c>
      <c r="Q27" s="69">
        <v>533715.71085788379</v>
      </c>
    </row>
    <row r="28" spans="2:17" ht="20" customHeight="1" x14ac:dyDescent="0.35">
      <c r="B28" s="67" t="s">
        <v>129</v>
      </c>
      <c r="C28" s="70">
        <v>-4760.1070065636823</v>
      </c>
      <c r="D28" s="70">
        <v>211.80670128954111</v>
      </c>
      <c r="E28" s="70">
        <v>1129.2308712720289</v>
      </c>
      <c r="F28" s="70">
        <v>1980.906319442596</v>
      </c>
      <c r="G28" s="70">
        <v>-6122.8799209465387</v>
      </c>
      <c r="H28" s="70">
        <v>2074.3063232385289</v>
      </c>
      <c r="I28" s="70">
        <v>87195.413597869701</v>
      </c>
      <c r="J28" s="70">
        <v>48491.953280992813</v>
      </c>
      <c r="K28" s="70">
        <v>0</v>
      </c>
      <c r="L28" s="70">
        <v>4319.3516207494067</v>
      </c>
      <c r="M28" s="70">
        <v>3278.788200937538</v>
      </c>
      <c r="N28" s="70">
        <v>4822.4709022574116</v>
      </c>
      <c r="O28" s="70">
        <v>100486.0658709049</v>
      </c>
      <c r="P28" s="70">
        <v>-3218.3800035006261</v>
      </c>
      <c r="Q28" s="69">
        <v>239888.92675794361</v>
      </c>
    </row>
    <row r="29" spans="2:17" ht="20" customHeight="1" x14ac:dyDescent="0.35">
      <c r="B29" s="67" t="s">
        <v>130</v>
      </c>
      <c r="C29" s="70">
        <v>10.94517102988565</v>
      </c>
      <c r="D29" s="70">
        <v>3446.634943550348</v>
      </c>
      <c r="E29" s="70">
        <v>4943.2781346098409</v>
      </c>
      <c r="F29" s="70">
        <v>-11745.08095573374</v>
      </c>
      <c r="G29" s="70">
        <v>-14553.19508569515</v>
      </c>
      <c r="H29" s="70">
        <v>325.2072774831862</v>
      </c>
      <c r="I29" s="70">
        <v>171144.0479539221</v>
      </c>
      <c r="J29" s="70">
        <v>28460.49976471045</v>
      </c>
      <c r="K29" s="70">
        <v>0</v>
      </c>
      <c r="L29" s="70">
        <v>-2901.0857757138201</v>
      </c>
      <c r="M29" s="70">
        <v>1025.4398088975249</v>
      </c>
      <c r="N29" s="70">
        <v>-25535.673998957751</v>
      </c>
      <c r="O29" s="70">
        <v>0</v>
      </c>
      <c r="P29" s="70">
        <v>2.87604986816102</v>
      </c>
      <c r="Q29" s="69">
        <v>154623.89328797109</v>
      </c>
    </row>
    <row r="30" spans="2:17" ht="20" customHeight="1" x14ac:dyDescent="0.35">
      <c r="B30" s="67" t="s">
        <v>131</v>
      </c>
      <c r="C30" s="70">
        <v>0</v>
      </c>
      <c r="D30" s="70">
        <v>-1369.184892862603</v>
      </c>
      <c r="E30" s="70">
        <v>-119.259010102476</v>
      </c>
      <c r="F30" s="70">
        <v>60574.496380337558</v>
      </c>
      <c r="G30" s="70">
        <v>-289.49371637124102</v>
      </c>
      <c r="H30" s="70">
        <v>-22550.270147093881</v>
      </c>
      <c r="I30" s="70">
        <v>4599.3584613695739</v>
      </c>
      <c r="J30" s="70">
        <v>126492.2495777923</v>
      </c>
      <c r="K30" s="70">
        <v>0</v>
      </c>
      <c r="L30" s="70">
        <v>5642.6948756435868</v>
      </c>
      <c r="M30" s="70">
        <v>8146.3077405582408</v>
      </c>
      <c r="N30" s="70">
        <v>-7265.9221445354224</v>
      </c>
      <c r="O30" s="70">
        <v>0</v>
      </c>
      <c r="P30" s="70">
        <v>-3832.888119249521</v>
      </c>
      <c r="Q30" s="69">
        <v>170028.08900548611</v>
      </c>
    </row>
    <row r="31" spans="2:17" ht="20" customHeight="1" x14ac:dyDescent="0.35">
      <c r="B31" s="67" t="s">
        <v>132</v>
      </c>
      <c r="C31" s="70">
        <v>0.49876539991796021</v>
      </c>
      <c r="D31" s="70">
        <v>8761.1217126540469</v>
      </c>
      <c r="E31" s="70">
        <v>1504.504273460366</v>
      </c>
      <c r="F31" s="70">
        <v>54153.767447504491</v>
      </c>
      <c r="G31" s="70">
        <v>12972.12206652042</v>
      </c>
      <c r="H31" s="70">
        <v>11395.83550423682</v>
      </c>
      <c r="I31" s="70">
        <v>282401.02178461879</v>
      </c>
      <c r="J31" s="70">
        <v>311447.4850272889</v>
      </c>
      <c r="K31" s="70">
        <v>0</v>
      </c>
      <c r="L31" s="70">
        <v>2966.0345362063572</v>
      </c>
      <c r="M31" s="70">
        <v>29994.289948482419</v>
      </c>
      <c r="N31" s="70">
        <v>16382.1185156877</v>
      </c>
      <c r="O31" s="70">
        <v>1994509.086951952</v>
      </c>
      <c r="P31" s="70">
        <v>2884.8962993444302</v>
      </c>
      <c r="Q31" s="69">
        <v>2729372.7828333569</v>
      </c>
    </row>
    <row r="32" spans="2:17" ht="20" customHeight="1" x14ac:dyDescent="0.35">
      <c r="B32" s="67" t="s">
        <v>133</v>
      </c>
      <c r="C32" s="70">
        <v>0</v>
      </c>
      <c r="D32" s="70">
        <v>13651.194</v>
      </c>
      <c r="E32" s="70">
        <v>-1566.904</v>
      </c>
      <c r="F32" s="70">
        <v>-30667.973000000002</v>
      </c>
      <c r="G32" s="70">
        <v>8365.348</v>
      </c>
      <c r="H32" s="70">
        <v>870.25800000000004</v>
      </c>
      <c r="I32" s="70">
        <v>113354.02899999999</v>
      </c>
      <c r="J32" s="70">
        <v>123178.53200000001</v>
      </c>
      <c r="K32" s="70">
        <v>0</v>
      </c>
      <c r="L32" s="70">
        <v>1455.7529999999999</v>
      </c>
      <c r="M32" s="70">
        <v>6147.23</v>
      </c>
      <c r="N32" s="70">
        <v>11651.019</v>
      </c>
      <c r="O32" s="70">
        <v>188297.05600000001</v>
      </c>
      <c r="P32" s="70">
        <v>62.247</v>
      </c>
      <c r="Q32" s="69">
        <v>434797.78899999999</v>
      </c>
    </row>
    <row r="33" spans="2:19" ht="20" customHeight="1" x14ac:dyDescent="0.35">
      <c r="B33" s="67" t="s">
        <v>134</v>
      </c>
      <c r="C33" s="70">
        <v>0</v>
      </c>
      <c r="D33" s="70">
        <v>4404.9033399999998</v>
      </c>
      <c r="E33" s="70">
        <v>1259.980279198762</v>
      </c>
      <c r="F33" s="70">
        <v>14815.8418</v>
      </c>
      <c r="G33" s="70">
        <v>37495.529575</v>
      </c>
      <c r="H33" s="70">
        <v>3090.31270660783</v>
      </c>
      <c r="I33" s="70">
        <v>225693.7181400001</v>
      </c>
      <c r="J33" s="70">
        <v>205926.77730800011</v>
      </c>
      <c r="K33" s="70">
        <v>0</v>
      </c>
      <c r="L33" s="70">
        <v>13700.836799999999</v>
      </c>
      <c r="M33" s="70">
        <v>4335.5661257281736</v>
      </c>
      <c r="N33" s="70">
        <v>7382.7761399999854</v>
      </c>
      <c r="O33" s="70">
        <v>0</v>
      </c>
      <c r="P33" s="70">
        <v>377.01613429218719</v>
      </c>
      <c r="Q33" s="69">
        <v>518483.25834882719</v>
      </c>
    </row>
    <row r="34" spans="2:19" ht="20" customHeight="1" x14ac:dyDescent="0.35">
      <c r="B34" s="67" t="s">
        <v>135</v>
      </c>
      <c r="C34" s="70">
        <v>0</v>
      </c>
      <c r="D34" s="70">
        <v>-6569.29</v>
      </c>
      <c r="E34" s="70">
        <v>6502.4189999999999</v>
      </c>
      <c r="F34" s="70">
        <v>53493.695</v>
      </c>
      <c r="G34" s="70">
        <v>-175790.30799999999</v>
      </c>
      <c r="H34" s="70">
        <v>-7228.107</v>
      </c>
      <c r="I34" s="70">
        <v>657851.52300000004</v>
      </c>
      <c r="J34" s="70">
        <v>93537.573000000004</v>
      </c>
      <c r="K34" s="70">
        <v>117791.96799999999</v>
      </c>
      <c r="L34" s="70">
        <v>-19431.857</v>
      </c>
      <c r="M34" s="70">
        <v>-9436.6790000000001</v>
      </c>
      <c r="N34" s="70">
        <v>7845.8010000000004</v>
      </c>
      <c r="O34" s="70">
        <v>-4074.1129999999998</v>
      </c>
      <c r="P34" s="70">
        <v>276033.56400000001</v>
      </c>
      <c r="Q34" s="69">
        <v>990526.18900000001</v>
      </c>
    </row>
    <row r="35" spans="2:19" ht="20" customHeight="1" x14ac:dyDescent="0.35">
      <c r="B35" s="67" t="s">
        <v>136</v>
      </c>
      <c r="C35" s="70">
        <v>0</v>
      </c>
      <c r="D35" s="70">
        <v>73.134999999999536</v>
      </c>
      <c r="E35" s="70">
        <v>0</v>
      </c>
      <c r="F35" s="70">
        <v>213.4</v>
      </c>
      <c r="G35" s="70">
        <v>0</v>
      </c>
      <c r="H35" s="70">
        <v>0</v>
      </c>
      <c r="I35" s="70">
        <v>22284.458999999999</v>
      </c>
      <c r="J35" s="70">
        <v>7587.1450000000004</v>
      </c>
      <c r="K35" s="70">
        <v>0</v>
      </c>
      <c r="L35" s="70">
        <v>0</v>
      </c>
      <c r="M35" s="70">
        <v>770.00199999999973</v>
      </c>
      <c r="N35" s="70">
        <v>3975.64</v>
      </c>
      <c r="O35" s="70">
        <v>129146.26036</v>
      </c>
      <c r="P35" s="70">
        <v>0</v>
      </c>
      <c r="Q35" s="69">
        <v>164050.04136</v>
      </c>
    </row>
    <row r="36" spans="2:19" ht="20" customHeight="1" x14ac:dyDescent="0.35">
      <c r="B36" s="67" t="s">
        <v>137</v>
      </c>
      <c r="C36" s="70">
        <v>0</v>
      </c>
      <c r="D36" s="70">
        <v>329.39405133403091</v>
      </c>
      <c r="E36" s="70">
        <v>421.32742391877298</v>
      </c>
      <c r="F36" s="70">
        <v>2137.6967993609678</v>
      </c>
      <c r="G36" s="70">
        <v>-3215.054311428426</v>
      </c>
      <c r="H36" s="70">
        <v>1408.751757246381</v>
      </c>
      <c r="I36" s="70">
        <v>96454.068976027484</v>
      </c>
      <c r="J36" s="70">
        <v>-11963.63887793946</v>
      </c>
      <c r="K36" s="70">
        <v>0</v>
      </c>
      <c r="L36" s="70">
        <v>-94.215331911739653</v>
      </c>
      <c r="M36" s="70">
        <v>-18.151</v>
      </c>
      <c r="N36" s="70">
        <v>6333.0316865301429</v>
      </c>
      <c r="O36" s="70">
        <v>76.865460574802015</v>
      </c>
      <c r="P36" s="70">
        <v>-4618.8927321700321</v>
      </c>
      <c r="Q36" s="69">
        <v>87251.183901542929</v>
      </c>
    </row>
    <row r="37" spans="2:19" ht="20" customHeight="1" x14ac:dyDescent="0.35">
      <c r="B37" s="67" t="s">
        <v>138</v>
      </c>
      <c r="C37" s="70">
        <v>0</v>
      </c>
      <c r="D37" s="70">
        <v>8352.8273939958744</v>
      </c>
      <c r="E37" s="70">
        <v>8548.0785556872106</v>
      </c>
      <c r="F37" s="70">
        <v>87298.787346983197</v>
      </c>
      <c r="G37" s="70">
        <v>2128.8969282908138</v>
      </c>
      <c r="H37" s="70">
        <v>4087.4730057388019</v>
      </c>
      <c r="I37" s="70">
        <v>44330.333698357943</v>
      </c>
      <c r="J37" s="70">
        <v>47018.442762178209</v>
      </c>
      <c r="K37" s="70">
        <v>0</v>
      </c>
      <c r="L37" s="70">
        <v>109.2323912466797</v>
      </c>
      <c r="M37" s="70">
        <v>18689.606824539809</v>
      </c>
      <c r="N37" s="70">
        <v>5322.4041059979199</v>
      </c>
      <c r="O37" s="70">
        <v>198.82901418182541</v>
      </c>
      <c r="P37" s="70">
        <v>-6.609914703642251</v>
      </c>
      <c r="Q37" s="69">
        <v>226078.30211249471</v>
      </c>
    </row>
    <row r="38" spans="2:19" ht="20" customHeight="1" x14ac:dyDescent="0.35">
      <c r="B38" s="67" t="s">
        <v>139</v>
      </c>
      <c r="C38" s="70">
        <v>69.929000000000002</v>
      </c>
      <c r="D38" s="70">
        <v>16776.463</v>
      </c>
      <c r="E38" s="70">
        <v>15510.507</v>
      </c>
      <c r="F38" s="70">
        <v>38171.165999999997</v>
      </c>
      <c r="G38" s="70">
        <v>28689.252</v>
      </c>
      <c r="H38" s="70">
        <v>4669.4539999999997</v>
      </c>
      <c r="I38" s="70">
        <v>176269.158</v>
      </c>
      <c r="J38" s="70">
        <v>160640.236</v>
      </c>
      <c r="K38" s="70">
        <v>7680.3370000000004</v>
      </c>
      <c r="L38" s="70">
        <v>22699.86</v>
      </c>
      <c r="M38" s="70">
        <v>17832.753000000001</v>
      </c>
      <c r="N38" s="70">
        <v>21484.719000000001</v>
      </c>
      <c r="O38" s="70">
        <v>623395.02099999995</v>
      </c>
      <c r="P38" s="70">
        <v>5271.4380000000001</v>
      </c>
      <c r="Q38" s="69">
        <v>1139160.2930000001</v>
      </c>
    </row>
    <row r="39" spans="2:19" ht="20"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69">
        <v>0</v>
      </c>
    </row>
    <row r="40" spans="2:19" ht="20"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69">
        <v>0</v>
      </c>
    </row>
    <row r="41" spans="2:19" ht="20" customHeight="1" x14ac:dyDescent="0.35">
      <c r="B41" s="71" t="s">
        <v>7</v>
      </c>
      <c r="C41" s="72">
        <f t="shared" ref="C41:Q41" si="0">SUM(C6:C40)</f>
        <v>-2989.8044751878069</v>
      </c>
      <c r="D41" s="72">
        <f t="shared" si="0"/>
        <v>264518.49478851835</v>
      </c>
      <c r="E41" s="72">
        <f t="shared" si="0"/>
        <v>141735.96671298039</v>
      </c>
      <c r="F41" s="72">
        <f t="shared" si="0"/>
        <v>994019.84728105343</v>
      </c>
      <c r="G41" s="72">
        <f t="shared" si="0"/>
        <v>231366.20358807576</v>
      </c>
      <c r="H41" s="72">
        <f t="shared" si="0"/>
        <v>26066.051914838092</v>
      </c>
      <c r="I41" s="72">
        <f t="shared" si="0"/>
        <v>6042593.2649523132</v>
      </c>
      <c r="J41" s="72">
        <f t="shared" si="0"/>
        <v>4409974.2280598357</v>
      </c>
      <c r="K41" s="72">
        <f t="shared" si="0"/>
        <v>974702.88304363156</v>
      </c>
      <c r="L41" s="72">
        <f t="shared" si="0"/>
        <v>252974.33959076472</v>
      </c>
      <c r="M41" s="72">
        <f t="shared" si="0"/>
        <v>326593.57004950935</v>
      </c>
      <c r="N41" s="72">
        <f t="shared" si="0"/>
        <v>977699.13653515722</v>
      </c>
      <c r="O41" s="72">
        <f t="shared" si="0"/>
        <v>13046424.984465607</v>
      </c>
      <c r="P41" s="72">
        <f t="shared" si="0"/>
        <v>572889.71524009516</v>
      </c>
      <c r="Q41" s="72">
        <f t="shared" si="0"/>
        <v>28258568.881747186</v>
      </c>
      <c r="S41" s="271"/>
    </row>
    <row r="42" spans="2:19" ht="20" customHeight="1" x14ac:dyDescent="0.35">
      <c r="B42" s="369" t="s">
        <v>142</v>
      </c>
      <c r="C42" s="301"/>
      <c r="D42" s="301"/>
      <c r="E42" s="301"/>
      <c r="F42" s="301"/>
      <c r="G42" s="301"/>
      <c r="H42" s="301"/>
      <c r="I42" s="301"/>
      <c r="J42" s="301"/>
      <c r="K42" s="301"/>
      <c r="L42" s="301"/>
      <c r="M42" s="301"/>
      <c r="N42" s="301"/>
      <c r="O42" s="301"/>
      <c r="P42" s="301"/>
      <c r="Q42" s="302"/>
      <c r="S42" s="272"/>
    </row>
    <row r="43" spans="2:19" ht="20" customHeight="1" x14ac:dyDescent="0.35">
      <c r="B43" s="67" t="s">
        <v>143</v>
      </c>
      <c r="C43" s="70">
        <v>-10751.91874970215</v>
      </c>
      <c r="D43" s="70">
        <v>154774.04057570829</v>
      </c>
      <c r="E43" s="70">
        <v>150647.7545803212</v>
      </c>
      <c r="F43" s="70">
        <v>428766.68788245291</v>
      </c>
      <c r="G43" s="70">
        <v>-3324.956287176683</v>
      </c>
      <c r="H43" s="70">
        <v>-123647.0776215748</v>
      </c>
      <c r="I43" s="70">
        <v>-870.82162283198909</v>
      </c>
      <c r="J43" s="70">
        <v>-3720.784297554851</v>
      </c>
      <c r="K43" s="70">
        <v>0</v>
      </c>
      <c r="L43" s="70">
        <v>-1551.224702443629</v>
      </c>
      <c r="M43" s="70">
        <v>-81.643142233875579</v>
      </c>
      <c r="N43" s="70">
        <v>-163.28728446775119</v>
      </c>
      <c r="O43" s="70">
        <v>-149652.4522772223</v>
      </c>
      <c r="P43" s="70">
        <v>-58367.998175366403</v>
      </c>
      <c r="Q43" s="73">
        <v>382056.31887790811</v>
      </c>
    </row>
    <row r="44" spans="2:19" ht="20" customHeight="1" x14ac:dyDescent="0.35">
      <c r="B44" s="67" t="s">
        <v>144</v>
      </c>
      <c r="C44" s="70">
        <v>65.504487341961479</v>
      </c>
      <c r="D44" s="70">
        <v>46932.497384106813</v>
      </c>
      <c r="E44" s="70">
        <v>0</v>
      </c>
      <c r="F44" s="70">
        <v>320773.67347191338</v>
      </c>
      <c r="G44" s="70">
        <v>3236.3082468707148</v>
      </c>
      <c r="H44" s="70">
        <v>34358.566902032268</v>
      </c>
      <c r="I44" s="70">
        <v>0</v>
      </c>
      <c r="J44" s="70">
        <v>40905.98802135545</v>
      </c>
      <c r="K44" s="70">
        <v>0</v>
      </c>
      <c r="L44" s="70">
        <v>9030.340052628846</v>
      </c>
      <c r="M44" s="70">
        <v>0</v>
      </c>
      <c r="N44" s="70">
        <v>0</v>
      </c>
      <c r="O44" s="70">
        <v>319304.61197734787</v>
      </c>
      <c r="P44" s="70">
        <v>53455.963382768663</v>
      </c>
      <c r="Q44" s="73">
        <v>828063.45392636594</v>
      </c>
    </row>
    <row r="45" spans="2:19" ht="20" customHeight="1" x14ac:dyDescent="0.35">
      <c r="B45" s="67" t="s">
        <v>145</v>
      </c>
      <c r="C45" s="70">
        <v>960.64244401169378</v>
      </c>
      <c r="D45" s="70">
        <v>37589.016491449183</v>
      </c>
      <c r="E45" s="70">
        <v>60447.387936680199</v>
      </c>
      <c r="F45" s="70">
        <v>130865.1179366802</v>
      </c>
      <c r="G45" s="70">
        <v>-541.61284363182267</v>
      </c>
      <c r="H45" s="70">
        <v>38965.249173053016</v>
      </c>
      <c r="I45" s="70">
        <v>8778.4494638022934</v>
      </c>
      <c r="J45" s="70">
        <v>9260.7074638022859</v>
      </c>
      <c r="K45" s="70">
        <v>0</v>
      </c>
      <c r="L45" s="70">
        <v>679.89465753619277</v>
      </c>
      <c r="M45" s="70">
        <v>12499.912939459229</v>
      </c>
      <c r="N45" s="70">
        <v>764.43465753619284</v>
      </c>
      <c r="O45" s="70">
        <v>109553.95114208991</v>
      </c>
      <c r="P45" s="70">
        <v>2208.475527079228</v>
      </c>
      <c r="Q45" s="73">
        <v>412031.62698954792</v>
      </c>
    </row>
    <row r="46" spans="2:19" ht="20" customHeight="1" x14ac:dyDescent="0.35">
      <c r="B46" s="64" t="s">
        <v>146</v>
      </c>
      <c r="C46" s="70">
        <v>32489.434069999999</v>
      </c>
      <c r="D46" s="70">
        <v>118482.94531</v>
      </c>
      <c r="E46" s="70">
        <v>4794.2977999999994</v>
      </c>
      <c r="F46" s="70">
        <v>302570.2057300001</v>
      </c>
      <c r="G46" s="70">
        <v>3019.170270000001</v>
      </c>
      <c r="H46" s="70">
        <v>79142.100189999997</v>
      </c>
      <c r="I46" s="70">
        <v>2136.8518100000001</v>
      </c>
      <c r="J46" s="70">
        <v>129532.49716</v>
      </c>
      <c r="K46" s="70">
        <v>0</v>
      </c>
      <c r="L46" s="70">
        <v>120793.28879999999</v>
      </c>
      <c r="M46" s="70">
        <v>34.064869999999992</v>
      </c>
      <c r="N46" s="70">
        <v>6214.1518099999994</v>
      </c>
      <c r="O46" s="70">
        <v>397239.62091000017</v>
      </c>
      <c r="P46" s="70">
        <v>286348.29061999958</v>
      </c>
      <c r="Q46" s="73">
        <v>1482796.9193500001</v>
      </c>
    </row>
    <row r="47" spans="2:19" ht="20" customHeight="1" x14ac:dyDescent="0.35">
      <c r="B47" s="67" t="s">
        <v>147</v>
      </c>
      <c r="C47" s="70">
        <v>-24177.958082384332</v>
      </c>
      <c r="D47" s="70">
        <v>53181.852687494043</v>
      </c>
      <c r="E47" s="70">
        <v>-110180.9882455929</v>
      </c>
      <c r="F47" s="70">
        <v>194949.08159134479</v>
      </c>
      <c r="G47" s="70">
        <v>25612.503810508912</v>
      </c>
      <c r="H47" s="70">
        <v>6856.7625501042012</v>
      </c>
      <c r="I47" s="70">
        <v>2515.756068450808</v>
      </c>
      <c r="J47" s="70">
        <v>14111.2566055468</v>
      </c>
      <c r="K47" s="70">
        <v>-824.28448080777207</v>
      </c>
      <c r="L47" s="70">
        <v>10911.64516392505</v>
      </c>
      <c r="M47" s="70">
        <v>2394.094413291707</v>
      </c>
      <c r="N47" s="70">
        <v>9375.7615461473906</v>
      </c>
      <c r="O47" s="70">
        <v>-8829.8389798278204</v>
      </c>
      <c r="P47" s="70">
        <v>75742.936659616404</v>
      </c>
      <c r="Q47" s="73">
        <v>251638.58130781731</v>
      </c>
    </row>
    <row r="48" spans="2:19" ht="20" customHeight="1" x14ac:dyDescent="0.35">
      <c r="B48" s="71" t="s">
        <v>7</v>
      </c>
      <c r="C48" s="72">
        <f t="shared" ref="C48:Q48" si="1">SUM(C43:C47)</f>
        <v>-1414.2958307328263</v>
      </c>
      <c r="D48" s="72">
        <f t="shared" si="1"/>
        <v>410960.35244875832</v>
      </c>
      <c r="E48" s="72">
        <f t="shared" si="1"/>
        <v>105708.45207140849</v>
      </c>
      <c r="F48" s="72">
        <f t="shared" si="1"/>
        <v>1377924.7666123915</v>
      </c>
      <c r="G48" s="72">
        <f t="shared" si="1"/>
        <v>28001.41319657112</v>
      </c>
      <c r="H48" s="72">
        <f t="shared" si="1"/>
        <v>35675.601193614675</v>
      </c>
      <c r="I48" s="72">
        <f t="shared" si="1"/>
        <v>12560.235719421113</v>
      </c>
      <c r="J48" s="72">
        <f t="shared" si="1"/>
        <v>190089.66495314968</v>
      </c>
      <c r="K48" s="72">
        <f t="shared" si="1"/>
        <v>-824.28448080777207</v>
      </c>
      <c r="L48" s="72">
        <f t="shared" si="1"/>
        <v>139863.94397164645</v>
      </c>
      <c r="M48" s="72">
        <f t="shared" si="1"/>
        <v>14846.42908051706</v>
      </c>
      <c r="N48" s="72">
        <f t="shared" si="1"/>
        <v>16191.060729215831</v>
      </c>
      <c r="O48" s="72">
        <f t="shared" si="1"/>
        <v>667615.89277238783</v>
      </c>
      <c r="P48" s="72">
        <f t="shared" si="1"/>
        <v>359387.66801409749</v>
      </c>
      <c r="Q48" s="72">
        <f t="shared" si="1"/>
        <v>3356586.9004516392</v>
      </c>
    </row>
    <row r="49" spans="2:17" ht="20" customHeight="1" x14ac:dyDescent="0.5">
      <c r="B49" s="357" t="s">
        <v>149</v>
      </c>
      <c r="C49" s="358"/>
      <c r="D49" s="358"/>
      <c r="E49" s="358"/>
      <c r="F49" s="358"/>
      <c r="G49" s="358"/>
      <c r="H49" s="358"/>
      <c r="I49" s="358"/>
      <c r="J49" s="358"/>
      <c r="K49" s="358"/>
      <c r="L49" s="358"/>
      <c r="M49" s="358"/>
      <c r="N49" s="358"/>
      <c r="O49" s="358"/>
      <c r="P49" s="358"/>
      <c r="Q49" s="358"/>
    </row>
  </sheetData>
  <sheetProtection algorithmName="SHA-512" hashValue="E50JNlgIvPR7GmeEDh1n6Q884MEki37dLirhEU73axKTSmFvMgb/VzVhzz72PrCswJviJX1Tn+/TiJMYJORfIg==" saltValue="EshcLP9s+iqH9ggRm6tFPA==" spinCount="100000" sheet="1" objects="1" scenarios="1"/>
  <mergeCells count="4">
    <mergeCell ref="B42:Q42"/>
    <mergeCell ref="B49:Q49"/>
    <mergeCell ref="B3:Q3"/>
    <mergeCell ref="B5:Q5"/>
  </mergeCells>
  <pageMargins left="0.7" right="0.7" top="0.75" bottom="0.75" header="0.3" footer="0.3"/>
  <pageSetup paperSize="9" scale="31"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0">
    <tabColor rgb="FF92D050"/>
    <pageSetUpPr fitToPage="1"/>
  </sheetPr>
  <dimension ref="B3:Q49"/>
  <sheetViews>
    <sheetView showGridLines="0" zoomScale="70" workbookViewId="0">
      <pane xSplit="2" ySplit="5" topLeftCell="P43" activePane="bottomRight" state="frozen"/>
      <selection activeCell="A4" sqref="A4:XFD4"/>
      <selection pane="topRight" activeCell="A4" sqref="A4:XFD4"/>
      <selection pane="bottomLeft" activeCell="A4" sqref="A4:XFD4"/>
      <selection pane="bottomRight" activeCell="P45" sqref="B3:Q49"/>
    </sheetView>
  </sheetViews>
  <sheetFormatPr defaultColWidth="9.453125" defaultRowHeight="15.5" x14ac:dyDescent="0.35"/>
  <cols>
    <col min="1" max="1" width="17.453125" style="76" customWidth="1"/>
    <col min="2" max="2" width="52" style="76" bestFit="1" customWidth="1"/>
    <col min="3" max="17" width="20.453125" style="76" customWidth="1"/>
    <col min="18" max="18" width="9.1796875" style="76" customWidth="1"/>
    <col min="19" max="117" width="9.453125" style="76" customWidth="1"/>
    <col min="118" max="16384" width="9.453125" style="76"/>
  </cols>
  <sheetData>
    <row r="3" spans="2:17" s="275" customFormat="1" ht="22" x14ac:dyDescent="0.5">
      <c r="B3" s="367" t="str">
        <f>_xlfn.CONCAT('Table of Contents'!B34,": ",'Table of Contents'!C34)</f>
        <v>APPENDIX 22: SUMMARY OF INCURRED CLAIMS RATIOS UNDER GENERAL INSURANCE BUSINESS FOR THE PERIOD ENDED 31.03.2026</v>
      </c>
      <c r="C3" s="298"/>
      <c r="D3" s="298"/>
      <c r="E3" s="298"/>
      <c r="F3" s="298"/>
      <c r="G3" s="298"/>
      <c r="H3" s="298"/>
      <c r="I3" s="298"/>
      <c r="J3" s="298"/>
      <c r="K3" s="298"/>
      <c r="L3" s="298"/>
      <c r="M3" s="298"/>
      <c r="N3" s="298"/>
      <c r="O3" s="298"/>
      <c r="P3" s="298"/>
      <c r="Q3" s="299"/>
    </row>
    <row r="4" spans="2:17" ht="31"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7" ht="20" customHeight="1" x14ac:dyDescent="0.35">
      <c r="B5" s="368" t="s">
        <v>106</v>
      </c>
      <c r="C5" s="301"/>
      <c r="D5" s="301"/>
      <c r="E5" s="301"/>
      <c r="F5" s="301"/>
      <c r="G5" s="301"/>
      <c r="H5" s="301"/>
      <c r="I5" s="301"/>
      <c r="J5" s="301"/>
      <c r="K5" s="301"/>
      <c r="L5" s="301"/>
      <c r="M5" s="301"/>
      <c r="N5" s="301"/>
      <c r="O5" s="301"/>
      <c r="P5" s="301"/>
      <c r="Q5" s="302"/>
    </row>
    <row r="6" spans="2:17" ht="20" customHeight="1" x14ac:dyDescent="0.35">
      <c r="B6" s="75" t="str">
        <f>'APPENDIX 21'!B6</f>
        <v>AAR INSURANCE KENYA</v>
      </c>
      <c r="C6" s="201" t="str">
        <f>IFERROR('APPENDIX 21'!C6/NEPI!C6*100,"0.0")</f>
        <v>0.0</v>
      </c>
      <c r="D6" s="201">
        <f>IFERROR('APPENDIX 21'!D6/NEPI!D6*100,"0.0")</f>
        <v>190.32946489094914</v>
      </c>
      <c r="E6" s="201">
        <f>IFERROR('APPENDIX 21'!E6/NEPI!E6*100,"0.0")</f>
        <v>57.631214934067955</v>
      </c>
      <c r="F6" s="201">
        <f>IFERROR('APPENDIX 21'!F6/NEPI!F6*100,"0.0")</f>
        <v>-230.28719682921241</v>
      </c>
      <c r="G6" s="201">
        <f>IFERROR('APPENDIX 21'!G6/NEPI!G6*100,"0.0")</f>
        <v>44.713073832374683</v>
      </c>
      <c r="H6" s="201">
        <f>IFERROR('APPENDIX 21'!H6/NEPI!H6*100,"0.0")</f>
        <v>5.2401390535352261</v>
      </c>
      <c r="I6" s="201">
        <f>IFERROR('APPENDIX 21'!I6/NEPI!I6*100,"0.0")</f>
        <v>-21.676578238705684</v>
      </c>
      <c r="J6" s="201">
        <f>IFERROR('APPENDIX 21'!J6/NEPI!J6*100,"0.0")</f>
        <v>22.260136673782686</v>
      </c>
      <c r="K6" s="201" t="str">
        <f>IFERROR('APPENDIX 21'!K6/NEPI!K6*100,"0.0")</f>
        <v>0.0</v>
      </c>
      <c r="L6" s="201">
        <f>IFERROR('APPENDIX 21'!L6/NEPI!L6*100,"0.0")</f>
        <v>30.71430968700194</v>
      </c>
      <c r="M6" s="201">
        <f>IFERROR('APPENDIX 21'!M6/NEPI!M6*100,"0.0")</f>
        <v>153.2095670224754</v>
      </c>
      <c r="N6" s="201">
        <f>IFERROR('APPENDIX 21'!N6/NEPI!N6*100,"0.0")</f>
        <v>48.182882112127366</v>
      </c>
      <c r="O6" s="201">
        <f>IFERROR('APPENDIX 21'!O6/NEPI!O6*100,"0.0")</f>
        <v>79.063342141653891</v>
      </c>
      <c r="P6" s="201">
        <f>IFERROR('APPENDIX 21'!P6/NEPI!P6*100,"0.0")</f>
        <v>6.8563329688732093</v>
      </c>
      <c r="Q6" s="202">
        <f>IFERROR('APPENDIX 21'!Q6/NEPI!Q6*100,"0.00")</f>
        <v>78.182308543463279</v>
      </c>
    </row>
    <row r="7" spans="2:17" ht="20" customHeight="1" x14ac:dyDescent="0.35">
      <c r="B7" s="75" t="str">
        <f>'APPENDIX 21'!B7</f>
        <v xml:space="preserve">AFRICAN MERCHANT ASSURANCE </v>
      </c>
      <c r="C7" s="201">
        <f>IFERROR('APPENDIX 21'!C7/NEPI!C7*100,"0.0")</f>
        <v>0</v>
      </c>
      <c r="D7" s="201">
        <f>IFERROR('APPENDIX 21'!D7/NEPI!D7*100,"0.0")</f>
        <v>260.01241633362213</v>
      </c>
      <c r="E7" s="201">
        <f>IFERROR('APPENDIX 21'!E7/NEPI!E7*100,"0.0")</f>
        <v>1512.4955420906649</v>
      </c>
      <c r="F7" s="201">
        <f>IFERROR('APPENDIX 21'!F7/NEPI!F7*100,"0.0")</f>
        <v>559.01535493772553</v>
      </c>
      <c r="G7" s="201">
        <f>IFERROR('APPENDIX 21'!G7/NEPI!G7*100,"0.0")</f>
        <v>330.04252954526373</v>
      </c>
      <c r="H7" s="201">
        <f>IFERROR('APPENDIX 21'!H7/NEPI!H7*100,"0.0")</f>
        <v>-34.346220358207354</v>
      </c>
      <c r="I7" s="201">
        <f>IFERROR('APPENDIX 21'!I7/NEPI!I7*100,"0.0")</f>
        <v>21.126718677175628</v>
      </c>
      <c r="J7" s="201">
        <f>IFERROR('APPENDIX 21'!J7/NEPI!J7*100,"0.0")</f>
        <v>-18.861183296988653</v>
      </c>
      <c r="K7" s="201">
        <f>IFERROR('APPENDIX 21'!K7/NEPI!K7*100,"0.0")</f>
        <v>153.47776835778103</v>
      </c>
      <c r="L7" s="201">
        <f>IFERROR('APPENDIX 21'!L7/NEPI!L7*100,"0.0")</f>
        <v>4639.6073017963263</v>
      </c>
      <c r="M7" s="201">
        <f>IFERROR('APPENDIX 21'!M7/NEPI!M7*100,"0.0")</f>
        <v>2571.595823152762</v>
      </c>
      <c r="N7" s="201">
        <f>IFERROR('APPENDIX 21'!N7/NEPI!N7*100,"0.0")</f>
        <v>-2990.5794033572956</v>
      </c>
      <c r="O7" s="201">
        <f>IFERROR('APPENDIX 21'!O7/NEPI!O7*100,"0.0")</f>
        <v>0</v>
      </c>
      <c r="P7" s="201">
        <f>IFERROR('APPENDIX 21'!P7/NEPI!P7*100,"0.0")</f>
        <v>123.22801911648253</v>
      </c>
      <c r="Q7" s="202">
        <f>IFERROR('APPENDIX 21'!Q7/NEPI!Q7*100,"0.00")</f>
        <v>67.88660951183202</v>
      </c>
    </row>
    <row r="8" spans="2:17" ht="20" customHeight="1" x14ac:dyDescent="0.35">
      <c r="B8" s="75" t="str">
        <f>'APPENDIX 21'!B8</f>
        <v>APA INSURANCE LIMITED</v>
      </c>
      <c r="C8" s="201">
        <f>IFERROR('APPENDIX 21'!C8/NEPI!C8*100,"0.0")</f>
        <v>-100.17425567079449</v>
      </c>
      <c r="D8" s="201">
        <f>IFERROR('APPENDIX 21'!D8/NEPI!D8*100,"0.0")</f>
        <v>153.25514933271961</v>
      </c>
      <c r="E8" s="201">
        <f>IFERROR('APPENDIX 21'!E8/NEPI!E8*100,"0.0")</f>
        <v>13.656745204919671</v>
      </c>
      <c r="F8" s="201">
        <f>IFERROR('APPENDIX 21'!F8/NEPI!F8*100,"0.0")</f>
        <v>75.807352815670185</v>
      </c>
      <c r="G8" s="201">
        <f>IFERROR('APPENDIX 21'!G8/NEPI!G8*100,"0.0")</f>
        <v>41.320587034677004</v>
      </c>
      <c r="H8" s="201">
        <f>IFERROR('APPENDIX 21'!H8/NEPI!H8*100,"0.0")</f>
        <v>103.25758600300645</v>
      </c>
      <c r="I8" s="201">
        <f>IFERROR('APPENDIX 21'!I8/NEPI!I8*100,"0.0")</f>
        <v>86.680518567193758</v>
      </c>
      <c r="J8" s="201">
        <f>IFERROR('APPENDIX 21'!J8/NEPI!J8*100,"0.0")</f>
        <v>94.911557830560398</v>
      </c>
      <c r="K8" s="201" t="str">
        <f>IFERROR('APPENDIX 21'!K8/NEPI!K8*100,"0.0")</f>
        <v>0.0</v>
      </c>
      <c r="L8" s="201">
        <f>IFERROR('APPENDIX 21'!L8/NEPI!L8*100,"0.0")</f>
        <v>0.46679606850773914</v>
      </c>
      <c r="M8" s="201">
        <f>IFERROR('APPENDIX 21'!M8/NEPI!M8*100,"0.0")</f>
        <v>70.416604849523438</v>
      </c>
      <c r="N8" s="201">
        <f>IFERROR('APPENDIX 21'!N8/NEPI!N8*100,"0.0")</f>
        <v>71.780678203441838</v>
      </c>
      <c r="O8" s="201">
        <f>IFERROR('APPENDIX 21'!O8/NEPI!O8*100,"0.0")</f>
        <v>64.935771019473577</v>
      </c>
      <c r="P8" s="201">
        <f>IFERROR('APPENDIX 21'!P8/NEPI!P8*100,"0.0")</f>
        <v>5.2631665404071271</v>
      </c>
      <c r="Q8" s="202">
        <f>IFERROR('APPENDIX 21'!Q8/NEPI!Q8*100,"0.00")</f>
        <v>75.474117091639187</v>
      </c>
    </row>
    <row r="9" spans="2:17" ht="20" customHeight="1" x14ac:dyDescent="0.35">
      <c r="B9" s="75" t="str">
        <f>'APPENDIX 21'!B9</f>
        <v>BRITAM GENERAL INSURANCE</v>
      </c>
      <c r="C9" s="201">
        <f>IFERROR('APPENDIX 21'!C9/NEPI!C9*100,"0.0")</f>
        <v>-0.14523215118348498</v>
      </c>
      <c r="D9" s="201">
        <f>IFERROR('APPENDIX 21'!D9/NEPI!D9*100,"0.0")</f>
        <v>102.22135702708475</v>
      </c>
      <c r="E9" s="201">
        <f>IFERROR('APPENDIX 21'!E9/NEPI!E9*100,"0.0")</f>
        <v>18.097757887252552</v>
      </c>
      <c r="F9" s="201">
        <f>IFERROR('APPENDIX 21'!F9/NEPI!F9*100,"0.0")</f>
        <v>29.384068552517768</v>
      </c>
      <c r="G9" s="201">
        <f>IFERROR('APPENDIX 21'!G9/NEPI!G9*100,"0.0")</f>
        <v>42.576625266867886</v>
      </c>
      <c r="H9" s="201">
        <f>IFERROR('APPENDIX 21'!H9/NEPI!H9*100,"0.0")</f>
        <v>53.154984746862269</v>
      </c>
      <c r="I9" s="201">
        <f>IFERROR('APPENDIX 21'!I9/NEPI!I9*100,"0.0")</f>
        <v>66.164985372384947</v>
      </c>
      <c r="J9" s="201">
        <f>IFERROR('APPENDIX 21'!J9/NEPI!J9*100,"0.0")</f>
        <v>77.063392582900519</v>
      </c>
      <c r="K9" s="201" t="str">
        <f>IFERROR('APPENDIX 21'!K9/NEPI!K9*100,"0.0")</f>
        <v>0.0</v>
      </c>
      <c r="L9" s="201">
        <f>IFERROR('APPENDIX 21'!L9/NEPI!L9*100,"0.0")</f>
        <v>38.488221197116523</v>
      </c>
      <c r="M9" s="201">
        <f>IFERROR('APPENDIX 21'!M9/NEPI!M9*100,"0.0")</f>
        <v>24.516281751982323</v>
      </c>
      <c r="N9" s="201">
        <f>IFERROR('APPENDIX 21'!N9/NEPI!N9*100,"0.0")</f>
        <v>17.026201046920555</v>
      </c>
      <c r="O9" s="201">
        <f>IFERROR('APPENDIX 21'!O9/NEPI!O9*100,"0.0")</f>
        <v>74.796041024875592</v>
      </c>
      <c r="P9" s="201">
        <f>IFERROR('APPENDIX 21'!P9/NEPI!P9*100,"0.0")</f>
        <v>256.51407710927236</v>
      </c>
      <c r="Q9" s="202">
        <f>IFERROR('APPENDIX 21'!Q9/NEPI!Q9*100,"0.00")</f>
        <v>65.639677651022069</v>
      </c>
    </row>
    <row r="10" spans="2:17" ht="20" customHeight="1" x14ac:dyDescent="0.35">
      <c r="B10" s="75" t="str">
        <f>'APPENDIX 21'!B10</f>
        <v>BUPA GLOBAL INSURANCE</v>
      </c>
      <c r="C10" s="201" t="str">
        <f>IFERROR('APPENDIX 21'!C10/NEPI!C10*100,"0.0")</f>
        <v>0.0</v>
      </c>
      <c r="D10" s="201" t="str">
        <f>IFERROR('APPENDIX 21'!D10/NEPI!D10*100,"0.0")</f>
        <v>0.0</v>
      </c>
      <c r="E10" s="201" t="str">
        <f>IFERROR('APPENDIX 21'!E10/NEPI!E10*100,"0.0")</f>
        <v>0.0</v>
      </c>
      <c r="F10" s="201" t="str">
        <f>IFERROR('APPENDIX 21'!F10/NEPI!F10*100,"0.0")</f>
        <v>0.0</v>
      </c>
      <c r="G10" s="201" t="str">
        <f>IFERROR('APPENDIX 21'!G10/NEPI!G10*100,"0.0")</f>
        <v>0.0</v>
      </c>
      <c r="H10" s="201" t="str">
        <f>IFERROR('APPENDIX 21'!H10/NEPI!H10*100,"0.0")</f>
        <v>0.0</v>
      </c>
      <c r="I10" s="201" t="str">
        <f>IFERROR('APPENDIX 21'!I10/NEPI!I10*100,"0.0")</f>
        <v>0.0</v>
      </c>
      <c r="J10" s="201" t="str">
        <f>IFERROR('APPENDIX 21'!J10/NEPI!J10*100,"0.0")</f>
        <v>0.0</v>
      </c>
      <c r="K10" s="201" t="str">
        <f>IFERROR('APPENDIX 21'!K10/NEPI!K10*100,"0.0")</f>
        <v>0.0</v>
      </c>
      <c r="L10" s="201" t="str">
        <f>IFERROR('APPENDIX 21'!L10/NEPI!L10*100,"0.0")</f>
        <v>0.0</v>
      </c>
      <c r="M10" s="201" t="str">
        <f>IFERROR('APPENDIX 21'!M10/NEPI!M10*100,"0.0")</f>
        <v>0.0</v>
      </c>
      <c r="N10" s="201" t="str">
        <f>IFERROR('APPENDIX 21'!N10/NEPI!N10*100,"0.0")</f>
        <v>0.0</v>
      </c>
      <c r="O10" s="201">
        <f>IFERROR('APPENDIX 21'!O10/NEPI!O10*100,"0.0")</f>
        <v>3.3979574765977372</v>
      </c>
      <c r="P10" s="201" t="str">
        <f>IFERROR('APPENDIX 21'!P10/NEPI!P10*100,"0.0")</f>
        <v>0.0</v>
      </c>
      <c r="Q10" s="202">
        <f>IFERROR('APPENDIX 21'!Q10/NEPI!Q10*100,"0.00")</f>
        <v>3.3979574765977372</v>
      </c>
    </row>
    <row r="11" spans="2:17" ht="20" customHeight="1" x14ac:dyDescent="0.35">
      <c r="B11" s="75" t="str">
        <f>'APPENDIX 21'!B11</f>
        <v>CANNON GENERAL INSURANCE</v>
      </c>
      <c r="C11" s="201" t="str">
        <f>IFERROR('APPENDIX 21'!C11/NEPI!C11*100,"0.0")</f>
        <v>0.0</v>
      </c>
      <c r="D11" s="201">
        <f>IFERROR('APPENDIX 21'!D11/NEPI!D11*100,"0.0")</f>
        <v>4.5142827624694748</v>
      </c>
      <c r="E11" s="201">
        <f>IFERROR('APPENDIX 21'!E11/NEPI!E11*100,"0.0")</f>
        <v>2.1836953021792334</v>
      </c>
      <c r="F11" s="201">
        <f>IFERROR('APPENDIX 21'!F11/NEPI!F11*100,"0.0")</f>
        <v>49.468104394977772</v>
      </c>
      <c r="G11" s="201">
        <f>IFERROR('APPENDIX 21'!G11/NEPI!G11*100,"0.0")</f>
        <v>69.325080512938683</v>
      </c>
      <c r="H11" s="201">
        <f>IFERROR('APPENDIX 21'!H11/NEPI!H11*100,"0.0")</f>
        <v>40.697379403190865</v>
      </c>
      <c r="I11" s="201">
        <f>IFERROR('APPENDIX 21'!I11/NEPI!I11*100,"0.0")</f>
        <v>90.189256082681638</v>
      </c>
      <c r="J11" s="201">
        <f>IFERROR('APPENDIX 21'!J11/NEPI!J11*100,"0.0")</f>
        <v>53.057775417837441</v>
      </c>
      <c r="K11" s="201" t="str">
        <f>IFERROR('APPENDIX 21'!K11/NEPI!K11*100,"0.0")</f>
        <v>0.0</v>
      </c>
      <c r="L11" s="201">
        <f>IFERROR('APPENDIX 21'!L11/NEPI!L11*100,"0.0")</f>
        <v>50.970756988545531</v>
      </c>
      <c r="M11" s="201">
        <f>IFERROR('APPENDIX 21'!M11/NEPI!M11*100,"0.0")</f>
        <v>718.0892306984199</v>
      </c>
      <c r="N11" s="201">
        <f>IFERROR('APPENDIX 21'!N11/NEPI!N11*100,"0.0")</f>
        <v>60.039906916842966</v>
      </c>
      <c r="O11" s="201" t="str">
        <f>IFERROR('APPENDIX 21'!O11/NEPI!O11*100,"0.0")</f>
        <v>0.0</v>
      </c>
      <c r="P11" s="201">
        <f>IFERROR('APPENDIX 21'!P11/NEPI!P11*100,"0.0")</f>
        <v>-0.35213903498221927</v>
      </c>
      <c r="Q11" s="202">
        <f>IFERROR('APPENDIX 21'!Q11/NEPI!Q11*100,"0.00")</f>
        <v>81.300612427689302</v>
      </c>
    </row>
    <row r="12" spans="2:17" ht="20" customHeight="1" x14ac:dyDescent="0.35">
      <c r="B12" s="75" t="str">
        <f>'APPENDIX 21'!B12</f>
        <v>CIC GENERAL INSURANCE COMPANY</v>
      </c>
      <c r="C12" s="201" t="str">
        <f>IFERROR('APPENDIX 21'!C12/NEPI!C12*100,"0.0")</f>
        <v>0.0</v>
      </c>
      <c r="D12" s="201">
        <f>IFERROR('APPENDIX 21'!D12/NEPI!D12*100,"0.0")</f>
        <v>58.390368046591455</v>
      </c>
      <c r="E12" s="201">
        <f>IFERROR('APPENDIX 21'!E12/NEPI!E12*100,"0.0")</f>
        <v>-34.923432921977152</v>
      </c>
      <c r="F12" s="201">
        <f>IFERROR('APPENDIX 21'!F12/NEPI!F12*100,"0.0")</f>
        <v>-38.270802968578693</v>
      </c>
      <c r="G12" s="201">
        <f>IFERROR('APPENDIX 21'!G12/NEPI!G12*100,"0.0")</f>
        <v>36.584061506696472</v>
      </c>
      <c r="H12" s="201">
        <f>IFERROR('APPENDIX 21'!H12/NEPI!H12*100,"0.0")</f>
        <v>48.131400408185435</v>
      </c>
      <c r="I12" s="201">
        <f>IFERROR('APPENDIX 21'!I12/NEPI!I12*100,"0.0")</f>
        <v>72.654391745030736</v>
      </c>
      <c r="J12" s="201">
        <f>IFERROR('APPENDIX 21'!J12/NEPI!J12*100,"0.0")</f>
        <v>77.119391063314367</v>
      </c>
      <c r="K12" s="201" t="str">
        <f>IFERROR('APPENDIX 21'!K12/NEPI!K12*100,"0.0")</f>
        <v>0.0</v>
      </c>
      <c r="L12" s="201">
        <f>IFERROR('APPENDIX 21'!L12/NEPI!L12*100,"0.0")</f>
        <v>-24.66922863432255</v>
      </c>
      <c r="M12" s="201">
        <f>IFERROR('APPENDIX 21'!M12/NEPI!M12*100,"0.0")</f>
        <v>3.434266955286907</v>
      </c>
      <c r="N12" s="201">
        <f>IFERROR('APPENDIX 21'!N12/NEPI!N12*100,"0.0")</f>
        <v>117.44782286286875</v>
      </c>
      <c r="O12" s="201">
        <f>IFERROR('APPENDIX 21'!O12/NEPI!O12*100,"0.0")</f>
        <v>72.021753593219273</v>
      </c>
      <c r="P12" s="201">
        <f>IFERROR('APPENDIX 21'!P12/NEPI!P12*100,"0.0")</f>
        <v>1092.5517810072758</v>
      </c>
      <c r="Q12" s="202">
        <f>IFERROR('APPENDIX 21'!Q12/NEPI!Q12*100,"0.00")</f>
        <v>72.496034189574772</v>
      </c>
    </row>
    <row r="13" spans="2:17" ht="20" customHeight="1" x14ac:dyDescent="0.35">
      <c r="B13" s="75" t="str">
        <f>'APPENDIX 21'!B13</f>
        <v>DEFINITE ASSURANCE COMPANY</v>
      </c>
      <c r="C13" s="201" t="str">
        <f>IFERROR('APPENDIX 21'!C13/NEPI!C13*100,"0.0")</f>
        <v>0.0</v>
      </c>
      <c r="D13" s="201" t="str">
        <f>IFERROR('APPENDIX 21'!D13/NEPI!D13*100,"0.0")</f>
        <v>0.0</v>
      </c>
      <c r="E13" s="201" t="str">
        <f>IFERROR('APPENDIX 21'!E13/NEPI!E13*100,"0.0")</f>
        <v>0.0</v>
      </c>
      <c r="F13" s="201" t="str">
        <f>IFERROR('APPENDIX 21'!F13/NEPI!F13*100,"0.0")</f>
        <v>0.0</v>
      </c>
      <c r="G13" s="201" t="str">
        <f>IFERROR('APPENDIX 21'!G13/NEPI!G13*100,"0.0")</f>
        <v>0.0</v>
      </c>
      <c r="H13" s="201" t="str">
        <f>IFERROR('APPENDIX 21'!H13/NEPI!H13*100,"0.0")</f>
        <v>0.0</v>
      </c>
      <c r="I13" s="201" t="str">
        <f>IFERROR('APPENDIX 21'!I13/NEPI!I13*100,"0.0")</f>
        <v>0.0</v>
      </c>
      <c r="J13" s="201" t="str">
        <f>IFERROR('APPENDIX 21'!J13/NEPI!J13*100,"0.0")</f>
        <v>0.0</v>
      </c>
      <c r="K13" s="201" t="str">
        <f>IFERROR('APPENDIX 21'!K13/NEPI!K13*100,"0.0")</f>
        <v>0.0</v>
      </c>
      <c r="L13" s="201" t="str">
        <f>IFERROR('APPENDIX 21'!L13/NEPI!L13*100,"0.0")</f>
        <v>0.0</v>
      </c>
      <c r="M13" s="201" t="str">
        <f>IFERROR('APPENDIX 21'!M13/NEPI!M13*100,"0.0")</f>
        <v>0.0</v>
      </c>
      <c r="N13" s="201" t="str">
        <f>IFERROR('APPENDIX 21'!N13/NEPI!N13*100,"0.0")</f>
        <v>0.0</v>
      </c>
      <c r="O13" s="201" t="str">
        <f>IFERROR('APPENDIX 21'!O13/NEPI!O13*100,"0.0")</f>
        <v>0.0</v>
      </c>
      <c r="P13" s="201" t="str">
        <f>IFERROR('APPENDIX 21'!P13/NEPI!P13*100,"0.0")</f>
        <v>0.0</v>
      </c>
      <c r="Q13" s="202" t="str">
        <f>IFERROR('APPENDIX 21'!Q13/NEPI!Q13*100,"0.00")</f>
        <v>0.00</v>
      </c>
    </row>
    <row r="14" spans="2:17" ht="20" customHeight="1" x14ac:dyDescent="0.35">
      <c r="B14" s="75" t="str">
        <f>'APPENDIX 21'!B14</f>
        <v>DIRECTLINE ASSURANCE COMPANY</v>
      </c>
      <c r="C14" s="201" t="str">
        <f>IFERROR('APPENDIX 21'!C14/NEPI!C14*100,"0.0")</f>
        <v>0.0</v>
      </c>
      <c r="D14" s="201" t="str">
        <f>IFERROR('APPENDIX 21'!D14/NEPI!D14*100,"0.0")</f>
        <v>0.0</v>
      </c>
      <c r="E14" s="201" t="str">
        <f>IFERROR('APPENDIX 21'!E14/NEPI!E14*100,"0.0")</f>
        <v>0.0</v>
      </c>
      <c r="F14" s="201">
        <f>IFERROR('APPENDIX 21'!F14/NEPI!F14*100,"0.0")</f>
        <v>0</v>
      </c>
      <c r="G14" s="201" t="str">
        <f>IFERROR('APPENDIX 21'!G14/NEPI!G14*100,"0.0")</f>
        <v>0.0</v>
      </c>
      <c r="H14" s="201" t="str">
        <f>IFERROR('APPENDIX 21'!H14/NEPI!H14*100,"0.0")</f>
        <v>0.0</v>
      </c>
      <c r="I14" s="201">
        <f>IFERROR('APPENDIX 21'!I14/NEPI!I14*100,"0.0")</f>
        <v>148.77670618178897</v>
      </c>
      <c r="J14" s="201">
        <f>IFERROR('APPENDIX 21'!J14/NEPI!J14*100,"0.0")</f>
        <v>1080.3735160357016</v>
      </c>
      <c r="K14" s="201">
        <f>IFERROR('APPENDIX 21'!K14/NEPI!K14*100,"0.0")</f>
        <v>79.631975215726484</v>
      </c>
      <c r="L14" s="201" t="str">
        <f>IFERROR('APPENDIX 21'!L14/NEPI!L14*100,"0.0")</f>
        <v>0.0</v>
      </c>
      <c r="M14" s="201" t="str">
        <f>IFERROR('APPENDIX 21'!M14/NEPI!M14*100,"0.0")</f>
        <v>0.0</v>
      </c>
      <c r="N14" s="201" t="str">
        <f>IFERROR('APPENDIX 21'!N14/NEPI!N14*100,"0.0")</f>
        <v>0.0</v>
      </c>
      <c r="O14" s="201" t="str">
        <f>IFERROR('APPENDIX 21'!O14/NEPI!O14*100,"0.0")</f>
        <v>0.0</v>
      </c>
      <c r="P14" s="201" t="str">
        <f>IFERROR('APPENDIX 21'!P14/NEPI!P14*100,"0.0")</f>
        <v>0.0</v>
      </c>
      <c r="Q14" s="202">
        <f>IFERROR('APPENDIX 21'!Q14/NEPI!Q14*100,"0.00")</f>
        <v>122.52225275995769</v>
      </c>
    </row>
    <row r="15" spans="2:17" ht="20" customHeight="1" x14ac:dyDescent="0.35">
      <c r="B15" s="75" t="str">
        <f>'APPENDIX 21'!B15</f>
        <v>EQUITY GENERAL INSURANCE LIMITED</v>
      </c>
      <c r="C15" s="201" t="str">
        <f>IFERROR('APPENDIX 21'!C15/NEPI!C15*100,"0.0")</f>
        <v>0.0</v>
      </c>
      <c r="D15" s="201">
        <f>IFERROR('APPENDIX 21'!D15/NEPI!D15*100,"0.0")</f>
        <v>57.166464900892954</v>
      </c>
      <c r="E15" s="201">
        <f>IFERROR('APPENDIX 21'!E15/NEPI!E15*100,"0.0")</f>
        <v>0</v>
      </c>
      <c r="F15" s="201">
        <f>IFERROR('APPENDIX 21'!F15/NEPI!F15*100,"0.0")</f>
        <v>0</v>
      </c>
      <c r="G15" s="201">
        <f>IFERROR('APPENDIX 21'!G15/NEPI!G15*100,"0.0")</f>
        <v>4.2210746078785166E-2</v>
      </c>
      <c r="H15" s="201">
        <f>IFERROR('APPENDIX 21'!H15/NEPI!H15*100,"0.0")</f>
        <v>1173.0995768284072</v>
      </c>
      <c r="I15" s="201">
        <f>IFERROR('APPENDIX 21'!I15/NEPI!I15*100,"0.0")</f>
        <v>-16000.950453590045</v>
      </c>
      <c r="J15" s="201" t="str">
        <f>IFERROR('APPENDIX 21'!J15/NEPI!J15*100,"0.0")</f>
        <v>0.0</v>
      </c>
      <c r="K15" s="201" t="str">
        <f>IFERROR('APPENDIX 21'!K15/NEPI!K15*100,"0.0")</f>
        <v>0.0</v>
      </c>
      <c r="L15" s="201">
        <f>IFERROR('APPENDIX 21'!L15/NEPI!L15*100,"0.0")</f>
        <v>0</v>
      </c>
      <c r="M15" s="201">
        <f>IFERROR('APPENDIX 21'!M15/NEPI!M15*100,"0.0")</f>
        <v>8.3841970561150081</v>
      </c>
      <c r="N15" s="201">
        <f>IFERROR('APPENDIX 21'!N15/NEPI!N15*100,"0.0")</f>
        <v>13.66142067832134</v>
      </c>
      <c r="O15" s="201">
        <f>IFERROR('APPENDIX 21'!O15/NEPI!O15*100,"0.0")</f>
        <v>909.43451532525523</v>
      </c>
      <c r="P15" s="201">
        <f>IFERROR('APPENDIX 21'!P15/NEPI!P15*100,"0.0")</f>
        <v>0</v>
      </c>
      <c r="Q15" s="202">
        <f>IFERROR('APPENDIX 21'!Q15/NEPI!Q15*100,"0.00")</f>
        <v>76.428472808723441</v>
      </c>
    </row>
    <row r="16" spans="2:17" ht="20" customHeight="1" x14ac:dyDescent="0.35">
      <c r="B16" s="75" t="str">
        <f>'APPENDIX 21'!B16</f>
        <v>EQUITY HEALTH INSURANCE LIMITED</v>
      </c>
      <c r="C16" s="201" t="str">
        <f>IFERROR('APPENDIX 21'!C16/NEPI!C16*100,"0.0")</f>
        <v>0.0</v>
      </c>
      <c r="D16" s="201" t="str">
        <f>IFERROR('APPENDIX 21'!D16/NEPI!D16*100,"0.0")</f>
        <v>0.0</v>
      </c>
      <c r="E16" s="201" t="str">
        <f>IFERROR('APPENDIX 21'!E16/NEPI!E16*100,"0.0")</f>
        <v>0.0</v>
      </c>
      <c r="F16" s="201" t="str">
        <f>IFERROR('APPENDIX 21'!F16/NEPI!F16*100,"0.0")</f>
        <v>0.0</v>
      </c>
      <c r="G16" s="201" t="str">
        <f>IFERROR('APPENDIX 21'!G16/NEPI!G16*100,"0.0")</f>
        <v>0.0</v>
      </c>
      <c r="H16" s="201" t="str">
        <f>IFERROR('APPENDIX 21'!H16/NEPI!H16*100,"0.0")</f>
        <v>0.0</v>
      </c>
      <c r="I16" s="201" t="str">
        <f>IFERROR('APPENDIX 21'!I16/NEPI!I16*100,"0.0")</f>
        <v>0.0</v>
      </c>
      <c r="J16" s="201" t="str">
        <f>IFERROR('APPENDIX 21'!J16/NEPI!J16*100,"0.0")</f>
        <v>0.0</v>
      </c>
      <c r="K16" s="201" t="str">
        <f>IFERROR('APPENDIX 21'!K16/NEPI!K16*100,"0.0")</f>
        <v>0.0</v>
      </c>
      <c r="L16" s="201" t="str">
        <f>IFERROR('APPENDIX 21'!L16/NEPI!L16*100,"0.0")</f>
        <v>0.0</v>
      </c>
      <c r="M16" s="201" t="str">
        <f>IFERROR('APPENDIX 21'!M16/NEPI!M16*100,"0.0")</f>
        <v>0.0</v>
      </c>
      <c r="N16" s="201" t="str">
        <f>IFERROR('APPENDIX 21'!N16/NEPI!N16*100,"0.0")</f>
        <v>0.0</v>
      </c>
      <c r="O16" s="201">
        <f>IFERROR('APPENDIX 21'!O16/NEPI!O16*100,"0.0")</f>
        <v>7.1590152345800764</v>
      </c>
      <c r="P16" s="201" t="str">
        <f>IFERROR('APPENDIX 21'!P16/NEPI!P16*100,"0.0")</f>
        <v>0.0</v>
      </c>
      <c r="Q16" s="202">
        <f>IFERROR('APPENDIX 21'!Q16/NEPI!Q16*100,"0.00")</f>
        <v>7.1590152345800764</v>
      </c>
    </row>
    <row r="17" spans="2:17" ht="20" customHeight="1" x14ac:dyDescent="0.35">
      <c r="B17" s="75" t="str">
        <f>'APPENDIX 21'!B17</f>
        <v xml:space="preserve">FIDELITY SHIELD INSURANCE  </v>
      </c>
      <c r="C17" s="201">
        <f>IFERROR('APPENDIX 21'!C17/NEPI!C17*100,"0.0")</f>
        <v>0</v>
      </c>
      <c r="D17" s="201">
        <f>IFERROR('APPENDIX 21'!D17/NEPI!D17*100,"0.0")</f>
        <v>55.523732214541752</v>
      </c>
      <c r="E17" s="201">
        <f>IFERROR('APPENDIX 21'!E17/NEPI!E17*100,"0.0")</f>
        <v>45.791987061881741</v>
      </c>
      <c r="F17" s="201">
        <f>IFERROR('APPENDIX 21'!F17/NEPI!F17*100,"0.0")</f>
        <v>341.90484704186406</v>
      </c>
      <c r="G17" s="201">
        <f>IFERROR('APPENDIX 21'!G17/NEPI!G17*100,"0.0")</f>
        <v>19.670284927289117</v>
      </c>
      <c r="H17" s="201">
        <f>IFERROR('APPENDIX 21'!H17/NEPI!H17*100,"0.0")</f>
        <v>7.1951750824769816</v>
      </c>
      <c r="I17" s="201">
        <f>IFERROR('APPENDIX 21'!I17/NEPI!I17*100,"0.0")</f>
        <v>87.49682878589141</v>
      </c>
      <c r="J17" s="201">
        <f>IFERROR('APPENDIX 21'!J17/NEPI!J17*100,"0.0")</f>
        <v>61.62480264356924</v>
      </c>
      <c r="K17" s="201">
        <f>IFERROR('APPENDIX 21'!K17/NEPI!K17*100,"0.0")</f>
        <v>81.235588217242238</v>
      </c>
      <c r="L17" s="201">
        <f>IFERROR('APPENDIX 21'!L17/NEPI!L17*100,"0.0")</f>
        <v>17.698578033018659</v>
      </c>
      <c r="M17" s="201">
        <f>IFERROR('APPENDIX 21'!M17/NEPI!M17*100,"0.0")</f>
        <v>-61.291888223841049</v>
      </c>
      <c r="N17" s="201">
        <f>IFERROR('APPENDIX 21'!N17/NEPI!N17*100,"0.0")</f>
        <v>41.462837334917744</v>
      </c>
      <c r="O17" s="201">
        <f>IFERROR('APPENDIX 21'!O17/NEPI!O17*100,"0.0")</f>
        <v>59.543491250019883</v>
      </c>
      <c r="P17" s="201">
        <f>IFERROR('APPENDIX 21'!P17/NEPI!P17*100,"0.0")</f>
        <v>32.181951815528706</v>
      </c>
      <c r="Q17" s="202">
        <f>IFERROR('APPENDIX 21'!Q17/NEPI!Q17*100,"0.00")</f>
        <v>70.984944567063749</v>
      </c>
    </row>
    <row r="18" spans="2:17" ht="20" customHeight="1" x14ac:dyDescent="0.35">
      <c r="B18" s="75" t="str">
        <f>'APPENDIX 21'!B18</f>
        <v>FIRST ASSURANCE COMPANY</v>
      </c>
      <c r="C18" s="201" t="str">
        <f>IFERROR('APPENDIX 21'!C18/NEPI!C18*100,"0.0")</f>
        <v>0.0</v>
      </c>
      <c r="D18" s="201">
        <f>IFERROR('APPENDIX 21'!D18/NEPI!D18*100,"0.0")</f>
        <v>53.54869555327604</v>
      </c>
      <c r="E18" s="201">
        <f>IFERROR('APPENDIX 21'!E18/NEPI!E18*100,"0.0")</f>
        <v>46.789295997172488</v>
      </c>
      <c r="F18" s="201">
        <f>IFERROR('APPENDIX 21'!F18/NEPI!F18*100,"0.0")</f>
        <v>177.02585908405567</v>
      </c>
      <c r="G18" s="201">
        <f>IFERROR('APPENDIX 21'!G18/NEPI!G18*100,"0.0")</f>
        <v>119.95607426178904</v>
      </c>
      <c r="H18" s="201">
        <f>IFERROR('APPENDIX 21'!H18/NEPI!H18*100,"0.0")</f>
        <v>22.678095289327853</v>
      </c>
      <c r="I18" s="201">
        <f>IFERROR('APPENDIX 21'!I18/NEPI!I18*100,"0.0")</f>
        <v>75.79584866516899</v>
      </c>
      <c r="J18" s="201">
        <f>IFERROR('APPENDIX 21'!J18/NEPI!J18*100,"0.0")</f>
        <v>83.423294074908384</v>
      </c>
      <c r="K18" s="201">
        <f>IFERROR('APPENDIX 21'!K18/NEPI!K18*100,"0.0")</f>
        <v>0</v>
      </c>
      <c r="L18" s="201">
        <f>IFERROR('APPENDIX 21'!L18/NEPI!L18*100,"0.0")</f>
        <v>13.157090231993159</v>
      </c>
      <c r="M18" s="201">
        <f>IFERROR('APPENDIX 21'!M18/NEPI!M18*100,"0.0")</f>
        <v>21.777269160154976</v>
      </c>
      <c r="N18" s="201">
        <f>IFERROR('APPENDIX 21'!N18/NEPI!N18*100,"0.0")</f>
        <v>38.465246294284825</v>
      </c>
      <c r="O18" s="201">
        <f>IFERROR('APPENDIX 21'!O18/NEPI!O18*100,"0.0")</f>
        <v>77.647421542565738</v>
      </c>
      <c r="P18" s="201">
        <f>IFERROR('APPENDIX 21'!P18/NEPI!P18*100,"0.0")</f>
        <v>29.93276189496466</v>
      </c>
      <c r="Q18" s="202">
        <f>IFERROR('APPENDIX 21'!Q18/NEPI!Q18*100,"0.00")</f>
        <v>69.272762242726159</v>
      </c>
    </row>
    <row r="19" spans="2:17" ht="20" customHeight="1" x14ac:dyDescent="0.35">
      <c r="B19" s="75" t="str">
        <f>'APPENDIX 21'!B19</f>
        <v>GA INSURANCE COMPANY</v>
      </c>
      <c r="C19" s="201">
        <f>IFERROR('APPENDIX 21'!C19/NEPI!C19*100,"0.0")</f>
        <v>-6.1556457497460322</v>
      </c>
      <c r="D19" s="201">
        <f>IFERROR('APPENDIX 21'!D19/NEPI!D19*100,"0.0")</f>
        <v>47.780948498199365</v>
      </c>
      <c r="E19" s="201">
        <f>IFERROR('APPENDIX 21'!E19/NEPI!E19*100,"0.0")</f>
        <v>31.993399426935976</v>
      </c>
      <c r="F19" s="201">
        <f>IFERROR('APPENDIX 21'!F19/NEPI!F19*100,"0.0")</f>
        <v>-277.06071273506768</v>
      </c>
      <c r="G19" s="201">
        <f>IFERROR('APPENDIX 21'!G19/NEPI!G19*100,"0.0")</f>
        <v>405.62680196438896</v>
      </c>
      <c r="H19" s="201">
        <f>IFERROR('APPENDIX 21'!H19/NEPI!H19*100,"0.0")</f>
        <v>-58.583283487952407</v>
      </c>
      <c r="I19" s="201">
        <f>IFERROR('APPENDIX 21'!I19/NEPI!I19*100,"0.0")</f>
        <v>91.585903794440966</v>
      </c>
      <c r="J19" s="201">
        <f>IFERROR('APPENDIX 21'!J19/NEPI!J19*100,"0.0")</f>
        <v>101.50058819764978</v>
      </c>
      <c r="K19" s="201">
        <f>IFERROR('APPENDIX 21'!K19/NEPI!K19*100,"0.0")</f>
        <v>0</v>
      </c>
      <c r="L19" s="201">
        <f>IFERROR('APPENDIX 21'!L19/NEPI!L19*100,"0.0")</f>
        <v>21.760805426285852</v>
      </c>
      <c r="M19" s="201">
        <f>IFERROR('APPENDIX 21'!M19/NEPI!M19*100,"0.0")</f>
        <v>100.05991169812067</v>
      </c>
      <c r="N19" s="201">
        <f>IFERROR('APPENDIX 21'!N19/NEPI!N19*100,"0.0")</f>
        <v>93.784075851937956</v>
      </c>
      <c r="O19" s="201">
        <f>IFERROR('APPENDIX 21'!O19/NEPI!O19*100,"0.0")</f>
        <v>79.00217471871882</v>
      </c>
      <c r="P19" s="201">
        <f>IFERROR('APPENDIX 21'!P19/NEPI!P19*100,"0.0")</f>
        <v>2.4344285618096748</v>
      </c>
      <c r="Q19" s="202">
        <f>IFERROR('APPENDIX 21'!Q19/NEPI!Q19*100,"0.00")</f>
        <v>83.988763383076474</v>
      </c>
    </row>
    <row r="20" spans="2:17" ht="20" customHeight="1" x14ac:dyDescent="0.35">
      <c r="B20" s="75" t="str">
        <f>'APPENDIX 21'!B20</f>
        <v xml:space="preserve">GEMINIA INSURANCE COMPANY </v>
      </c>
      <c r="C20" s="201">
        <f>IFERROR('APPENDIX 21'!C20/NEPI!C20*100,"0.0")</f>
        <v>1.4394067212050159</v>
      </c>
      <c r="D20" s="201">
        <f>IFERROR('APPENDIX 21'!D20/NEPI!D20*100,"0.0")</f>
        <v>71.471345949302574</v>
      </c>
      <c r="E20" s="201">
        <f>IFERROR('APPENDIX 21'!E20/NEPI!E20*100,"0.0")</f>
        <v>38.465474931723712</v>
      </c>
      <c r="F20" s="201">
        <f>IFERROR('APPENDIX 21'!F20/NEPI!F20*100,"0.0")</f>
        <v>233.9865917160329</v>
      </c>
      <c r="G20" s="201">
        <f>IFERROR('APPENDIX 21'!G20/NEPI!G20*100,"0.0")</f>
        <v>163.28627370636468</v>
      </c>
      <c r="H20" s="201">
        <f>IFERROR('APPENDIX 21'!H20/NEPI!H20*100,"0.0")</f>
        <v>55.743106684338571</v>
      </c>
      <c r="I20" s="201">
        <f>IFERROR('APPENDIX 21'!I20/NEPI!I20*100,"0.0")</f>
        <v>102.73495159050816</v>
      </c>
      <c r="J20" s="201">
        <f>IFERROR('APPENDIX 21'!J20/NEPI!J20*100,"0.0")</f>
        <v>120.79122787400709</v>
      </c>
      <c r="K20" s="201" t="str">
        <f>IFERROR('APPENDIX 21'!K20/NEPI!K20*100,"0.0")</f>
        <v>0.0</v>
      </c>
      <c r="L20" s="201">
        <f>IFERROR('APPENDIX 21'!L20/NEPI!L20*100,"0.0")</f>
        <v>142.55815449539395</v>
      </c>
      <c r="M20" s="201">
        <f>IFERROR('APPENDIX 21'!M20/NEPI!M20*100,"0.0")</f>
        <v>41.639514315993722</v>
      </c>
      <c r="N20" s="201">
        <f>IFERROR('APPENDIX 21'!N20/NEPI!N20*100,"0.0")</f>
        <v>91.132347784957318</v>
      </c>
      <c r="O20" s="201" t="str">
        <f>IFERROR('APPENDIX 21'!O20/NEPI!O20*100,"0.0")</f>
        <v>0.0</v>
      </c>
      <c r="P20" s="201">
        <f>IFERROR('APPENDIX 21'!P20/NEPI!P20*100,"0.0")</f>
        <v>2.3360450699114481</v>
      </c>
      <c r="Q20" s="202">
        <f>IFERROR('APPENDIX 21'!Q20/NEPI!Q20*100,"0.00")</f>
        <v>114.16627488604776</v>
      </c>
    </row>
    <row r="21" spans="2:17" ht="20" customHeight="1" x14ac:dyDescent="0.35">
      <c r="B21" s="75" t="str">
        <f>'APPENDIX 21'!B21</f>
        <v>ICEA LION GENERAL INSURANCE</v>
      </c>
      <c r="C21" s="201">
        <f>IFERROR('APPENDIX 21'!C21/NEPI!C21*100,"0.0")</f>
        <v>51.323916554075922</v>
      </c>
      <c r="D21" s="201">
        <f>IFERROR('APPENDIX 21'!D21/NEPI!D21*100,"0.0")</f>
        <v>75.064911157307506</v>
      </c>
      <c r="E21" s="201">
        <f>IFERROR('APPENDIX 21'!E21/NEPI!E21*100,"0.0")</f>
        <v>49.684046730361061</v>
      </c>
      <c r="F21" s="201">
        <f>IFERROR('APPENDIX 21'!F21/NEPI!F21*100,"0.0")</f>
        <v>136.18589059514929</v>
      </c>
      <c r="G21" s="201">
        <f>IFERROR('APPENDIX 21'!G21/NEPI!G21*100,"0.0")</f>
        <v>263.99406412211562</v>
      </c>
      <c r="H21" s="201">
        <f>IFERROR('APPENDIX 21'!H21/NEPI!H21*100,"0.0")</f>
        <v>40.934630692156475</v>
      </c>
      <c r="I21" s="201">
        <f>IFERROR('APPENDIX 21'!I21/NEPI!I21*100,"0.0")</f>
        <v>82.982287216925727</v>
      </c>
      <c r="J21" s="201">
        <f>IFERROR('APPENDIX 21'!J21/NEPI!J21*100,"0.0")</f>
        <v>65.045196326660701</v>
      </c>
      <c r="K21" s="201" t="str">
        <f>IFERROR('APPENDIX 21'!K21/NEPI!K21*100,"0.0")</f>
        <v>0.0</v>
      </c>
      <c r="L21" s="201">
        <f>IFERROR('APPENDIX 21'!L21/NEPI!L21*100,"0.0")</f>
        <v>71.659262434862754</v>
      </c>
      <c r="M21" s="201">
        <f>IFERROR('APPENDIX 21'!M21/NEPI!M21*100,"0.0")</f>
        <v>60.488929039841842</v>
      </c>
      <c r="N21" s="201">
        <f>IFERROR('APPENDIX 21'!N21/NEPI!N21*100,"0.0")</f>
        <v>17.396408781765246</v>
      </c>
      <c r="O21" s="201">
        <f>IFERROR('APPENDIX 21'!O21/NEPI!O21*100,"0.0")</f>
        <v>112.96182695826957</v>
      </c>
      <c r="P21" s="201">
        <f>IFERROR('APPENDIX 21'!P21/NEPI!P21*100,"0.0")</f>
        <v>22.98170306610335</v>
      </c>
      <c r="Q21" s="202">
        <f>IFERROR('APPENDIX 21'!Q21/NEPI!Q21*100,"0.00")</f>
        <v>73.180795239084205</v>
      </c>
    </row>
    <row r="22" spans="2:17" ht="20" customHeight="1" x14ac:dyDescent="0.35">
      <c r="B22" s="75" t="str">
        <f>'APPENDIX 21'!B22</f>
        <v xml:space="preserve">INTRA-AFRICA ASSURANCE </v>
      </c>
      <c r="C22" s="201" t="str">
        <f>IFERROR('APPENDIX 21'!C22/NEPI!C22*100,"0.0")</f>
        <v>0.0</v>
      </c>
      <c r="D22" s="201">
        <f>IFERROR('APPENDIX 21'!D22/NEPI!D22*100,"0.0")</f>
        <v>-14.902147534636487</v>
      </c>
      <c r="E22" s="201">
        <f>IFERROR('APPENDIX 21'!E22/NEPI!E22*100,"0.0")</f>
        <v>104.99599446967206</v>
      </c>
      <c r="F22" s="201">
        <f>IFERROR('APPENDIX 21'!F22/NEPI!F22*100,"0.0")</f>
        <v>33.068405187086725</v>
      </c>
      <c r="G22" s="201">
        <f>IFERROR('APPENDIX 21'!G22/NEPI!G22*100,"0.0")</f>
        <v>-47.989855430482677</v>
      </c>
      <c r="H22" s="201">
        <f>IFERROR('APPENDIX 21'!H22/NEPI!H22*100,"0.0")</f>
        <v>-8.3491360937253631</v>
      </c>
      <c r="I22" s="201">
        <f>IFERROR('APPENDIX 21'!I22/NEPI!I22*100,"0.0")</f>
        <v>211.02379734484026</v>
      </c>
      <c r="J22" s="201">
        <f>IFERROR('APPENDIX 21'!J22/NEPI!J22*100,"0.0")</f>
        <v>32.061349068005278</v>
      </c>
      <c r="K22" s="201">
        <f>IFERROR('APPENDIX 21'!K22/NEPI!K22*100,"0.0")</f>
        <v>88.443450424871287</v>
      </c>
      <c r="L22" s="201">
        <f>IFERROR('APPENDIX 21'!L22/NEPI!L22*100,"0.0")</f>
        <v>208.48506287299108</v>
      </c>
      <c r="M22" s="201">
        <f>IFERROR('APPENDIX 21'!M22/NEPI!M22*100,"0.0")</f>
        <v>-92.585267409091401</v>
      </c>
      <c r="N22" s="201">
        <f>IFERROR('APPENDIX 21'!N22/NEPI!N22*100,"0.0")</f>
        <v>3.8019673816491468</v>
      </c>
      <c r="O22" s="201" t="str">
        <f>IFERROR('APPENDIX 21'!O22/NEPI!O22*100,"0.0")</f>
        <v>0.0</v>
      </c>
      <c r="P22" s="201">
        <f>IFERROR('APPENDIX 21'!P22/NEPI!P22*100,"0.0")</f>
        <v>-5.4771071454919671</v>
      </c>
      <c r="Q22" s="202">
        <f>IFERROR('APPENDIX 21'!Q22/NEPI!Q22*100,"0.00")</f>
        <v>74.697889562759642</v>
      </c>
    </row>
    <row r="23" spans="2:17" ht="20" customHeight="1" x14ac:dyDescent="0.35">
      <c r="B23" s="75" t="str">
        <f>'APPENDIX 21'!B23</f>
        <v>JUBILEE HEALTH INSURANCE</v>
      </c>
      <c r="C23" s="201" t="str">
        <f>IFERROR('APPENDIX 21'!C23/NEPI!C23*100,"0.0")</f>
        <v>0.0</v>
      </c>
      <c r="D23" s="201" t="str">
        <f>IFERROR('APPENDIX 21'!D23/NEPI!D23*100,"0.0")</f>
        <v>0.0</v>
      </c>
      <c r="E23" s="201" t="str">
        <f>IFERROR('APPENDIX 21'!E23/NEPI!E23*100,"0.0")</f>
        <v>0.0</v>
      </c>
      <c r="F23" s="201" t="str">
        <f>IFERROR('APPENDIX 21'!F23/NEPI!F23*100,"0.0")</f>
        <v>0.0</v>
      </c>
      <c r="G23" s="201" t="str">
        <f>IFERROR('APPENDIX 21'!G23/NEPI!G23*100,"0.0")</f>
        <v>0.0</v>
      </c>
      <c r="H23" s="201" t="str">
        <f>IFERROR('APPENDIX 21'!H23/NEPI!H23*100,"0.0")</f>
        <v>0.0</v>
      </c>
      <c r="I23" s="201" t="str">
        <f>IFERROR('APPENDIX 21'!I23/NEPI!I23*100,"0.0")</f>
        <v>0.0</v>
      </c>
      <c r="J23" s="201" t="str">
        <f>IFERROR('APPENDIX 21'!J23/NEPI!J23*100,"0.0")</f>
        <v>0.0</v>
      </c>
      <c r="K23" s="201" t="str">
        <f>IFERROR('APPENDIX 21'!K23/NEPI!K23*100,"0.0")</f>
        <v>0.0</v>
      </c>
      <c r="L23" s="201" t="str">
        <f>IFERROR('APPENDIX 21'!L23/NEPI!L23*100,"0.0")</f>
        <v>0.0</v>
      </c>
      <c r="M23" s="201" t="str">
        <f>IFERROR('APPENDIX 21'!M23/NEPI!M23*100,"0.0")</f>
        <v>0.0</v>
      </c>
      <c r="N23" s="201" t="str">
        <f>IFERROR('APPENDIX 21'!N23/NEPI!N23*100,"0.0")</f>
        <v>0.0</v>
      </c>
      <c r="O23" s="201">
        <f>IFERROR('APPENDIX 21'!O23/NEPI!O23*100,"0.0")</f>
        <v>95.359677790904968</v>
      </c>
      <c r="P23" s="201" t="str">
        <f>IFERROR('APPENDIX 21'!P23/NEPI!P23*100,"0.0")</f>
        <v>0.0</v>
      </c>
      <c r="Q23" s="202">
        <f>IFERROR('APPENDIX 21'!Q23/NEPI!Q23*100,"0.00")</f>
        <v>95.359677790904968</v>
      </c>
    </row>
    <row r="24" spans="2:17" ht="20" customHeight="1" x14ac:dyDescent="0.35">
      <c r="B24" s="75" t="str">
        <f>'APPENDIX 21'!B24</f>
        <v xml:space="preserve">KENINDIA ASSURANCE COMPANY </v>
      </c>
      <c r="C24" s="201" t="str">
        <f>IFERROR('APPENDIX 21'!C24/NEPI!C24*100,"0.0")</f>
        <v>0.0</v>
      </c>
      <c r="D24" s="201">
        <f>IFERROR('APPENDIX 21'!D24/NEPI!D24*100,"0.0")</f>
        <v>-73.47430341712554</v>
      </c>
      <c r="E24" s="201">
        <f>IFERROR('APPENDIX 21'!E24/NEPI!E24*100,"0.0")</f>
        <v>-34.556758644778206</v>
      </c>
      <c r="F24" s="201">
        <f>IFERROR('APPENDIX 21'!F24/NEPI!F24*100,"0.0")</f>
        <v>352.25312757643968</v>
      </c>
      <c r="G24" s="201">
        <f>IFERROR('APPENDIX 21'!G24/NEPI!G24*100,"0.0")</f>
        <v>-13.250240860569381</v>
      </c>
      <c r="H24" s="201">
        <f>IFERROR('APPENDIX 21'!H24/NEPI!H24*100,"0.0")</f>
        <v>-159.17065219215206</v>
      </c>
      <c r="I24" s="201">
        <f>IFERROR('APPENDIX 21'!I24/NEPI!I24*100,"0.0")</f>
        <v>77.147134075360938</v>
      </c>
      <c r="J24" s="201">
        <f>IFERROR('APPENDIX 21'!J24/NEPI!J24*100,"0.0")</f>
        <v>140.58373321705355</v>
      </c>
      <c r="K24" s="201" t="str">
        <f>IFERROR('APPENDIX 21'!K24/NEPI!K24*100,"0.0")</f>
        <v>0.0</v>
      </c>
      <c r="L24" s="201">
        <f>IFERROR('APPENDIX 21'!L24/NEPI!L24*100,"0.0")</f>
        <v>-12.298548874017671</v>
      </c>
      <c r="M24" s="201">
        <f>IFERROR('APPENDIX 21'!M24/NEPI!M24*100,"0.0")</f>
        <v>74.403110820958418</v>
      </c>
      <c r="N24" s="201">
        <f>IFERROR('APPENDIX 21'!N24/NEPI!N24*100,"0.0")</f>
        <v>17.318987003562764</v>
      </c>
      <c r="O24" s="201">
        <f>IFERROR('APPENDIX 21'!O24/NEPI!O24*100,"0.0")</f>
        <v>23.189945650683942</v>
      </c>
      <c r="P24" s="201">
        <f>IFERROR('APPENDIX 21'!P24/NEPI!P24*100,"0.0")</f>
        <v>-11.518306418582879</v>
      </c>
      <c r="Q24" s="202">
        <f>IFERROR('APPENDIX 21'!Q24/NEPI!Q24*100,"0.00")</f>
        <v>68.480136401481317</v>
      </c>
    </row>
    <row r="25" spans="2:17" ht="20" customHeight="1" x14ac:dyDescent="0.35">
      <c r="B25" s="75" t="str">
        <f>'APPENDIX 21'!B25</f>
        <v>KENYA ORIENT INSURANCE</v>
      </c>
      <c r="C25" s="201" t="str">
        <f>IFERROR('APPENDIX 21'!C25/NEPI!C25*100,"0.0")</f>
        <v>0.0</v>
      </c>
      <c r="D25" s="201">
        <f>IFERROR('APPENDIX 21'!D25/NEPI!D25*100,"0.0")</f>
        <v>-2195.4247195869389</v>
      </c>
      <c r="E25" s="201">
        <f>IFERROR('APPENDIX 21'!E25/NEPI!E25*100,"0.0")</f>
        <v>504.24766766400023</v>
      </c>
      <c r="F25" s="201">
        <f>IFERROR('APPENDIX 21'!F25/NEPI!F25*100,"0.0")</f>
        <v>120.66808934632918</v>
      </c>
      <c r="G25" s="201">
        <f>IFERROR('APPENDIX 21'!G25/NEPI!G25*100,"0.0")</f>
        <v>-123.26666329312897</v>
      </c>
      <c r="H25" s="201">
        <f>IFERROR('APPENDIX 21'!H25/NEPI!H25*100,"0.0")</f>
        <v>1261.4223985378483</v>
      </c>
      <c r="I25" s="201">
        <f>IFERROR('APPENDIX 21'!I25/NEPI!I25*100,"0.0")</f>
        <v>-113.04223378795666</v>
      </c>
      <c r="J25" s="201">
        <f>IFERROR('APPENDIX 21'!J25/NEPI!J25*100,"0.0")</f>
        <v>-213.97293505713128</v>
      </c>
      <c r="K25" s="201">
        <f>IFERROR('APPENDIX 21'!K25/NEPI!K25*100,"0.0")</f>
        <v>316.7798447113866</v>
      </c>
      <c r="L25" s="201">
        <f>IFERROR('APPENDIX 21'!L25/NEPI!L25*100,"0.0")</f>
        <v>326.71722589792978</v>
      </c>
      <c r="M25" s="201">
        <f>IFERROR('APPENDIX 21'!M25/NEPI!M25*100,"0.0")</f>
        <v>-370.64898084340984</v>
      </c>
      <c r="N25" s="201">
        <f>IFERROR('APPENDIX 21'!N25/NEPI!N25*100,"0.0")</f>
        <v>174.28111295170524</v>
      </c>
      <c r="O25" s="201" t="str">
        <f>IFERROR('APPENDIX 21'!O25/NEPI!O25*100,"0.0")</f>
        <v>0.0</v>
      </c>
      <c r="P25" s="201">
        <f>IFERROR('APPENDIX 21'!P25/NEPI!P25*100,"0.0")</f>
        <v>-617.67122472160895</v>
      </c>
      <c r="Q25" s="202">
        <f>IFERROR('APPENDIX 21'!Q25/NEPI!Q25*100,"0.00")</f>
        <v>131.9709508239259</v>
      </c>
    </row>
    <row r="26" spans="2:17" ht="20" customHeight="1" x14ac:dyDescent="0.35">
      <c r="B26" s="75" t="str">
        <f>'APPENDIX 21'!B26</f>
        <v>MADISON INSURANCE COMPANY</v>
      </c>
      <c r="C26" s="201" t="str">
        <f>IFERROR('APPENDIX 21'!C26/NEPI!C26*100,"0.0")</f>
        <v>0.0</v>
      </c>
      <c r="D26" s="201">
        <f>IFERROR('APPENDIX 21'!D26/NEPI!D26*100,"0.0")</f>
        <v>56.925494792614131</v>
      </c>
      <c r="E26" s="201">
        <f>IFERROR('APPENDIX 21'!E26/NEPI!E26*100,"0.0")</f>
        <v>41.532375414986532</v>
      </c>
      <c r="F26" s="201">
        <f>IFERROR('APPENDIX 21'!F26/NEPI!F26*100,"0.0")</f>
        <v>24.378914348195121</v>
      </c>
      <c r="G26" s="201">
        <f>IFERROR('APPENDIX 21'!G26/NEPI!G26*100,"0.0")</f>
        <v>107.65832166664553</v>
      </c>
      <c r="H26" s="201">
        <f>IFERROR('APPENDIX 21'!H26/NEPI!H26*100,"0.0")</f>
        <v>-4.1359657975790585</v>
      </c>
      <c r="I26" s="201">
        <f>IFERROR('APPENDIX 21'!I26/NEPI!I26*100,"0.0")</f>
        <v>-9.0701007464074923</v>
      </c>
      <c r="J26" s="201">
        <f>IFERROR('APPENDIX 21'!J26/NEPI!J26*100,"0.0")</f>
        <v>60.806819280733102</v>
      </c>
      <c r="K26" s="201" t="str">
        <f>IFERROR('APPENDIX 21'!K26/NEPI!K26*100,"0.0")</f>
        <v>0.0</v>
      </c>
      <c r="L26" s="201">
        <f>IFERROR('APPENDIX 21'!L26/NEPI!L26*100,"0.0")</f>
        <v>-4.6053931367888161</v>
      </c>
      <c r="M26" s="201">
        <f>IFERROR('APPENDIX 21'!M26/NEPI!M26*100,"0.0")</f>
        <v>145.91650288058483</v>
      </c>
      <c r="N26" s="201">
        <f>IFERROR('APPENDIX 21'!N26/NEPI!N26*100,"0.0")</f>
        <v>42.571971422013426</v>
      </c>
      <c r="O26" s="201">
        <f>IFERROR('APPENDIX 21'!O26/NEPI!O26*100,"0.0")</f>
        <v>105.5671644030061</v>
      </c>
      <c r="P26" s="201">
        <f>IFERROR('APPENDIX 21'!P26/NEPI!P26*100,"0.0")</f>
        <v>0.78374069799042068</v>
      </c>
      <c r="Q26" s="202">
        <f>IFERROR('APPENDIX 21'!Q26/NEPI!Q26*100,"0.00")</f>
        <v>67.36545008149487</v>
      </c>
    </row>
    <row r="27" spans="2:17" ht="20" customHeight="1" x14ac:dyDescent="0.35">
      <c r="B27" s="75" t="str">
        <f>'APPENDIX 21'!B27</f>
        <v>MAYFAIR INSURANCE COMPANY</v>
      </c>
      <c r="C27" s="201">
        <f>IFERROR('APPENDIX 21'!C27/NEPI!C27*100,"0.0")</f>
        <v>-159.23423212060464</v>
      </c>
      <c r="D27" s="201">
        <f>IFERROR('APPENDIX 21'!D27/NEPI!D27*100,"0.0")</f>
        <v>49.416127349269225</v>
      </c>
      <c r="E27" s="201">
        <f>IFERROR('APPENDIX 21'!E27/NEPI!E27*100,"0.0")</f>
        <v>79.031931991964171</v>
      </c>
      <c r="F27" s="201">
        <f>IFERROR('APPENDIX 21'!F27/NEPI!F27*100,"0.0")</f>
        <v>246.44828819569327</v>
      </c>
      <c r="G27" s="201">
        <f>IFERROR('APPENDIX 21'!G27/NEPI!G27*100,"0.0")</f>
        <v>162.24018690692398</v>
      </c>
      <c r="H27" s="201">
        <f>IFERROR('APPENDIX 21'!H27/NEPI!H27*100,"0.0")</f>
        <v>-0.84282142834620244</v>
      </c>
      <c r="I27" s="201">
        <f>IFERROR('APPENDIX 21'!I27/NEPI!I27*100,"0.0")</f>
        <v>58.524526729353376</v>
      </c>
      <c r="J27" s="201">
        <f>IFERROR('APPENDIX 21'!J27/NEPI!J27*100,"0.0")</f>
        <v>71.04821865637885</v>
      </c>
      <c r="K27" s="201">
        <f>IFERROR('APPENDIX 21'!K27/NEPI!K27*100,"0.0")</f>
        <v>0</v>
      </c>
      <c r="L27" s="201">
        <f>IFERROR('APPENDIX 21'!L27/NEPI!L27*100,"0.0")</f>
        <v>-4.1327681034524835</v>
      </c>
      <c r="M27" s="201">
        <f>IFERROR('APPENDIX 21'!M27/NEPI!M27*100,"0.0")</f>
        <v>-56.767262398212395</v>
      </c>
      <c r="N27" s="201">
        <f>IFERROR('APPENDIX 21'!N27/NEPI!N27*100,"0.0")</f>
        <v>42.666001952256963</v>
      </c>
      <c r="O27" s="201" t="str">
        <f>IFERROR('APPENDIX 21'!O27/NEPI!O27*100,"0.0")</f>
        <v>0.0</v>
      </c>
      <c r="P27" s="201">
        <f>IFERROR('APPENDIX 21'!P27/NEPI!P27*100,"0.0")</f>
        <v>-18.089169746955736</v>
      </c>
      <c r="Q27" s="202">
        <f>IFERROR('APPENDIX 21'!Q27/NEPI!Q27*100,"0.00")</f>
        <v>54.810884185998475</v>
      </c>
    </row>
    <row r="28" spans="2:17" ht="20" customHeight="1" x14ac:dyDescent="0.35">
      <c r="B28" s="75" t="str">
        <f>'APPENDIX 21'!B28</f>
        <v>MUA INSURANCE COMPANY</v>
      </c>
      <c r="C28" s="201">
        <f>IFERROR('APPENDIX 21'!C28/NEPI!C28*100,"0.0")</f>
        <v>-924.16459332396403</v>
      </c>
      <c r="D28" s="201">
        <f>IFERROR('APPENDIX 21'!D28/NEPI!D28*100,"0.0")</f>
        <v>8.5618284509600162</v>
      </c>
      <c r="E28" s="201">
        <f>IFERROR('APPENDIX 21'!E28/NEPI!E28*100,"0.0")</f>
        <v>55.378034536421964</v>
      </c>
      <c r="F28" s="201">
        <f>IFERROR('APPENDIX 21'!F28/NEPI!F28*100,"0.0")</f>
        <v>9.9362985843329987</v>
      </c>
      <c r="G28" s="201">
        <f>IFERROR('APPENDIX 21'!G28/NEPI!G28*100,"0.0")</f>
        <v>-146.47944121618258</v>
      </c>
      <c r="H28" s="201">
        <f>IFERROR('APPENDIX 21'!H28/NEPI!H28*100,"0.0")</f>
        <v>5.8372043531567321</v>
      </c>
      <c r="I28" s="201">
        <f>IFERROR('APPENDIX 21'!I28/NEPI!I28*100,"0.0")</f>
        <v>118.11409192947464</v>
      </c>
      <c r="J28" s="201">
        <f>IFERROR('APPENDIX 21'!J28/NEPI!J28*100,"0.0")</f>
        <v>195.75723585671153</v>
      </c>
      <c r="K28" s="201" t="str">
        <f>IFERROR('APPENDIX 21'!K28/NEPI!K28*100,"0.0")</f>
        <v>0.0</v>
      </c>
      <c r="L28" s="201">
        <f>IFERROR('APPENDIX 21'!L28/NEPI!L28*100,"0.0")</f>
        <v>251.88376176572453</v>
      </c>
      <c r="M28" s="201">
        <f>IFERROR('APPENDIX 21'!M28/NEPI!M28*100,"0.0")</f>
        <v>259.21941086572946</v>
      </c>
      <c r="N28" s="201">
        <f>IFERROR('APPENDIX 21'!N28/NEPI!N28*100,"0.0")</f>
        <v>36.203941955064323</v>
      </c>
      <c r="O28" s="201">
        <f>IFERROR('APPENDIX 21'!O28/NEPI!O28*100,"0.0")</f>
        <v>80.601762090081351</v>
      </c>
      <c r="P28" s="201">
        <f>IFERROR('APPENDIX 21'!P28/NEPI!P28*100,"0.0")</f>
        <v>-125.44102514527509</v>
      </c>
      <c r="Q28" s="202">
        <f>IFERROR('APPENDIX 21'!Q28/NEPI!Q28*100,"0.00")</f>
        <v>78.188092072242583</v>
      </c>
    </row>
    <row r="29" spans="2:17" ht="20" customHeight="1" x14ac:dyDescent="0.35">
      <c r="B29" s="75" t="str">
        <f>'APPENDIX 21'!B29</f>
        <v>NCBA INSURANCE COMPANY</v>
      </c>
      <c r="C29" s="201">
        <f>IFERROR('APPENDIX 21'!C29/NEPI!C29*100,"0.0")</f>
        <v>-412.24749641753863</v>
      </c>
      <c r="D29" s="201">
        <f>IFERROR('APPENDIX 21'!D29/NEPI!D29*100,"0.0")</f>
        <v>147.28632603742298</v>
      </c>
      <c r="E29" s="201">
        <f>IFERROR('APPENDIX 21'!E29/NEPI!E29*100,"0.0")</f>
        <v>19.494379875363666</v>
      </c>
      <c r="F29" s="201">
        <f>IFERROR('APPENDIX 21'!F29/NEPI!F29*100,"0.0")</f>
        <v>-31.59751869727576</v>
      </c>
      <c r="G29" s="201">
        <f>IFERROR('APPENDIX 21'!G29/NEPI!G29*100,"0.0")</f>
        <v>-58.2117245683744</v>
      </c>
      <c r="H29" s="201">
        <f>IFERROR('APPENDIX 21'!H29/NEPI!H29*100,"0.0")</f>
        <v>30.279438840625378</v>
      </c>
      <c r="I29" s="201">
        <f>IFERROR('APPENDIX 21'!I29/NEPI!I29*100,"0.0")</f>
        <v>66.950593047895666</v>
      </c>
      <c r="J29" s="201">
        <f>IFERROR('APPENDIX 21'!J29/NEPI!J29*100,"0.0")</f>
        <v>60.065921813584609</v>
      </c>
      <c r="K29" s="201" t="str">
        <f>IFERROR('APPENDIX 21'!K29/NEPI!K29*100,"0.0")</f>
        <v>0.0</v>
      </c>
      <c r="L29" s="201">
        <f>IFERROR('APPENDIX 21'!L29/NEPI!L29*100,"0.0")</f>
        <v>-9.4700573029245163</v>
      </c>
      <c r="M29" s="201">
        <f>IFERROR('APPENDIX 21'!M29/NEPI!M29*100,"0.0")</f>
        <v>74.457200120747686</v>
      </c>
      <c r="N29" s="201">
        <f>IFERROR('APPENDIX 21'!N29/NEPI!N29*100,"0.0")</f>
        <v>-106.9062385409365</v>
      </c>
      <c r="O29" s="201" t="str">
        <f>IFERROR('APPENDIX 21'!O29/NEPI!O29*100,"0.0")</f>
        <v>0.0</v>
      </c>
      <c r="P29" s="201">
        <f>IFERROR('APPENDIX 21'!P29/NEPI!P29*100,"0.0")</f>
        <v>18.875805575754722</v>
      </c>
      <c r="Q29" s="202">
        <f>IFERROR('APPENDIX 21'!Q29/NEPI!Q29*100,"0.00")</f>
        <v>34.371363531538073</v>
      </c>
    </row>
    <row r="30" spans="2:17" ht="20" customHeight="1" x14ac:dyDescent="0.35">
      <c r="B30" s="75" t="str">
        <f>'APPENDIX 21'!B30</f>
        <v xml:space="preserve">OCCIDENTAL INSURANCE COMPANY </v>
      </c>
      <c r="C30" s="201">
        <f>IFERROR('APPENDIX 21'!C30/NEPI!C30*100,"0.0")</f>
        <v>0</v>
      </c>
      <c r="D30" s="201">
        <f>IFERROR('APPENDIX 21'!D30/NEPI!D30*100,"0.0")</f>
        <v>-8.6741871052554878</v>
      </c>
      <c r="E30" s="201">
        <f>IFERROR('APPENDIX 21'!E30/NEPI!E30*100,"0.0")</f>
        <v>-1.7397196558721655</v>
      </c>
      <c r="F30" s="201">
        <f>IFERROR('APPENDIX 21'!F30/NEPI!F30*100,"0.0")</f>
        <v>-255.71072257400246</v>
      </c>
      <c r="G30" s="201">
        <f>IFERROR('APPENDIX 21'!G30/NEPI!G30*100,"0.0")</f>
        <v>-10.819495296666041</v>
      </c>
      <c r="H30" s="201">
        <f>IFERROR('APPENDIX 21'!H30/NEPI!H30*100,"0.0")</f>
        <v>-171.93182944092615</v>
      </c>
      <c r="I30" s="201">
        <f>IFERROR('APPENDIX 21'!I30/NEPI!I30*100,"0.0")</f>
        <v>9.2001646241761037</v>
      </c>
      <c r="J30" s="201">
        <f>IFERROR('APPENDIX 21'!J30/NEPI!J30*100,"0.0")</f>
        <v>574.8434489993956</v>
      </c>
      <c r="K30" s="201" t="str">
        <f>IFERROR('APPENDIX 21'!K30/NEPI!K30*100,"0.0")</f>
        <v>0.0</v>
      </c>
      <c r="L30" s="201">
        <f>IFERROR('APPENDIX 21'!L30/NEPI!L30*100,"0.0")</f>
        <v>76.145662625441545</v>
      </c>
      <c r="M30" s="201">
        <f>IFERROR('APPENDIX 21'!M30/NEPI!M30*100,"0.0")</f>
        <v>240.68227711275551</v>
      </c>
      <c r="N30" s="201">
        <f>IFERROR('APPENDIX 21'!N30/NEPI!N30*100,"0.0")</f>
        <v>-59.71290070815428</v>
      </c>
      <c r="O30" s="201" t="str">
        <f>IFERROR('APPENDIX 21'!O30/NEPI!O30*100,"0.0")</f>
        <v>0.0</v>
      </c>
      <c r="P30" s="201">
        <f>IFERROR('APPENDIX 21'!P30/NEPI!P30*100,"0.0")</f>
        <v>-59.338946956806382</v>
      </c>
      <c r="Q30" s="202">
        <f>IFERROR('APPENDIX 21'!Q30/NEPI!Q30*100,"0.00")</f>
        <v>139.19043267943789</v>
      </c>
    </row>
    <row r="31" spans="2:17" ht="20" customHeight="1" x14ac:dyDescent="0.35">
      <c r="B31" s="75" t="str">
        <f>'APPENDIX 21'!B31</f>
        <v xml:space="preserve">OLD MUTUAL GENERAL INSURANCE </v>
      </c>
      <c r="C31" s="201">
        <f>IFERROR('APPENDIX 21'!C31/NEPI!C31*100,"0.0")</f>
        <v>0.27270558614361418</v>
      </c>
      <c r="D31" s="201">
        <f>IFERROR('APPENDIX 21'!D31/NEPI!D31*100,"0.0")</f>
        <v>42.176981536965194</v>
      </c>
      <c r="E31" s="201">
        <f>IFERROR('APPENDIX 21'!E31/NEPI!E31*100,"0.0")</f>
        <v>3.5302304074188413</v>
      </c>
      <c r="F31" s="201">
        <f>IFERROR('APPENDIX 21'!F31/NEPI!F31*100,"0.0")</f>
        <v>54.620312323633669</v>
      </c>
      <c r="G31" s="201">
        <f>IFERROR('APPENDIX 21'!G31/NEPI!G31*100,"0.0")</f>
        <v>60.668819382655784</v>
      </c>
      <c r="H31" s="201">
        <f>IFERROR('APPENDIX 21'!H31/NEPI!H31*100,"0.0")</f>
        <v>71.326985766935394</v>
      </c>
      <c r="I31" s="201">
        <f>IFERROR('APPENDIX 21'!I31/NEPI!I31*100,"0.0")</f>
        <v>68.781436673935772</v>
      </c>
      <c r="J31" s="201">
        <f>IFERROR('APPENDIX 21'!J31/NEPI!J31*100,"0.0")</f>
        <v>84.788902478818912</v>
      </c>
      <c r="K31" s="201" t="str">
        <f>IFERROR('APPENDIX 21'!K31/NEPI!K31*100,"0.0")</f>
        <v>0.0</v>
      </c>
      <c r="L31" s="201">
        <f>IFERROR('APPENDIX 21'!L31/NEPI!L31*100,"0.0")</f>
        <v>18.874518035990594</v>
      </c>
      <c r="M31" s="201">
        <f>IFERROR('APPENDIX 21'!M31/NEPI!M31*100,"0.0")</f>
        <v>85.42089795784851</v>
      </c>
      <c r="N31" s="201">
        <f>IFERROR('APPENDIX 21'!N31/NEPI!N31*100,"0.0")</f>
        <v>16.806308665765986</v>
      </c>
      <c r="O31" s="201">
        <f>IFERROR('APPENDIX 21'!O31/NEPI!O31*100,"0.0")</f>
        <v>76.975613652793555</v>
      </c>
      <c r="P31" s="201">
        <f>IFERROR('APPENDIX 21'!P31/NEPI!P31*100,"0.0")</f>
        <v>43.088009918113507</v>
      </c>
      <c r="Q31" s="202">
        <f>IFERROR('APPENDIX 21'!Q31/NEPI!Q31*100,"0.00")</f>
        <v>73.290100212341741</v>
      </c>
    </row>
    <row r="32" spans="2:17" ht="20" customHeight="1" x14ac:dyDescent="0.35">
      <c r="B32" s="75" t="str">
        <f>'APPENDIX 21'!B32</f>
        <v>PACIS INSURANCE COMPANY</v>
      </c>
      <c r="C32" s="201" t="str">
        <f>IFERROR('APPENDIX 21'!C32/NEPI!C32*100,"0.0")</f>
        <v>0.0</v>
      </c>
      <c r="D32" s="201">
        <f>IFERROR('APPENDIX 21'!D32/NEPI!D32*100,"0.0")</f>
        <v>96.50471410805207</v>
      </c>
      <c r="E32" s="201">
        <f>IFERROR('APPENDIX 21'!E32/NEPI!E32*100,"0.0")</f>
        <v>-39.970847808879171</v>
      </c>
      <c r="F32" s="201">
        <f>IFERROR('APPENDIX 21'!F32/NEPI!F32*100,"0.0")</f>
        <v>-196.36422997147761</v>
      </c>
      <c r="G32" s="201">
        <f>IFERROR('APPENDIX 21'!G32/NEPI!G32*100,"0.0")</f>
        <v>20.191909538601593</v>
      </c>
      <c r="H32" s="201">
        <f>IFERROR('APPENDIX 21'!H32/NEPI!H32*100,"0.0")</f>
        <v>87.515712961156552</v>
      </c>
      <c r="I32" s="201">
        <f>IFERROR('APPENDIX 21'!I32/NEPI!I32*100,"0.0")</f>
        <v>83.094299896249069</v>
      </c>
      <c r="J32" s="201">
        <f>IFERROR('APPENDIX 21'!J32/NEPI!J32*100,"0.0")</f>
        <v>67.361685160735689</v>
      </c>
      <c r="K32" s="201">
        <f>IFERROR('APPENDIX 21'!K32/NEPI!K32*100,"0.0")</f>
        <v>0</v>
      </c>
      <c r="L32" s="201">
        <f>IFERROR('APPENDIX 21'!L32/NEPI!L32*100,"0.0")</f>
        <v>16.345623525163504</v>
      </c>
      <c r="M32" s="201">
        <f>IFERROR('APPENDIX 21'!M32/NEPI!M32*100,"0.0")</f>
        <v>74.497141898717729</v>
      </c>
      <c r="N32" s="201">
        <f>IFERROR('APPENDIX 21'!N32/NEPI!N32*100,"0.0")</f>
        <v>33.005343678522415</v>
      </c>
      <c r="O32" s="201">
        <f>IFERROR('APPENDIX 21'!O32/NEPI!O32*100,"0.0")</f>
        <v>68.256452511912954</v>
      </c>
      <c r="P32" s="201">
        <f>IFERROR('APPENDIX 21'!P32/NEPI!P32*100,"0.0")</f>
        <v>6.7702759142760183</v>
      </c>
      <c r="Q32" s="202">
        <f>IFERROR('APPENDIX 21'!Q32/NEPI!Q32*100,"0.00")</f>
        <v>58.09382199973038</v>
      </c>
    </row>
    <row r="33" spans="2:17" ht="20" customHeight="1" x14ac:dyDescent="0.35">
      <c r="B33" s="75" t="str">
        <f>'APPENDIX 21'!B33</f>
        <v>PIONEER INSURANCE COMPANY</v>
      </c>
      <c r="C33" s="201">
        <f>IFERROR('APPENDIX 21'!C33/NEPI!C33*100,"0.0")</f>
        <v>0</v>
      </c>
      <c r="D33" s="201">
        <f>IFERROR('APPENDIX 21'!D33/NEPI!D33*100,"0.0")</f>
        <v>56.29963457432239</v>
      </c>
      <c r="E33" s="201">
        <f>IFERROR('APPENDIX 21'!E33/NEPI!E33*100,"0.0")</f>
        <v>32.94992436869007</v>
      </c>
      <c r="F33" s="201">
        <f>IFERROR('APPENDIX 21'!F33/NEPI!F33*100,"0.0")</f>
        <v>234.44969780762901</v>
      </c>
      <c r="G33" s="201">
        <f>IFERROR('APPENDIX 21'!G33/NEPI!G33*100,"0.0")</f>
        <v>289.32780683889115</v>
      </c>
      <c r="H33" s="201">
        <f>IFERROR('APPENDIX 21'!H33/NEPI!H33*100,"0.0")</f>
        <v>34.109506930998982</v>
      </c>
      <c r="I33" s="201">
        <f>IFERROR('APPENDIX 21'!I33/NEPI!I33*100,"0.0")</f>
        <v>67.557020426705918</v>
      </c>
      <c r="J33" s="201">
        <f>IFERROR('APPENDIX 21'!J33/NEPI!J33*100,"0.0")</f>
        <v>94.266794394220398</v>
      </c>
      <c r="K33" s="201" t="str">
        <f>IFERROR('APPENDIX 21'!K33/NEPI!K33*100,"0.0")</f>
        <v>0.0</v>
      </c>
      <c r="L33" s="201">
        <f>IFERROR('APPENDIX 21'!L33/NEPI!L33*100,"0.0")</f>
        <v>351.28037851465058</v>
      </c>
      <c r="M33" s="201">
        <f>IFERROR('APPENDIX 21'!M33/NEPI!M33*100,"0.0")</f>
        <v>63.898278825834367</v>
      </c>
      <c r="N33" s="201">
        <f>IFERROR('APPENDIX 21'!N33/NEPI!N33*100,"0.0")</f>
        <v>31.355640280620261</v>
      </c>
      <c r="O33" s="201" t="str">
        <f>IFERROR('APPENDIX 21'!O33/NEPI!O33*100,"0.0")</f>
        <v>0.0</v>
      </c>
      <c r="P33" s="201">
        <f>IFERROR('APPENDIX 21'!P33/NEPI!P33*100,"0.0")</f>
        <v>5.2697352823944419</v>
      </c>
      <c r="Q33" s="202">
        <f>IFERROR('APPENDIX 21'!Q33/NEPI!Q33*100,"0.00")</f>
        <v>81.788868623463259</v>
      </c>
    </row>
    <row r="34" spans="2:17" ht="20" customHeight="1" x14ac:dyDescent="0.35">
      <c r="B34" s="75" t="str">
        <f>'APPENDIX 21'!B34</f>
        <v>SANLAM ALLIANZ GENERAL INSURANCE</v>
      </c>
      <c r="C34" s="201" t="str">
        <f>IFERROR('APPENDIX 21'!C34/NEPI!C34*100,"0.0")</f>
        <v>0.0</v>
      </c>
      <c r="D34" s="201">
        <f>IFERROR('APPENDIX 21'!D34/NEPI!D34*100,"0.0")</f>
        <v>-55.513491067277279</v>
      </c>
      <c r="E34" s="201">
        <f>IFERROR('APPENDIX 21'!E34/NEPI!E34*100,"0.0")</f>
        <v>24.278799588922411</v>
      </c>
      <c r="F34" s="201">
        <f>IFERROR('APPENDIX 21'!F34/NEPI!F34*100,"0.0")</f>
        <v>23.561535583981829</v>
      </c>
      <c r="G34" s="201">
        <f>IFERROR('APPENDIX 21'!G34/NEPI!G34*100,"0.0")</f>
        <v>-976.14812148594365</v>
      </c>
      <c r="H34" s="201">
        <f>IFERROR('APPENDIX 21'!H34/NEPI!H34*100,"0.0")</f>
        <v>-30.807263229036717</v>
      </c>
      <c r="I34" s="201">
        <f>IFERROR('APPENDIX 21'!I34/NEPI!I34*100,"0.0")</f>
        <v>120.0115951893721</v>
      </c>
      <c r="J34" s="201">
        <f>IFERROR('APPENDIX 21'!J34/NEPI!J34*100,"0.0")</f>
        <v>26.75381461189918</v>
      </c>
      <c r="K34" s="201" t="str">
        <f>IFERROR('APPENDIX 21'!K34/NEPI!K34*100,"0.0")</f>
        <v>0.0</v>
      </c>
      <c r="L34" s="201">
        <f>IFERROR('APPENDIX 21'!L34/NEPI!L34*100,"0.0")</f>
        <v>1145.4099562746317</v>
      </c>
      <c r="M34" s="201">
        <f>IFERROR('APPENDIX 21'!M34/NEPI!M34*100,"0.0")</f>
        <v>-4.911784329928734</v>
      </c>
      <c r="N34" s="201">
        <f>IFERROR('APPENDIX 21'!N34/NEPI!N34*100,"0.0")</f>
        <v>-8.7961497762424052</v>
      </c>
      <c r="O34" s="201" t="str">
        <f>IFERROR('APPENDIX 21'!O34/NEPI!O34*100,"0.0")</f>
        <v>0.0</v>
      </c>
      <c r="P34" s="201">
        <f>IFERROR('APPENDIX 21'!P34/NEPI!P34*100,"0.0")</f>
        <v>-3552.0960802367263</v>
      </c>
      <c r="Q34" s="202">
        <f>IFERROR('APPENDIX 21'!Q34/NEPI!Q34*100,"0.00")</f>
        <v>76.290274621814859</v>
      </c>
    </row>
    <row r="35" spans="2:17" ht="20" customHeight="1" x14ac:dyDescent="0.35">
      <c r="B35" s="75" t="str">
        <f>'APPENDIX 21'!B35</f>
        <v>STAR DISCOVER INSURANCE</v>
      </c>
      <c r="C35" s="201">
        <f>IFERROR('APPENDIX 21'!C35/NEPI!C35*100,"0.0")</f>
        <v>0</v>
      </c>
      <c r="D35" s="201">
        <f>IFERROR('APPENDIX 21'!D35/NEPI!D35*100,"0.0")</f>
        <v>-0.77135260253183158</v>
      </c>
      <c r="E35" s="201">
        <f>IFERROR('APPENDIX 21'!E35/NEPI!E35*100,"0.0")</f>
        <v>0</v>
      </c>
      <c r="F35" s="201">
        <f>IFERROR('APPENDIX 21'!F35/NEPI!F35*100,"0.0")</f>
        <v>-10.872832086173455</v>
      </c>
      <c r="G35" s="201">
        <f>IFERROR('APPENDIX 21'!G35/NEPI!G35*100,"0.0")</f>
        <v>0</v>
      </c>
      <c r="H35" s="201">
        <f>IFERROR('APPENDIX 21'!H35/NEPI!H35*100,"0.0")</f>
        <v>0</v>
      </c>
      <c r="I35" s="201">
        <f>IFERROR('APPENDIX 21'!I35/NEPI!I35*100,"0.0")</f>
        <v>166.007316208426</v>
      </c>
      <c r="J35" s="201">
        <f>IFERROR('APPENDIX 21'!J35/NEPI!J35*100,"0.0")</f>
        <v>56.989485905065443</v>
      </c>
      <c r="K35" s="201" t="str">
        <f>IFERROR('APPENDIX 21'!K35/NEPI!K35*100,"0.0")</f>
        <v>0.0</v>
      </c>
      <c r="L35" s="201">
        <f>IFERROR('APPENDIX 21'!L35/NEPI!L35*100,"0.0")</f>
        <v>0</v>
      </c>
      <c r="M35" s="201">
        <f>IFERROR('APPENDIX 21'!M35/NEPI!M35*100,"0.0")</f>
        <v>14.731627119733638</v>
      </c>
      <c r="N35" s="201">
        <f>IFERROR('APPENDIX 21'!N35/NEPI!N35*100,"0.0")</f>
        <v>18.641246924199244</v>
      </c>
      <c r="O35" s="201">
        <f>IFERROR('APPENDIX 21'!O35/NEPI!O35*100,"0.0")</f>
        <v>44.705010567721217</v>
      </c>
      <c r="P35" s="201">
        <f>IFERROR('APPENDIX 21'!P35/NEPI!P35*100,"0.0")</f>
        <v>0</v>
      </c>
      <c r="Q35" s="202">
        <f>IFERROR('APPENDIX 21'!Q35/NEPI!Q35*100,"0.00")</f>
        <v>41.334769279511214</v>
      </c>
    </row>
    <row r="36" spans="2:17" ht="20" customHeight="1" x14ac:dyDescent="0.35">
      <c r="B36" s="75" t="str">
        <f>'APPENDIX 21'!B36</f>
        <v>TAKAFUL INSURANCE OF AFRICA</v>
      </c>
      <c r="C36" s="201" t="str">
        <f>IFERROR('APPENDIX 21'!C36/NEPI!C36*100,"0.0")</f>
        <v>0.0</v>
      </c>
      <c r="D36" s="201">
        <f>IFERROR('APPENDIX 21'!D36/NEPI!D36*100,"0.0")</f>
        <v>8.9758936638242393</v>
      </c>
      <c r="E36" s="201">
        <f>IFERROR('APPENDIX 21'!E36/NEPI!E36*100,"0.0")</f>
        <v>27.809209271275805</v>
      </c>
      <c r="F36" s="201">
        <f>IFERROR('APPENDIX 21'!F36/NEPI!F36*100,"0.0")</f>
        <v>22.649327630943546</v>
      </c>
      <c r="G36" s="201">
        <f>IFERROR('APPENDIX 21'!G36/NEPI!G36*100,"0.0")</f>
        <v>-39.690344510736494</v>
      </c>
      <c r="H36" s="201">
        <f>IFERROR('APPENDIX 21'!H36/NEPI!H36*100,"0.0")</f>
        <v>30.153396686768964</v>
      </c>
      <c r="I36" s="201">
        <f>IFERROR('APPENDIX 21'!I36/NEPI!I36*100,"0.0")</f>
        <v>168.41699058291539</v>
      </c>
      <c r="J36" s="201">
        <f>IFERROR('APPENDIX 21'!J36/NEPI!J36*100,"0.0")</f>
        <v>-9.8817569614519094</v>
      </c>
      <c r="K36" s="201" t="str">
        <f>IFERROR('APPENDIX 21'!K36/NEPI!K36*100,"0.0")</f>
        <v>0.0</v>
      </c>
      <c r="L36" s="201">
        <f>IFERROR('APPENDIX 21'!L36/NEPI!L36*100,"0.0")</f>
        <v>-16.078360062366759</v>
      </c>
      <c r="M36" s="201">
        <f>IFERROR('APPENDIX 21'!M36/NEPI!M36*100,"0.0")</f>
        <v>-0.27485594473115832</v>
      </c>
      <c r="N36" s="201">
        <f>IFERROR('APPENDIX 21'!N36/NEPI!N36*100,"0.0")</f>
        <v>32.680236416892086</v>
      </c>
      <c r="O36" s="201">
        <f>IFERROR('APPENDIX 21'!O36/NEPI!O36*100,"0.0")</f>
        <v>13.397517247764215</v>
      </c>
      <c r="P36" s="201">
        <f>IFERROR('APPENDIX 21'!P36/NEPI!P36*100,"0.0")</f>
        <v>128.15784947158241</v>
      </c>
      <c r="Q36" s="202">
        <f>IFERROR('APPENDIX 21'!Q36/NEPI!Q36*100,"0.00")</f>
        <v>38.055665941575882</v>
      </c>
    </row>
    <row r="37" spans="2:17" ht="20" customHeight="1" x14ac:dyDescent="0.35">
      <c r="B37" s="75" t="str">
        <f>'APPENDIX 21'!B37</f>
        <v>TAUSI ASSURANCE COMPANY</v>
      </c>
      <c r="C37" s="201" t="str">
        <f>IFERROR('APPENDIX 21'!C37/NEPI!C37*100,"0.0")</f>
        <v>0.0</v>
      </c>
      <c r="D37" s="201">
        <f>IFERROR('APPENDIX 21'!D37/NEPI!D37*100,"0.0")</f>
        <v>97.324297002091015</v>
      </c>
      <c r="E37" s="201">
        <f>IFERROR('APPENDIX 21'!E37/NEPI!E37*100,"0.0")</f>
        <v>72.187451089380502</v>
      </c>
      <c r="F37" s="201">
        <f>IFERROR('APPENDIX 21'!F37/NEPI!F37*100,"0.0")</f>
        <v>354.8874640686148</v>
      </c>
      <c r="G37" s="201">
        <f>IFERROR('APPENDIX 21'!G37/NEPI!G37*100,"0.0")</f>
        <v>30.4762852496041</v>
      </c>
      <c r="H37" s="201">
        <f>IFERROR('APPENDIX 21'!H37/NEPI!H37*100,"0.0")</f>
        <v>11.62238654425904</v>
      </c>
      <c r="I37" s="201">
        <f>IFERROR('APPENDIX 21'!I37/NEPI!I37*100,"0.0")</f>
        <v>71.123580926714197</v>
      </c>
      <c r="J37" s="201">
        <f>IFERROR('APPENDIX 21'!J37/NEPI!J37*100,"0.0")</f>
        <v>98.390844659718041</v>
      </c>
      <c r="K37" s="201" t="str">
        <f>IFERROR('APPENDIX 21'!K37/NEPI!K37*100,"0.0")</f>
        <v>0.0</v>
      </c>
      <c r="L37" s="201">
        <f>IFERROR('APPENDIX 21'!L37/NEPI!L37*100,"0.0")</f>
        <v>9.2311691825053899</v>
      </c>
      <c r="M37" s="201">
        <f>IFERROR('APPENDIX 21'!M37/NEPI!M37*100,"0.0")</f>
        <v>72.971367327982776</v>
      </c>
      <c r="N37" s="201">
        <f>IFERROR('APPENDIX 21'!N37/NEPI!N37*100,"0.0")</f>
        <v>8.1024332984674174</v>
      </c>
      <c r="O37" s="201">
        <f>IFERROR('APPENDIX 21'!O37/NEPI!O37*100,"0.0")</f>
        <v>28.967523187447693</v>
      </c>
      <c r="P37" s="201">
        <f>IFERROR('APPENDIX 21'!P37/NEPI!P37*100,"0.0")</f>
        <v>-0.14861798484156033</v>
      </c>
      <c r="Q37" s="202">
        <f>IFERROR('APPENDIX 21'!Q37/NEPI!Q37*100,"0.00")</f>
        <v>76.659616874915926</v>
      </c>
    </row>
    <row r="38" spans="2:17" ht="20" customHeight="1" x14ac:dyDescent="0.35">
      <c r="B38" s="75" t="str">
        <f>'APPENDIX 21'!B38</f>
        <v>THE HERITAGE INSURANCE COMPANY</v>
      </c>
      <c r="C38" s="201">
        <f>IFERROR('APPENDIX 21'!C38/NEPI!C38*100,"0.0")</f>
        <v>8.6090937854331511</v>
      </c>
      <c r="D38" s="201">
        <f>IFERROR('APPENDIX 21'!D38/NEPI!D38*100,"0.0")</f>
        <v>110.83294046950223</v>
      </c>
      <c r="E38" s="201">
        <f>IFERROR('APPENDIX 21'!E38/NEPI!E38*100,"0.0")</f>
        <v>63.090788704262501</v>
      </c>
      <c r="F38" s="201">
        <f>IFERROR('APPENDIX 21'!F38/NEPI!F38*100,"0.0")</f>
        <v>81.891271450910239</v>
      </c>
      <c r="G38" s="201">
        <f>IFERROR('APPENDIX 21'!G38/NEPI!G38*100,"0.0")</f>
        <v>65.223564312690868</v>
      </c>
      <c r="H38" s="201">
        <f>IFERROR('APPENDIX 21'!H38/NEPI!H38*100,"0.0")</f>
        <v>19.402883921492982</v>
      </c>
      <c r="I38" s="201">
        <f>IFERROR('APPENDIX 21'!I38/NEPI!I38*100,"0.0")</f>
        <v>54.253693984139964</v>
      </c>
      <c r="J38" s="201">
        <f>IFERROR('APPENDIX 21'!J38/NEPI!J38*100,"0.0")</f>
        <v>101.74454007766901</v>
      </c>
      <c r="K38" s="201">
        <f>IFERROR('APPENDIX 21'!K38/NEPI!K38*100,"0.0")</f>
        <v>133.41390507947682</v>
      </c>
      <c r="L38" s="201">
        <f>IFERROR('APPENDIX 21'!L38/NEPI!L38*100,"0.0")</f>
        <v>66.708359158492669</v>
      </c>
      <c r="M38" s="201">
        <f>IFERROR('APPENDIX 21'!M38/NEPI!M38*100,"0.0")</f>
        <v>62.491442482125926</v>
      </c>
      <c r="N38" s="201">
        <f>IFERROR('APPENDIX 21'!N38/NEPI!N38*100,"0.0")</f>
        <v>24.782940245882742</v>
      </c>
      <c r="O38" s="201">
        <f>IFERROR('APPENDIX 21'!O38/NEPI!O38*100,"0.0")</f>
        <v>65.975359287065885</v>
      </c>
      <c r="P38" s="201">
        <f>IFERROR('APPENDIX 21'!P38/NEPI!P38*100,"0.0")</f>
        <v>13.339363678931216</v>
      </c>
      <c r="Q38" s="202">
        <f>IFERROR('APPENDIX 21'!Q38/NEPI!Q38*100,"0.00")</f>
        <v>64.091284935525024</v>
      </c>
    </row>
    <row r="39" spans="2:17" ht="20" customHeight="1" x14ac:dyDescent="0.35">
      <c r="B39" s="75" t="str">
        <f>'APPENDIX 21'!B39</f>
        <v xml:space="preserve">THE KENYAN ALLIANCE INSURANCE </v>
      </c>
      <c r="C39" s="201" t="str">
        <f>IFERROR('APPENDIX 21'!C39/NEPI!C39*100,"0.0")</f>
        <v>0.0</v>
      </c>
      <c r="D39" s="201" t="str">
        <f>IFERROR('APPENDIX 21'!D39/NEPI!D39*100,"0.0")</f>
        <v>0.0</v>
      </c>
      <c r="E39" s="201" t="str">
        <f>IFERROR('APPENDIX 21'!E39/NEPI!E39*100,"0.0")</f>
        <v>0.0</v>
      </c>
      <c r="F39" s="201" t="str">
        <f>IFERROR('APPENDIX 21'!F39/NEPI!F39*100,"0.0")</f>
        <v>0.0</v>
      </c>
      <c r="G39" s="201" t="str">
        <f>IFERROR('APPENDIX 21'!G39/NEPI!G39*100,"0.0")</f>
        <v>0.0</v>
      </c>
      <c r="H39" s="201" t="str">
        <f>IFERROR('APPENDIX 21'!H39/NEPI!H39*100,"0.0")</f>
        <v>0.0</v>
      </c>
      <c r="I39" s="201" t="str">
        <f>IFERROR('APPENDIX 21'!I39/NEPI!I39*100,"0.0")</f>
        <v>0.0</v>
      </c>
      <c r="J39" s="201" t="str">
        <f>IFERROR('APPENDIX 21'!J39/NEPI!J39*100,"0.0")</f>
        <v>0.0</v>
      </c>
      <c r="K39" s="201" t="str">
        <f>IFERROR('APPENDIX 21'!K39/NEPI!K39*100,"0.0")</f>
        <v>0.0</v>
      </c>
      <c r="L39" s="201" t="str">
        <f>IFERROR('APPENDIX 21'!L39/NEPI!L39*100,"0.0")</f>
        <v>0.0</v>
      </c>
      <c r="M39" s="201" t="str">
        <f>IFERROR('APPENDIX 21'!M39/NEPI!M39*100,"0.0")</f>
        <v>0.0</v>
      </c>
      <c r="N39" s="201" t="str">
        <f>IFERROR('APPENDIX 21'!N39/NEPI!N39*100,"0.0")</f>
        <v>0.0</v>
      </c>
      <c r="O39" s="201" t="str">
        <f>IFERROR('APPENDIX 21'!O39/NEPI!O39*100,"0.0")</f>
        <v>0.0</v>
      </c>
      <c r="P39" s="201" t="str">
        <f>IFERROR('APPENDIX 21'!P39/NEPI!P39*100,"0.0")</f>
        <v>0.0</v>
      </c>
      <c r="Q39" s="202" t="str">
        <f>IFERROR('APPENDIX 21'!Q39/NEPI!Q39*100,"0.00")</f>
        <v>0.00</v>
      </c>
    </row>
    <row r="40" spans="2:17" ht="20" customHeight="1" x14ac:dyDescent="0.35">
      <c r="B40" s="75" t="str">
        <f>'APPENDIX 21'!B40</f>
        <v xml:space="preserve">THE MONARCH INSURANCE </v>
      </c>
      <c r="C40" s="201" t="str">
        <f>IFERROR('APPENDIX 21'!C40/NEPI!C40*100,"0.0")</f>
        <v>0.0</v>
      </c>
      <c r="D40" s="201" t="str">
        <f>IFERROR('APPENDIX 21'!D40/NEPI!D40*100,"0.0")</f>
        <v>0.0</v>
      </c>
      <c r="E40" s="201" t="str">
        <f>IFERROR('APPENDIX 21'!E40/NEPI!E40*100,"0.0")</f>
        <v>0.0</v>
      </c>
      <c r="F40" s="201" t="str">
        <f>IFERROR('APPENDIX 21'!F40/NEPI!F40*100,"0.0")</f>
        <v>0.0</v>
      </c>
      <c r="G40" s="201" t="str">
        <f>IFERROR('APPENDIX 21'!G40/NEPI!G40*100,"0.0")</f>
        <v>0.0</v>
      </c>
      <c r="H40" s="201" t="str">
        <f>IFERROR('APPENDIX 21'!H40/NEPI!H40*100,"0.0")</f>
        <v>0.0</v>
      </c>
      <c r="I40" s="201" t="str">
        <f>IFERROR('APPENDIX 21'!I40/NEPI!I40*100,"0.0")</f>
        <v>0.0</v>
      </c>
      <c r="J40" s="201" t="str">
        <f>IFERROR('APPENDIX 21'!J40/NEPI!J40*100,"0.0")</f>
        <v>0.0</v>
      </c>
      <c r="K40" s="201" t="str">
        <f>IFERROR('APPENDIX 21'!K40/NEPI!K40*100,"0.0")</f>
        <v>0.0</v>
      </c>
      <c r="L40" s="201" t="str">
        <f>IFERROR('APPENDIX 21'!L40/NEPI!L40*100,"0.0")</f>
        <v>0.0</v>
      </c>
      <c r="M40" s="201" t="str">
        <f>IFERROR('APPENDIX 21'!M40/NEPI!M40*100,"0.0")</f>
        <v>0.0</v>
      </c>
      <c r="N40" s="201" t="str">
        <f>IFERROR('APPENDIX 21'!N40/NEPI!N40*100,"0.0")</f>
        <v>0.0</v>
      </c>
      <c r="O40" s="201" t="str">
        <f>IFERROR('APPENDIX 21'!O40/NEPI!O40*100,"0.0")</f>
        <v>0.0</v>
      </c>
      <c r="P40" s="201" t="str">
        <f>IFERROR('APPENDIX 21'!P40/NEPI!P40*100,"0.0")</f>
        <v>0.0</v>
      </c>
      <c r="Q40" s="202" t="str">
        <f>IFERROR('APPENDIX 21'!Q40/NEPI!Q40*100,"0.00")</f>
        <v>0.00</v>
      </c>
    </row>
    <row r="41" spans="2:17" ht="20" customHeight="1" x14ac:dyDescent="0.35">
      <c r="B41" s="71" t="s">
        <v>7</v>
      </c>
      <c r="C41" s="203">
        <f>IFERROR('APPENDIX 21'!C41/NEPI!C41*100,"0.0")</f>
        <v>-5.5223483226456533</v>
      </c>
      <c r="D41" s="203">
        <f>IFERROR('APPENDIX 21'!D41/NEPI!D41*100,"0.0")</f>
        <v>71.44043516402229</v>
      </c>
      <c r="E41" s="203">
        <f>IFERROR('APPENDIX 21'!E41/NEPI!E41*100,"0.0")</f>
        <v>37.015531923053807</v>
      </c>
      <c r="F41" s="203">
        <f>IFERROR('APPENDIX 21'!F41/NEPI!F41*100,"0.0")</f>
        <v>93.910327732118375</v>
      </c>
      <c r="G41" s="203">
        <f>IFERROR('APPENDIX 21'!G41/NEPI!G41*100,"0.0")</f>
        <v>41.467310640916864</v>
      </c>
      <c r="H41" s="203">
        <f>IFERROR('APPENDIX 21'!H41/NEPI!H41*100,"0.0")</f>
        <v>4.5868356538393478</v>
      </c>
      <c r="I41" s="203">
        <f>IFERROR('APPENDIX 21'!I41/NEPI!I41*100,"0.0")</f>
        <v>81.029022195194727</v>
      </c>
      <c r="J41" s="203">
        <f>IFERROR('APPENDIX 21'!J41/NEPI!J41*100,"0.0")</f>
        <v>73.060686876567715</v>
      </c>
      <c r="K41" s="203">
        <f>IFERROR('APPENDIX 21'!K41/NEPI!K41*100,"0.0")</f>
        <v>97.536201150312522</v>
      </c>
      <c r="L41" s="203">
        <f>IFERROR('APPENDIX 21'!L41/NEPI!L41*100,"0.0")</f>
        <v>63.780888141978174</v>
      </c>
      <c r="M41" s="203">
        <f>IFERROR('APPENDIX 21'!M41/NEPI!M41*100,"0.0")</f>
        <v>27.432900690587992</v>
      </c>
      <c r="N41" s="203">
        <f>IFERROR('APPENDIX 21'!N41/NEPI!N41*100,"0.0")</f>
        <v>53.134123138027192</v>
      </c>
      <c r="O41" s="203">
        <f>IFERROR('APPENDIX 21'!O41/NEPI!O41*100,"0.0")</f>
        <v>76.186201265227226</v>
      </c>
      <c r="P41" s="203">
        <f>IFERROR('APPENDIX 21'!P41/NEPI!P41*100,"0.0")</f>
        <v>1006.2262822424683</v>
      </c>
      <c r="Q41" s="203">
        <f>IFERROR('APPENDIX 21'!Q41/NEPI!Q41*100,"0.0")</f>
        <v>74.182631604379225</v>
      </c>
    </row>
    <row r="42" spans="2:17" ht="20" customHeight="1" x14ac:dyDescent="0.35">
      <c r="B42" s="368" t="str">
        <f>'APPENDIX 21'!B42</f>
        <v>REINSURERS</v>
      </c>
      <c r="C42" s="301"/>
      <c r="D42" s="301"/>
      <c r="E42" s="301"/>
      <c r="F42" s="301"/>
      <c r="G42" s="301"/>
      <c r="H42" s="301"/>
      <c r="I42" s="301"/>
      <c r="J42" s="301"/>
      <c r="K42" s="301"/>
      <c r="L42" s="301"/>
      <c r="M42" s="301"/>
      <c r="N42" s="301"/>
      <c r="O42" s="301"/>
      <c r="P42" s="301"/>
      <c r="Q42" s="302"/>
    </row>
    <row r="43" spans="2:17" ht="20" customHeight="1" x14ac:dyDescent="0.35">
      <c r="B43" s="75" t="str">
        <f>'APPENDIX 21'!B43</f>
        <v>CONTINENTAL REINSURANCE</v>
      </c>
      <c r="C43" s="201">
        <f>IFERROR('APPENDIX 21'!C43/NEPI!C43*100,"0.0")</f>
        <v>-214.36287470327801</v>
      </c>
      <c r="D43" s="201">
        <f>IFERROR('APPENDIX 21'!D43/NEPI!D43*100,"0.0")</f>
        <v>146.03489756623566</v>
      </c>
      <c r="E43" s="201">
        <f>IFERROR('APPENDIX 21'!E43/NEPI!E43*100,"0.0")</f>
        <v>92.899956325159394</v>
      </c>
      <c r="F43" s="201">
        <f>IFERROR('APPENDIX 21'!F43/NEPI!F43*100,"0.0")</f>
        <v>92.899956584627603</v>
      </c>
      <c r="G43" s="201">
        <f>IFERROR('APPENDIX 21'!G43/NEPI!G43*100,"0.0")</f>
        <v>-5.8901527294638951</v>
      </c>
      <c r="H43" s="201">
        <f>IFERROR('APPENDIX 21'!H43/NEPI!H43*100,"0.0")</f>
        <v>-214.36287320925155</v>
      </c>
      <c r="I43" s="201">
        <f>IFERROR('APPENDIX 21'!I43/NEPI!I43*100,"0.0")</f>
        <v>-5.8901511571680913</v>
      </c>
      <c r="J43" s="201">
        <f>IFERROR('APPENDIX 21'!J43/NEPI!J43*100,"0.0")</f>
        <v>-5.89015268087193</v>
      </c>
      <c r="K43" s="201" t="str">
        <f>IFERROR('APPENDIX 21'!K43/NEPI!K43*100,"0.0")</f>
        <v>0.0</v>
      </c>
      <c r="L43" s="201">
        <f>IFERROR('APPENDIX 21'!L43/NEPI!L43*100,"0.0")</f>
        <v>-3.5831539435204167</v>
      </c>
      <c r="M43" s="201">
        <f>IFERROR('APPENDIX 21'!M43/NEPI!M43*100,"0.0")</f>
        <v>-3.583143470050286</v>
      </c>
      <c r="N43" s="201">
        <f>IFERROR('APPENDIX 21'!N43/NEPI!N43*100,"0.0")</f>
        <v>-3.5831654139844127</v>
      </c>
      <c r="O43" s="201">
        <f>IFERROR('APPENDIX 21'!O43/NEPI!O43*100,"0.0")</f>
        <v>-82.207098847740298</v>
      </c>
      <c r="P43" s="201">
        <f>IFERROR('APPENDIX 21'!P43/NEPI!P43*100,"0.0")</f>
        <v>-32.841616743737056</v>
      </c>
      <c r="Q43" s="202">
        <f>IFERROR('APPENDIX 21'!Q43/NEPI!Q43*100,"0.00")</f>
        <v>28.582513896979165</v>
      </c>
    </row>
    <row r="44" spans="2:17" ht="20" customHeight="1" x14ac:dyDescent="0.35">
      <c r="B44" s="75" t="str">
        <f>'APPENDIX 21'!B44</f>
        <v xml:space="preserve">EAST AFRICA REINSURANCE </v>
      </c>
      <c r="C44" s="201">
        <f>IFERROR('APPENDIX 21'!C44/NEPI!C44*100,"0.0")</f>
        <v>1.7024560858941864</v>
      </c>
      <c r="D44" s="201">
        <f>IFERROR('APPENDIX 21'!D44/NEPI!D44*100,"0.0")</f>
        <v>369.285763822604</v>
      </c>
      <c r="E44" s="201" t="str">
        <f>IFERROR('APPENDIX 21'!E44/NEPI!E44*100,"0.0")</f>
        <v>0.0</v>
      </c>
      <c r="F44" s="201">
        <f>IFERROR('APPENDIX 21'!F44/NEPI!F44*100,"0.0")</f>
        <v>65.497676340864885</v>
      </c>
      <c r="G44" s="201">
        <f>IFERROR('APPENDIX 21'!G44/NEPI!G44*100,"0.0")</f>
        <v>23.685175962687104</v>
      </c>
      <c r="H44" s="201">
        <f>IFERROR('APPENDIX 21'!H44/NEPI!H44*100,"0.0")</f>
        <v>51.768058610872224</v>
      </c>
      <c r="I44" s="201" t="str">
        <f>IFERROR('APPENDIX 21'!I44/NEPI!I44*100,"0.0")</f>
        <v>0.0</v>
      </c>
      <c r="J44" s="201">
        <f>IFERROR('APPENDIX 21'!J44/NEPI!J44*100,"0.0")</f>
        <v>50.376212202690219</v>
      </c>
      <c r="K44" s="201" t="str">
        <f>IFERROR('APPENDIX 21'!K44/NEPI!K44*100,"0.0")</f>
        <v>0.0</v>
      </c>
      <c r="L44" s="201">
        <f>IFERROR('APPENDIX 21'!L44/NEPI!L44*100,"0.0")</f>
        <v>20.215456442305925</v>
      </c>
      <c r="M44" s="201" t="str">
        <f>IFERROR('APPENDIX 21'!M44/NEPI!M44*100,"0.0")</f>
        <v>0.0</v>
      </c>
      <c r="N44" s="201" t="str">
        <f>IFERROR('APPENDIX 21'!N44/NEPI!N44*100,"0.0")</f>
        <v>0.0</v>
      </c>
      <c r="O44" s="201">
        <f>IFERROR('APPENDIX 21'!O44/NEPI!O44*100,"0.0")</f>
        <v>64.443484521095598</v>
      </c>
      <c r="P44" s="201">
        <f>IFERROR('APPENDIX 21'!P44/NEPI!P44*100,"0.0")</f>
        <v>26.909028335125353</v>
      </c>
      <c r="Q44" s="202">
        <f>IFERROR('APPENDIX 21'!Q44/NEPI!Q44*100,"0.00")</f>
        <v>58.880543796886911</v>
      </c>
    </row>
    <row r="45" spans="2:17" ht="20" customHeight="1" x14ac:dyDescent="0.35">
      <c r="B45" s="75" t="str">
        <f>'APPENDIX 21'!B45</f>
        <v>GHANA REINSURANCE COMPANY</v>
      </c>
      <c r="C45" s="201">
        <f>IFERROR('APPENDIX 21'!C45/NEPI!C45*100,"0.0")</f>
        <v>193.4847315481573</v>
      </c>
      <c r="D45" s="201">
        <f>IFERROR('APPENDIX 21'!D45/NEPI!D45*100,"0.0")</f>
        <v>71.007136110808332</v>
      </c>
      <c r="E45" s="201">
        <f>IFERROR('APPENDIX 21'!E45/NEPI!E45*100,"0.0")</f>
        <v>42.233424017319983</v>
      </c>
      <c r="F45" s="201">
        <f>IFERROR('APPENDIX 21'!F45/NEPI!F45*100,"0.0")</f>
        <v>44.532810802342539</v>
      </c>
      <c r="G45" s="201">
        <f>IFERROR('APPENDIX 21'!G45/NEPI!G45*100,"0.0")</f>
        <v>-2.968379301538989</v>
      </c>
      <c r="H45" s="201">
        <f>IFERROR('APPENDIX 21'!H45/NEPI!H45*100,"0.0")</f>
        <v>120.5897671470418</v>
      </c>
      <c r="I45" s="201">
        <f>IFERROR('APPENDIX 21'!I45/NEPI!I45*100,"0.0")</f>
        <v>32.68348373181967</v>
      </c>
      <c r="J45" s="201">
        <f>IFERROR('APPENDIX 21'!J45/NEPI!J45*100,"0.0")</f>
        <v>31.677046940156512</v>
      </c>
      <c r="K45" s="201" t="str">
        <f>IFERROR('APPENDIX 21'!K45/NEPI!K45*100,"0.0")</f>
        <v>0.0</v>
      </c>
      <c r="L45" s="201">
        <f>IFERROR('APPENDIX 21'!L45/NEPI!L45*100,"0.0")</f>
        <v>-18.301364203191063</v>
      </c>
      <c r="M45" s="201">
        <f>IFERROR('APPENDIX 21'!M45/NEPI!M45*100,"0.0")</f>
        <v>58.859734255924003</v>
      </c>
      <c r="N45" s="201">
        <f>IFERROR('APPENDIX 21'!N45/NEPI!N45*100,"0.0")</f>
        <v>10.312457042644105</v>
      </c>
      <c r="O45" s="201">
        <f>IFERROR('APPENDIX 21'!O45/NEPI!O45*100,"0.0")</f>
        <v>71.783947672654648</v>
      </c>
      <c r="P45" s="201">
        <f>IFERROR('APPENDIX 21'!P45/NEPI!P45*100,"0.0")</f>
        <v>4.6116786064796003</v>
      </c>
      <c r="Q45" s="202">
        <f>IFERROR('APPENDIX 21'!Q45/NEPI!Q45*100,"0.00")</f>
        <v>50.094169586981884</v>
      </c>
    </row>
    <row r="46" spans="2:17" ht="20" customHeight="1" x14ac:dyDescent="0.35">
      <c r="B46" s="75" t="str">
        <f>'APPENDIX 21'!B46</f>
        <v>KENYA REINSURANCE CORPORATION</v>
      </c>
      <c r="C46" s="201">
        <f>IFERROR('APPENDIX 21'!C46/NEPI!C46*100,"0.0")</f>
        <v>162.67238900220119</v>
      </c>
      <c r="D46" s="201">
        <f>IFERROR('APPENDIX 21'!D46/NEPI!D46*100,"0.0")</f>
        <v>72.962962196641044</v>
      </c>
      <c r="E46" s="201">
        <f>IFERROR('APPENDIX 21'!E46/NEPI!E46*100,"0.0")</f>
        <v>24.635367294844482</v>
      </c>
      <c r="F46" s="201">
        <f>IFERROR('APPENDIX 21'!F46/NEPI!F46*100,"0.0")</f>
        <v>29.115552366016097</v>
      </c>
      <c r="G46" s="201">
        <f>IFERROR('APPENDIX 21'!G46/NEPI!G46*100,"0.0")</f>
        <v>11.478869885756449</v>
      </c>
      <c r="H46" s="201">
        <f>IFERROR('APPENDIX 21'!H46/NEPI!H46*100,"0.0")</f>
        <v>60.712425407415203</v>
      </c>
      <c r="I46" s="201">
        <f>IFERROR('APPENDIX 21'!I46/NEPI!I46*100,"0.0")</f>
        <v>-6.0215418061571855</v>
      </c>
      <c r="J46" s="201">
        <f>IFERROR('APPENDIX 21'!J46/NEPI!J46*100,"0.0")</f>
        <v>89.593057893725145</v>
      </c>
      <c r="K46" s="201" t="str">
        <f>IFERROR('APPENDIX 21'!K46/NEPI!K46*100,"0.0")</f>
        <v>0.0</v>
      </c>
      <c r="L46" s="201">
        <f>IFERROR('APPENDIX 21'!L46/NEPI!L46*100,"0.0")</f>
        <v>207.93169912527057</v>
      </c>
      <c r="M46" s="201">
        <f>IFERROR('APPENDIX 21'!M46/NEPI!M46*100,"0.0")</f>
        <v>0.26706072126291469</v>
      </c>
      <c r="N46" s="201">
        <f>IFERROR('APPENDIX 21'!N46/NEPI!N46*100,"0.0")</f>
        <v>50.423586198701628</v>
      </c>
      <c r="O46" s="201">
        <f>IFERROR('APPENDIX 21'!O46/NEPI!O46*100,"0.0")</f>
        <v>58.996694456985836</v>
      </c>
      <c r="P46" s="201">
        <f>IFERROR('APPENDIX 21'!P46/NEPI!P46*100,"0.0")</f>
        <v>52.758851264948028</v>
      </c>
      <c r="Q46" s="202">
        <f>IFERROR('APPENDIX 21'!Q46/NEPI!Q46*100,"0.00")</f>
        <v>52.843378832776509</v>
      </c>
    </row>
    <row r="47" spans="2:17" ht="20" customHeight="1" x14ac:dyDescent="0.35">
      <c r="B47" s="75" t="str">
        <f>'APPENDIX 21'!B47</f>
        <v>WAICA REINSURANCE KENYA LIMITED</v>
      </c>
      <c r="C47" s="201">
        <f>IFERROR('APPENDIX 21'!C47/NEPI!C47*100,"0.0")</f>
        <v>12.931641929976792</v>
      </c>
      <c r="D47" s="201">
        <f>IFERROR('APPENDIX 21'!D47/NEPI!D47*100,"0.0")</f>
        <v>-7.212935257812128</v>
      </c>
      <c r="E47" s="201">
        <f>IFERROR('APPENDIX 21'!E47/NEPI!E47*100,"0.0")</f>
        <v>-98.173695428103841</v>
      </c>
      <c r="F47" s="201">
        <f>IFERROR('APPENDIX 21'!F47/NEPI!F47*100,"0.0")</f>
        <v>27.051668705635883</v>
      </c>
      <c r="G47" s="201">
        <f>IFERROR('APPENDIX 21'!G47/NEPI!G47*100,"0.0")</f>
        <v>10.999042689494898</v>
      </c>
      <c r="H47" s="201">
        <f>IFERROR('APPENDIX 21'!H47/NEPI!H47*100,"0.0")</f>
        <v>-7.3267833950748731</v>
      </c>
      <c r="I47" s="201">
        <f>IFERROR('APPENDIX 21'!I47/NEPI!I47*100,"0.0")</f>
        <v>21.894103896619757</v>
      </c>
      <c r="J47" s="201">
        <f>IFERROR('APPENDIX 21'!J47/NEPI!J47*100,"0.0")</f>
        <v>94.825072375416525</v>
      </c>
      <c r="K47" s="201" t="str">
        <f>IFERROR('APPENDIX 21'!K47/NEPI!K47*100,"0.0")</f>
        <v>0.0</v>
      </c>
      <c r="L47" s="201">
        <f>IFERROR('APPENDIX 21'!L47/NEPI!L47*100,"0.0")</f>
        <v>3.1739407752712099</v>
      </c>
      <c r="M47" s="201">
        <f>IFERROR('APPENDIX 21'!M47/NEPI!M47*100,"0.0")</f>
        <v>19.37842725238961</v>
      </c>
      <c r="N47" s="201">
        <f>IFERROR('APPENDIX 21'!N47/NEPI!N47*100,"0.0")</f>
        <v>15.844176134876776</v>
      </c>
      <c r="O47" s="201">
        <f>IFERROR('APPENDIX 21'!O47/NEPI!O47*100,"0.0")</f>
        <v>-6.9413048554760204</v>
      </c>
      <c r="P47" s="201">
        <f>IFERROR('APPENDIX 21'!P47/NEPI!P47*100,"0.0")</f>
        <v>66.704796429269848</v>
      </c>
      <c r="Q47" s="202">
        <f>IFERROR('APPENDIX 21'!Q47/NEPI!Q47*100,"0.00")</f>
        <v>34.455544931059521</v>
      </c>
    </row>
    <row r="48" spans="2:17" ht="20" customHeight="1" x14ac:dyDescent="0.35">
      <c r="B48" s="71" t="s">
        <v>7</v>
      </c>
      <c r="C48" s="203">
        <f>IFERROR('APPENDIX 21'!C48/NEPI!C48*100,"0.0")</f>
        <v>0.89719533698247989</v>
      </c>
      <c r="D48" s="203">
        <f>IFERROR('APPENDIX 21'!D48/NEPI!D48*100,"0.0")</f>
        <v>-101.90088643852275</v>
      </c>
      <c r="E48" s="203">
        <f>IFERROR('APPENDIX 21'!E48/NEPI!E48*100,"0.0")</f>
        <v>24.190691556745577</v>
      </c>
      <c r="F48" s="203">
        <f>IFERROR('APPENDIX 21'!F48/NEPI!F48*100,"0.0")</f>
        <v>45.854315050440356</v>
      </c>
      <c r="G48" s="203">
        <f>IFERROR('APPENDIX 21'!G48/NEPI!G48*100,"0.0")</f>
        <v>8.0574381612674237</v>
      </c>
      <c r="H48" s="203">
        <f>IFERROR('APPENDIX 21'!H48/NEPI!H48*100,"0.0")</f>
        <v>18.471900844964424</v>
      </c>
      <c r="I48" s="203">
        <f>IFERROR('APPENDIX 21'!I48/NEPI!I48*100,"0.0")</f>
        <v>71.17441870560188</v>
      </c>
      <c r="J48" s="203">
        <f>IFERROR('APPENDIX 21'!J48/NEPI!J48*100,"0.0")</f>
        <v>57.072773533619106</v>
      </c>
      <c r="K48" s="203" t="str">
        <f>IFERROR('APPENDIX 21'!K48/NEPI!K48*100,"0.0")</f>
        <v>0.0</v>
      </c>
      <c r="L48" s="203">
        <f>IFERROR('APPENDIX 21'!L48/NEPI!L48*100,"0.0")</f>
        <v>28.770954550975741</v>
      </c>
      <c r="M48" s="203">
        <f>IFERROR('APPENDIX 21'!M48/NEPI!M48*100,"0.0")</f>
        <v>30.53236162635789</v>
      </c>
      <c r="N48" s="203">
        <f>IFERROR('APPENDIX 21'!N48/NEPI!N48*100,"0.0")</f>
        <v>19.397807256796863</v>
      </c>
      <c r="O48" s="203">
        <f>IFERROR('APPENDIX 21'!O48/NEPI!O48*100,"0.0")</f>
        <v>40.941153663647192</v>
      </c>
      <c r="P48" s="203">
        <f>IFERROR('APPENDIX 21'!P48/NEPI!P48*100,"0.0")</f>
        <v>33.259156334456577</v>
      </c>
      <c r="Q48" s="203">
        <f>IFERROR('APPENDIX 21'!Q48/NEPI!Q48*100,"0.0")</f>
        <v>47.263304874200443</v>
      </c>
    </row>
    <row r="49" spans="2:17" ht="20" customHeight="1" x14ac:dyDescent="0.5">
      <c r="B49" s="357" t="s">
        <v>233</v>
      </c>
      <c r="C49" s="358"/>
      <c r="D49" s="358"/>
      <c r="E49" s="358"/>
      <c r="F49" s="358"/>
      <c r="G49" s="358"/>
      <c r="H49" s="358"/>
      <c r="I49" s="358"/>
      <c r="J49" s="358"/>
      <c r="K49" s="358"/>
      <c r="L49" s="358"/>
      <c r="M49" s="358"/>
      <c r="N49" s="358"/>
      <c r="O49" s="358"/>
      <c r="P49" s="358"/>
      <c r="Q49" s="358"/>
    </row>
  </sheetData>
  <sheetProtection algorithmName="SHA-512" hashValue="R9m6b9aulN4znLoCV/kwXe3kpL7DGrGH36gv6aFXcF+qisBolTaBnKVbHQDR+fMuiA3proiThJbnPVgxCBnmCg==" saltValue="VFUp/IxMNj0f2D7CnHXKZQ==" spinCount="100000" sheet="1" objects="1" scenarios="1"/>
  <mergeCells count="4">
    <mergeCell ref="B42:Q42"/>
    <mergeCell ref="B49:Q49"/>
    <mergeCell ref="B3:Q3"/>
    <mergeCell ref="B5:Q5"/>
  </mergeCells>
  <pageMargins left="0.7" right="0.7" top="0.75" bottom="0.75" header="0.3" footer="0.3"/>
  <pageSetup paperSize="9" scale="36"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rgb="FFA2D668"/>
    <pageSetUpPr fitToPage="1"/>
  </sheetPr>
  <dimension ref="B3:Q49"/>
  <sheetViews>
    <sheetView zoomScale="70" zoomScaleNormal="70" workbookViewId="0">
      <pane xSplit="2" ySplit="5" topLeftCell="C26" activePane="bottomRight" state="frozen"/>
      <selection activeCell="J41" sqref="J41:K41"/>
      <selection pane="topRight" activeCell="J41" sqref="J41:K41"/>
      <selection pane="bottomLeft" activeCell="J41" sqref="J41:K41"/>
      <selection pane="bottomRight" activeCell="J41" sqref="J41:K41"/>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19" width="9.453125" style="2" customWidth="1"/>
    <col min="120" max="16384" width="9.453125" style="2"/>
  </cols>
  <sheetData>
    <row r="3" spans="2:17" ht="14.5" customHeight="1" x14ac:dyDescent="0.35">
      <c r="B3" s="370" t="str">
        <f>_xlfn.CONCAT("NPI: SUMMARY OF NET PREMIUM INCOME UNDER GENERAL INSURANCE BUSINESS FOR THE PERIOD ENDED"," ",Details!F18)</f>
        <v>NPI: SUMMARY OF NET PREMIUM INCOME UNDER GENERAL INSURANCE BUSINESS FOR THE PERIOD ENDED 31.03.2026</v>
      </c>
      <c r="C3" s="301"/>
      <c r="D3" s="301"/>
      <c r="E3" s="301"/>
      <c r="F3" s="301"/>
      <c r="G3" s="301"/>
      <c r="H3" s="301"/>
      <c r="I3" s="301"/>
      <c r="J3" s="301"/>
      <c r="K3" s="301"/>
      <c r="L3" s="301"/>
      <c r="M3" s="301"/>
      <c r="N3" s="301"/>
      <c r="O3" s="301"/>
      <c r="P3" s="301"/>
      <c r="Q3" s="302"/>
    </row>
    <row r="4" spans="2:17" ht="31" customHeight="1"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7" ht="14.5" customHeight="1" x14ac:dyDescent="0.35">
      <c r="B5" s="368" t="s">
        <v>106</v>
      </c>
      <c r="C5" s="301"/>
      <c r="D5" s="301"/>
      <c r="E5" s="301"/>
      <c r="F5" s="301"/>
      <c r="G5" s="301"/>
      <c r="H5" s="301"/>
      <c r="I5" s="301"/>
      <c r="J5" s="301"/>
      <c r="K5" s="301"/>
      <c r="L5" s="301"/>
      <c r="M5" s="301"/>
      <c r="N5" s="301"/>
      <c r="O5" s="301"/>
      <c r="P5" s="301"/>
      <c r="Q5" s="302"/>
    </row>
    <row r="6" spans="2:17" ht="15.5" customHeight="1" x14ac:dyDescent="0.35">
      <c r="B6" s="67" t="s">
        <v>107</v>
      </c>
      <c r="C6" s="70">
        <v>0</v>
      </c>
      <c r="D6" s="70">
        <v>177.3000082800022</v>
      </c>
      <c r="E6" s="70">
        <v>275.64149386138598</v>
      </c>
      <c r="F6" s="70">
        <v>985.12416770433356</v>
      </c>
      <c r="G6" s="70">
        <v>9006.9789699999983</v>
      </c>
      <c r="H6" s="70">
        <v>282.7992645465763</v>
      </c>
      <c r="I6" s="70">
        <v>567.83874000000014</v>
      </c>
      <c r="J6" s="70">
        <v>495.87419999999997</v>
      </c>
      <c r="K6" s="70">
        <v>0</v>
      </c>
      <c r="L6" s="70">
        <v>4159.7112400000015</v>
      </c>
      <c r="M6" s="70">
        <v>4056.6085200000011</v>
      </c>
      <c r="N6" s="70">
        <v>31265.15454</v>
      </c>
      <c r="O6" s="70">
        <v>2499167.9619641099</v>
      </c>
      <c r="P6" s="70">
        <v>5508.0281714973626</v>
      </c>
      <c r="Q6" s="73">
        <v>2555949.02128</v>
      </c>
    </row>
    <row r="7" spans="2:17" ht="15.5" customHeight="1" x14ac:dyDescent="0.35">
      <c r="B7" s="67" t="s">
        <v>108</v>
      </c>
      <c r="C7" s="70">
        <v>0</v>
      </c>
      <c r="D7" s="70">
        <v>4814.7761</v>
      </c>
      <c r="E7" s="70">
        <v>180.28550999999999</v>
      </c>
      <c r="F7" s="70">
        <v>-77.107569999999839</v>
      </c>
      <c r="G7" s="70">
        <v>17424.30557</v>
      </c>
      <c r="H7" s="70">
        <v>652.88850000000002</v>
      </c>
      <c r="I7" s="70">
        <v>130767.3584</v>
      </c>
      <c r="J7" s="70">
        <v>419049.11787999998</v>
      </c>
      <c r="K7" s="70">
        <v>206347.65371000001</v>
      </c>
      <c r="L7" s="70">
        <v>4295.84184</v>
      </c>
      <c r="M7" s="70">
        <v>904.87162999999998</v>
      </c>
      <c r="N7" s="70">
        <v>14061.04816</v>
      </c>
      <c r="O7" s="70">
        <v>0</v>
      </c>
      <c r="P7" s="70">
        <v>8223.3083200000019</v>
      </c>
      <c r="Q7" s="73">
        <v>806644.34804999991</v>
      </c>
    </row>
    <row r="8" spans="2:17" ht="15.5" customHeight="1" x14ac:dyDescent="0.35">
      <c r="B8" s="67" t="s">
        <v>109</v>
      </c>
      <c r="C8" s="70">
        <v>679.24900000000002</v>
      </c>
      <c r="D8" s="70">
        <v>40449.772322789002</v>
      </c>
      <c r="E8" s="70">
        <v>35860.993977500002</v>
      </c>
      <c r="F8" s="70">
        <v>228037.442680521</v>
      </c>
      <c r="G8" s="70">
        <v>54628.897699156492</v>
      </c>
      <c r="H8" s="70">
        <v>67464.20274704801</v>
      </c>
      <c r="I8" s="70">
        <v>791393.62826825795</v>
      </c>
      <c r="J8" s="70">
        <v>814183.69260916498</v>
      </c>
      <c r="K8" s="70">
        <v>0</v>
      </c>
      <c r="L8" s="70">
        <v>66906.364147275002</v>
      </c>
      <c r="M8" s="70">
        <v>120166.1089366355</v>
      </c>
      <c r="N8" s="70">
        <v>274467.01242245</v>
      </c>
      <c r="O8" s="70">
        <v>1843506.714240001</v>
      </c>
      <c r="P8" s="70">
        <v>73493.062403612494</v>
      </c>
      <c r="Q8" s="73">
        <v>4411237.1414544107</v>
      </c>
    </row>
    <row r="9" spans="2:17" ht="15.5" customHeight="1" x14ac:dyDescent="0.35">
      <c r="B9" s="67" t="s">
        <v>110</v>
      </c>
      <c r="C9" s="70">
        <v>0.47515264476835728</v>
      </c>
      <c r="D9" s="70">
        <v>28294.181799273068</v>
      </c>
      <c r="E9" s="70">
        <v>50898.472589999998</v>
      </c>
      <c r="F9" s="70">
        <v>147269.1700481716</v>
      </c>
      <c r="G9" s="70">
        <v>80535.16162641671</v>
      </c>
      <c r="H9" s="70">
        <v>21705.45924722117</v>
      </c>
      <c r="I9" s="70">
        <v>575071.00005830382</v>
      </c>
      <c r="J9" s="70">
        <v>210567.99254171891</v>
      </c>
      <c r="K9" s="70">
        <v>0</v>
      </c>
      <c r="L9" s="70">
        <v>71425.842295448077</v>
      </c>
      <c r="M9" s="70">
        <v>43286.166641319258</v>
      </c>
      <c r="N9" s="70">
        <v>183475.0630808204</v>
      </c>
      <c r="O9" s="70">
        <v>2219790.068112249</v>
      </c>
      <c r="P9" s="70">
        <v>24275.266190901981</v>
      </c>
      <c r="Q9" s="73">
        <v>3656594.3193844892</v>
      </c>
    </row>
    <row r="10" spans="2:17" ht="15.5" customHeight="1" x14ac:dyDescent="0.35">
      <c r="B10" s="67" t="s">
        <v>111</v>
      </c>
      <c r="C10" s="70">
        <v>0</v>
      </c>
      <c r="D10" s="70">
        <v>0</v>
      </c>
      <c r="E10" s="70">
        <v>0</v>
      </c>
      <c r="F10" s="70">
        <v>0</v>
      </c>
      <c r="G10" s="70">
        <v>0</v>
      </c>
      <c r="H10" s="70">
        <v>0</v>
      </c>
      <c r="I10" s="70">
        <v>0</v>
      </c>
      <c r="J10" s="70">
        <v>0</v>
      </c>
      <c r="K10" s="70">
        <v>0</v>
      </c>
      <c r="L10" s="70">
        <v>0</v>
      </c>
      <c r="M10" s="70">
        <v>0</v>
      </c>
      <c r="N10" s="70">
        <v>0</v>
      </c>
      <c r="O10" s="70">
        <v>250325.17300000001</v>
      </c>
      <c r="P10" s="70">
        <v>0</v>
      </c>
      <c r="Q10" s="73">
        <v>250325.17300000001</v>
      </c>
    </row>
    <row r="11" spans="2:17" ht="15.5" customHeight="1" x14ac:dyDescent="0.35">
      <c r="B11" s="67" t="s">
        <v>112</v>
      </c>
      <c r="C11" s="70">
        <v>0</v>
      </c>
      <c r="D11" s="70">
        <v>4456.4254099999998</v>
      </c>
      <c r="E11" s="70">
        <v>3366.3870000000002</v>
      </c>
      <c r="F11" s="70">
        <v>13397.183935817489</v>
      </c>
      <c r="G11" s="70">
        <v>6893.9642100000001</v>
      </c>
      <c r="H11" s="70">
        <v>7470.6791138524859</v>
      </c>
      <c r="I11" s="70">
        <v>290896.02610899671</v>
      </c>
      <c r="J11" s="70">
        <v>79311.455819999988</v>
      </c>
      <c r="K11" s="70">
        <v>0</v>
      </c>
      <c r="L11" s="70">
        <v>1398.97597</v>
      </c>
      <c r="M11" s="70">
        <v>4414.5300499999994</v>
      </c>
      <c r="N11" s="70">
        <v>23178.862000000001</v>
      </c>
      <c r="O11" s="70">
        <v>0</v>
      </c>
      <c r="P11" s="70">
        <v>-9569.1626048084563</v>
      </c>
      <c r="Q11" s="73">
        <v>425215.32701385819</v>
      </c>
    </row>
    <row r="12" spans="2:17" ht="15.5" customHeight="1" x14ac:dyDescent="0.35">
      <c r="B12" s="67" t="s">
        <v>113</v>
      </c>
      <c r="C12" s="70">
        <v>0</v>
      </c>
      <c r="D12" s="70">
        <v>27242.029890000002</v>
      </c>
      <c r="E12" s="70">
        <v>32206.639230000001</v>
      </c>
      <c r="F12" s="70">
        <v>73501.292770000058</v>
      </c>
      <c r="G12" s="70">
        <v>45009.393500000013</v>
      </c>
      <c r="H12" s="70">
        <v>10720.616249999999</v>
      </c>
      <c r="I12" s="70">
        <v>1046633.53408</v>
      </c>
      <c r="J12" s="70">
        <v>958602.45641999994</v>
      </c>
      <c r="K12" s="70">
        <v>0</v>
      </c>
      <c r="L12" s="70">
        <v>34840.855730000018</v>
      </c>
      <c r="M12" s="70">
        <v>308049.28518000012</v>
      </c>
      <c r="N12" s="70">
        <v>185590.20709000001</v>
      </c>
      <c r="O12" s="70">
        <v>4001126.216570002</v>
      </c>
      <c r="P12" s="70">
        <v>18842.803029999981</v>
      </c>
      <c r="Q12" s="73">
        <v>6742365.3297400028</v>
      </c>
    </row>
    <row r="13" spans="2:17" ht="15.5"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115</v>
      </c>
      <c r="C14" s="70">
        <v>0</v>
      </c>
      <c r="D14" s="70">
        <v>0</v>
      </c>
      <c r="E14" s="70">
        <v>0</v>
      </c>
      <c r="F14" s="70">
        <v>0</v>
      </c>
      <c r="G14" s="70">
        <v>0</v>
      </c>
      <c r="H14" s="70">
        <v>0</v>
      </c>
      <c r="I14" s="70">
        <v>111370.13722</v>
      </c>
      <c r="J14" s="70">
        <v>36215.914340000003</v>
      </c>
      <c r="K14" s="70">
        <v>594701.10125999944</v>
      </c>
      <c r="L14" s="70">
        <v>0</v>
      </c>
      <c r="M14" s="70">
        <v>0</v>
      </c>
      <c r="N14" s="70">
        <v>0</v>
      </c>
      <c r="O14" s="70">
        <v>0</v>
      </c>
      <c r="P14" s="70">
        <v>0</v>
      </c>
      <c r="Q14" s="73">
        <v>742287.15281999949</v>
      </c>
    </row>
    <row r="15" spans="2:17" ht="15.5" customHeight="1" x14ac:dyDescent="0.35">
      <c r="B15" s="67" t="s">
        <v>116</v>
      </c>
      <c r="C15" s="70">
        <v>0</v>
      </c>
      <c r="D15" s="70">
        <v>3596.7586106737849</v>
      </c>
      <c r="E15" s="70">
        <v>285.56700000000001</v>
      </c>
      <c r="F15" s="70">
        <v>27205.635999999999</v>
      </c>
      <c r="G15" s="70">
        <v>78298.200746271497</v>
      </c>
      <c r="H15" s="70">
        <v>378.25990559440561</v>
      </c>
      <c r="I15" s="70">
        <v>9914.7139999999999</v>
      </c>
      <c r="J15" s="70">
        <v>0</v>
      </c>
      <c r="K15" s="70">
        <v>0</v>
      </c>
      <c r="L15" s="70">
        <v>-4629.7237963828566</v>
      </c>
      <c r="M15" s="70">
        <v>397248.97880976292</v>
      </c>
      <c r="N15" s="70">
        <v>761.17841971157964</v>
      </c>
      <c r="O15" s="70">
        <v>0</v>
      </c>
      <c r="P15" s="70">
        <v>-368173.01767999999</v>
      </c>
      <c r="Q15" s="73">
        <v>144886.55201563131</v>
      </c>
    </row>
    <row r="16" spans="2:17" ht="15.5" customHeight="1" x14ac:dyDescent="0.35">
      <c r="B16" s="67" t="s">
        <v>117</v>
      </c>
      <c r="C16" s="70">
        <v>0</v>
      </c>
      <c r="D16" s="70">
        <v>0</v>
      </c>
      <c r="E16" s="70">
        <v>0</v>
      </c>
      <c r="F16" s="70">
        <v>0</v>
      </c>
      <c r="G16" s="70">
        <v>0</v>
      </c>
      <c r="H16" s="70">
        <v>0</v>
      </c>
      <c r="I16" s="70">
        <v>0</v>
      </c>
      <c r="J16" s="70">
        <v>0</v>
      </c>
      <c r="K16" s="70">
        <v>0</v>
      </c>
      <c r="L16" s="70">
        <v>0</v>
      </c>
      <c r="M16" s="70">
        <v>0</v>
      </c>
      <c r="N16" s="70">
        <v>0</v>
      </c>
      <c r="O16" s="70">
        <v>1086068.1913900001</v>
      </c>
      <c r="P16" s="70">
        <v>0</v>
      </c>
      <c r="Q16" s="73">
        <v>1086068.1913900001</v>
      </c>
    </row>
    <row r="17" spans="2:17" ht="15.5" customHeight="1" x14ac:dyDescent="0.35">
      <c r="B17" s="67" t="s">
        <v>118</v>
      </c>
      <c r="C17" s="70">
        <v>11.89</v>
      </c>
      <c r="D17" s="70">
        <v>7970.232</v>
      </c>
      <c r="E17" s="70">
        <v>9303.8970000000008</v>
      </c>
      <c r="F17" s="70">
        <v>15889.922</v>
      </c>
      <c r="G17" s="70">
        <v>30545.774000000001</v>
      </c>
      <c r="H17" s="70">
        <v>17887.697</v>
      </c>
      <c r="I17" s="70">
        <v>479447.31800000003</v>
      </c>
      <c r="J17" s="70">
        <v>323655.86499999999</v>
      </c>
      <c r="K17" s="70">
        <v>7429.5039999999999</v>
      </c>
      <c r="L17" s="70">
        <v>3421.3629999999998</v>
      </c>
      <c r="M17" s="70">
        <v>16358.834000000001</v>
      </c>
      <c r="N17" s="70">
        <v>124187.36</v>
      </c>
      <c r="O17" s="70">
        <v>119378.02499999999</v>
      </c>
      <c r="P17" s="70">
        <v>10123.507</v>
      </c>
      <c r="Q17" s="73">
        <v>1165611.1880000001</v>
      </c>
    </row>
    <row r="18" spans="2:17" ht="15.5" customHeight="1" x14ac:dyDescent="0.35">
      <c r="B18" s="67" t="s">
        <v>119</v>
      </c>
      <c r="C18" s="70">
        <v>0</v>
      </c>
      <c r="D18" s="70">
        <v>12100.09694999999</v>
      </c>
      <c r="E18" s="70">
        <v>13017.790129999999</v>
      </c>
      <c r="F18" s="70">
        <v>41687.591458000003</v>
      </c>
      <c r="G18" s="70">
        <v>9988.1491200000055</v>
      </c>
      <c r="H18" s="70">
        <v>14741.22971</v>
      </c>
      <c r="I18" s="70">
        <v>235321.54113</v>
      </c>
      <c r="J18" s="70">
        <v>173532.43762000001</v>
      </c>
      <c r="K18" s="70">
        <v>37581.828000000001</v>
      </c>
      <c r="L18" s="70">
        <v>76301.431909999999</v>
      </c>
      <c r="M18" s="70">
        <v>34266.863570000001</v>
      </c>
      <c r="N18" s="70">
        <v>10329.91689</v>
      </c>
      <c r="O18" s="70">
        <v>588601.85717000009</v>
      </c>
      <c r="P18" s="70">
        <v>3071.8797945000078</v>
      </c>
      <c r="Q18" s="73">
        <v>1250542.6134525</v>
      </c>
    </row>
    <row r="19" spans="2:17" ht="15.5" customHeight="1" x14ac:dyDescent="0.35">
      <c r="B19" s="67" t="s">
        <v>120</v>
      </c>
      <c r="C19" s="70">
        <v>1766.153</v>
      </c>
      <c r="D19" s="70">
        <v>91801.176000000007</v>
      </c>
      <c r="E19" s="70">
        <v>37501.654000000002</v>
      </c>
      <c r="F19" s="70">
        <v>282935.04100000003</v>
      </c>
      <c r="G19" s="70">
        <v>43842.535000000003</v>
      </c>
      <c r="H19" s="70">
        <v>135530.67600000001</v>
      </c>
      <c r="I19" s="70">
        <v>528329.12</v>
      </c>
      <c r="J19" s="70">
        <v>544093.09299999999</v>
      </c>
      <c r="K19" s="70">
        <v>56914.79</v>
      </c>
      <c r="L19" s="70">
        <v>35649.538999999997</v>
      </c>
      <c r="M19" s="70">
        <v>330900.41100000002</v>
      </c>
      <c r="N19" s="70">
        <v>526264.36300000001</v>
      </c>
      <c r="O19" s="70">
        <v>754259.00600000005</v>
      </c>
      <c r="P19" s="70">
        <v>50262.906000000003</v>
      </c>
      <c r="Q19" s="73">
        <v>3420050.463</v>
      </c>
    </row>
    <row r="20" spans="2:17" ht="15.5" customHeight="1" x14ac:dyDescent="0.35">
      <c r="B20" s="67" t="s">
        <v>121</v>
      </c>
      <c r="C20" s="70">
        <v>1079.385</v>
      </c>
      <c r="D20" s="70">
        <v>20239.268</v>
      </c>
      <c r="E20" s="70">
        <v>25225.758000000002</v>
      </c>
      <c r="F20" s="70">
        <v>117362.894</v>
      </c>
      <c r="G20" s="70">
        <v>48572.218000000001</v>
      </c>
      <c r="H20" s="70">
        <v>43707.892999999996</v>
      </c>
      <c r="I20" s="70">
        <v>277759.60100000002</v>
      </c>
      <c r="J20" s="70">
        <v>336174.891</v>
      </c>
      <c r="K20" s="70">
        <v>0</v>
      </c>
      <c r="L20" s="70">
        <v>14905.057000000001</v>
      </c>
      <c r="M20" s="70">
        <v>58103.125</v>
      </c>
      <c r="N20" s="70">
        <v>165732.98199999999</v>
      </c>
      <c r="O20" s="70">
        <v>0</v>
      </c>
      <c r="P20" s="70">
        <v>-4468.4849999999997</v>
      </c>
      <c r="Q20" s="73">
        <v>1104394.5870000001</v>
      </c>
    </row>
    <row r="21" spans="2:17" ht="15.5" customHeight="1" x14ac:dyDescent="0.35">
      <c r="B21" s="67" t="s">
        <v>122</v>
      </c>
      <c r="C21" s="70">
        <v>1865.3389999999999</v>
      </c>
      <c r="D21" s="70">
        <v>23880.190999999999</v>
      </c>
      <c r="E21" s="70">
        <v>33530.46</v>
      </c>
      <c r="F21" s="70">
        <v>83592.514999999999</v>
      </c>
      <c r="G21" s="70">
        <v>26690.76</v>
      </c>
      <c r="H21" s="70">
        <v>23381.383000000002</v>
      </c>
      <c r="I21" s="70">
        <v>740269.72699999996</v>
      </c>
      <c r="J21" s="70">
        <v>252143.80300000001</v>
      </c>
      <c r="K21" s="70">
        <v>0</v>
      </c>
      <c r="L21" s="70">
        <v>34002.482000000004</v>
      </c>
      <c r="M21" s="70">
        <v>53841.345000000001</v>
      </c>
      <c r="N21" s="70">
        <v>207556.71100000001</v>
      </c>
      <c r="O21" s="70">
        <v>107594.784</v>
      </c>
      <c r="P21" s="70">
        <v>7482.0469999999996</v>
      </c>
      <c r="Q21" s="73">
        <v>1595831.547</v>
      </c>
    </row>
    <row r="22" spans="2:17" ht="15.5" customHeight="1" x14ac:dyDescent="0.35">
      <c r="B22" s="67" t="s">
        <v>123</v>
      </c>
      <c r="C22" s="70">
        <v>0</v>
      </c>
      <c r="D22" s="70">
        <v>58040.843999999997</v>
      </c>
      <c r="E22" s="70">
        <v>20632.999</v>
      </c>
      <c r="F22" s="70">
        <v>86857.334000000003</v>
      </c>
      <c r="G22" s="70">
        <v>11134.226000000001</v>
      </c>
      <c r="H22" s="70">
        <v>69816.114000000001</v>
      </c>
      <c r="I22" s="70">
        <v>280383.73499999999</v>
      </c>
      <c r="J22" s="70">
        <v>153427.98199999999</v>
      </c>
      <c r="K22" s="70">
        <v>25247.882000000001</v>
      </c>
      <c r="L22" s="70">
        <v>7758.4179999999997</v>
      </c>
      <c r="M22" s="70">
        <v>38324.762999999999</v>
      </c>
      <c r="N22" s="70">
        <v>139720.503</v>
      </c>
      <c r="O22" s="70">
        <v>0</v>
      </c>
      <c r="P22" s="70">
        <v>122335.552</v>
      </c>
      <c r="Q22" s="73">
        <v>1013680.352</v>
      </c>
    </row>
    <row r="23" spans="2:17" ht="15.5" customHeight="1" x14ac:dyDescent="0.35">
      <c r="B23" s="67" t="s">
        <v>124</v>
      </c>
      <c r="C23" s="70">
        <v>0</v>
      </c>
      <c r="D23" s="70">
        <v>0</v>
      </c>
      <c r="E23" s="70">
        <v>0</v>
      </c>
      <c r="F23" s="70">
        <v>0</v>
      </c>
      <c r="G23" s="70">
        <v>0</v>
      </c>
      <c r="H23" s="70">
        <v>0</v>
      </c>
      <c r="I23" s="70">
        <v>0</v>
      </c>
      <c r="J23" s="70">
        <v>0</v>
      </c>
      <c r="K23" s="70">
        <v>0</v>
      </c>
      <c r="L23" s="70">
        <v>0</v>
      </c>
      <c r="M23" s="70">
        <v>0</v>
      </c>
      <c r="N23" s="70">
        <v>0</v>
      </c>
      <c r="O23" s="70">
        <v>4856791.593199092</v>
      </c>
      <c r="P23" s="70">
        <v>0</v>
      </c>
      <c r="Q23" s="73">
        <v>4856791.593199092</v>
      </c>
    </row>
    <row r="24" spans="2:17" ht="15.5" customHeight="1" x14ac:dyDescent="0.35">
      <c r="B24" s="67" t="s">
        <v>125</v>
      </c>
      <c r="C24" s="70">
        <v>0</v>
      </c>
      <c r="D24" s="70">
        <v>11693.79</v>
      </c>
      <c r="E24" s="70">
        <v>11060.222</v>
      </c>
      <c r="F24" s="70">
        <v>52173.474999999999</v>
      </c>
      <c r="G24" s="70">
        <v>5970.366</v>
      </c>
      <c r="H24" s="70">
        <v>44618.514000000003</v>
      </c>
      <c r="I24" s="70">
        <v>148958.019</v>
      </c>
      <c r="J24" s="70">
        <v>133165.03700000001</v>
      </c>
      <c r="K24" s="70">
        <v>0</v>
      </c>
      <c r="L24" s="70">
        <v>4099.5410000000002</v>
      </c>
      <c r="M24" s="70">
        <v>31407.830999999998</v>
      </c>
      <c r="N24" s="70">
        <v>89053.57</v>
      </c>
      <c r="O24" s="70">
        <v>13191.644</v>
      </c>
      <c r="P24" s="70">
        <v>1824.8920000000001</v>
      </c>
      <c r="Q24" s="73">
        <v>547216.90099999995</v>
      </c>
    </row>
    <row r="25" spans="2:17" ht="15.5" customHeight="1" x14ac:dyDescent="0.35">
      <c r="B25" s="67" t="s">
        <v>126</v>
      </c>
      <c r="C25" s="70">
        <v>0</v>
      </c>
      <c r="D25" s="70">
        <v>7182.9080000000004</v>
      </c>
      <c r="E25" s="70">
        <v>7658.8379999999997</v>
      </c>
      <c r="F25" s="70">
        <v>25724.754328461539</v>
      </c>
      <c r="G25" s="70">
        <v>5377.4170000000004</v>
      </c>
      <c r="H25" s="70">
        <v>172.983</v>
      </c>
      <c r="I25" s="70">
        <v>91955.153000000006</v>
      </c>
      <c r="J25" s="70">
        <v>42337.981</v>
      </c>
      <c r="K25" s="70">
        <v>2935.0509999999999</v>
      </c>
      <c r="L25" s="70">
        <v>680.71799999999996</v>
      </c>
      <c r="M25" s="70">
        <v>28008.476999999999</v>
      </c>
      <c r="N25" s="70">
        <v>51839.8</v>
      </c>
      <c r="O25" s="70">
        <v>0</v>
      </c>
      <c r="P25" s="70">
        <v>2175.5774184578659</v>
      </c>
      <c r="Q25" s="73">
        <v>266049.65774691937</v>
      </c>
    </row>
    <row r="26" spans="2:17" ht="15.5" customHeight="1" x14ac:dyDescent="0.35">
      <c r="B26" s="67" t="s">
        <v>127</v>
      </c>
      <c r="C26" s="70">
        <v>0</v>
      </c>
      <c r="D26" s="70">
        <v>19050.246577990842</v>
      </c>
      <c r="E26" s="70">
        <v>8092.0649195086362</v>
      </c>
      <c r="F26" s="70">
        <v>38900.128502500527</v>
      </c>
      <c r="G26" s="70">
        <v>95797.847280190035</v>
      </c>
      <c r="H26" s="70">
        <v>4347.4328912403616</v>
      </c>
      <c r="I26" s="70">
        <v>220227.26555407111</v>
      </c>
      <c r="J26" s="70">
        <v>1131155.570109668</v>
      </c>
      <c r="K26" s="70">
        <v>0</v>
      </c>
      <c r="L26" s="70">
        <v>12404.629031493871</v>
      </c>
      <c r="M26" s="70">
        <v>12748.356818413749</v>
      </c>
      <c r="N26" s="70">
        <v>58298.987659446342</v>
      </c>
      <c r="O26" s="70">
        <v>1019585.429082</v>
      </c>
      <c r="P26" s="70">
        <v>41556.325269123983</v>
      </c>
      <c r="Q26" s="73">
        <v>2662164.283695647</v>
      </c>
    </row>
    <row r="27" spans="2:17" ht="15.5" customHeight="1" x14ac:dyDescent="0.35">
      <c r="B27" s="67" t="s">
        <v>128</v>
      </c>
      <c r="C27" s="70">
        <v>708.65</v>
      </c>
      <c r="D27" s="70">
        <v>93020.129000000001</v>
      </c>
      <c r="E27" s="70">
        <v>47337.728999999999</v>
      </c>
      <c r="F27" s="70">
        <v>122849.51700000001</v>
      </c>
      <c r="G27" s="70">
        <v>35183.125</v>
      </c>
      <c r="H27" s="70">
        <v>119364.97900000001</v>
      </c>
      <c r="I27" s="70">
        <v>324949.19699999999</v>
      </c>
      <c r="J27" s="70">
        <v>329628.70199999999</v>
      </c>
      <c r="K27" s="70">
        <v>11461.366</v>
      </c>
      <c r="L27" s="70">
        <v>11586.901</v>
      </c>
      <c r="M27" s="70">
        <v>29308.494999999999</v>
      </c>
      <c r="N27" s="70">
        <v>360286.34399999998</v>
      </c>
      <c r="O27" s="70">
        <v>0</v>
      </c>
      <c r="P27" s="70">
        <v>133193.139</v>
      </c>
      <c r="Q27" s="73">
        <v>1618878.273</v>
      </c>
    </row>
    <row r="28" spans="2:17" ht="15.5" customHeight="1" x14ac:dyDescent="0.35">
      <c r="B28" s="67" t="s">
        <v>129</v>
      </c>
      <c r="C28" s="70">
        <v>156.41410999999991</v>
      </c>
      <c r="D28" s="70">
        <v>5561.5414000000001</v>
      </c>
      <c r="E28" s="70">
        <v>2099.1469999999999</v>
      </c>
      <c r="F28" s="70">
        <v>35269.165040000007</v>
      </c>
      <c r="G28" s="70">
        <v>6096.5411999999997</v>
      </c>
      <c r="H28" s="70">
        <v>41199.656080000001</v>
      </c>
      <c r="I28" s="70">
        <v>82629.674670000051</v>
      </c>
      <c r="J28" s="70">
        <v>15077.838750000001</v>
      </c>
      <c r="K28" s="70">
        <v>0</v>
      </c>
      <c r="L28" s="70">
        <v>724.45699999999999</v>
      </c>
      <c r="M28" s="70">
        <v>2143.0749999999998</v>
      </c>
      <c r="N28" s="70">
        <v>11934.298000000001</v>
      </c>
      <c r="O28" s="70">
        <v>297142.30674999999</v>
      </c>
      <c r="P28" s="70">
        <v>6481.5969700000014</v>
      </c>
      <c r="Q28" s="73">
        <v>506515.71197000012</v>
      </c>
    </row>
    <row r="29" spans="2:17" ht="15.5" customHeight="1" x14ac:dyDescent="0.35">
      <c r="B29" s="67" t="s">
        <v>130</v>
      </c>
      <c r="C29" s="70">
        <v>0</v>
      </c>
      <c r="D29" s="70">
        <v>5182.1016</v>
      </c>
      <c r="E29" s="70">
        <v>21348.029589999991</v>
      </c>
      <c r="F29" s="70">
        <v>59215.998449999926</v>
      </c>
      <c r="G29" s="70">
        <v>47460.052420000007</v>
      </c>
      <c r="H29" s="70">
        <v>3512.7861599999978</v>
      </c>
      <c r="I29" s="70">
        <v>322326.41256999993</v>
      </c>
      <c r="J29" s="70">
        <v>92509.272700000001</v>
      </c>
      <c r="K29" s="70">
        <v>0</v>
      </c>
      <c r="L29" s="70">
        <v>26806.91811999942</v>
      </c>
      <c r="M29" s="70">
        <v>1660.0434800000039</v>
      </c>
      <c r="N29" s="70">
        <v>28691.284640000002</v>
      </c>
      <c r="O29" s="70">
        <v>0</v>
      </c>
      <c r="P29" s="70">
        <v>26.009699999999999</v>
      </c>
      <c r="Q29" s="73">
        <v>608738.9094299993</v>
      </c>
    </row>
    <row r="30" spans="2:17" ht="15.5" customHeight="1" x14ac:dyDescent="0.35">
      <c r="B30" s="67" t="s">
        <v>131</v>
      </c>
      <c r="C30" s="70">
        <v>12448.842000000001</v>
      </c>
      <c r="D30" s="70">
        <v>22988.37053</v>
      </c>
      <c r="E30" s="70">
        <v>7657.357</v>
      </c>
      <c r="F30" s="70">
        <v>16886.67439</v>
      </c>
      <c r="G30" s="70">
        <v>2155.328</v>
      </c>
      <c r="H30" s="70">
        <v>22069.601999999999</v>
      </c>
      <c r="I30" s="70">
        <v>47139</v>
      </c>
      <c r="J30" s="70">
        <v>72823.160999999993</v>
      </c>
      <c r="K30" s="70">
        <v>0</v>
      </c>
      <c r="L30" s="70">
        <v>5308.8455299999996</v>
      </c>
      <c r="M30" s="70">
        <v>13294.268</v>
      </c>
      <c r="N30" s="70">
        <v>22932.663</v>
      </c>
      <c r="O30" s="70">
        <v>0</v>
      </c>
      <c r="P30" s="70">
        <v>14058.271000000001</v>
      </c>
      <c r="Q30" s="73">
        <v>259762.38245</v>
      </c>
    </row>
    <row r="31" spans="2:17" ht="15.5" customHeight="1" x14ac:dyDescent="0.35">
      <c r="B31" s="67" t="s">
        <v>132</v>
      </c>
      <c r="C31" s="70">
        <v>449.94142000000181</v>
      </c>
      <c r="D31" s="70">
        <v>25028.84456999975</v>
      </c>
      <c r="E31" s="70">
        <v>46681.311060000029</v>
      </c>
      <c r="F31" s="70">
        <v>140981.3944800001</v>
      </c>
      <c r="G31" s="70">
        <v>27352.632830000039</v>
      </c>
      <c r="H31" s="70">
        <v>22590.434300000001</v>
      </c>
      <c r="I31" s="70">
        <v>359574.14756000001</v>
      </c>
      <c r="J31" s="70">
        <v>336856.16394827201</v>
      </c>
      <c r="K31" s="70">
        <v>0</v>
      </c>
      <c r="L31" s="70">
        <v>24541.28855999903</v>
      </c>
      <c r="M31" s="70">
        <v>45712.453449999899</v>
      </c>
      <c r="N31" s="70">
        <v>73238.377140000026</v>
      </c>
      <c r="O31" s="70">
        <v>4210274.4661556818</v>
      </c>
      <c r="P31" s="70">
        <v>10610.460660000001</v>
      </c>
      <c r="Q31" s="73">
        <v>5323891.9161339523</v>
      </c>
    </row>
    <row r="32" spans="2:17" ht="15.5" customHeight="1" x14ac:dyDescent="0.35">
      <c r="B32" s="67" t="s">
        <v>133</v>
      </c>
      <c r="C32" s="70">
        <v>0</v>
      </c>
      <c r="D32" s="70">
        <v>5153.2969999999996</v>
      </c>
      <c r="E32" s="70">
        <v>4968.6180000000004</v>
      </c>
      <c r="F32" s="70">
        <v>29401.252</v>
      </c>
      <c r="G32" s="70">
        <v>19945.185000000001</v>
      </c>
      <c r="H32" s="70">
        <v>1007.8920000000001</v>
      </c>
      <c r="I32" s="70">
        <v>211035.24299999999</v>
      </c>
      <c r="J32" s="70">
        <v>285226.72399999999</v>
      </c>
      <c r="K32" s="70">
        <v>23811.304</v>
      </c>
      <c r="L32" s="70">
        <v>14610.208000000001</v>
      </c>
      <c r="M32" s="70">
        <v>11117.822</v>
      </c>
      <c r="N32" s="70">
        <v>51523.794000000002</v>
      </c>
      <c r="O32" s="70">
        <v>523677.93624000013</v>
      </c>
      <c r="P32" s="70">
        <v>1122.923</v>
      </c>
      <c r="Q32" s="73">
        <v>1182602.1982400001</v>
      </c>
    </row>
    <row r="33" spans="2:17" ht="15.5" customHeight="1" x14ac:dyDescent="0.35">
      <c r="B33" s="67" t="s">
        <v>134</v>
      </c>
      <c r="C33" s="70">
        <v>58.626349000000403</v>
      </c>
      <c r="D33" s="70">
        <v>22342.868488510179</v>
      </c>
      <c r="E33" s="70">
        <v>6544.9565407591217</v>
      </c>
      <c r="F33" s="70">
        <v>10598.563334730699</v>
      </c>
      <c r="G33" s="70">
        <v>14883.419626999999</v>
      </c>
      <c r="H33" s="70">
        <v>8504.8897567999993</v>
      </c>
      <c r="I33" s="70">
        <v>443240.18686690001</v>
      </c>
      <c r="J33" s="70">
        <v>274426.175605</v>
      </c>
      <c r="K33" s="70">
        <v>0</v>
      </c>
      <c r="L33" s="70">
        <v>6022.0388530999999</v>
      </c>
      <c r="M33" s="70">
        <v>11901.314379699999</v>
      </c>
      <c r="N33" s="70">
        <v>34677.6318312</v>
      </c>
      <c r="O33" s="70">
        <v>0</v>
      </c>
      <c r="P33" s="70">
        <v>8192.6287783000007</v>
      </c>
      <c r="Q33" s="73">
        <v>841393.30041099992</v>
      </c>
    </row>
    <row r="34" spans="2:17" ht="15.5" customHeight="1" x14ac:dyDescent="0.35">
      <c r="B34" s="67" t="s">
        <v>135</v>
      </c>
      <c r="C34" s="70">
        <v>0</v>
      </c>
      <c r="D34" s="70">
        <v>-3686.7069999999999</v>
      </c>
      <c r="E34" s="70">
        <v>20963.492999999999</v>
      </c>
      <c r="F34" s="70">
        <v>373310.15</v>
      </c>
      <c r="G34" s="70">
        <v>26887.355</v>
      </c>
      <c r="H34" s="70">
        <v>27016.481</v>
      </c>
      <c r="I34" s="70">
        <v>702048.47</v>
      </c>
      <c r="J34" s="70">
        <v>453734.38400000002</v>
      </c>
      <c r="K34" s="70">
        <v>0</v>
      </c>
      <c r="L34" s="70">
        <v>-715.11400000000003</v>
      </c>
      <c r="M34" s="70">
        <v>188960.15599999999</v>
      </c>
      <c r="N34" s="70">
        <v>-75632.748000000007</v>
      </c>
      <c r="O34" s="70">
        <v>0</v>
      </c>
      <c r="P34" s="70">
        <v>-12556.775</v>
      </c>
      <c r="Q34" s="73">
        <v>1700329.145</v>
      </c>
    </row>
    <row r="35" spans="2:17" ht="15.5" customHeight="1" x14ac:dyDescent="0.35">
      <c r="B35" s="67" t="s">
        <v>136</v>
      </c>
      <c r="C35" s="70">
        <v>0</v>
      </c>
      <c r="D35" s="70">
        <v>902.81600000000003</v>
      </c>
      <c r="E35" s="70">
        <v>0</v>
      </c>
      <c r="F35" s="70">
        <v>215.93899999999999</v>
      </c>
      <c r="G35" s="70">
        <v>312.8</v>
      </c>
      <c r="H35" s="70">
        <v>78.512</v>
      </c>
      <c r="I35" s="70">
        <v>13601.138999999999</v>
      </c>
      <c r="J35" s="70">
        <v>14197.941999999999</v>
      </c>
      <c r="K35" s="70">
        <v>0</v>
      </c>
      <c r="L35" s="70">
        <v>259.625</v>
      </c>
      <c r="M35" s="70">
        <v>88.447999999999993</v>
      </c>
      <c r="N35" s="70">
        <v>6656.5479999999998</v>
      </c>
      <c r="O35" s="70">
        <v>841982.81</v>
      </c>
      <c r="P35" s="70">
        <v>260.18279999999982</v>
      </c>
      <c r="Q35" s="73">
        <v>878556.76179999998</v>
      </c>
    </row>
    <row r="36" spans="2:17" ht="15.5" customHeight="1" x14ac:dyDescent="0.35">
      <c r="B36" s="67" t="s">
        <v>137</v>
      </c>
      <c r="C36" s="70">
        <v>0</v>
      </c>
      <c r="D36" s="70">
        <v>3810.631543111153</v>
      </c>
      <c r="E36" s="70">
        <v>873.91170046909338</v>
      </c>
      <c r="F36" s="70">
        <v>3750.8961080216391</v>
      </c>
      <c r="G36" s="70">
        <v>22721.575199999999</v>
      </c>
      <c r="H36" s="70">
        <v>5685.1759234693636</v>
      </c>
      <c r="I36" s="70">
        <v>71958.612347339018</v>
      </c>
      <c r="J36" s="70">
        <v>230549.43040000001</v>
      </c>
      <c r="K36" s="70">
        <v>0</v>
      </c>
      <c r="L36" s="70">
        <v>1224.029</v>
      </c>
      <c r="M36" s="70">
        <v>10510.70632969241</v>
      </c>
      <c r="N36" s="70">
        <v>23913.434000000001</v>
      </c>
      <c r="O36" s="70">
        <v>3261.0303000000008</v>
      </c>
      <c r="P36" s="70">
        <v>4512.0134054351538</v>
      </c>
      <c r="Q36" s="73">
        <v>382771.44625753781</v>
      </c>
    </row>
    <row r="37" spans="2:17" ht="15.5" customHeight="1" x14ac:dyDescent="0.35">
      <c r="B37" s="67" t="s">
        <v>138</v>
      </c>
      <c r="C37" s="70">
        <v>0</v>
      </c>
      <c r="D37" s="70">
        <v>27895.639904154599</v>
      </c>
      <c r="E37" s="70">
        <v>39065.098120866664</v>
      </c>
      <c r="F37" s="70">
        <v>111239.3090641859</v>
      </c>
      <c r="G37" s="70">
        <v>22488.461731047501</v>
      </c>
      <c r="H37" s="70">
        <v>48297.252729176791</v>
      </c>
      <c r="I37" s="70">
        <v>132313.81539999999</v>
      </c>
      <c r="J37" s="70">
        <v>122001.6419</v>
      </c>
      <c r="K37" s="70">
        <v>0</v>
      </c>
      <c r="L37" s="70">
        <v>4089.2879887539361</v>
      </c>
      <c r="M37" s="70">
        <v>77629.60883805668</v>
      </c>
      <c r="N37" s="70">
        <v>185181.4479554572</v>
      </c>
      <c r="O37" s="70">
        <v>2383.4430000000002</v>
      </c>
      <c r="P37" s="70">
        <v>4435.6103999999996</v>
      </c>
      <c r="Q37" s="73">
        <v>777020.61703169916</v>
      </c>
    </row>
    <row r="38" spans="2:17" ht="15.5" customHeight="1" x14ac:dyDescent="0.35">
      <c r="B38" s="67" t="s">
        <v>139</v>
      </c>
      <c r="C38" s="70">
        <v>2030.357</v>
      </c>
      <c r="D38" s="70">
        <v>13155.677</v>
      </c>
      <c r="E38" s="70">
        <v>50267.732000000004</v>
      </c>
      <c r="F38" s="70">
        <v>72771.258000000002</v>
      </c>
      <c r="G38" s="70">
        <v>50743.803</v>
      </c>
      <c r="H38" s="70">
        <v>22133.792000000001</v>
      </c>
      <c r="I38" s="70">
        <v>350731.614</v>
      </c>
      <c r="J38" s="70">
        <v>198586.04</v>
      </c>
      <c r="K38" s="70">
        <v>0</v>
      </c>
      <c r="L38" s="70">
        <v>47201.838000000003</v>
      </c>
      <c r="M38" s="70">
        <v>52845.271000000001</v>
      </c>
      <c r="N38" s="70">
        <v>117788.77099999999</v>
      </c>
      <c r="O38" s="70">
        <v>1803806.56</v>
      </c>
      <c r="P38" s="70">
        <v>46033.508999999998</v>
      </c>
      <c r="Q38" s="73">
        <v>2828096.2220000001</v>
      </c>
    </row>
    <row r="39" spans="2:17" ht="15.5"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73">
        <v>0</v>
      </c>
    </row>
    <row r="40" spans="2:17" ht="15.5"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73">
        <v>0</v>
      </c>
    </row>
    <row r="41" spans="2:17" ht="15.5" customHeight="1" x14ac:dyDescent="0.35">
      <c r="B41" s="71" t="s">
        <v>7</v>
      </c>
      <c r="C41" s="72">
        <f t="shared" ref="C41:Q41" si="0">SUM(C6:C40)</f>
        <v>21255.322031644773</v>
      </c>
      <c r="D41" s="72">
        <f t="shared" si="0"/>
        <v>582345.20670478232</v>
      </c>
      <c r="E41" s="72">
        <f t="shared" si="0"/>
        <v>536905.05286296492</v>
      </c>
      <c r="F41" s="72">
        <f t="shared" si="0"/>
        <v>2211932.514188115</v>
      </c>
      <c r="G41" s="72">
        <f t="shared" si="0"/>
        <v>845946.47373008216</v>
      </c>
      <c r="H41" s="72">
        <f t="shared" si="0"/>
        <v>784340.28057894914</v>
      </c>
      <c r="I41" s="72">
        <f t="shared" si="0"/>
        <v>9020813.2289738692</v>
      </c>
      <c r="J41" s="72">
        <f t="shared" si="0"/>
        <v>8033730.6398438234</v>
      </c>
      <c r="K41" s="72">
        <f t="shared" si="0"/>
        <v>966430.4799699994</v>
      </c>
      <c r="L41" s="72">
        <f t="shared" si="0"/>
        <v>509281.36941968638</v>
      </c>
      <c r="M41" s="72">
        <f t="shared" si="0"/>
        <v>1927258.2176335806</v>
      </c>
      <c r="N41" s="72">
        <f t="shared" si="0"/>
        <v>2926974.564829086</v>
      </c>
      <c r="O41" s="72">
        <f t="shared" si="0"/>
        <v>27041915.216173131</v>
      </c>
      <c r="P41" s="72">
        <f t="shared" si="0"/>
        <v>203334.05902702044</v>
      </c>
      <c r="Q41" s="72">
        <f t="shared" si="0"/>
        <v>55612462.625966743</v>
      </c>
    </row>
    <row r="42" spans="2:17" ht="14.5" customHeight="1" x14ac:dyDescent="0.35">
      <c r="B42" s="369" t="s">
        <v>142</v>
      </c>
      <c r="C42" s="301"/>
      <c r="D42" s="301"/>
      <c r="E42" s="301"/>
      <c r="F42" s="301"/>
      <c r="G42" s="301"/>
      <c r="H42" s="301"/>
      <c r="I42" s="301"/>
      <c r="J42" s="301"/>
      <c r="K42" s="301"/>
      <c r="L42" s="301"/>
      <c r="M42" s="301"/>
      <c r="N42" s="301"/>
      <c r="O42" s="301"/>
      <c r="P42" s="301"/>
      <c r="Q42" s="302"/>
    </row>
    <row r="43" spans="2:17" ht="15.5" customHeight="1" x14ac:dyDescent="0.35">
      <c r="B43" s="67" t="s">
        <v>143</v>
      </c>
      <c r="C43" s="70">
        <v>4676.3130000000001</v>
      </c>
      <c r="D43" s="70">
        <v>155719.18900000001</v>
      </c>
      <c r="E43" s="70">
        <v>204847.06299999999</v>
      </c>
      <c r="F43" s="70">
        <v>583026.25899999996</v>
      </c>
      <c r="G43" s="70">
        <v>103183.204</v>
      </c>
      <c r="H43" s="70">
        <v>53777.597000000002</v>
      </c>
      <c r="I43" s="70">
        <v>27024.171999999999</v>
      </c>
      <c r="J43" s="70">
        <v>115466.91899999999</v>
      </c>
      <c r="K43" s="70">
        <v>0</v>
      </c>
      <c r="L43" s="70">
        <v>50522.303999999996</v>
      </c>
      <c r="M43" s="70">
        <v>2659.069</v>
      </c>
      <c r="N43" s="70">
        <v>5318.1360000000004</v>
      </c>
      <c r="O43" s="70">
        <v>420061.63400000002</v>
      </c>
      <c r="P43" s="70">
        <v>207407.359</v>
      </c>
      <c r="Q43" s="73">
        <v>1933689.2180000001</v>
      </c>
    </row>
    <row r="44" spans="2:17" ht="15.5" customHeight="1" x14ac:dyDescent="0.35">
      <c r="B44" s="67" t="s">
        <v>144</v>
      </c>
      <c r="C44" s="70">
        <v>932.69701096247229</v>
      </c>
      <c r="D44" s="70">
        <v>9181.7474734586922</v>
      </c>
      <c r="E44" s="70">
        <v>0</v>
      </c>
      <c r="F44" s="70">
        <v>546139.83032880467</v>
      </c>
      <c r="G44" s="70">
        <v>22505.067875423469</v>
      </c>
      <c r="H44" s="70">
        <v>50382.274591993802</v>
      </c>
      <c r="I44" s="70">
        <v>0</v>
      </c>
      <c r="J44" s="70">
        <v>124013.48580540231</v>
      </c>
      <c r="K44" s="70">
        <v>0</v>
      </c>
      <c r="L44" s="70">
        <v>47657.195666517982</v>
      </c>
      <c r="M44" s="70">
        <v>0</v>
      </c>
      <c r="N44" s="70">
        <v>0</v>
      </c>
      <c r="O44" s="70">
        <v>357483.57284199382</v>
      </c>
      <c r="P44" s="70">
        <v>205206.66323753851</v>
      </c>
      <c r="Q44" s="73">
        <v>1363502.534832096</v>
      </c>
    </row>
    <row r="45" spans="2:17" ht="15.5" customHeight="1" x14ac:dyDescent="0.35">
      <c r="B45" s="67" t="s">
        <v>145</v>
      </c>
      <c r="C45" s="70">
        <v>610.20399999999995</v>
      </c>
      <c r="D45" s="70">
        <v>36223.394</v>
      </c>
      <c r="E45" s="70">
        <v>25458.077000000001</v>
      </c>
      <c r="F45" s="70">
        <v>176193.429</v>
      </c>
      <c r="G45" s="70">
        <v>24008.492999999999</v>
      </c>
      <c r="H45" s="70">
        <v>26797.863000000001</v>
      </c>
      <c r="I45" s="70">
        <v>28509.376</v>
      </c>
      <c r="J45" s="70">
        <v>30885.154999999999</v>
      </c>
      <c r="K45" s="70">
        <v>0</v>
      </c>
      <c r="L45" s="70">
        <v>1975.8150000000001</v>
      </c>
      <c r="M45" s="70">
        <v>4670.3890000000001</v>
      </c>
      <c r="N45" s="70">
        <v>13103.54</v>
      </c>
      <c r="O45" s="70">
        <v>96179.642000000007</v>
      </c>
      <c r="P45" s="70">
        <v>56621.273000000001</v>
      </c>
      <c r="Q45" s="73">
        <v>521236.65</v>
      </c>
    </row>
    <row r="46" spans="2:17" ht="15.5" customHeight="1" x14ac:dyDescent="0.35">
      <c r="B46" s="64" t="s">
        <v>146</v>
      </c>
      <c r="C46" s="70">
        <v>26617.938600000001</v>
      </c>
      <c r="D46" s="70">
        <v>-568918.28932999831</v>
      </c>
      <c r="E46" s="70">
        <v>13385.788930000001</v>
      </c>
      <c r="F46" s="70">
        <v>893574.22651999979</v>
      </c>
      <c r="G46" s="70">
        <v>33883.287499999999</v>
      </c>
      <c r="H46" s="70">
        <v>27692.392869999949</v>
      </c>
      <c r="I46" s="70">
        <v>3802.0976300000002</v>
      </c>
      <c r="J46" s="70">
        <v>208668.00122999999</v>
      </c>
      <c r="K46" s="70">
        <v>0</v>
      </c>
      <c r="L46" s="70">
        <v>82022.504380000013</v>
      </c>
      <c r="M46" s="70">
        <v>12906.042450000001</v>
      </c>
      <c r="N46" s="70">
        <v>23664.948039999999</v>
      </c>
      <c r="O46" s="70">
        <v>378275.92745999998</v>
      </c>
      <c r="P46" s="70">
        <v>487724.66857999988</v>
      </c>
      <c r="Q46" s="73">
        <v>1623299.5348600009</v>
      </c>
    </row>
    <row r="47" spans="2:17" ht="15.5" customHeight="1" x14ac:dyDescent="0.35">
      <c r="B47" s="67" t="s">
        <v>147</v>
      </c>
      <c r="C47" s="70">
        <v>-40652.301754836437</v>
      </c>
      <c r="D47" s="70">
        <v>-55915.839129359163</v>
      </c>
      <c r="E47" s="70">
        <v>110970.9647582</v>
      </c>
      <c r="F47" s="70">
        <v>421063.13097908709</v>
      </c>
      <c r="G47" s="70">
        <v>54045.454321999998</v>
      </c>
      <c r="H47" s="70">
        <v>23591.39139889937</v>
      </c>
      <c r="I47" s="70">
        <v>16398.257509285519</v>
      </c>
      <c r="J47" s="70">
        <v>42409.350565236091</v>
      </c>
      <c r="K47" s="70">
        <v>0</v>
      </c>
      <c r="L47" s="70">
        <v>274920.06419930613</v>
      </c>
      <c r="M47" s="70">
        <v>14420.258</v>
      </c>
      <c r="N47" s="70">
        <v>0</v>
      </c>
      <c r="O47" s="70">
        <v>7906.0690000000004</v>
      </c>
      <c r="P47" s="70">
        <v>48909.943730000014</v>
      </c>
      <c r="Q47" s="73">
        <v>918066.74357781874</v>
      </c>
    </row>
    <row r="48" spans="2:17" ht="15.5" customHeight="1" x14ac:dyDescent="0.35">
      <c r="B48" s="71" t="s">
        <v>7</v>
      </c>
      <c r="C48" s="72">
        <f t="shared" ref="C48:Q48" si="1">SUM(C43:C47)</f>
        <v>-7815.1491438739613</v>
      </c>
      <c r="D48" s="72">
        <f t="shared" si="1"/>
        <v>-423709.79798589874</v>
      </c>
      <c r="E48" s="72">
        <f t="shared" si="1"/>
        <v>354661.89368819998</v>
      </c>
      <c r="F48" s="72">
        <f t="shared" si="1"/>
        <v>2619996.8758278918</v>
      </c>
      <c r="G48" s="72">
        <f t="shared" si="1"/>
        <v>237625.50669742347</v>
      </c>
      <c r="H48" s="72">
        <f t="shared" si="1"/>
        <v>182241.51886089312</v>
      </c>
      <c r="I48" s="72">
        <f t="shared" si="1"/>
        <v>75733.90313928551</v>
      </c>
      <c r="J48" s="72">
        <f t="shared" si="1"/>
        <v>521442.91160063841</v>
      </c>
      <c r="K48" s="72">
        <f t="shared" si="1"/>
        <v>0</v>
      </c>
      <c r="L48" s="72">
        <f t="shared" si="1"/>
        <v>457097.88324582414</v>
      </c>
      <c r="M48" s="72">
        <f t="shared" si="1"/>
        <v>34655.758450000001</v>
      </c>
      <c r="N48" s="72">
        <f t="shared" si="1"/>
        <v>42086.624039999995</v>
      </c>
      <c r="O48" s="72">
        <f t="shared" si="1"/>
        <v>1259906.8453019937</v>
      </c>
      <c r="P48" s="72">
        <f t="shared" si="1"/>
        <v>1005869.9075475384</v>
      </c>
      <c r="Q48" s="72">
        <f t="shared" si="1"/>
        <v>6359794.6812699148</v>
      </c>
    </row>
    <row r="49" spans="2:17" ht="14.5" customHeight="1" x14ac:dyDescent="0.35">
      <c r="B49" s="326" t="s">
        <v>149</v>
      </c>
      <c r="C49" s="308"/>
      <c r="D49" s="308"/>
      <c r="E49" s="308"/>
      <c r="F49" s="308"/>
      <c r="G49" s="308"/>
      <c r="H49" s="308"/>
      <c r="I49" s="308"/>
      <c r="J49" s="308"/>
      <c r="K49" s="308"/>
      <c r="L49" s="308"/>
      <c r="M49" s="308"/>
      <c r="N49" s="308"/>
      <c r="O49" s="308"/>
      <c r="P49" s="308"/>
      <c r="Q49" s="308"/>
    </row>
  </sheetData>
  <sheetProtection algorithmName="SHA-512" hashValue="opCwYH6Ct8f7dfGZS7Fgfi0A1htc64nDG/EM21meYQu1dGAl0MQswEsW8ry/ihqpLtb4ZRwAyJm9TkWNmyQHPw==" saltValue="8At4ZvVoIL8nMEvaU/ZZYA==" spinCount="100000" sheet="1" objects="1" scenarios="1"/>
  <mergeCells count="4">
    <mergeCell ref="B42:Q42"/>
    <mergeCell ref="B49:Q49"/>
    <mergeCell ref="B3:Q3"/>
    <mergeCell ref="B5:Q5"/>
  </mergeCells>
  <pageMargins left="0.7" right="0.7" top="0.75" bottom="0.75" header="0.3" footer="0.3"/>
  <pageSetup paperSize="9" scale="33"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8">
    <tabColor rgb="FFA2D668"/>
    <pageSetUpPr fitToPage="1"/>
  </sheetPr>
  <dimension ref="B3:Q49"/>
  <sheetViews>
    <sheetView showGridLines="0" topLeftCell="G17" zoomScale="70" zoomScaleNormal="70" workbookViewId="0">
      <selection activeCell="J41" sqref="J41:K41"/>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19" width="9.453125" style="2" customWidth="1"/>
    <col min="120" max="16384" width="9.453125" style="2"/>
  </cols>
  <sheetData>
    <row r="3" spans="2:17" ht="14.5" customHeight="1" x14ac:dyDescent="0.35">
      <c r="B3" s="370" t="str">
        <f>_xlfn.CONCAT("NEPI: SUMMARY OF NET EARNED PREMIUM UNDER GENERAL INSURANCE BUSINESS FOR THE PERIOD ENDED"," ",Details!F18)</f>
        <v>NEPI: SUMMARY OF NET EARNED PREMIUM UNDER GENERAL INSURANCE BUSINESS FOR THE PERIOD ENDED 31.03.2026</v>
      </c>
      <c r="C3" s="301"/>
      <c r="D3" s="301"/>
      <c r="E3" s="301"/>
      <c r="F3" s="301"/>
      <c r="G3" s="301"/>
      <c r="H3" s="301"/>
      <c r="I3" s="301"/>
      <c r="J3" s="301"/>
      <c r="K3" s="301"/>
      <c r="L3" s="301"/>
      <c r="M3" s="301"/>
      <c r="N3" s="301"/>
      <c r="O3" s="301"/>
      <c r="P3" s="301"/>
      <c r="Q3" s="302"/>
    </row>
    <row r="4" spans="2:17" ht="31" customHeight="1"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7" ht="14.5" customHeight="1" x14ac:dyDescent="0.35">
      <c r="B5" s="368" t="s">
        <v>106</v>
      </c>
      <c r="C5" s="301"/>
      <c r="D5" s="301"/>
      <c r="E5" s="301"/>
      <c r="F5" s="301"/>
      <c r="G5" s="301"/>
      <c r="H5" s="301"/>
      <c r="I5" s="301"/>
      <c r="J5" s="301"/>
      <c r="K5" s="301"/>
      <c r="L5" s="301"/>
      <c r="M5" s="301"/>
      <c r="N5" s="301"/>
      <c r="O5" s="301"/>
      <c r="P5" s="301"/>
      <c r="Q5" s="302"/>
    </row>
    <row r="6" spans="2:17" ht="15.5" customHeight="1" x14ac:dyDescent="0.35">
      <c r="B6" s="67" t="s">
        <v>107</v>
      </c>
      <c r="C6" s="70">
        <v>0</v>
      </c>
      <c r="D6" s="70">
        <v>501.17637915671469</v>
      </c>
      <c r="E6" s="70">
        <v>178.2726388076394</v>
      </c>
      <c r="F6" s="70">
        <v>-172.28136702746619</v>
      </c>
      <c r="G6" s="70">
        <v>13110.91712128767</v>
      </c>
      <c r="H6" s="70">
        <v>1236.5433893203231</v>
      </c>
      <c r="I6" s="70">
        <v>1260.4388511067989</v>
      </c>
      <c r="J6" s="70">
        <v>323.62077534246578</v>
      </c>
      <c r="K6" s="70">
        <v>0</v>
      </c>
      <c r="L6" s="70">
        <v>6175.4984011794349</v>
      </c>
      <c r="M6" s="70">
        <v>2446.1786108735678</v>
      </c>
      <c r="N6" s="70">
        <v>27333.326469703788</v>
      </c>
      <c r="O6" s="70">
        <v>2079609.412234463</v>
      </c>
      <c r="P6" s="70">
        <v>4701.3224426177403</v>
      </c>
      <c r="Q6" s="73">
        <v>2136704.4259468322</v>
      </c>
    </row>
    <row r="7" spans="2:17" ht="15.5" customHeight="1" x14ac:dyDescent="0.35">
      <c r="B7" s="67" t="s">
        <v>108</v>
      </c>
      <c r="C7" s="70">
        <v>-568.9408771973774</v>
      </c>
      <c r="D7" s="70">
        <v>1285.727475302238</v>
      </c>
      <c r="E7" s="70">
        <v>-322.06007254913362</v>
      </c>
      <c r="F7" s="70">
        <v>-1296.5768565540759</v>
      </c>
      <c r="G7" s="70">
        <v>17386.851283472621</v>
      </c>
      <c r="H7" s="70">
        <v>-7336.8689917186348</v>
      </c>
      <c r="I7" s="70">
        <v>107080.3534214181</v>
      </c>
      <c r="J7" s="70">
        <v>407385.19188136072</v>
      </c>
      <c r="K7" s="70">
        <v>205976.7784837455</v>
      </c>
      <c r="L7" s="70">
        <v>2892.3567164276969</v>
      </c>
      <c r="M7" s="70">
        <v>-2197.5556947930081</v>
      </c>
      <c r="N7" s="70">
        <v>-3375.3634947418941</v>
      </c>
      <c r="O7" s="70">
        <v>-5.2322587259742361</v>
      </c>
      <c r="P7" s="70">
        <v>3261.6011045532041</v>
      </c>
      <c r="Q7" s="73">
        <v>730166.26211999985</v>
      </c>
    </row>
    <row r="8" spans="2:17" ht="15.5" customHeight="1" x14ac:dyDescent="0.35">
      <c r="B8" s="67" t="s">
        <v>109</v>
      </c>
      <c r="C8" s="70">
        <v>166.99600000000001</v>
      </c>
      <c r="D8" s="70">
        <v>31161.228322789</v>
      </c>
      <c r="E8" s="70">
        <v>28249.46897749999</v>
      </c>
      <c r="F8" s="70">
        <v>144311.68468052099</v>
      </c>
      <c r="G8" s="70">
        <v>29990.58069915649</v>
      </c>
      <c r="H8" s="70">
        <v>47939.054302155921</v>
      </c>
      <c r="I8" s="70">
        <v>703940.15026825806</v>
      </c>
      <c r="J8" s="70">
        <v>637788.77460916492</v>
      </c>
      <c r="K8" s="70">
        <v>0</v>
      </c>
      <c r="L8" s="70">
        <v>47551.600147274999</v>
      </c>
      <c r="M8" s="70">
        <v>63954.018936635497</v>
      </c>
      <c r="N8" s="70">
        <v>156290.4386354521</v>
      </c>
      <c r="O8" s="70">
        <v>1104006.5102400009</v>
      </c>
      <c r="P8" s="70">
        <v>73886.338477717611</v>
      </c>
      <c r="Q8" s="73">
        <v>3069236.8442966258</v>
      </c>
    </row>
    <row r="9" spans="2:17" ht="15.5" customHeight="1" x14ac:dyDescent="0.35">
      <c r="B9" s="67" t="s">
        <v>110</v>
      </c>
      <c r="C9" s="70">
        <v>-1624.9845373552289</v>
      </c>
      <c r="D9" s="70">
        <v>12217.67692927307</v>
      </c>
      <c r="E9" s="70">
        <v>32184.41029</v>
      </c>
      <c r="F9" s="70">
        <v>99926.62836817163</v>
      </c>
      <c r="G9" s="70">
        <v>56987.581326416701</v>
      </c>
      <c r="H9" s="70">
        <v>21077.744587221168</v>
      </c>
      <c r="I9" s="70">
        <v>421187.00383830362</v>
      </c>
      <c r="J9" s="70">
        <v>172794.64452171899</v>
      </c>
      <c r="K9" s="70">
        <v>0</v>
      </c>
      <c r="L9" s="70">
        <v>71621.703715448049</v>
      </c>
      <c r="M9" s="70">
        <v>33669.858641319261</v>
      </c>
      <c r="N9" s="70">
        <v>198589.91046082039</v>
      </c>
      <c r="O9" s="70">
        <v>1668215.5539422489</v>
      </c>
      <c r="P9" s="70">
        <v>8854.119210901983</v>
      </c>
      <c r="Q9" s="73">
        <v>2795701.8512944891</v>
      </c>
    </row>
    <row r="10" spans="2:17" ht="15.5" customHeight="1" x14ac:dyDescent="0.35">
      <c r="B10" s="67" t="s">
        <v>111</v>
      </c>
      <c r="C10" s="70">
        <v>0</v>
      </c>
      <c r="D10" s="70">
        <v>0</v>
      </c>
      <c r="E10" s="70">
        <v>0</v>
      </c>
      <c r="F10" s="70">
        <v>0</v>
      </c>
      <c r="G10" s="70">
        <v>0</v>
      </c>
      <c r="H10" s="70">
        <v>0</v>
      </c>
      <c r="I10" s="70">
        <v>0</v>
      </c>
      <c r="J10" s="70">
        <v>0</v>
      </c>
      <c r="K10" s="70">
        <v>0</v>
      </c>
      <c r="L10" s="70">
        <v>0</v>
      </c>
      <c r="M10" s="70">
        <v>0</v>
      </c>
      <c r="N10" s="70">
        <v>0</v>
      </c>
      <c r="O10" s="70">
        <v>490264.34600000002</v>
      </c>
      <c r="P10" s="70">
        <v>0</v>
      </c>
      <c r="Q10" s="73">
        <v>490264.34600000002</v>
      </c>
    </row>
    <row r="11" spans="2:17" ht="15.5" customHeight="1" x14ac:dyDescent="0.35">
      <c r="B11" s="67" t="s">
        <v>112</v>
      </c>
      <c r="C11" s="70">
        <v>0</v>
      </c>
      <c r="D11" s="70">
        <v>4045.5153035229241</v>
      </c>
      <c r="E11" s="70">
        <v>-2219.632013295492</v>
      </c>
      <c r="F11" s="70">
        <v>9203.077529815755</v>
      </c>
      <c r="G11" s="70">
        <v>6639.3676948430711</v>
      </c>
      <c r="H11" s="70">
        <v>6825.2060470070874</v>
      </c>
      <c r="I11" s="70">
        <v>353529.37350730109</v>
      </c>
      <c r="J11" s="70">
        <v>115750.9611293522</v>
      </c>
      <c r="K11" s="70">
        <v>0</v>
      </c>
      <c r="L11" s="70">
        <v>1123.300954954756</v>
      </c>
      <c r="M11" s="70">
        <v>639.95570516082273</v>
      </c>
      <c r="N11" s="70">
        <v>13596.593364654151</v>
      </c>
      <c r="O11" s="70">
        <v>0</v>
      </c>
      <c r="P11" s="70">
        <v>-10128.10181688629</v>
      </c>
      <c r="Q11" s="73">
        <v>499005.61740643007</v>
      </c>
    </row>
    <row r="12" spans="2:17" ht="15.5" customHeight="1" x14ac:dyDescent="0.35">
      <c r="B12" s="67" t="s">
        <v>113</v>
      </c>
      <c r="C12" s="70">
        <v>0</v>
      </c>
      <c r="D12" s="70">
        <v>18967.19889</v>
      </c>
      <c r="E12" s="70">
        <v>22740.688229999989</v>
      </c>
      <c r="F12" s="70">
        <v>57938.259770000041</v>
      </c>
      <c r="G12" s="70">
        <v>22783.66550000001</v>
      </c>
      <c r="H12" s="70">
        <v>13649.554249999999</v>
      </c>
      <c r="I12" s="70">
        <v>933489.9360799999</v>
      </c>
      <c r="J12" s="70">
        <v>725643.04442000005</v>
      </c>
      <c r="K12" s="70">
        <v>0</v>
      </c>
      <c r="L12" s="70">
        <v>16862.947730000022</v>
      </c>
      <c r="M12" s="70">
        <v>120694.5861800001</v>
      </c>
      <c r="N12" s="70">
        <v>118030.24109</v>
      </c>
      <c r="O12" s="70">
        <v>2413421.517570002</v>
      </c>
      <c r="P12" s="70">
        <v>12341.344029999989</v>
      </c>
      <c r="Q12" s="73">
        <v>4476562.9837400019</v>
      </c>
    </row>
    <row r="13" spans="2:17" ht="15.5"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115</v>
      </c>
      <c r="C14" s="70">
        <v>0</v>
      </c>
      <c r="D14" s="70">
        <v>0</v>
      </c>
      <c r="E14" s="70">
        <v>0</v>
      </c>
      <c r="F14" s="70">
        <v>89.200010000000006</v>
      </c>
      <c r="G14" s="70">
        <v>0</v>
      </c>
      <c r="H14" s="70">
        <v>0</v>
      </c>
      <c r="I14" s="70">
        <v>87861.177551962173</v>
      </c>
      <c r="J14" s="70">
        <v>25571.421201634701</v>
      </c>
      <c r="K14" s="70">
        <v>624603.93923934805</v>
      </c>
      <c r="L14" s="70">
        <v>0</v>
      </c>
      <c r="M14" s="70">
        <v>0</v>
      </c>
      <c r="N14" s="70">
        <v>0</v>
      </c>
      <c r="O14" s="70">
        <v>0</v>
      </c>
      <c r="P14" s="70">
        <v>0</v>
      </c>
      <c r="Q14" s="73">
        <v>738125.73800294497</v>
      </c>
    </row>
    <row r="15" spans="2:17" ht="15.5" customHeight="1" x14ac:dyDescent="0.35">
      <c r="B15" s="67" t="s">
        <v>116</v>
      </c>
      <c r="C15" s="70">
        <v>0</v>
      </c>
      <c r="D15" s="70">
        <v>524.78319329365058</v>
      </c>
      <c r="E15" s="70">
        <v>198.05984579081399</v>
      </c>
      <c r="F15" s="70">
        <v>21122.16505729924</v>
      </c>
      <c r="G15" s="70">
        <v>47381.299450785737</v>
      </c>
      <c r="H15" s="70">
        <v>52.89406050913292</v>
      </c>
      <c r="I15" s="70">
        <v>-28.007679999999699</v>
      </c>
      <c r="J15" s="70">
        <v>0</v>
      </c>
      <c r="K15" s="70">
        <v>0</v>
      </c>
      <c r="L15" s="70">
        <v>-4588.2419033066572</v>
      </c>
      <c r="M15" s="70">
        <v>382464.04259561491</v>
      </c>
      <c r="N15" s="70">
        <v>731.98829283315501</v>
      </c>
      <c r="O15" s="70">
        <v>2803.9099205378461</v>
      </c>
      <c r="P15" s="70">
        <v>-368117.40124164388</v>
      </c>
      <c r="Q15" s="73">
        <v>82545.491591713842</v>
      </c>
    </row>
    <row r="16" spans="2:17" ht="15.5" customHeight="1" x14ac:dyDescent="0.35">
      <c r="B16" s="67" t="s">
        <v>117</v>
      </c>
      <c r="C16" s="70">
        <v>0</v>
      </c>
      <c r="D16" s="70">
        <v>0</v>
      </c>
      <c r="E16" s="70">
        <v>0</v>
      </c>
      <c r="F16" s="70">
        <v>0</v>
      </c>
      <c r="G16" s="70">
        <v>0</v>
      </c>
      <c r="H16" s="70">
        <v>0</v>
      </c>
      <c r="I16" s="70">
        <v>0</v>
      </c>
      <c r="J16" s="70">
        <v>0</v>
      </c>
      <c r="K16" s="70">
        <v>0</v>
      </c>
      <c r="L16" s="70">
        <v>0</v>
      </c>
      <c r="M16" s="70">
        <v>0</v>
      </c>
      <c r="N16" s="70">
        <v>0</v>
      </c>
      <c r="O16" s="70">
        <v>189138.15436231301</v>
      </c>
      <c r="P16" s="70">
        <v>0</v>
      </c>
      <c r="Q16" s="73">
        <v>189138.15436231301</v>
      </c>
    </row>
    <row r="17" spans="2:17" ht="15.5" customHeight="1" x14ac:dyDescent="0.35">
      <c r="B17" s="67" t="s">
        <v>118</v>
      </c>
      <c r="C17" s="70">
        <v>3.6579999999999999</v>
      </c>
      <c r="D17" s="70">
        <v>5090.2539999999999</v>
      </c>
      <c r="E17" s="70">
        <v>5616.8909999999996</v>
      </c>
      <c r="F17" s="70">
        <v>9606.3539999999994</v>
      </c>
      <c r="G17" s="70">
        <v>17000.617999999999</v>
      </c>
      <c r="H17" s="70">
        <v>8855.1980000000003</v>
      </c>
      <c r="I17" s="70">
        <v>382917.223</v>
      </c>
      <c r="J17" s="70">
        <v>259201.08</v>
      </c>
      <c r="K17" s="70">
        <v>5034.509</v>
      </c>
      <c r="L17" s="70">
        <v>1918.1880000000001</v>
      </c>
      <c r="M17" s="70">
        <v>9780.5830000000005</v>
      </c>
      <c r="N17" s="70">
        <v>73677.816000000006</v>
      </c>
      <c r="O17" s="70">
        <v>82431.672999999995</v>
      </c>
      <c r="P17" s="70">
        <v>9760.7379999999994</v>
      </c>
      <c r="Q17" s="73">
        <v>870894.78300000005</v>
      </c>
    </row>
    <row r="18" spans="2:17" ht="15.5" customHeight="1" x14ac:dyDescent="0.35">
      <c r="B18" s="67" t="s">
        <v>119</v>
      </c>
      <c r="C18" s="70">
        <v>0</v>
      </c>
      <c r="D18" s="70">
        <v>4127.8889749999944</v>
      </c>
      <c r="E18" s="70">
        <v>11232.809102999991</v>
      </c>
      <c r="F18" s="70">
        <v>22642.169023999992</v>
      </c>
      <c r="G18" s="70">
        <v>8161.5511679999981</v>
      </c>
      <c r="H18" s="70">
        <v>11051.074343</v>
      </c>
      <c r="I18" s="70">
        <v>182924.25494499999</v>
      </c>
      <c r="J18" s="70">
        <v>147483.91095600001</v>
      </c>
      <c r="K18" s="70">
        <v>37581.828000000001</v>
      </c>
      <c r="L18" s="70">
        <v>65419.905983999997</v>
      </c>
      <c r="M18" s="70">
        <v>35939.901199</v>
      </c>
      <c r="N18" s="70">
        <v>14515.518651</v>
      </c>
      <c r="O18" s="70">
        <v>394046.7862700001</v>
      </c>
      <c r="P18" s="70">
        <v>4387.4458515000042</v>
      </c>
      <c r="Q18" s="73">
        <v>939515.04446950019</v>
      </c>
    </row>
    <row r="19" spans="2:17" ht="15.5" customHeight="1" x14ac:dyDescent="0.35">
      <c r="B19" s="67" t="s">
        <v>120</v>
      </c>
      <c r="C19" s="70">
        <v>6960.5370000000003</v>
      </c>
      <c r="D19" s="70">
        <v>57114.605000000003</v>
      </c>
      <c r="E19" s="70">
        <v>40892.813000000002</v>
      </c>
      <c r="F19" s="70">
        <v>-36894.747000000003</v>
      </c>
      <c r="G19" s="70">
        <v>6355.5640000000003</v>
      </c>
      <c r="H19" s="70">
        <v>80124.441999999995</v>
      </c>
      <c r="I19" s="70">
        <v>388500.91800000001</v>
      </c>
      <c r="J19" s="70">
        <v>285848.64299999998</v>
      </c>
      <c r="K19" s="70">
        <v>56914.79</v>
      </c>
      <c r="L19" s="70">
        <v>14794.65</v>
      </c>
      <c r="M19" s="70">
        <v>116352.90300000001</v>
      </c>
      <c r="N19" s="70">
        <v>227926.253</v>
      </c>
      <c r="O19" s="70">
        <v>405228.49800000002</v>
      </c>
      <c r="P19" s="70">
        <v>42401.654999999999</v>
      </c>
      <c r="Q19" s="73">
        <v>1692521.524</v>
      </c>
    </row>
    <row r="20" spans="2:17" ht="15.5" customHeight="1" x14ac:dyDescent="0.35">
      <c r="B20" s="67" t="s">
        <v>121</v>
      </c>
      <c r="C20" s="70">
        <v>2080.3710000000001</v>
      </c>
      <c r="D20" s="70">
        <v>11069.674000000001</v>
      </c>
      <c r="E20" s="70">
        <v>14349.052</v>
      </c>
      <c r="F20" s="70">
        <v>54584.017</v>
      </c>
      <c r="G20" s="70">
        <v>26630.612000000001</v>
      </c>
      <c r="H20" s="70">
        <v>31077.57</v>
      </c>
      <c r="I20" s="70">
        <v>249718.899</v>
      </c>
      <c r="J20" s="70">
        <v>281945.42599999998</v>
      </c>
      <c r="K20" s="70">
        <v>0</v>
      </c>
      <c r="L20" s="70">
        <v>11658.6</v>
      </c>
      <c r="M20" s="70">
        <v>26678.169000000002</v>
      </c>
      <c r="N20" s="70">
        <v>96839.081999999995</v>
      </c>
      <c r="O20" s="70">
        <v>0</v>
      </c>
      <c r="P20" s="70">
        <v>-5202.9390000000003</v>
      </c>
      <c r="Q20" s="73">
        <v>801428.53300000005</v>
      </c>
    </row>
    <row r="21" spans="2:17" ht="15.5" customHeight="1" x14ac:dyDescent="0.35">
      <c r="B21" s="67" t="s">
        <v>122</v>
      </c>
      <c r="C21" s="70">
        <v>2456.5369999999998</v>
      </c>
      <c r="D21" s="70">
        <v>13330.528</v>
      </c>
      <c r="E21" s="70">
        <v>24900.043000000001</v>
      </c>
      <c r="F21" s="70">
        <v>50592.381999999998</v>
      </c>
      <c r="G21" s="70">
        <v>13447.716</v>
      </c>
      <c r="H21" s="70">
        <v>26141.213</v>
      </c>
      <c r="I21" s="70">
        <v>590615.37399999995</v>
      </c>
      <c r="J21" s="70">
        <v>148928.14300000001</v>
      </c>
      <c r="K21" s="70">
        <v>0</v>
      </c>
      <c r="L21" s="70">
        <v>35156.921999999999</v>
      </c>
      <c r="M21" s="70">
        <v>37553.834000000003</v>
      </c>
      <c r="N21" s="70">
        <v>188681.655</v>
      </c>
      <c r="O21" s="70">
        <v>61881.917000000001</v>
      </c>
      <c r="P21" s="70">
        <v>5585.5259999999998</v>
      </c>
      <c r="Q21" s="73">
        <v>1199271.79</v>
      </c>
    </row>
    <row r="22" spans="2:17" ht="15.5" customHeight="1" x14ac:dyDescent="0.35">
      <c r="B22" s="67" t="s">
        <v>123</v>
      </c>
      <c r="C22" s="70">
        <v>0</v>
      </c>
      <c r="D22" s="70">
        <v>44811.85</v>
      </c>
      <c r="E22" s="70">
        <v>12684.962</v>
      </c>
      <c r="F22" s="70">
        <v>40077.911</v>
      </c>
      <c r="G22" s="70">
        <v>7339.0990000000002</v>
      </c>
      <c r="H22" s="70">
        <v>48649.201000000001</v>
      </c>
      <c r="I22" s="70">
        <v>204902.397</v>
      </c>
      <c r="J22" s="70">
        <v>88406.884999999995</v>
      </c>
      <c r="K22" s="70">
        <v>25247.882000000001</v>
      </c>
      <c r="L22" s="70">
        <v>3717.415</v>
      </c>
      <c r="M22" s="70">
        <v>21580.548999999999</v>
      </c>
      <c r="N22" s="70">
        <v>82314.278000000006</v>
      </c>
      <c r="O22" s="70">
        <v>0</v>
      </c>
      <c r="P22" s="70">
        <v>66390.978000000003</v>
      </c>
      <c r="Q22" s="73">
        <v>646123.40700000001</v>
      </c>
    </row>
    <row r="23" spans="2:17" ht="15.5" customHeight="1" x14ac:dyDescent="0.35">
      <c r="B23" s="67" t="s">
        <v>124</v>
      </c>
      <c r="C23" s="70">
        <v>0</v>
      </c>
      <c r="D23" s="70">
        <v>0</v>
      </c>
      <c r="E23" s="70">
        <v>0</v>
      </c>
      <c r="F23" s="70">
        <v>0</v>
      </c>
      <c r="G23" s="70">
        <v>0</v>
      </c>
      <c r="H23" s="70">
        <v>0</v>
      </c>
      <c r="I23" s="70">
        <v>0</v>
      </c>
      <c r="J23" s="70">
        <v>0</v>
      </c>
      <c r="K23" s="70">
        <v>0</v>
      </c>
      <c r="L23" s="70">
        <v>0</v>
      </c>
      <c r="M23" s="70">
        <v>0</v>
      </c>
      <c r="N23" s="70">
        <v>0</v>
      </c>
      <c r="O23" s="70">
        <v>3419789.9757490908</v>
      </c>
      <c r="P23" s="70">
        <v>0</v>
      </c>
      <c r="Q23" s="73">
        <v>3419789.9757490908</v>
      </c>
    </row>
    <row r="24" spans="2:17" ht="15.5" customHeight="1" x14ac:dyDescent="0.35">
      <c r="B24" s="67" t="s">
        <v>125</v>
      </c>
      <c r="C24" s="70">
        <v>0</v>
      </c>
      <c r="D24" s="70">
        <v>-4930.9279999999999</v>
      </c>
      <c r="E24" s="70">
        <v>5511.2749999999996</v>
      </c>
      <c r="F24" s="70">
        <v>7991.8909999999996</v>
      </c>
      <c r="G24" s="70">
        <v>7441.027</v>
      </c>
      <c r="H24" s="70">
        <v>22407.752</v>
      </c>
      <c r="I24" s="70">
        <v>136609.92499999999</v>
      </c>
      <c r="J24" s="70">
        <v>86258.616999999998</v>
      </c>
      <c r="K24" s="70">
        <v>0</v>
      </c>
      <c r="L24" s="70">
        <v>1903.0050000000001</v>
      </c>
      <c r="M24" s="70">
        <v>14718.687</v>
      </c>
      <c r="N24" s="70">
        <v>60983.866999999998</v>
      </c>
      <c r="O24" s="70">
        <v>17143.545999999998</v>
      </c>
      <c r="P24" s="70">
        <v>1640.7360000000001</v>
      </c>
      <c r="Q24" s="73">
        <v>357679.4</v>
      </c>
    </row>
    <row r="25" spans="2:17" ht="15.5" customHeight="1" x14ac:dyDescent="0.35">
      <c r="B25" s="67" t="s">
        <v>126</v>
      </c>
      <c r="C25" s="70">
        <v>0</v>
      </c>
      <c r="D25" s="70">
        <v>-2386.1193262168758</v>
      </c>
      <c r="E25" s="70">
        <v>6848.7450700000172</v>
      </c>
      <c r="F25" s="70">
        <v>18605.650846675639</v>
      </c>
      <c r="G25" s="70">
        <v>-8484.7692793395363</v>
      </c>
      <c r="H25" s="70">
        <v>875.58693535069926</v>
      </c>
      <c r="I25" s="70">
        <v>87691.055542012487</v>
      </c>
      <c r="J25" s="70">
        <v>48723.654404817433</v>
      </c>
      <c r="K25" s="70">
        <v>2935.0509999999999</v>
      </c>
      <c r="L25" s="70">
        <v>1015.2499891126</v>
      </c>
      <c r="M25" s="70">
        <v>-15346.274205984089</v>
      </c>
      <c r="N25" s="70">
        <v>12642.124918748161</v>
      </c>
      <c r="O25" s="70">
        <v>0</v>
      </c>
      <c r="P25" s="70">
        <v>-24418.85230536959</v>
      </c>
      <c r="Q25" s="73">
        <v>128701.10358980689</v>
      </c>
    </row>
    <row r="26" spans="2:17" ht="15.5" customHeight="1" x14ac:dyDescent="0.35">
      <c r="B26" s="67" t="s">
        <v>127</v>
      </c>
      <c r="C26" s="70">
        <v>0</v>
      </c>
      <c r="D26" s="70">
        <v>14875.86151831903</v>
      </c>
      <c r="E26" s="70">
        <v>5788.3220042450894</v>
      </c>
      <c r="F26" s="70">
        <v>32683.032282202628</v>
      </c>
      <c r="G26" s="70">
        <v>67258.393706007453</v>
      </c>
      <c r="H26" s="70">
        <v>3064.3110191651508</v>
      </c>
      <c r="I26" s="70">
        <v>158434.97430322919</v>
      </c>
      <c r="J26" s="70">
        <v>904658.04045749048</v>
      </c>
      <c r="K26" s="70">
        <v>0</v>
      </c>
      <c r="L26" s="70">
        <v>7619.1089352503122</v>
      </c>
      <c r="M26" s="70">
        <v>9901.5340894629317</v>
      </c>
      <c r="N26" s="70">
        <v>46060.926234545441</v>
      </c>
      <c r="O26" s="70">
        <v>569751.81546617532</v>
      </c>
      <c r="P26" s="70">
        <v>53929.113090880302</v>
      </c>
      <c r="Q26" s="73">
        <v>1874025.4331069731</v>
      </c>
    </row>
    <row r="27" spans="2:17" ht="15.5" customHeight="1" x14ac:dyDescent="0.35">
      <c r="B27" s="67" t="s">
        <v>128</v>
      </c>
      <c r="C27" s="70">
        <v>-622.72199999999998</v>
      </c>
      <c r="D27" s="70">
        <v>65375.771999999997</v>
      </c>
      <c r="E27" s="70">
        <v>24704.474999999999</v>
      </c>
      <c r="F27" s="70">
        <v>67240.626999999993</v>
      </c>
      <c r="G27" s="70">
        <v>20072.944</v>
      </c>
      <c r="H27" s="70">
        <v>89265.42</v>
      </c>
      <c r="I27" s="70">
        <v>200091.38399999999</v>
      </c>
      <c r="J27" s="70">
        <v>146861.136</v>
      </c>
      <c r="K27" s="70">
        <v>11461.366</v>
      </c>
      <c r="L27" s="70">
        <v>5942.3609999999999</v>
      </c>
      <c r="M27" s="70">
        <v>17407.334999999999</v>
      </c>
      <c r="N27" s="70">
        <v>215633.5</v>
      </c>
      <c r="O27" s="70">
        <v>0</v>
      </c>
      <c r="P27" s="70">
        <v>110306.78</v>
      </c>
      <c r="Q27" s="73">
        <v>973740.37800000003</v>
      </c>
    </row>
    <row r="28" spans="2:17" ht="15.5" customHeight="1" x14ac:dyDescent="0.35">
      <c r="B28" s="67" t="s">
        <v>129</v>
      </c>
      <c r="C28" s="70">
        <v>515.07134561852195</v>
      </c>
      <c r="D28" s="70">
        <v>2473.848927278983</v>
      </c>
      <c r="E28" s="70">
        <v>2039.1313644931499</v>
      </c>
      <c r="F28" s="70">
        <v>19936.058710695132</v>
      </c>
      <c r="G28" s="70">
        <v>4180.0268147596553</v>
      </c>
      <c r="H28" s="70">
        <v>35535.955189178087</v>
      </c>
      <c r="I28" s="70">
        <v>73823.040226168494</v>
      </c>
      <c r="J28" s="70">
        <v>24771.474254207122</v>
      </c>
      <c r="K28" s="70">
        <v>0</v>
      </c>
      <c r="L28" s="70">
        <v>1714.8194033908419</v>
      </c>
      <c r="M28" s="70">
        <v>1264.8698606277931</v>
      </c>
      <c r="N28" s="70">
        <v>13320.29232684931</v>
      </c>
      <c r="O28" s="70">
        <v>124669.81275</v>
      </c>
      <c r="P28" s="70">
        <v>2565.6518669018951</v>
      </c>
      <c r="Q28" s="73">
        <v>306810.053040169</v>
      </c>
    </row>
    <row r="29" spans="2:17" ht="15.5" customHeight="1" x14ac:dyDescent="0.35">
      <c r="B29" s="67" t="s">
        <v>130</v>
      </c>
      <c r="C29" s="70">
        <v>-2.6549999999999998</v>
      </c>
      <c r="D29" s="70">
        <v>2340.0916000000002</v>
      </c>
      <c r="E29" s="70">
        <v>25357.45258999999</v>
      </c>
      <c r="F29" s="70">
        <v>37170.896449999927</v>
      </c>
      <c r="G29" s="70">
        <v>25000.45342000002</v>
      </c>
      <c r="H29" s="70">
        <v>1074.020159999998</v>
      </c>
      <c r="I29" s="70">
        <v>255627.38156999991</v>
      </c>
      <c r="J29" s="70">
        <v>47382.107699999993</v>
      </c>
      <c r="K29" s="70">
        <v>0</v>
      </c>
      <c r="L29" s="70">
        <v>30634.300119999429</v>
      </c>
      <c r="M29" s="70">
        <v>1377.220480000004</v>
      </c>
      <c r="N29" s="70">
        <v>23886.04664</v>
      </c>
      <c r="O29" s="70">
        <v>0</v>
      </c>
      <c r="P29" s="70">
        <v>15.236700000000001</v>
      </c>
      <c r="Q29" s="73">
        <v>449862.55242999922</v>
      </c>
    </row>
    <row r="30" spans="2:17" ht="15.5" customHeight="1" x14ac:dyDescent="0.35">
      <c r="B30" s="67" t="s">
        <v>131</v>
      </c>
      <c r="C30" s="70">
        <v>5993.2923132175474</v>
      </c>
      <c r="D30" s="70">
        <v>15784.590258988601</v>
      </c>
      <c r="E30" s="70">
        <v>6855.0705684065188</v>
      </c>
      <c r="F30" s="70">
        <v>-23688.68061948687</v>
      </c>
      <c r="G30" s="70">
        <v>2675.667472774323</v>
      </c>
      <c r="H30" s="70">
        <v>13115.820508873199</v>
      </c>
      <c r="I30" s="70">
        <v>49992.132198193758</v>
      </c>
      <c r="J30" s="70">
        <v>22004.643142054021</v>
      </c>
      <c r="K30" s="70">
        <v>0</v>
      </c>
      <c r="L30" s="70">
        <v>7410.3956562829462</v>
      </c>
      <c r="M30" s="70">
        <v>3384.6728717552542</v>
      </c>
      <c r="N30" s="70">
        <v>12168.094429120911</v>
      </c>
      <c r="O30" s="70">
        <v>0</v>
      </c>
      <c r="P30" s="70">
        <v>6459.3126703774033</v>
      </c>
      <c r="Q30" s="73">
        <v>122155.0114705576</v>
      </c>
    </row>
    <row r="31" spans="2:17" ht="15.5" customHeight="1" x14ac:dyDescent="0.35">
      <c r="B31" s="67" t="s">
        <v>132</v>
      </c>
      <c r="C31" s="70">
        <v>182.8951899999939</v>
      </c>
      <c r="D31" s="70">
        <v>20772.282399999469</v>
      </c>
      <c r="E31" s="70">
        <v>42617.735949999857</v>
      </c>
      <c r="F31" s="70">
        <v>99145.839970000859</v>
      </c>
      <c r="G31" s="70">
        <v>21381.860069999871</v>
      </c>
      <c r="H31" s="70">
        <v>15976.892030000119</v>
      </c>
      <c r="I31" s="70">
        <v>410577.38169001148</v>
      </c>
      <c r="J31" s="70">
        <v>367321.04782827152</v>
      </c>
      <c r="K31" s="70">
        <v>0</v>
      </c>
      <c r="L31" s="70">
        <v>15714.49151999865</v>
      </c>
      <c r="M31" s="70">
        <v>35113.526860000107</v>
      </c>
      <c r="N31" s="70">
        <v>97476.006429999994</v>
      </c>
      <c r="O31" s="70">
        <v>2591092.1554304082</v>
      </c>
      <c r="P31" s="70">
        <v>6695.3574900001731</v>
      </c>
      <c r="Q31" s="73">
        <v>3724067.4728586902</v>
      </c>
    </row>
    <row r="32" spans="2:17" ht="15.5" customHeight="1" x14ac:dyDescent="0.35">
      <c r="B32" s="67" t="s">
        <v>133</v>
      </c>
      <c r="C32" s="70">
        <v>0</v>
      </c>
      <c r="D32" s="70">
        <v>14145.624</v>
      </c>
      <c r="E32" s="70">
        <v>3920.1170000000002</v>
      </c>
      <c r="F32" s="70">
        <v>15617.902</v>
      </c>
      <c r="G32" s="70">
        <v>41429.207000000002</v>
      </c>
      <c r="H32" s="70">
        <v>994.40200000000004</v>
      </c>
      <c r="I32" s="70">
        <v>136416.13099999999</v>
      </c>
      <c r="J32" s="70">
        <v>182861.41699999999</v>
      </c>
      <c r="K32" s="70">
        <v>23811.304</v>
      </c>
      <c r="L32" s="70">
        <v>8906.0720000000001</v>
      </c>
      <c r="M32" s="70">
        <v>8251.6319999999996</v>
      </c>
      <c r="N32" s="70">
        <v>35300.402000000002</v>
      </c>
      <c r="O32" s="70">
        <v>275867.04124000011</v>
      </c>
      <c r="P32" s="70">
        <v>919.41600000000005</v>
      </c>
      <c r="Q32" s="73">
        <v>748440.6672400001</v>
      </c>
    </row>
    <row r="33" spans="2:17" ht="15.5" customHeight="1" x14ac:dyDescent="0.35">
      <c r="B33" s="67" t="s">
        <v>134</v>
      </c>
      <c r="C33" s="70">
        <v>27.107659575343131</v>
      </c>
      <c r="D33" s="70">
        <v>7824.0354014820296</v>
      </c>
      <c r="E33" s="70">
        <v>3823.9246472930608</v>
      </c>
      <c r="F33" s="70">
        <v>6319.4117708595704</v>
      </c>
      <c r="G33" s="70">
        <v>12959.53195258517</v>
      </c>
      <c r="H33" s="70">
        <v>9059.9747245227099</v>
      </c>
      <c r="I33" s="70">
        <v>334078.85178248817</v>
      </c>
      <c r="J33" s="70">
        <v>218451.0236412852</v>
      </c>
      <c r="K33" s="70">
        <v>0</v>
      </c>
      <c r="L33" s="70">
        <v>3900.2567857426138</v>
      </c>
      <c r="M33" s="70">
        <v>6785.1062742167078</v>
      </c>
      <c r="N33" s="70">
        <v>23545.289057812672</v>
      </c>
      <c r="O33" s="70">
        <v>0</v>
      </c>
      <c r="P33" s="70">
        <v>7154.3657145692541</v>
      </c>
      <c r="Q33" s="73">
        <v>633928.87941243243</v>
      </c>
    </row>
    <row r="34" spans="2:17" ht="15.5" customHeight="1" x14ac:dyDescent="0.35">
      <c r="B34" s="67" t="s">
        <v>135</v>
      </c>
      <c r="C34" s="70">
        <v>0</v>
      </c>
      <c r="D34" s="70">
        <v>11833.682000000001</v>
      </c>
      <c r="E34" s="70">
        <v>26782.292000000001</v>
      </c>
      <c r="F34" s="70">
        <v>227038.23699999999</v>
      </c>
      <c r="G34" s="70">
        <v>18008.569</v>
      </c>
      <c r="H34" s="70">
        <v>23462.347000000002</v>
      </c>
      <c r="I34" s="70">
        <v>548156.63600000006</v>
      </c>
      <c r="J34" s="70">
        <v>349623.31300000002</v>
      </c>
      <c r="K34" s="70">
        <v>0</v>
      </c>
      <c r="L34" s="70">
        <v>-1696.498</v>
      </c>
      <c r="M34" s="70">
        <v>192123.236</v>
      </c>
      <c r="N34" s="70">
        <v>-89195.854999999996</v>
      </c>
      <c r="O34" s="70">
        <v>0</v>
      </c>
      <c r="P34" s="70">
        <v>-7771.0050000000001</v>
      </c>
      <c r="Q34" s="73">
        <v>1298364.9539999999</v>
      </c>
    </row>
    <row r="35" spans="2:17" ht="15.5" customHeight="1" x14ac:dyDescent="0.35">
      <c r="B35" s="67" t="s">
        <v>136</v>
      </c>
      <c r="C35" s="70">
        <v>37760.660136966799</v>
      </c>
      <c r="D35" s="70">
        <v>-9481.3966738358758</v>
      </c>
      <c r="E35" s="70">
        <v>34.132227663599757</v>
      </c>
      <c r="F35" s="70">
        <v>-1962.690109703545</v>
      </c>
      <c r="G35" s="70">
        <v>13738.2953110127</v>
      </c>
      <c r="H35" s="70">
        <v>197.61767754563741</v>
      </c>
      <c r="I35" s="70">
        <v>13423.781257942481</v>
      </c>
      <c r="J35" s="70">
        <v>13313.23643213568</v>
      </c>
      <c r="K35" s="70">
        <v>0</v>
      </c>
      <c r="L35" s="70">
        <v>3464.1244083633751</v>
      </c>
      <c r="M35" s="70">
        <v>5226.8632225190486</v>
      </c>
      <c r="N35" s="70">
        <v>21327.11409363394</v>
      </c>
      <c r="O35" s="70">
        <v>288885.42630889948</v>
      </c>
      <c r="P35" s="70">
        <v>10954.30914794867</v>
      </c>
      <c r="Q35" s="73">
        <v>396881.47344109212</v>
      </c>
    </row>
    <row r="36" spans="2:17" ht="15.5" customHeight="1" x14ac:dyDescent="0.35">
      <c r="B36" s="67" t="s">
        <v>137</v>
      </c>
      <c r="C36" s="70">
        <v>0</v>
      </c>
      <c r="D36" s="70">
        <v>3669.7632979053178</v>
      </c>
      <c r="E36" s="70">
        <v>1515.064379604504</v>
      </c>
      <c r="F36" s="70">
        <v>9438.2351396623508</v>
      </c>
      <c r="G36" s="70">
        <v>8100.3436756733954</v>
      </c>
      <c r="H36" s="70">
        <v>4671.9504667430338</v>
      </c>
      <c r="I36" s="70">
        <v>57270.984739833017</v>
      </c>
      <c r="J36" s="70">
        <v>121067.93280394201</v>
      </c>
      <c r="K36" s="70">
        <v>0</v>
      </c>
      <c r="L36" s="70">
        <v>585.97600468135693</v>
      </c>
      <c r="M36" s="70">
        <v>6603.8229654278812</v>
      </c>
      <c r="N36" s="70">
        <v>19378.781737505</v>
      </c>
      <c r="O36" s="70">
        <v>573.72914065573877</v>
      </c>
      <c r="P36" s="70">
        <v>-3604.0654171512301</v>
      </c>
      <c r="Q36" s="73">
        <v>229272.51893448239</v>
      </c>
    </row>
    <row r="37" spans="2:17" ht="15.5" customHeight="1" x14ac:dyDescent="0.35">
      <c r="B37" s="67" t="s">
        <v>138</v>
      </c>
      <c r="C37" s="70">
        <v>0</v>
      </c>
      <c r="D37" s="70">
        <v>8582.4687681190371</v>
      </c>
      <c r="E37" s="70">
        <v>11841.502126322781</v>
      </c>
      <c r="F37" s="70">
        <v>24599.00565270591</v>
      </c>
      <c r="G37" s="70">
        <v>6985.4213230218702</v>
      </c>
      <c r="H37" s="70">
        <v>35168.964568278258</v>
      </c>
      <c r="I37" s="70">
        <v>62328.602020244121</v>
      </c>
      <c r="J37" s="70">
        <v>47787.416527208567</v>
      </c>
      <c r="K37" s="70">
        <v>0</v>
      </c>
      <c r="L37" s="70">
        <v>1183.299635041825</v>
      </c>
      <c r="M37" s="70">
        <v>25612.246979744879</v>
      </c>
      <c r="N37" s="70">
        <v>65688.959229132539</v>
      </c>
      <c r="O37" s="70">
        <v>686.38596712328751</v>
      </c>
      <c r="P37" s="70">
        <v>4447.5873567314165</v>
      </c>
      <c r="Q37" s="73">
        <v>294911.8601536745</v>
      </c>
    </row>
    <row r="38" spans="2:17" ht="15.5" customHeight="1" x14ac:dyDescent="0.35">
      <c r="B38" s="67" t="s">
        <v>139</v>
      </c>
      <c r="C38" s="70">
        <v>812.26900000000001</v>
      </c>
      <c r="D38" s="70">
        <v>15136.712</v>
      </c>
      <c r="E38" s="70">
        <v>24584.423999999999</v>
      </c>
      <c r="F38" s="70">
        <v>46612.008000000002</v>
      </c>
      <c r="G38" s="70">
        <v>43986.023000000001</v>
      </c>
      <c r="H38" s="70">
        <v>24065.773000000001</v>
      </c>
      <c r="I38" s="70">
        <v>324897.984</v>
      </c>
      <c r="J38" s="70">
        <v>157885.85399999999</v>
      </c>
      <c r="K38" s="70">
        <v>5756.7740000000003</v>
      </c>
      <c r="L38" s="70">
        <v>34028.508999999998</v>
      </c>
      <c r="M38" s="70">
        <v>28536.312000000002</v>
      </c>
      <c r="N38" s="70">
        <v>86691.566000000006</v>
      </c>
      <c r="O38" s="70">
        <v>944890.68</v>
      </c>
      <c r="P38" s="70">
        <v>39517.911999999997</v>
      </c>
      <c r="Q38" s="73">
        <v>1777402.8</v>
      </c>
    </row>
    <row r="39" spans="2:17" ht="15.5"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73">
        <v>0</v>
      </c>
    </row>
    <row r="40" spans="2:17" ht="15.5"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73">
        <v>0</v>
      </c>
    </row>
    <row r="41" spans="2:17" ht="15.5" customHeight="1" x14ac:dyDescent="0.35">
      <c r="B41" s="71" t="s">
        <v>7</v>
      </c>
      <c r="C41" s="72">
        <f t="shared" ref="C41:Q41" si="0">SUM(C6:C40)</f>
        <v>54140.092230825598</v>
      </c>
      <c r="D41" s="72">
        <f t="shared" si="0"/>
        <v>370264.39464037732</v>
      </c>
      <c r="E41" s="72">
        <f t="shared" si="0"/>
        <v>382909.44192728237</v>
      </c>
      <c r="F41" s="72">
        <f t="shared" si="0"/>
        <v>1058477.6683098376</v>
      </c>
      <c r="G41" s="72">
        <f t="shared" si="0"/>
        <v>557948.41771045735</v>
      </c>
      <c r="H41" s="72">
        <f t="shared" si="0"/>
        <v>568279.61326715199</v>
      </c>
      <c r="I41" s="72">
        <f t="shared" si="0"/>
        <v>7457319.7371134721</v>
      </c>
      <c r="J41" s="72">
        <f t="shared" si="0"/>
        <v>6036042.6606859872</v>
      </c>
      <c r="K41" s="72">
        <f t="shared" si="0"/>
        <v>999324.22172309353</v>
      </c>
      <c r="L41" s="72">
        <f t="shared" si="0"/>
        <v>396630.31820384221</v>
      </c>
      <c r="M41" s="72">
        <f t="shared" si="0"/>
        <v>1190517.8155715812</v>
      </c>
      <c r="N41" s="72">
        <f t="shared" si="0"/>
        <v>1840058.8525670702</v>
      </c>
      <c r="O41" s="72">
        <f t="shared" si="0"/>
        <v>17124393.614333194</v>
      </c>
      <c r="P41" s="72">
        <f t="shared" si="0"/>
        <v>56934.481373648625</v>
      </c>
      <c r="Q41" s="72">
        <f t="shared" si="0"/>
        <v>38093241.329657815</v>
      </c>
    </row>
    <row r="42" spans="2:17" ht="14.5" customHeight="1" x14ac:dyDescent="0.35">
      <c r="B42" s="369" t="s">
        <v>142</v>
      </c>
      <c r="C42" s="301"/>
      <c r="D42" s="301"/>
      <c r="E42" s="301"/>
      <c r="F42" s="301"/>
      <c r="G42" s="301"/>
      <c r="H42" s="301"/>
      <c r="I42" s="301"/>
      <c r="J42" s="301"/>
      <c r="K42" s="301"/>
      <c r="L42" s="301"/>
      <c r="M42" s="301"/>
      <c r="N42" s="301"/>
      <c r="O42" s="301"/>
      <c r="P42" s="301"/>
      <c r="Q42" s="302"/>
    </row>
    <row r="43" spans="2:17" ht="15.5" customHeight="1" x14ac:dyDescent="0.35">
      <c r="B43" s="67" t="s">
        <v>143</v>
      </c>
      <c r="C43" s="70">
        <v>5015.7560000000003</v>
      </c>
      <c r="D43" s="70">
        <v>105984.284</v>
      </c>
      <c r="E43" s="70">
        <v>162161.27600000001</v>
      </c>
      <c r="F43" s="70">
        <v>461535.94</v>
      </c>
      <c r="G43" s="70">
        <v>56449.406999999999</v>
      </c>
      <c r="H43" s="70">
        <v>57681.2</v>
      </c>
      <c r="I43" s="70">
        <v>14784.368</v>
      </c>
      <c r="J43" s="70">
        <v>63169.572999999997</v>
      </c>
      <c r="K43" s="70">
        <v>0</v>
      </c>
      <c r="L43" s="70">
        <v>43292.159</v>
      </c>
      <c r="M43" s="70">
        <v>2278.5340000000001</v>
      </c>
      <c r="N43" s="70">
        <v>4557.0680000000002</v>
      </c>
      <c r="O43" s="70">
        <v>182043.223</v>
      </c>
      <c r="P43" s="70">
        <v>177725.715</v>
      </c>
      <c r="Q43" s="73">
        <v>1336678.503</v>
      </c>
    </row>
    <row r="44" spans="2:17" ht="15.5" customHeight="1" x14ac:dyDescent="0.35">
      <c r="B44" s="67" t="s">
        <v>144</v>
      </c>
      <c r="C44" s="70">
        <v>3847.6462262200648</v>
      </c>
      <c r="D44" s="70">
        <v>12708.99178411114</v>
      </c>
      <c r="E44" s="70">
        <v>0</v>
      </c>
      <c r="F44" s="70">
        <v>489748.1733589049</v>
      </c>
      <c r="G44" s="70">
        <v>13663.855619941751</v>
      </c>
      <c r="H44" s="70">
        <v>66370.205535998888</v>
      </c>
      <c r="I44" s="70">
        <v>0</v>
      </c>
      <c r="J44" s="70">
        <v>81200.999902035037</v>
      </c>
      <c r="K44" s="70">
        <v>0</v>
      </c>
      <c r="L44" s="70">
        <v>44670.473201537949</v>
      </c>
      <c r="M44" s="70">
        <v>0</v>
      </c>
      <c r="N44" s="70">
        <v>0</v>
      </c>
      <c r="O44" s="70">
        <v>495480.05411287688</v>
      </c>
      <c r="P44" s="70">
        <v>198654.379924193</v>
      </c>
      <c r="Q44" s="73">
        <v>1406344.7796658201</v>
      </c>
    </row>
    <row r="45" spans="2:17" ht="15.5" customHeight="1" x14ac:dyDescent="0.35">
      <c r="B45" s="67" t="s">
        <v>145</v>
      </c>
      <c r="C45" s="70">
        <v>496.49522023012707</v>
      </c>
      <c r="D45" s="70">
        <v>52936.956129015853</v>
      </c>
      <c r="E45" s="70">
        <v>143126.8937888878</v>
      </c>
      <c r="F45" s="70">
        <v>293862.24578888778</v>
      </c>
      <c r="G45" s="70">
        <v>18246.07937910824</v>
      </c>
      <c r="H45" s="70">
        <v>32312.23518786675</v>
      </c>
      <c r="I45" s="70">
        <v>26858.977261520791</v>
      </c>
      <c r="J45" s="70">
        <v>29234.75626152079</v>
      </c>
      <c r="K45" s="70">
        <v>0</v>
      </c>
      <c r="L45" s="70">
        <v>-3714.9944123708819</v>
      </c>
      <c r="M45" s="70">
        <v>21236.781133107412</v>
      </c>
      <c r="N45" s="70">
        <v>7412.7305876291193</v>
      </c>
      <c r="O45" s="70">
        <v>152616.2250670192</v>
      </c>
      <c r="P45" s="70">
        <v>47888.756254094289</v>
      </c>
      <c r="Q45" s="73">
        <v>822514.13764651725</v>
      </c>
    </row>
    <row r="46" spans="2:17" ht="15.5" customHeight="1" x14ac:dyDescent="0.35">
      <c r="B46" s="64" t="s">
        <v>146</v>
      </c>
      <c r="C46" s="70">
        <v>19972.310156187828</v>
      </c>
      <c r="D46" s="70">
        <v>162387.79477000801</v>
      </c>
      <c r="E46" s="70">
        <v>19461.03641411231</v>
      </c>
      <c r="F46" s="70">
        <v>1039204.758770651</v>
      </c>
      <c r="G46" s="70">
        <v>26301.981815704152</v>
      </c>
      <c r="H46" s="70">
        <v>130355.6885743093</v>
      </c>
      <c r="I46" s="70">
        <v>-35486.788579878543</v>
      </c>
      <c r="J46" s="70">
        <v>144578.7209469408</v>
      </c>
      <c r="K46" s="70">
        <v>0</v>
      </c>
      <c r="L46" s="70">
        <v>58092.772438331711</v>
      </c>
      <c r="M46" s="70">
        <v>12755.477420606519</v>
      </c>
      <c r="N46" s="70">
        <v>12323.898949813311</v>
      </c>
      <c r="O46" s="70">
        <v>673325.2168892707</v>
      </c>
      <c r="P46" s="70">
        <v>542749.28993809223</v>
      </c>
      <c r="Q46" s="73">
        <v>2806022.1585041489</v>
      </c>
    </row>
    <row r="47" spans="2:17" ht="15.5" customHeight="1" x14ac:dyDescent="0.35">
      <c r="B47" s="67" t="s">
        <v>147</v>
      </c>
      <c r="C47" s="70">
        <v>-186967.42620391841</v>
      </c>
      <c r="D47" s="70">
        <v>-737312.21460631117</v>
      </c>
      <c r="E47" s="70">
        <v>112230.66195596399</v>
      </c>
      <c r="F47" s="70">
        <v>720654.5507883199</v>
      </c>
      <c r="G47" s="70">
        <v>232861.2092302471</v>
      </c>
      <c r="H47" s="70">
        <v>-93584.895040207892</v>
      </c>
      <c r="I47" s="70">
        <v>11490.564219160469</v>
      </c>
      <c r="J47" s="70">
        <v>14881.356008545639</v>
      </c>
      <c r="K47" s="70">
        <v>0</v>
      </c>
      <c r="L47" s="70">
        <v>343788.55613626441</v>
      </c>
      <c r="M47" s="70">
        <v>12354.430945867831</v>
      </c>
      <c r="N47" s="70">
        <v>59174.812665135199</v>
      </c>
      <c r="O47" s="70">
        <v>127207.1917841489</v>
      </c>
      <c r="P47" s="70">
        <v>113549.46077967589</v>
      </c>
      <c r="Q47" s="73">
        <v>730328.25866289181</v>
      </c>
    </row>
    <row r="48" spans="2:17" ht="15.5" customHeight="1" x14ac:dyDescent="0.35">
      <c r="B48" s="71" t="s">
        <v>7</v>
      </c>
      <c r="C48" s="72">
        <f t="shared" ref="C48:Q48" si="1">SUM(C43:C47)</f>
        <v>-157635.21860128039</v>
      </c>
      <c r="D48" s="72">
        <f t="shared" si="1"/>
        <v>-403294.18792317616</v>
      </c>
      <c r="E48" s="72">
        <f t="shared" si="1"/>
        <v>436979.86815896415</v>
      </c>
      <c r="F48" s="72">
        <f t="shared" si="1"/>
        <v>3005005.6687067635</v>
      </c>
      <c r="G48" s="72">
        <f t="shared" si="1"/>
        <v>347522.53304500121</v>
      </c>
      <c r="H48" s="72">
        <f t="shared" si="1"/>
        <v>193134.43425796705</v>
      </c>
      <c r="I48" s="72">
        <f t="shared" si="1"/>
        <v>17647.120900802722</v>
      </c>
      <c r="J48" s="72">
        <f t="shared" si="1"/>
        <v>333065.40611904219</v>
      </c>
      <c r="K48" s="72">
        <f t="shared" si="1"/>
        <v>0</v>
      </c>
      <c r="L48" s="72">
        <f t="shared" si="1"/>
        <v>486128.9663637632</v>
      </c>
      <c r="M48" s="72">
        <f t="shared" si="1"/>
        <v>48625.223499581763</v>
      </c>
      <c r="N48" s="72">
        <f t="shared" si="1"/>
        <v>83468.510202577629</v>
      </c>
      <c r="O48" s="72">
        <f t="shared" si="1"/>
        <v>1630671.9108533156</v>
      </c>
      <c r="P48" s="72">
        <f t="shared" si="1"/>
        <v>1080567.6018960555</v>
      </c>
      <c r="Q48" s="72">
        <f t="shared" si="1"/>
        <v>7101887.8374793781</v>
      </c>
    </row>
    <row r="49" spans="2:17" ht="14.5" customHeight="1" x14ac:dyDescent="0.35">
      <c r="B49" s="326" t="s">
        <v>149</v>
      </c>
      <c r="C49" s="308"/>
      <c r="D49" s="308"/>
      <c r="E49" s="308"/>
      <c r="F49" s="308"/>
      <c r="G49" s="308"/>
      <c r="H49" s="308"/>
      <c r="I49" s="308"/>
      <c r="J49" s="308"/>
      <c r="K49" s="308"/>
      <c r="L49" s="308"/>
      <c r="M49" s="308"/>
      <c r="N49" s="308"/>
      <c r="O49" s="308"/>
      <c r="P49" s="308"/>
      <c r="Q49" s="308"/>
    </row>
  </sheetData>
  <sheetProtection algorithmName="SHA-512" hashValue="FKxjaTNM2LTAInGFxcWUCG/C86hss2mwhMJNG9d4+FmfNZAPNsTn65bM2nR0psO1IBzrOZXXZbvYgS0PFU7FFg==" saltValue="OeIZ/N4BA69qqPu9o3tiAQ==" spinCount="100000" sheet="1" objects="1" scenarios="1"/>
  <mergeCells count="4">
    <mergeCell ref="B42:Q42"/>
    <mergeCell ref="B49:Q49"/>
    <mergeCell ref="B3:Q3"/>
    <mergeCell ref="B5:Q5"/>
  </mergeCells>
  <pageMargins left="0.7" right="0.7" top="0.75" bottom="0.75" header="0.3" footer="0.3"/>
  <pageSetup paperSize="9" scale="33"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9">
    <tabColor rgb="FFA2D668"/>
    <pageSetUpPr fitToPage="1"/>
  </sheetPr>
  <dimension ref="B3:S49"/>
  <sheetViews>
    <sheetView showGridLines="0" zoomScale="70" zoomScaleNormal="70" workbookViewId="0">
      <pane xSplit="2" ySplit="5" topLeftCell="C34" activePane="bottomRight" state="frozen"/>
      <selection activeCell="J41" sqref="J41:K41"/>
      <selection pane="topRight" activeCell="J41" sqref="J41:K41"/>
      <selection pane="bottomLeft" activeCell="J41" sqref="J41:K41"/>
      <selection pane="bottomRight" activeCell="J41" sqref="J41:K41"/>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19" width="9.453125" style="2" customWidth="1"/>
    <col min="120" max="16384" width="9.453125" style="2"/>
  </cols>
  <sheetData>
    <row r="3" spans="2:19" ht="14.5" customHeight="1" x14ac:dyDescent="0.35">
      <c r="B3" s="370" t="str">
        <f>_xlfn.CONCAT("COM: SUMMARY OF NET COMMISSIONS UNDER GENERAL INSURANCE BUSINESS FOR THE PERIOD ENDED"," ",Details!F18)</f>
        <v>COM: SUMMARY OF NET COMMISSIONS UNDER GENERAL INSURANCE BUSINESS FOR THE PERIOD ENDED 31.03.2026</v>
      </c>
      <c r="C3" s="301"/>
      <c r="D3" s="301"/>
      <c r="E3" s="301"/>
      <c r="F3" s="301"/>
      <c r="G3" s="301"/>
      <c r="H3" s="301"/>
      <c r="I3" s="301"/>
      <c r="J3" s="301"/>
      <c r="K3" s="301"/>
      <c r="L3" s="301"/>
      <c r="M3" s="301"/>
      <c r="N3" s="301"/>
      <c r="O3" s="301"/>
      <c r="P3" s="301"/>
      <c r="Q3" s="302"/>
    </row>
    <row r="4" spans="2:19" ht="31" customHeight="1"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9" ht="14.5" customHeight="1" x14ac:dyDescent="0.35">
      <c r="B5" s="368" t="s">
        <v>106</v>
      </c>
      <c r="C5" s="301"/>
      <c r="D5" s="301"/>
      <c r="E5" s="301"/>
      <c r="F5" s="301"/>
      <c r="G5" s="301"/>
      <c r="H5" s="301"/>
      <c r="I5" s="301"/>
      <c r="J5" s="301"/>
      <c r="K5" s="301"/>
      <c r="L5" s="301"/>
      <c r="M5" s="301"/>
      <c r="N5" s="301"/>
      <c r="O5" s="301"/>
      <c r="P5" s="301"/>
      <c r="Q5" s="302"/>
    </row>
    <row r="6" spans="2:19" ht="15.5" customHeight="1" x14ac:dyDescent="0.35">
      <c r="B6" s="67" t="s">
        <v>107</v>
      </c>
      <c r="C6" s="70">
        <v>0</v>
      </c>
      <c r="D6" s="70">
        <v>-45.387086515999357</v>
      </c>
      <c r="E6" s="70">
        <v>-99.002086342616096</v>
      </c>
      <c r="F6" s="70">
        <v>-574.10763679225909</v>
      </c>
      <c r="G6" s="70">
        <v>1400.524655137717</v>
      </c>
      <c r="H6" s="70">
        <v>-149.07919230561541</v>
      </c>
      <c r="I6" s="70">
        <v>-16.590273712328759</v>
      </c>
      <c r="J6" s="70">
        <v>-52.205574273972658</v>
      </c>
      <c r="K6" s="70">
        <v>0</v>
      </c>
      <c r="L6" s="70">
        <v>681.49784688635384</v>
      </c>
      <c r="M6" s="70">
        <v>352.24479954685199</v>
      </c>
      <c r="N6" s="70">
        <v>5476.5599410428076</v>
      </c>
      <c r="O6" s="70">
        <v>106974.0692125752</v>
      </c>
      <c r="P6" s="70">
        <v>-1117.2132240023871</v>
      </c>
      <c r="Q6" s="73">
        <v>112831.3113812438</v>
      </c>
      <c r="R6">
        <v>0</v>
      </c>
      <c r="S6">
        <v>0</v>
      </c>
    </row>
    <row r="7" spans="2:19" ht="15.5" customHeight="1" x14ac:dyDescent="0.35">
      <c r="B7" s="67" t="s">
        <v>108</v>
      </c>
      <c r="C7" s="70">
        <v>0</v>
      </c>
      <c r="D7" s="70">
        <v>274.33692988129349</v>
      </c>
      <c r="E7" s="70">
        <v>12.88549611165366</v>
      </c>
      <c r="F7" s="70">
        <v>-20.32734978455715</v>
      </c>
      <c r="G7" s="70">
        <v>1245.362545611682</v>
      </c>
      <c r="H7" s="70">
        <v>117.0827117253932</v>
      </c>
      <c r="I7" s="70">
        <v>9346.2990353158202</v>
      </c>
      <c r="J7" s="70">
        <v>29950.581047997912</v>
      </c>
      <c r="K7" s="70">
        <v>14748.22846011896</v>
      </c>
      <c r="L7" s="70">
        <v>279.58000186238041</v>
      </c>
      <c r="M7" s="70">
        <v>64.282036030883091</v>
      </c>
      <c r="N7" s="70">
        <v>654.53467576221465</v>
      </c>
      <c r="O7" s="70">
        <v>0</v>
      </c>
      <c r="P7" s="70">
        <v>488.39282636846548</v>
      </c>
      <c r="Q7" s="73">
        <v>57161.238417002089</v>
      </c>
      <c r="R7">
        <v>0</v>
      </c>
      <c r="S7">
        <v>0</v>
      </c>
    </row>
    <row r="8" spans="2:19" ht="15.5" customHeight="1" x14ac:dyDescent="0.35">
      <c r="B8" s="67" t="s">
        <v>109</v>
      </c>
      <c r="C8" s="70">
        <v>-3669.66</v>
      </c>
      <c r="D8" s="70">
        <v>2065.845899999998</v>
      </c>
      <c r="E8" s="70">
        <v>5336.0860000000002</v>
      </c>
      <c r="F8" s="70">
        <v>-3868.508640000015</v>
      </c>
      <c r="G8" s="70">
        <v>3824.3354699999991</v>
      </c>
      <c r="H8" s="70">
        <v>3677.2229297188428</v>
      </c>
      <c r="I8" s="70">
        <v>66625.342000000004</v>
      </c>
      <c r="J8" s="70">
        <v>53745.572</v>
      </c>
      <c r="K8" s="70">
        <v>0</v>
      </c>
      <c r="L8" s="70">
        <v>8270.5020000000004</v>
      </c>
      <c r="M8" s="70">
        <v>6722.5889999999999</v>
      </c>
      <c r="N8" s="70">
        <v>28846.969029667122</v>
      </c>
      <c r="O8" s="70">
        <v>64177.076100000093</v>
      </c>
      <c r="P8" s="70">
        <v>1746.850064666005</v>
      </c>
      <c r="Q8" s="73">
        <v>237500.22185405201</v>
      </c>
      <c r="R8">
        <v>0</v>
      </c>
      <c r="S8">
        <v>0</v>
      </c>
    </row>
    <row r="9" spans="2:19" ht="15.5" customHeight="1" x14ac:dyDescent="0.35">
      <c r="B9" s="67" t="s">
        <v>110</v>
      </c>
      <c r="C9" s="70">
        <v>-5789.02513</v>
      </c>
      <c r="D9" s="70">
        <v>-9093.8721699999951</v>
      </c>
      <c r="E9" s="70">
        <v>8151.7560199999998</v>
      </c>
      <c r="F9" s="70">
        <v>4482.7140699999927</v>
      </c>
      <c r="G9" s="70">
        <v>7579.6949199999981</v>
      </c>
      <c r="H9" s="70">
        <v>-7010.1973999999982</v>
      </c>
      <c r="I9" s="70">
        <v>52692.514759999998</v>
      </c>
      <c r="J9" s="70">
        <v>21426.148829999998</v>
      </c>
      <c r="K9" s="70">
        <v>0</v>
      </c>
      <c r="L9" s="70">
        <v>3357.943040000001</v>
      </c>
      <c r="M9" s="70">
        <v>6037.9476399999994</v>
      </c>
      <c r="N9" s="70">
        <v>-772.38013999999316</v>
      </c>
      <c r="O9" s="70">
        <v>219681.0656</v>
      </c>
      <c r="P9" s="70">
        <v>2062.86814</v>
      </c>
      <c r="Q9" s="73">
        <v>302807.17817999987</v>
      </c>
      <c r="R9">
        <v>0</v>
      </c>
      <c r="S9">
        <v>0</v>
      </c>
    </row>
    <row r="10" spans="2:19" ht="15.5" customHeight="1" x14ac:dyDescent="0.35">
      <c r="B10" s="67" t="s">
        <v>111</v>
      </c>
      <c r="C10" s="70">
        <v>0</v>
      </c>
      <c r="D10" s="70">
        <v>0</v>
      </c>
      <c r="E10" s="70">
        <v>0</v>
      </c>
      <c r="F10" s="70">
        <v>0</v>
      </c>
      <c r="G10" s="70">
        <v>0</v>
      </c>
      <c r="H10" s="70">
        <v>0</v>
      </c>
      <c r="I10" s="70">
        <v>0</v>
      </c>
      <c r="J10" s="70">
        <v>0</v>
      </c>
      <c r="K10" s="70">
        <v>0</v>
      </c>
      <c r="L10" s="70">
        <v>0</v>
      </c>
      <c r="M10" s="70">
        <v>0</v>
      </c>
      <c r="N10" s="70">
        <v>0</v>
      </c>
      <c r="O10" s="70">
        <v>-184165.14</v>
      </c>
      <c r="P10" s="70">
        <v>0</v>
      </c>
      <c r="Q10" s="73">
        <v>-184165.14</v>
      </c>
      <c r="R10">
        <v>0</v>
      </c>
      <c r="S10">
        <v>0</v>
      </c>
    </row>
    <row r="11" spans="2:19" ht="15.5" customHeight="1" x14ac:dyDescent="0.35">
      <c r="B11" s="67" t="s">
        <v>112</v>
      </c>
      <c r="C11" s="70">
        <v>0</v>
      </c>
      <c r="D11" s="70">
        <v>-3555.1930000000002</v>
      </c>
      <c r="E11" s="70">
        <v>668.524</v>
      </c>
      <c r="F11" s="70">
        <v>4158.0020000000004</v>
      </c>
      <c r="G11" s="70">
        <v>433.24700000000001</v>
      </c>
      <c r="H11" s="70">
        <v>768.94500000000005</v>
      </c>
      <c r="I11" s="70">
        <v>27644.38</v>
      </c>
      <c r="J11" s="70">
        <v>7338.1149999999998</v>
      </c>
      <c r="K11" s="70">
        <v>0</v>
      </c>
      <c r="L11" s="70">
        <v>490.63299999999998</v>
      </c>
      <c r="M11" s="70">
        <v>1541.7080000000001</v>
      </c>
      <c r="N11" s="70">
        <v>5497.375</v>
      </c>
      <c r="O11" s="70">
        <v>0</v>
      </c>
      <c r="P11" s="70">
        <v>-362.96</v>
      </c>
      <c r="Q11" s="73">
        <v>44622.775999999998</v>
      </c>
      <c r="R11">
        <v>0</v>
      </c>
      <c r="S11">
        <v>0</v>
      </c>
    </row>
    <row r="12" spans="2:19" ht="15.5" customHeight="1" x14ac:dyDescent="0.35">
      <c r="B12" s="67" t="s">
        <v>113</v>
      </c>
      <c r="C12" s="70">
        <v>0</v>
      </c>
      <c r="D12" s="70">
        <v>9090.2895190000017</v>
      </c>
      <c r="E12" s="70">
        <v>3637.9815199999998</v>
      </c>
      <c r="F12" s="70">
        <v>9355.5012199999983</v>
      </c>
      <c r="G12" s="70">
        <v>-1290.526860000002</v>
      </c>
      <c r="H12" s="70">
        <v>1672.4462000000001</v>
      </c>
      <c r="I12" s="70">
        <v>92501.819730000003</v>
      </c>
      <c r="J12" s="70">
        <v>75049.33140000001</v>
      </c>
      <c r="K12" s="70">
        <v>0</v>
      </c>
      <c r="L12" s="70">
        <v>-21991.47293</v>
      </c>
      <c r="M12" s="70">
        <v>4170.4885700000004</v>
      </c>
      <c r="N12" s="70">
        <v>19741.955510000011</v>
      </c>
      <c r="O12" s="70">
        <v>243963.25937000001</v>
      </c>
      <c r="P12" s="70">
        <v>-8044.12536</v>
      </c>
      <c r="Q12" s="73">
        <v>427856.947889</v>
      </c>
      <c r="R12">
        <v>0</v>
      </c>
      <c r="S12">
        <v>0</v>
      </c>
    </row>
    <row r="13" spans="2:19" ht="15.5"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73">
        <v>0</v>
      </c>
      <c r="R13">
        <v>0</v>
      </c>
      <c r="S13">
        <v>0</v>
      </c>
    </row>
    <row r="14" spans="2:19" ht="15.5" customHeight="1" x14ac:dyDescent="0.35">
      <c r="B14" s="67" t="s">
        <v>115</v>
      </c>
      <c r="C14" s="70">
        <v>0</v>
      </c>
      <c r="D14" s="70">
        <v>0</v>
      </c>
      <c r="E14" s="70">
        <v>0</v>
      </c>
      <c r="F14" s="70">
        <v>0</v>
      </c>
      <c r="G14" s="70">
        <v>0</v>
      </c>
      <c r="H14" s="70">
        <v>0</v>
      </c>
      <c r="I14" s="70">
        <v>10298.581200693499</v>
      </c>
      <c r="J14" s="70">
        <v>3854.6102878418992</v>
      </c>
      <c r="K14" s="70">
        <v>61865.167296424603</v>
      </c>
      <c r="L14" s="70">
        <v>0</v>
      </c>
      <c r="M14" s="70">
        <v>0</v>
      </c>
      <c r="N14" s="70">
        <v>0</v>
      </c>
      <c r="O14" s="70">
        <v>0</v>
      </c>
      <c r="P14" s="70">
        <v>0</v>
      </c>
      <c r="Q14" s="73">
        <v>76018.358784960001</v>
      </c>
      <c r="R14">
        <v>0</v>
      </c>
      <c r="S14">
        <v>0</v>
      </c>
    </row>
    <row r="15" spans="2:19" ht="15.5" customHeight="1" x14ac:dyDescent="0.35">
      <c r="B15" s="67" t="s">
        <v>116</v>
      </c>
      <c r="C15" s="70">
        <v>0</v>
      </c>
      <c r="D15" s="70">
        <v>-754.25858572812376</v>
      </c>
      <c r="E15" s="70">
        <v>53.328599999999987</v>
      </c>
      <c r="F15" s="70">
        <v>1475.7391512754029</v>
      </c>
      <c r="G15" s="70">
        <v>11640.005549999991</v>
      </c>
      <c r="H15" s="70">
        <v>40.404871548076919</v>
      </c>
      <c r="I15" s="70">
        <v>1135.7357</v>
      </c>
      <c r="J15" s="70">
        <v>0</v>
      </c>
      <c r="K15" s="70">
        <v>0</v>
      </c>
      <c r="L15" s="70">
        <v>-776.30368947368402</v>
      </c>
      <c r="M15" s="70">
        <v>35612.042923499997</v>
      </c>
      <c r="N15" s="70">
        <v>125.77119999999999</v>
      </c>
      <c r="O15" s="70">
        <v>0</v>
      </c>
      <c r="P15" s="70">
        <v>-54406.39899200006</v>
      </c>
      <c r="Q15" s="73">
        <v>-5853.9332708783904</v>
      </c>
      <c r="R15">
        <v>0</v>
      </c>
      <c r="S15">
        <v>0</v>
      </c>
    </row>
    <row r="16" spans="2:19" ht="15.5" customHeight="1" x14ac:dyDescent="0.35">
      <c r="B16" s="67" t="s">
        <v>117</v>
      </c>
      <c r="C16" s="70">
        <v>0</v>
      </c>
      <c r="D16" s="70">
        <v>0</v>
      </c>
      <c r="E16" s="70">
        <v>0</v>
      </c>
      <c r="F16" s="70">
        <v>0</v>
      </c>
      <c r="G16" s="70">
        <v>0</v>
      </c>
      <c r="H16" s="70">
        <v>0</v>
      </c>
      <c r="I16" s="70">
        <v>0</v>
      </c>
      <c r="J16" s="70">
        <v>0</v>
      </c>
      <c r="K16" s="70">
        <v>0</v>
      </c>
      <c r="L16" s="70">
        <v>0</v>
      </c>
      <c r="M16" s="70">
        <v>0</v>
      </c>
      <c r="N16" s="70">
        <v>0</v>
      </c>
      <c r="O16" s="70">
        <v>-18455.765100575019</v>
      </c>
      <c r="P16" s="70">
        <v>0</v>
      </c>
      <c r="Q16" s="73">
        <v>-18455.765100575019</v>
      </c>
      <c r="R16">
        <v>0</v>
      </c>
      <c r="S16">
        <v>0</v>
      </c>
    </row>
    <row r="17" spans="2:19" ht="15.5" customHeight="1" x14ac:dyDescent="0.35">
      <c r="B17" s="67" t="s">
        <v>118</v>
      </c>
      <c r="C17" s="70">
        <v>-4046.31405</v>
      </c>
      <c r="D17" s="70">
        <v>-68.509</v>
      </c>
      <c r="E17" s="70">
        <v>825.27839999999969</v>
      </c>
      <c r="F17" s="70">
        <v>-4376.1379999999981</v>
      </c>
      <c r="G17" s="70">
        <v>2460.4374000000012</v>
      </c>
      <c r="H17" s="70">
        <v>-326.19019999999932</v>
      </c>
      <c r="I17" s="70">
        <v>36304.927000000011</v>
      </c>
      <c r="J17" s="70">
        <v>25243.137999999999</v>
      </c>
      <c r="K17" s="70">
        <v>272.13</v>
      </c>
      <c r="L17" s="70">
        <v>349.12499999999989</v>
      </c>
      <c r="M17" s="70">
        <v>-255.97200000000001</v>
      </c>
      <c r="N17" s="70">
        <v>14936.82014</v>
      </c>
      <c r="O17" s="70">
        <v>7021.3327699999973</v>
      </c>
      <c r="P17" s="70">
        <v>-1402.3441800000001</v>
      </c>
      <c r="Q17" s="73">
        <v>76937.721279999998</v>
      </c>
      <c r="R17">
        <v>0</v>
      </c>
      <c r="S17">
        <v>0</v>
      </c>
    </row>
    <row r="18" spans="2:19" ht="15.5" customHeight="1" x14ac:dyDescent="0.35">
      <c r="B18" s="67" t="s">
        <v>119</v>
      </c>
      <c r="C18" s="70">
        <v>0</v>
      </c>
      <c r="D18" s="70">
        <v>213.261694000002</v>
      </c>
      <c r="E18" s="70">
        <v>3200.1171619999991</v>
      </c>
      <c r="F18" s="70">
        <v>-1783.7501089999971</v>
      </c>
      <c r="G18" s="70">
        <v>-1206.048600000001</v>
      </c>
      <c r="H18" s="70">
        <v>525.38927099999876</v>
      </c>
      <c r="I18" s="70">
        <v>22824.027555000001</v>
      </c>
      <c r="J18" s="70">
        <v>16805.230899999999</v>
      </c>
      <c r="K18" s="70">
        <v>0</v>
      </c>
      <c r="L18" s="70">
        <v>22068.277931000001</v>
      </c>
      <c r="M18" s="70">
        <v>2369.7807130000001</v>
      </c>
      <c r="N18" s="70">
        <v>2125.3359999999998</v>
      </c>
      <c r="O18" s="70">
        <v>7241.4979699999994</v>
      </c>
      <c r="P18" s="70">
        <v>-2406.6883269999989</v>
      </c>
      <c r="Q18" s="73">
        <v>71976.432159999997</v>
      </c>
      <c r="R18">
        <v>0</v>
      </c>
      <c r="S18">
        <v>0</v>
      </c>
    </row>
    <row r="19" spans="2:19" ht="15.5" customHeight="1" x14ac:dyDescent="0.35">
      <c r="B19" s="67" t="s">
        <v>120</v>
      </c>
      <c r="C19" s="70">
        <v>1760.1610000000001</v>
      </c>
      <c r="D19" s="70">
        <v>-5963.6270000000004</v>
      </c>
      <c r="E19" s="70">
        <v>-2723.518</v>
      </c>
      <c r="F19" s="70">
        <v>-189328.234</v>
      </c>
      <c r="G19" s="70">
        <v>-36162.822999999997</v>
      </c>
      <c r="H19" s="70">
        <v>5510.5010000000002</v>
      </c>
      <c r="I19" s="70">
        <v>36733.637000000002</v>
      </c>
      <c r="J19" s="70">
        <v>40091.603000000003</v>
      </c>
      <c r="K19" s="70">
        <v>0</v>
      </c>
      <c r="L19" s="70">
        <v>3993.47</v>
      </c>
      <c r="M19" s="70">
        <v>-42160.468000000001</v>
      </c>
      <c r="N19" s="70">
        <v>34250.49</v>
      </c>
      <c r="O19" s="70">
        <v>-85173.057000000001</v>
      </c>
      <c r="P19" s="70">
        <v>-9218.277</v>
      </c>
      <c r="Q19" s="73">
        <v>-248390.14199999999</v>
      </c>
      <c r="R19">
        <v>0</v>
      </c>
      <c r="S19">
        <v>0</v>
      </c>
    </row>
    <row r="20" spans="2:19" ht="15.5" customHeight="1" x14ac:dyDescent="0.35">
      <c r="B20" s="67" t="s">
        <v>121</v>
      </c>
      <c r="C20" s="70">
        <v>-674.40700000000004</v>
      </c>
      <c r="D20" s="70">
        <v>-808.84199999999998</v>
      </c>
      <c r="E20" s="70">
        <v>588.947</v>
      </c>
      <c r="F20" s="70">
        <v>-4712.8379999999997</v>
      </c>
      <c r="G20" s="70">
        <v>4405.4790000000003</v>
      </c>
      <c r="H20" s="70">
        <v>5491.4870000000001</v>
      </c>
      <c r="I20" s="70">
        <v>21619.367999999999</v>
      </c>
      <c r="J20" s="70">
        <v>22295.013999999999</v>
      </c>
      <c r="K20" s="70">
        <v>0</v>
      </c>
      <c r="L20" s="70">
        <v>-656.98299999999995</v>
      </c>
      <c r="M20" s="70">
        <v>-7059.8329999999996</v>
      </c>
      <c r="N20" s="70">
        <v>20374.63</v>
      </c>
      <c r="O20" s="70">
        <v>0</v>
      </c>
      <c r="P20" s="70">
        <v>-5529.7849999999999</v>
      </c>
      <c r="Q20" s="73">
        <v>55332.237000000001</v>
      </c>
      <c r="R20">
        <v>0</v>
      </c>
      <c r="S20">
        <v>0</v>
      </c>
    </row>
    <row r="21" spans="2:19" ht="15.5" customHeight="1" x14ac:dyDescent="0.35">
      <c r="B21" s="67" t="s">
        <v>122</v>
      </c>
      <c r="C21" s="70">
        <v>-4448.4430000000002</v>
      </c>
      <c r="D21" s="70">
        <v>497.45400000000001</v>
      </c>
      <c r="E21" s="70">
        <v>5596.5889999999999</v>
      </c>
      <c r="F21" s="70">
        <v>-6611.5079999999998</v>
      </c>
      <c r="G21" s="70">
        <v>-909.55899999999997</v>
      </c>
      <c r="H21" s="70">
        <v>1446.86</v>
      </c>
      <c r="I21" s="70">
        <v>51875.646999999997</v>
      </c>
      <c r="J21" s="70">
        <v>13366.721</v>
      </c>
      <c r="K21" s="70">
        <v>0</v>
      </c>
      <c r="L21" s="70">
        <v>2393.1880000000001</v>
      </c>
      <c r="M21" s="70">
        <v>3494.6959999999999</v>
      </c>
      <c r="N21" s="70">
        <v>39357.35</v>
      </c>
      <c r="O21" s="70">
        <v>-1311.7180000000001</v>
      </c>
      <c r="P21" s="70">
        <v>-1657.941</v>
      </c>
      <c r="Q21" s="73">
        <v>103089.336</v>
      </c>
      <c r="R21">
        <v>0</v>
      </c>
      <c r="S21">
        <v>0</v>
      </c>
    </row>
    <row r="22" spans="2:19" ht="15.5" customHeight="1" x14ac:dyDescent="0.35">
      <c r="B22" s="67" t="s">
        <v>123</v>
      </c>
      <c r="C22" s="70">
        <v>0</v>
      </c>
      <c r="D22" s="70">
        <v>6646.2290000000003</v>
      </c>
      <c r="E22" s="70">
        <v>1936.701</v>
      </c>
      <c r="F22" s="70">
        <v>430.16</v>
      </c>
      <c r="G22" s="70">
        <v>1865.5840000000001</v>
      </c>
      <c r="H22" s="70">
        <v>10541.14</v>
      </c>
      <c r="I22" s="70">
        <v>24664.588</v>
      </c>
      <c r="J22" s="70">
        <v>14538.441000000001</v>
      </c>
      <c r="K22" s="70">
        <v>1521.6959999999999</v>
      </c>
      <c r="L22" s="70">
        <v>831.399</v>
      </c>
      <c r="M22" s="70">
        <v>5204.2349999999997</v>
      </c>
      <c r="N22" s="70">
        <v>21407.59</v>
      </c>
      <c r="O22" s="70">
        <v>0</v>
      </c>
      <c r="P22" s="70">
        <v>5433.8620000000001</v>
      </c>
      <c r="Q22" s="73">
        <v>95021.625</v>
      </c>
      <c r="R22">
        <v>0</v>
      </c>
      <c r="S22">
        <v>0</v>
      </c>
    </row>
    <row r="23" spans="2:19" ht="15.5" customHeight="1" x14ac:dyDescent="0.35">
      <c r="B23" s="67" t="s">
        <v>124</v>
      </c>
      <c r="C23" s="70">
        <v>0</v>
      </c>
      <c r="D23" s="70">
        <v>0</v>
      </c>
      <c r="E23" s="70">
        <v>0</v>
      </c>
      <c r="F23" s="70">
        <v>0</v>
      </c>
      <c r="G23" s="70">
        <v>0</v>
      </c>
      <c r="H23" s="70">
        <v>0</v>
      </c>
      <c r="I23" s="70">
        <v>0</v>
      </c>
      <c r="J23" s="70">
        <v>0</v>
      </c>
      <c r="K23" s="70">
        <v>0</v>
      </c>
      <c r="L23" s="70">
        <v>0</v>
      </c>
      <c r="M23" s="70">
        <v>0</v>
      </c>
      <c r="N23" s="70">
        <v>0</v>
      </c>
      <c r="O23" s="70">
        <v>312891.05496750929</v>
      </c>
      <c r="P23" s="70">
        <v>0</v>
      </c>
      <c r="Q23" s="73">
        <v>312891.05496750929</v>
      </c>
      <c r="R23">
        <v>0</v>
      </c>
      <c r="S23">
        <v>0</v>
      </c>
    </row>
    <row r="24" spans="2:19" ht="15.5" customHeight="1" x14ac:dyDescent="0.35">
      <c r="B24" s="67" t="s">
        <v>125</v>
      </c>
      <c r="C24" s="70">
        <v>0</v>
      </c>
      <c r="D24" s="70">
        <v>-1097.8579999999999</v>
      </c>
      <c r="E24" s="70">
        <v>1168.6569999999999</v>
      </c>
      <c r="F24" s="70">
        <v>-7170.7</v>
      </c>
      <c r="G24" s="70">
        <v>479.47399999999999</v>
      </c>
      <c r="H24" s="70">
        <v>4862.5950000000003</v>
      </c>
      <c r="I24" s="70">
        <v>12817.97</v>
      </c>
      <c r="J24" s="70">
        <v>8358.2569999999996</v>
      </c>
      <c r="K24" s="70">
        <v>0</v>
      </c>
      <c r="L24" s="70">
        <v>235.66800000000001</v>
      </c>
      <c r="M24" s="70">
        <v>-2605.643</v>
      </c>
      <c r="N24" s="70">
        <v>11189.679</v>
      </c>
      <c r="O24" s="70">
        <v>-1681.0419999999999</v>
      </c>
      <c r="P24" s="70">
        <v>-385.75099999999998</v>
      </c>
      <c r="Q24" s="73">
        <v>26171.306</v>
      </c>
      <c r="R24">
        <v>0</v>
      </c>
      <c r="S24">
        <v>0</v>
      </c>
    </row>
    <row r="25" spans="2:19" ht="15.5" customHeight="1" x14ac:dyDescent="0.35">
      <c r="B25" s="67" t="s">
        <v>126</v>
      </c>
      <c r="C25" s="70">
        <v>0</v>
      </c>
      <c r="D25" s="70">
        <v>159.7429700000007</v>
      </c>
      <c r="E25" s="70">
        <v>1530.8938000000001</v>
      </c>
      <c r="F25" s="70">
        <v>5815.5770000000002</v>
      </c>
      <c r="G25" s="70">
        <v>-1606.7634399999999</v>
      </c>
      <c r="H25" s="70">
        <v>43.152000000000001</v>
      </c>
      <c r="I25" s="70">
        <v>8549.1200000000008</v>
      </c>
      <c r="J25" s="70">
        <v>4007.2939999999999</v>
      </c>
      <c r="K25" s="70">
        <v>274.92399999999998</v>
      </c>
      <c r="L25" s="70">
        <v>65.183000000000007</v>
      </c>
      <c r="M25" s="70">
        <v>3622.8427799999999</v>
      </c>
      <c r="N25" s="70">
        <v>10131.270200000001</v>
      </c>
      <c r="O25" s="70">
        <v>0</v>
      </c>
      <c r="P25" s="70">
        <v>-24141.085770000002</v>
      </c>
      <c r="Q25" s="73">
        <v>8452.1505399999987</v>
      </c>
      <c r="R25">
        <v>0</v>
      </c>
      <c r="S25">
        <v>0</v>
      </c>
    </row>
    <row r="26" spans="2:19" ht="15.5" customHeight="1" x14ac:dyDescent="0.35">
      <c r="B26" s="67" t="s">
        <v>127</v>
      </c>
      <c r="C26" s="70">
        <v>0</v>
      </c>
      <c r="D26" s="70">
        <v>1131.0657810552721</v>
      </c>
      <c r="E26" s="70">
        <v>913.36929005074501</v>
      </c>
      <c r="F26" s="70">
        <v>-12512.834750245591</v>
      </c>
      <c r="G26" s="70">
        <v>17089.87273854834</v>
      </c>
      <c r="H26" s="70">
        <v>-137.99781352196729</v>
      </c>
      <c r="I26" s="70">
        <v>13233.842268674969</v>
      </c>
      <c r="J26" s="70">
        <v>91002.622939602254</v>
      </c>
      <c r="K26" s="70">
        <v>0</v>
      </c>
      <c r="L26" s="70">
        <v>-763.82719456147026</v>
      </c>
      <c r="M26" s="70">
        <v>-5358.2926955873136</v>
      </c>
      <c r="N26" s="70">
        <v>-6616.6907575090599</v>
      </c>
      <c r="O26" s="70">
        <v>74383.798281805924</v>
      </c>
      <c r="P26" s="70">
        <v>2055.32663891938</v>
      </c>
      <c r="Q26" s="73">
        <v>174420.25472723151</v>
      </c>
      <c r="R26">
        <v>0</v>
      </c>
      <c r="S26">
        <v>0</v>
      </c>
    </row>
    <row r="27" spans="2:19" ht="15.5" customHeight="1" x14ac:dyDescent="0.35">
      <c r="B27" s="67" t="s">
        <v>128</v>
      </c>
      <c r="C27" s="70">
        <v>-4.6320827482640743</v>
      </c>
      <c r="D27" s="70">
        <v>-4011.8364413441718</v>
      </c>
      <c r="E27" s="70">
        <v>3939.338270656061</v>
      </c>
      <c r="F27" s="70">
        <v>-22419.728999999999</v>
      </c>
      <c r="G27" s="70">
        <v>533.40175100532178</v>
      </c>
      <c r="H27" s="70">
        <v>2314.8683816184398</v>
      </c>
      <c r="I27" s="70">
        <v>18942.555341493298</v>
      </c>
      <c r="J27" s="70">
        <v>14174.16505006234</v>
      </c>
      <c r="K27" s="70">
        <v>0</v>
      </c>
      <c r="L27" s="70">
        <v>-1196.009</v>
      </c>
      <c r="M27" s="70">
        <v>38056.499604801909</v>
      </c>
      <c r="N27" s="70">
        <v>22770.938162381019</v>
      </c>
      <c r="O27" s="70">
        <v>0</v>
      </c>
      <c r="P27" s="70">
        <v>-35744.778200000001</v>
      </c>
      <c r="Q27" s="73">
        <v>37354.781837925962</v>
      </c>
      <c r="R27">
        <v>0</v>
      </c>
      <c r="S27">
        <v>0</v>
      </c>
    </row>
    <row r="28" spans="2:19" ht="15.5" customHeight="1" x14ac:dyDescent="0.35">
      <c r="B28" s="67" t="s">
        <v>129</v>
      </c>
      <c r="C28" s="70">
        <v>-184.25238163380021</v>
      </c>
      <c r="D28" s="70">
        <v>341.06386509184489</v>
      </c>
      <c r="E28" s="70">
        <v>376.77627516712352</v>
      </c>
      <c r="F28" s="70">
        <v>-4874.8171783244552</v>
      </c>
      <c r="G28" s="70">
        <v>-523.87987311463712</v>
      </c>
      <c r="H28" s="70">
        <v>2176.9532793421499</v>
      </c>
      <c r="I28" s="70">
        <v>7709.9823669808638</v>
      </c>
      <c r="J28" s="70">
        <v>2544.1109925462179</v>
      </c>
      <c r="K28" s="70">
        <v>0</v>
      </c>
      <c r="L28" s="70">
        <v>199.4342598388223</v>
      </c>
      <c r="M28" s="70">
        <v>176.09436723132211</v>
      </c>
      <c r="N28" s="70">
        <v>2746.911534416839</v>
      </c>
      <c r="O28" s="70">
        <v>14954</v>
      </c>
      <c r="P28" s="70">
        <v>363.04614050435652</v>
      </c>
      <c r="Q28" s="73">
        <v>26005.42364804665</v>
      </c>
      <c r="R28">
        <v>0</v>
      </c>
      <c r="S28">
        <v>0</v>
      </c>
    </row>
    <row r="29" spans="2:19" ht="15.5" customHeight="1" x14ac:dyDescent="0.35">
      <c r="B29" s="67" t="s">
        <v>130</v>
      </c>
      <c r="C29" s="70">
        <v>-21.756</v>
      </c>
      <c r="D29" s="70">
        <v>339.38098000000008</v>
      </c>
      <c r="E29" s="70">
        <v>3835.963490000006</v>
      </c>
      <c r="F29" s="70">
        <v>13998.050450000021</v>
      </c>
      <c r="G29" s="70">
        <v>-5944.7821999999878</v>
      </c>
      <c r="H29" s="70">
        <v>-330.12547000000001</v>
      </c>
      <c r="I29" s="70">
        <v>23019.581020000049</v>
      </c>
      <c r="J29" s="70">
        <v>4144.5589199999913</v>
      </c>
      <c r="K29" s="70">
        <v>0</v>
      </c>
      <c r="L29" s="70">
        <v>-1350.776209999384</v>
      </c>
      <c r="M29" s="70">
        <v>-26206.916669999999</v>
      </c>
      <c r="N29" s="70">
        <v>-991.87425000000189</v>
      </c>
      <c r="O29" s="70">
        <v>0</v>
      </c>
      <c r="P29" s="70">
        <v>0.4136399999999994</v>
      </c>
      <c r="Q29" s="73">
        <v>10491.71770000069</v>
      </c>
      <c r="R29">
        <v>0</v>
      </c>
      <c r="S29">
        <v>0</v>
      </c>
    </row>
    <row r="30" spans="2:19" ht="15.5" customHeight="1" x14ac:dyDescent="0.35">
      <c r="B30" s="67" t="s">
        <v>131</v>
      </c>
      <c r="C30" s="70">
        <v>1244.884</v>
      </c>
      <c r="D30" s="70">
        <v>2038.8150000000001</v>
      </c>
      <c r="E30" s="70">
        <v>945.404</v>
      </c>
      <c r="F30" s="70">
        <v>-1282.0519999999999</v>
      </c>
      <c r="G30" s="70">
        <v>492.17899999999997</v>
      </c>
      <c r="H30" s="70">
        <v>3788.0320000000002</v>
      </c>
      <c r="I30" s="70">
        <v>6552.1339499999985</v>
      </c>
      <c r="J30" s="70">
        <v>10221.221</v>
      </c>
      <c r="K30" s="70">
        <v>0</v>
      </c>
      <c r="L30" s="70">
        <v>392.91199999999998</v>
      </c>
      <c r="M30" s="70">
        <v>532.197</v>
      </c>
      <c r="N30" s="70">
        <v>6670.5240000000003</v>
      </c>
      <c r="O30" s="70">
        <v>0</v>
      </c>
      <c r="P30" s="70">
        <v>683.55899999999997</v>
      </c>
      <c r="Q30" s="73">
        <v>32279.808949999999</v>
      </c>
      <c r="R30">
        <v>0</v>
      </c>
      <c r="S30">
        <v>0</v>
      </c>
    </row>
    <row r="31" spans="2:19" ht="15.5" customHeight="1" x14ac:dyDescent="0.35">
      <c r="B31" s="67" t="s">
        <v>132</v>
      </c>
      <c r="C31" s="70">
        <v>-924.27253999999914</v>
      </c>
      <c r="D31" s="70">
        <v>-954.79103000004591</v>
      </c>
      <c r="E31" s="70">
        <v>8173.3613899999746</v>
      </c>
      <c r="F31" s="70">
        <v>15555.744029999991</v>
      </c>
      <c r="G31" s="70">
        <v>1362.569019999999</v>
      </c>
      <c r="H31" s="70">
        <v>814.67821999999876</v>
      </c>
      <c r="I31" s="70">
        <v>35271.63001999988</v>
      </c>
      <c r="J31" s="70">
        <v>32027.621970000258</v>
      </c>
      <c r="K31" s="70">
        <v>0</v>
      </c>
      <c r="L31" s="70">
        <v>3564.9994322181769</v>
      </c>
      <c r="M31" s="70">
        <v>1276.685479999993</v>
      </c>
      <c r="N31" s="70">
        <v>18277.325149999931</v>
      </c>
      <c r="O31" s="70">
        <v>250651.48862188921</v>
      </c>
      <c r="P31" s="70">
        <v>-862.80714000000057</v>
      </c>
      <c r="Q31" s="73">
        <v>364234.23262410739</v>
      </c>
      <c r="R31">
        <v>0</v>
      </c>
      <c r="S31">
        <v>0</v>
      </c>
    </row>
    <row r="32" spans="2:19" ht="15.5" customHeight="1" x14ac:dyDescent="0.35">
      <c r="B32" s="67" t="s">
        <v>133</v>
      </c>
      <c r="C32" s="70">
        <v>0</v>
      </c>
      <c r="D32" s="70">
        <v>1059.259</v>
      </c>
      <c r="E32" s="70">
        <v>701.28200000000004</v>
      </c>
      <c r="F32" s="70">
        <v>3157.835</v>
      </c>
      <c r="G32" s="70">
        <v>13475.084000000001</v>
      </c>
      <c r="H32" s="70">
        <v>99.643000000000001</v>
      </c>
      <c r="I32" s="70">
        <v>14156.561</v>
      </c>
      <c r="J32" s="70">
        <v>20426.303</v>
      </c>
      <c r="K32" s="70">
        <v>0</v>
      </c>
      <c r="L32" s="70">
        <v>1801.63</v>
      </c>
      <c r="M32" s="70">
        <v>691.98</v>
      </c>
      <c r="N32" s="70">
        <v>6672.6480000000001</v>
      </c>
      <c r="O32" s="70">
        <v>19054.644</v>
      </c>
      <c r="P32" s="70">
        <v>79.887</v>
      </c>
      <c r="Q32" s="73">
        <v>81376.755999999994</v>
      </c>
      <c r="R32">
        <v>0</v>
      </c>
      <c r="S32">
        <v>1.0500000000000001E-2</v>
      </c>
    </row>
    <row r="33" spans="2:19" ht="15.5" customHeight="1" x14ac:dyDescent="0.35">
      <c r="B33" s="67" t="s">
        <v>134</v>
      </c>
      <c r="C33" s="70">
        <v>-119.697</v>
      </c>
      <c r="D33" s="70">
        <v>1722.65</v>
      </c>
      <c r="E33" s="70">
        <v>561.947</v>
      </c>
      <c r="F33" s="70">
        <v>-4178.183</v>
      </c>
      <c r="G33" s="70">
        <v>-614.87699999999995</v>
      </c>
      <c r="H33" s="70">
        <v>-575.755</v>
      </c>
      <c r="I33" s="70">
        <v>32704.484</v>
      </c>
      <c r="J33" s="70">
        <v>20607.800999999999</v>
      </c>
      <c r="K33" s="70">
        <v>0</v>
      </c>
      <c r="L33" s="70">
        <v>-326.90800000000002</v>
      </c>
      <c r="M33" s="70">
        <v>1401.711</v>
      </c>
      <c r="N33" s="70">
        <v>3523.248</v>
      </c>
      <c r="O33" s="70">
        <v>0</v>
      </c>
      <c r="P33" s="70">
        <v>-1206.9960000000001</v>
      </c>
      <c r="Q33" s="73">
        <v>53499.425000000003</v>
      </c>
      <c r="R33">
        <v>0</v>
      </c>
      <c r="S33">
        <v>0</v>
      </c>
    </row>
    <row r="34" spans="2:19" ht="15.5" customHeight="1" x14ac:dyDescent="0.35">
      <c r="B34" s="67" t="s">
        <v>135</v>
      </c>
      <c r="C34" s="70">
        <v>0</v>
      </c>
      <c r="D34" s="70">
        <v>-5511.1059999999998</v>
      </c>
      <c r="E34" s="70">
        <v>3711.3580000000002</v>
      </c>
      <c r="F34" s="70">
        <v>37800.930999999997</v>
      </c>
      <c r="G34" s="70">
        <v>6108.5240000000003</v>
      </c>
      <c r="H34" s="70">
        <v>-2874.46</v>
      </c>
      <c r="I34" s="70">
        <v>69359.528000000006</v>
      </c>
      <c r="J34" s="70">
        <v>45121.302000000003</v>
      </c>
      <c r="K34" s="70">
        <v>0</v>
      </c>
      <c r="L34" s="70">
        <v>-512.52700000000004</v>
      </c>
      <c r="M34" s="70">
        <v>29.166</v>
      </c>
      <c r="N34" s="70">
        <v>14181.182000000001</v>
      </c>
      <c r="O34" s="70">
        <v>0</v>
      </c>
      <c r="P34" s="70">
        <v>-2265.69</v>
      </c>
      <c r="Q34" s="73">
        <v>165148.20800000001</v>
      </c>
      <c r="R34">
        <v>0</v>
      </c>
      <c r="S34">
        <v>0</v>
      </c>
    </row>
    <row r="35" spans="2:19" ht="15.5" customHeight="1" x14ac:dyDescent="0.35">
      <c r="B35" s="67" t="s">
        <v>136</v>
      </c>
      <c r="C35" s="70">
        <v>-2.145</v>
      </c>
      <c r="D35" s="70">
        <v>-616.21325000000002</v>
      </c>
      <c r="E35" s="70">
        <v>1</v>
      </c>
      <c r="F35" s="70">
        <v>-1561.6945000000001</v>
      </c>
      <c r="G35" s="70">
        <v>42.48</v>
      </c>
      <c r="H35" s="70">
        <v>-31.855225000000001</v>
      </c>
      <c r="I35" s="70">
        <v>1011.77265</v>
      </c>
      <c r="J35" s="70">
        <v>1233.6721500000001</v>
      </c>
      <c r="K35" s="70">
        <v>0</v>
      </c>
      <c r="L35" s="70">
        <v>110.425</v>
      </c>
      <c r="M35" s="70">
        <v>-35.236750000000001</v>
      </c>
      <c r="N35" s="70">
        <v>1334.7729999999999</v>
      </c>
      <c r="O35" s="70">
        <v>80574.706487860967</v>
      </c>
      <c r="P35" s="70">
        <v>-851.16991499999995</v>
      </c>
      <c r="Q35" s="73">
        <v>81210.514647860953</v>
      </c>
      <c r="R35">
        <v>0</v>
      </c>
      <c r="S35">
        <v>0</v>
      </c>
    </row>
    <row r="36" spans="2:19" ht="15.5" customHeight="1" x14ac:dyDescent="0.35">
      <c r="B36" s="67" t="s">
        <v>137</v>
      </c>
      <c r="C36" s="70">
        <v>0</v>
      </c>
      <c r="D36" s="70">
        <v>643.23508917150548</v>
      </c>
      <c r="E36" s="70">
        <v>203.35338736038659</v>
      </c>
      <c r="F36" s="70">
        <v>1728.101006026304</v>
      </c>
      <c r="G36" s="70">
        <v>4263.5950169154521</v>
      </c>
      <c r="H36" s="70">
        <v>601.94489769176346</v>
      </c>
      <c r="I36" s="70">
        <v>6159.5090797217581</v>
      </c>
      <c r="J36" s="70">
        <v>17666.789629135499</v>
      </c>
      <c r="K36" s="70">
        <v>0</v>
      </c>
      <c r="L36" s="70">
        <v>239.23669000000001</v>
      </c>
      <c r="M36" s="70">
        <v>1066.8370943065879</v>
      </c>
      <c r="N36" s="70">
        <v>4569.5430300000016</v>
      </c>
      <c r="O36" s="70">
        <v>0</v>
      </c>
      <c r="P36" s="70">
        <v>-1281.0160511609861</v>
      </c>
      <c r="Q36" s="73">
        <v>35861.128869168271</v>
      </c>
      <c r="R36">
        <v>0</v>
      </c>
      <c r="S36">
        <v>0</v>
      </c>
    </row>
    <row r="37" spans="2:19" ht="15.5" customHeight="1" x14ac:dyDescent="0.35">
      <c r="B37" s="67" t="s">
        <v>138</v>
      </c>
      <c r="C37" s="70">
        <v>0</v>
      </c>
      <c r="D37" s="70">
        <v>-4642.2379096364321</v>
      </c>
      <c r="E37" s="70">
        <v>2487.9338664929328</v>
      </c>
      <c r="F37" s="70">
        <v>-24108.05001507315</v>
      </c>
      <c r="G37" s="70">
        <v>423.89602892025789</v>
      </c>
      <c r="H37" s="70">
        <v>5584.7403259173843</v>
      </c>
      <c r="I37" s="70">
        <v>6703.7054498058415</v>
      </c>
      <c r="J37" s="70">
        <v>4802.6504563391863</v>
      </c>
      <c r="K37" s="70">
        <v>0</v>
      </c>
      <c r="L37" s="70">
        <v>426.67614405158253</v>
      </c>
      <c r="M37" s="70">
        <v>5380.7583498443291</v>
      </c>
      <c r="N37" s="70">
        <v>13487.68316876511</v>
      </c>
      <c r="O37" s="70">
        <v>68.638000000000005</v>
      </c>
      <c r="P37" s="70">
        <v>-51.499891318006682</v>
      </c>
      <c r="Q37" s="73">
        <v>10564.89397410904</v>
      </c>
      <c r="R37">
        <v>0</v>
      </c>
      <c r="S37">
        <v>0</v>
      </c>
    </row>
    <row r="38" spans="2:19" ht="15.5" customHeight="1" x14ac:dyDescent="0.35">
      <c r="B38" s="67" t="s">
        <v>139</v>
      </c>
      <c r="C38" s="70">
        <v>-2621.7260000000001</v>
      </c>
      <c r="D38" s="70">
        <v>-1776.6579999999999</v>
      </c>
      <c r="E38" s="70">
        <v>11130.955</v>
      </c>
      <c r="F38" s="70">
        <v>1080.606</v>
      </c>
      <c r="G38" s="70">
        <v>3689.1260000000002</v>
      </c>
      <c r="H38" s="70">
        <v>2245.5140000000001</v>
      </c>
      <c r="I38" s="70">
        <v>31723.919000000002</v>
      </c>
      <c r="J38" s="70">
        <v>17539.488000000001</v>
      </c>
      <c r="K38" s="70">
        <v>-666.9</v>
      </c>
      <c r="L38" s="70">
        <v>3206.703</v>
      </c>
      <c r="M38" s="70">
        <v>4480.1379999999999</v>
      </c>
      <c r="N38" s="70">
        <v>12970.136</v>
      </c>
      <c r="O38" s="70">
        <v>81791.945999999996</v>
      </c>
      <c r="P38" s="70">
        <v>3183.35</v>
      </c>
      <c r="Q38" s="73">
        <v>167976.59700000001</v>
      </c>
      <c r="R38">
        <v>0</v>
      </c>
      <c r="S38">
        <v>0</v>
      </c>
    </row>
    <row r="39" spans="2:19" ht="15.5"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73">
        <v>0</v>
      </c>
    </row>
    <row r="40" spans="2:19" ht="15.5" customHeight="1" x14ac:dyDescent="0.35">
      <c r="B40" s="93" t="s">
        <v>141</v>
      </c>
      <c r="C40" s="70">
        <v>0</v>
      </c>
      <c r="D40" s="70">
        <v>0</v>
      </c>
      <c r="E40" s="70">
        <v>0</v>
      </c>
      <c r="F40" s="70">
        <v>0</v>
      </c>
      <c r="G40" s="70">
        <v>0</v>
      </c>
      <c r="H40" s="70">
        <v>0</v>
      </c>
      <c r="I40" s="70">
        <v>0</v>
      </c>
      <c r="J40" s="70">
        <v>0</v>
      </c>
      <c r="K40" s="70">
        <v>0</v>
      </c>
      <c r="L40" s="70">
        <v>0</v>
      </c>
      <c r="M40" s="70">
        <v>0</v>
      </c>
      <c r="N40" s="70">
        <v>0</v>
      </c>
      <c r="O40" s="70">
        <v>0</v>
      </c>
      <c r="P40" s="70">
        <v>0</v>
      </c>
      <c r="Q40" s="73">
        <v>0</v>
      </c>
      <c r="R40">
        <v>0</v>
      </c>
      <c r="S40">
        <v>0</v>
      </c>
    </row>
    <row r="41" spans="2:19" ht="15.5" customHeight="1" x14ac:dyDescent="0.35">
      <c r="B41" s="71" t="s">
        <v>7</v>
      </c>
      <c r="C41" s="72">
        <f t="shared" ref="C41:Q41" si="0">SUM(C6:C40)</f>
        <v>-19501.285184382061</v>
      </c>
      <c r="D41" s="72">
        <f t="shared" si="0"/>
        <v>-12677.75974502485</v>
      </c>
      <c r="E41" s="72">
        <f t="shared" si="0"/>
        <v>66867.266881496267</v>
      </c>
      <c r="F41" s="72">
        <f t="shared" si="0"/>
        <v>-190344.5112519183</v>
      </c>
      <c r="G41" s="72">
        <f t="shared" si="0"/>
        <v>34555.612123024141</v>
      </c>
      <c r="H41" s="72">
        <f t="shared" si="0"/>
        <v>40887.939787734467</v>
      </c>
      <c r="I41" s="72">
        <f t="shared" si="0"/>
        <v>742166.57085397386</v>
      </c>
      <c r="J41" s="72">
        <f t="shared" si="0"/>
        <v>617530.15899925178</v>
      </c>
      <c r="K41" s="72">
        <f t="shared" si="0"/>
        <v>78015.245756543562</v>
      </c>
      <c r="L41" s="72">
        <f t="shared" si="0"/>
        <v>25383.676321822786</v>
      </c>
      <c r="M41" s="72">
        <f t="shared" si="0"/>
        <v>38602.562242674561</v>
      </c>
      <c r="N41" s="72">
        <f t="shared" si="0"/>
        <v>312940.29759452608</v>
      </c>
      <c r="O41" s="72">
        <f t="shared" si="0"/>
        <v>1192641.8552810655</v>
      </c>
      <c r="P41" s="72">
        <f t="shared" si="0"/>
        <v>-134838.97160002324</v>
      </c>
      <c r="Q41" s="72">
        <f t="shared" si="0"/>
        <v>2792228.6580607644</v>
      </c>
    </row>
    <row r="42" spans="2:19" ht="14.5" customHeight="1" x14ac:dyDescent="0.35">
      <c r="B42" s="369" t="s">
        <v>142</v>
      </c>
      <c r="C42" s="301"/>
      <c r="D42" s="301"/>
      <c r="E42" s="301"/>
      <c r="F42" s="301"/>
      <c r="G42" s="301"/>
      <c r="H42" s="301"/>
      <c r="I42" s="301"/>
      <c r="J42" s="301"/>
      <c r="K42" s="301"/>
      <c r="L42" s="301"/>
      <c r="M42" s="301"/>
      <c r="N42" s="301"/>
      <c r="O42" s="301"/>
      <c r="P42" s="301"/>
      <c r="Q42" s="302"/>
    </row>
    <row r="43" spans="2:19" ht="15.5" customHeight="1" x14ac:dyDescent="0.35">
      <c r="B43" s="67" t="s">
        <v>143</v>
      </c>
      <c r="C43" s="70">
        <v>1910.952</v>
      </c>
      <c r="D43" s="70">
        <v>41327.368000000002</v>
      </c>
      <c r="E43" s="70">
        <v>61102.536999999997</v>
      </c>
      <c r="F43" s="70">
        <v>173907.22200000001</v>
      </c>
      <c r="G43" s="70">
        <v>10810.67</v>
      </c>
      <c r="H43" s="70">
        <v>21975.952000000001</v>
      </c>
      <c r="I43" s="70">
        <v>2831.366</v>
      </c>
      <c r="J43" s="70">
        <v>12097.655000000001</v>
      </c>
      <c r="K43" s="70">
        <v>0</v>
      </c>
      <c r="L43" s="70">
        <v>18438.243999999999</v>
      </c>
      <c r="M43" s="70">
        <v>970.43399999999997</v>
      </c>
      <c r="N43" s="70">
        <v>1940.8679999999999</v>
      </c>
      <c r="O43" s="70">
        <v>41915.758999999998</v>
      </c>
      <c r="P43" s="70">
        <v>75693.843999999997</v>
      </c>
      <c r="Q43" s="73">
        <v>464922.87099999998</v>
      </c>
      <c r="R43">
        <v>0</v>
      </c>
      <c r="S43">
        <v>0</v>
      </c>
    </row>
    <row r="44" spans="2:19" ht="15.5" customHeight="1" x14ac:dyDescent="0.35">
      <c r="B44" s="67" t="s">
        <v>144</v>
      </c>
      <c r="C44" s="70">
        <v>75.955239860808419</v>
      </c>
      <c r="D44" s="70">
        <v>-10370.335581466879</v>
      </c>
      <c r="E44" s="70">
        <v>0</v>
      </c>
      <c r="F44" s="70">
        <v>220758.9443574055</v>
      </c>
      <c r="G44" s="70">
        <v>6033.9698623643189</v>
      </c>
      <c r="H44" s="70">
        <v>14640.30113137015</v>
      </c>
      <c r="I44" s="70">
        <v>0</v>
      </c>
      <c r="J44" s="70">
        <v>18898.233006829279</v>
      </c>
      <c r="K44" s="70">
        <v>0</v>
      </c>
      <c r="L44" s="70">
        <v>17583.764629343848</v>
      </c>
      <c r="M44" s="70">
        <v>0</v>
      </c>
      <c r="N44" s="70">
        <v>0</v>
      </c>
      <c r="O44" s="70">
        <v>75772.052113674697</v>
      </c>
      <c r="P44" s="70">
        <v>32040.915052577951</v>
      </c>
      <c r="Q44" s="73">
        <v>375433.79981195967</v>
      </c>
      <c r="R44">
        <v>0</v>
      </c>
      <c r="S44">
        <v>0</v>
      </c>
    </row>
    <row r="45" spans="2:19" ht="15.5" customHeight="1" x14ac:dyDescent="0.35">
      <c r="B45" s="67" t="s">
        <v>145</v>
      </c>
      <c r="C45" s="70">
        <v>611.83829315928563</v>
      </c>
      <c r="D45" s="70">
        <v>18297.141496288521</v>
      </c>
      <c r="E45" s="70">
        <v>16909.372687875501</v>
      </c>
      <c r="F45" s="70">
        <v>118337.84178121549</v>
      </c>
      <c r="G45" s="70">
        <v>937.88407132628663</v>
      </c>
      <c r="H45" s="70">
        <v>6590.7559286497972</v>
      </c>
      <c r="I45" s="70">
        <v>12606.87878814227</v>
      </c>
      <c r="J45" s="70">
        <v>12931.71131486583</v>
      </c>
      <c r="K45" s="70">
        <v>0</v>
      </c>
      <c r="L45" s="70">
        <v>2321.1286634241351</v>
      </c>
      <c r="M45" s="70">
        <v>12574.90118882081</v>
      </c>
      <c r="N45" s="70">
        <v>2509.1645458031271</v>
      </c>
      <c r="O45" s="70">
        <v>61621.24999360989</v>
      </c>
      <c r="P45" s="70">
        <v>13784.95724681908</v>
      </c>
      <c r="Q45" s="73">
        <v>280034.826</v>
      </c>
      <c r="R45">
        <v>0</v>
      </c>
      <c r="S45">
        <v>0</v>
      </c>
    </row>
    <row r="46" spans="2:19" ht="15.5" customHeight="1" x14ac:dyDescent="0.35">
      <c r="B46" s="64" t="s">
        <v>146</v>
      </c>
      <c r="C46" s="70">
        <v>4268.7056399999974</v>
      </c>
      <c r="D46" s="70">
        <v>62150.221850000002</v>
      </c>
      <c r="E46" s="70">
        <v>4612.6910099999996</v>
      </c>
      <c r="F46" s="70">
        <v>266153.00895999989</v>
      </c>
      <c r="G46" s="70">
        <v>6182.52675</v>
      </c>
      <c r="H46" s="70">
        <v>39399.274460000001</v>
      </c>
      <c r="I46" s="70">
        <v>698.63519000000008</v>
      </c>
      <c r="J46" s="70">
        <v>12098.196190000001</v>
      </c>
      <c r="K46" s="70">
        <v>0</v>
      </c>
      <c r="L46" s="70">
        <v>52375.983160000018</v>
      </c>
      <c r="M46" s="70">
        <v>1917.7000499999999</v>
      </c>
      <c r="N46" s="70">
        <v>6323.2660399999986</v>
      </c>
      <c r="O46" s="70">
        <v>60059.995419999999</v>
      </c>
      <c r="P46" s="70">
        <v>135241.42991000001</v>
      </c>
      <c r="Q46" s="73">
        <v>651481.63462999987</v>
      </c>
      <c r="R46">
        <v>0</v>
      </c>
      <c r="S46">
        <v>0</v>
      </c>
    </row>
    <row r="47" spans="2:19" ht="15.5" customHeight="1" x14ac:dyDescent="0.35">
      <c r="B47" s="67" t="s">
        <v>147</v>
      </c>
      <c r="C47" s="70">
        <v>-123.54946129174139</v>
      </c>
      <c r="D47" s="70">
        <v>54061.449737443269</v>
      </c>
      <c r="E47" s="70">
        <v>428.04246256607922</v>
      </c>
      <c r="F47" s="70">
        <v>101294.4921019769</v>
      </c>
      <c r="G47" s="70">
        <v>53930.389306274417</v>
      </c>
      <c r="H47" s="70">
        <v>9763.3809880466051</v>
      </c>
      <c r="I47" s="70">
        <v>1292.990509184481</v>
      </c>
      <c r="J47" s="70">
        <v>7252.5794899004113</v>
      </c>
      <c r="K47" s="70">
        <v>0</v>
      </c>
      <c r="L47" s="70">
        <v>15169.2904558504</v>
      </c>
      <c r="M47" s="70">
        <v>2171.9880980726971</v>
      </c>
      <c r="N47" s="70">
        <v>-319.73807197598558</v>
      </c>
      <c r="O47" s="70">
        <v>28723.805885243732</v>
      </c>
      <c r="P47" s="70">
        <v>22971.769440545489</v>
      </c>
      <c r="Q47" s="73">
        <v>296616.89094183681</v>
      </c>
      <c r="R47">
        <v>0</v>
      </c>
    </row>
    <row r="48" spans="2:19" ht="15.5" customHeight="1" x14ac:dyDescent="0.35">
      <c r="B48" s="71" t="s">
        <v>7</v>
      </c>
      <c r="C48" s="72">
        <f t="shared" ref="C48:Q48" si="1">SUM(C43:C47)</f>
        <v>6743.9017117283511</v>
      </c>
      <c r="D48" s="72">
        <f t="shared" si="1"/>
        <v>165465.84550226491</v>
      </c>
      <c r="E48" s="72">
        <f t="shared" si="1"/>
        <v>83052.64316044157</v>
      </c>
      <c r="F48" s="72">
        <f t="shared" si="1"/>
        <v>880451.50920059776</v>
      </c>
      <c r="G48" s="72">
        <f t="shared" si="1"/>
        <v>77895.439989965031</v>
      </c>
      <c r="H48" s="72">
        <f t="shared" si="1"/>
        <v>92369.664508066548</v>
      </c>
      <c r="I48" s="72">
        <f t="shared" si="1"/>
        <v>17429.870487326752</v>
      </c>
      <c r="J48" s="72">
        <f t="shared" si="1"/>
        <v>63278.375001595523</v>
      </c>
      <c r="K48" s="72">
        <f t="shared" si="1"/>
        <v>0</v>
      </c>
      <c r="L48" s="72">
        <f t="shared" si="1"/>
        <v>105888.41090861839</v>
      </c>
      <c r="M48" s="72">
        <f t="shared" si="1"/>
        <v>17635.023336893504</v>
      </c>
      <c r="N48" s="72">
        <f t="shared" si="1"/>
        <v>10453.56051382714</v>
      </c>
      <c r="O48" s="72">
        <f t="shared" si="1"/>
        <v>268092.86241252831</v>
      </c>
      <c r="P48" s="72">
        <f t="shared" si="1"/>
        <v>279732.91564994253</v>
      </c>
      <c r="Q48" s="72">
        <f t="shared" si="1"/>
        <v>2068490.0223837965</v>
      </c>
    </row>
    <row r="49" spans="2:17" ht="14.5" customHeight="1" x14ac:dyDescent="0.35">
      <c r="B49" s="326" t="s">
        <v>149</v>
      </c>
      <c r="C49" s="308"/>
      <c r="D49" s="308"/>
      <c r="E49" s="308"/>
      <c r="F49" s="308"/>
      <c r="G49" s="308"/>
      <c r="H49" s="308"/>
      <c r="I49" s="308"/>
      <c r="J49" s="308"/>
      <c r="K49" s="308"/>
      <c r="L49" s="308"/>
      <c r="M49" s="308"/>
      <c r="N49" s="308"/>
      <c r="O49" s="308"/>
      <c r="P49" s="308"/>
      <c r="Q49" s="308"/>
    </row>
  </sheetData>
  <sheetProtection algorithmName="SHA-512" hashValue="ZTG0F5Tl+Y/HO5pX5gtFVXArobUoZ73TNHDK+wFA/9QFlBrh6wyzPWx9TD3UNwKkyuQgSddiWAKBtwB28Uc8AA==" saltValue="VBeN1Mx5BQ0f2aUKlxfcPQ==" spinCount="100000" sheet="1" objects="1" scenarios="1"/>
  <mergeCells count="4">
    <mergeCell ref="B42:Q42"/>
    <mergeCell ref="B49:Q49"/>
    <mergeCell ref="B3:Q3"/>
    <mergeCell ref="B5:Q5"/>
  </mergeCells>
  <pageMargins left="0.7" right="0.7" top="0.75" bottom="0.75" header="0.3" footer="0.3"/>
  <pageSetup paperSize="9" scale="33"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0">
    <tabColor rgb="FFA2D668"/>
    <pageSetUpPr fitToPage="1"/>
  </sheetPr>
  <dimension ref="B3:Q49"/>
  <sheetViews>
    <sheetView showGridLines="0" topLeftCell="A23" zoomScale="70" zoomScaleNormal="70" workbookViewId="0">
      <selection activeCell="J41" sqref="J41:K41"/>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19" width="9.453125" style="2" customWidth="1"/>
    <col min="120" max="16384" width="9.453125" style="2"/>
  </cols>
  <sheetData>
    <row r="3" spans="2:17" ht="14.5" customHeight="1" x14ac:dyDescent="0.35">
      <c r="B3" s="370" t="str">
        <f>_xlfn.CONCAT("MGT: SUMMARY OF MANAGEMENT EXPENSES UNDER GENERAL INSURANCE BUSINESS FOR THE PERIOD ENDED"," ",Details!F18)</f>
        <v>MGT: SUMMARY OF MANAGEMENT EXPENSES UNDER GENERAL INSURANCE BUSINESS FOR THE PERIOD ENDED 31.03.2026</v>
      </c>
      <c r="C3" s="301"/>
      <c r="D3" s="301"/>
      <c r="E3" s="301"/>
      <c r="F3" s="301"/>
      <c r="G3" s="301"/>
      <c r="H3" s="301"/>
      <c r="I3" s="301"/>
      <c r="J3" s="301"/>
      <c r="K3" s="301"/>
      <c r="L3" s="301"/>
      <c r="M3" s="301"/>
      <c r="N3" s="301"/>
      <c r="O3" s="301"/>
      <c r="P3" s="301"/>
      <c r="Q3" s="302"/>
    </row>
    <row r="4" spans="2:17" ht="31" customHeight="1" x14ac:dyDescent="0.35">
      <c r="B4" s="65" t="s">
        <v>87</v>
      </c>
      <c r="C4" s="66" t="s">
        <v>216</v>
      </c>
      <c r="D4" s="66" t="s">
        <v>217</v>
      </c>
      <c r="E4" s="66" t="s">
        <v>218</v>
      </c>
      <c r="F4" s="66" t="s">
        <v>219</v>
      </c>
      <c r="G4" s="66" t="s">
        <v>220</v>
      </c>
      <c r="H4" s="66" t="s">
        <v>221</v>
      </c>
      <c r="I4" s="66" t="s">
        <v>222</v>
      </c>
      <c r="J4" s="66" t="s">
        <v>223</v>
      </c>
      <c r="K4" s="66" t="s">
        <v>224</v>
      </c>
      <c r="L4" s="66" t="s">
        <v>225</v>
      </c>
      <c r="M4" s="66" t="s">
        <v>226</v>
      </c>
      <c r="N4" s="66" t="s">
        <v>227</v>
      </c>
      <c r="O4" s="66" t="s">
        <v>228</v>
      </c>
      <c r="P4" s="66" t="s">
        <v>229</v>
      </c>
      <c r="Q4" s="66" t="s">
        <v>230</v>
      </c>
    </row>
    <row r="5" spans="2:17" ht="14.5" customHeight="1" x14ac:dyDescent="0.35">
      <c r="B5" s="368" t="s">
        <v>106</v>
      </c>
      <c r="C5" s="301"/>
      <c r="D5" s="301"/>
      <c r="E5" s="301"/>
      <c r="F5" s="301"/>
      <c r="G5" s="301"/>
      <c r="H5" s="301"/>
      <c r="I5" s="301"/>
      <c r="J5" s="301"/>
      <c r="K5" s="301"/>
      <c r="L5" s="301"/>
      <c r="M5" s="301"/>
      <c r="N5" s="301"/>
      <c r="O5" s="301"/>
      <c r="P5" s="301"/>
      <c r="Q5" s="302"/>
    </row>
    <row r="6" spans="2:17" ht="15.5" customHeight="1" x14ac:dyDescent="0.35">
      <c r="B6" s="67" t="s">
        <v>107</v>
      </c>
      <c r="C6" s="70">
        <v>142.65598683737909</v>
      </c>
      <c r="D6" s="70">
        <v>81.761885133197481</v>
      </c>
      <c r="E6" s="70">
        <v>485.32335867239169</v>
      </c>
      <c r="F6" s="70">
        <v>1096.968397172009</v>
      </c>
      <c r="G6" s="70">
        <v>251.43543844784651</v>
      </c>
      <c r="H6" s="70">
        <v>146.32421034510509</v>
      </c>
      <c r="I6" s="70">
        <v>13.171198803424341</v>
      </c>
      <c r="J6" s="70">
        <v>0</v>
      </c>
      <c r="K6" s="70">
        <v>733.58897990002504</v>
      </c>
      <c r="L6" s="70">
        <v>290.58218678157652</v>
      </c>
      <c r="M6" s="70">
        <v>3246.9325743400759</v>
      </c>
      <c r="N6" s="70">
        <v>373033.92062003491</v>
      </c>
      <c r="O6" s="70">
        <v>874.8197035320627</v>
      </c>
      <c r="P6" s="70">
        <v>0</v>
      </c>
      <c r="Q6" s="73">
        <v>380397.48453999998</v>
      </c>
    </row>
    <row r="7" spans="2:17" ht="15.5" customHeight="1" x14ac:dyDescent="0.35">
      <c r="B7" s="67" t="s">
        <v>108</v>
      </c>
      <c r="C7" s="70">
        <v>3235.9458839124991</v>
      </c>
      <c r="D7" s="70">
        <v>322.88104402687082</v>
      </c>
      <c r="E7" s="70">
        <v>2857.174067293377</v>
      </c>
      <c r="F7" s="70">
        <v>2743.1114657420089</v>
      </c>
      <c r="G7" s="70">
        <v>213.02748524627981</v>
      </c>
      <c r="H7" s="70">
        <v>42298.006759580821</v>
      </c>
      <c r="I7" s="70">
        <v>134723.78121297309</v>
      </c>
      <c r="J7" s="70">
        <v>66340.519442871722</v>
      </c>
      <c r="K7" s="70">
        <v>2109.4145454186878</v>
      </c>
      <c r="L7" s="70">
        <v>213.02111635539811</v>
      </c>
      <c r="M7" s="70">
        <v>17534.862068706061</v>
      </c>
      <c r="N7" s="70">
        <v>29.759341904357029</v>
      </c>
      <c r="O7" s="70">
        <v>105.7015659687714</v>
      </c>
      <c r="P7" s="70">
        <v>0</v>
      </c>
      <c r="Q7" s="73">
        <v>272727.20600000001</v>
      </c>
    </row>
    <row r="8" spans="2:17" ht="15.5" customHeight="1" x14ac:dyDescent="0.35">
      <c r="B8" s="67" t="s">
        <v>109</v>
      </c>
      <c r="C8" s="70">
        <v>5593.8464722896961</v>
      </c>
      <c r="D8" s="70">
        <v>22924.92277943977</v>
      </c>
      <c r="E8" s="70">
        <v>6908.8173966864633</v>
      </c>
      <c r="F8" s="70">
        <v>162218.53380310841</v>
      </c>
      <c r="G8" s="70">
        <v>29665.5579826514</v>
      </c>
      <c r="H8" s="70">
        <v>16069.947839666291</v>
      </c>
      <c r="I8" s="70">
        <v>123071.3722873925</v>
      </c>
      <c r="J8" s="70">
        <v>124188.6785744816</v>
      </c>
      <c r="K8" s="70">
        <v>0</v>
      </c>
      <c r="L8" s="70">
        <v>16129.50414398598</v>
      </c>
      <c r="M8" s="70">
        <v>20414.78825848117</v>
      </c>
      <c r="N8" s="70">
        <v>46063.37172301345</v>
      </c>
      <c r="O8" s="70">
        <v>287778.25085542531</v>
      </c>
      <c r="P8" s="70">
        <v>18058.037834527851</v>
      </c>
      <c r="Q8" s="73">
        <v>879085.62995114981</v>
      </c>
    </row>
    <row r="9" spans="2:17" ht="15.5" customHeight="1" x14ac:dyDescent="0.35">
      <c r="B9" s="67" t="s">
        <v>110</v>
      </c>
      <c r="C9" s="70">
        <v>1287.764411689144</v>
      </c>
      <c r="D9" s="70">
        <v>10438.039575090381</v>
      </c>
      <c r="E9" s="70">
        <v>15305.931054973909</v>
      </c>
      <c r="F9" s="70">
        <v>53402.695670123823</v>
      </c>
      <c r="G9" s="70">
        <v>29121.302411529348</v>
      </c>
      <c r="H9" s="70">
        <v>12094.475033331961</v>
      </c>
      <c r="I9" s="70">
        <v>216045.53135748909</v>
      </c>
      <c r="J9" s="70">
        <v>91017.306972523089</v>
      </c>
      <c r="K9" s="70">
        <v>0</v>
      </c>
      <c r="L9" s="70">
        <v>36057.853218519849</v>
      </c>
      <c r="M9" s="70">
        <v>14341.17809234746</v>
      </c>
      <c r="N9" s="70">
        <v>95332.713976992105</v>
      </c>
      <c r="O9" s="70">
        <v>224732.1430605737</v>
      </c>
      <c r="P9" s="70">
        <v>4242.4142748169788</v>
      </c>
      <c r="Q9" s="73">
        <v>803419.34911000077</v>
      </c>
    </row>
    <row r="10" spans="2:17" ht="15.5" customHeight="1" x14ac:dyDescent="0.35">
      <c r="B10" s="67" t="s">
        <v>111</v>
      </c>
      <c r="C10" s="70">
        <v>0</v>
      </c>
      <c r="D10" s="70">
        <v>0</v>
      </c>
      <c r="E10" s="70">
        <v>0</v>
      </c>
      <c r="F10" s="70">
        <v>0</v>
      </c>
      <c r="G10" s="70">
        <v>0</v>
      </c>
      <c r="H10" s="70">
        <v>0</v>
      </c>
      <c r="I10" s="70">
        <v>0</v>
      </c>
      <c r="J10" s="70">
        <v>0</v>
      </c>
      <c r="K10" s="70">
        <v>0</v>
      </c>
      <c r="L10" s="70">
        <v>0</v>
      </c>
      <c r="M10" s="70">
        <v>0</v>
      </c>
      <c r="N10" s="70">
        <v>0</v>
      </c>
      <c r="O10" s="70">
        <v>134871.35200000001</v>
      </c>
      <c r="P10" s="70">
        <v>0</v>
      </c>
      <c r="Q10" s="73">
        <v>134871.35200000001</v>
      </c>
    </row>
    <row r="11" spans="2:17" ht="15.5" customHeight="1" x14ac:dyDescent="0.35">
      <c r="B11" s="67" t="s">
        <v>112</v>
      </c>
      <c r="C11" s="70">
        <v>0</v>
      </c>
      <c r="D11" s="70">
        <v>3160.484280443467</v>
      </c>
      <c r="E11" s="70">
        <v>873.92818377698597</v>
      </c>
      <c r="F11" s="70">
        <v>6017.3752790003336</v>
      </c>
      <c r="G11" s="70">
        <v>2409.759080731495</v>
      </c>
      <c r="H11" s="70">
        <v>4026.090325265106</v>
      </c>
      <c r="I11" s="70">
        <v>59676.912066658813</v>
      </c>
      <c r="J11" s="70">
        <v>16071.880343447179</v>
      </c>
      <c r="K11" s="70">
        <v>0</v>
      </c>
      <c r="L11" s="70">
        <v>1184.910871770865</v>
      </c>
      <c r="M11" s="70">
        <v>1924.965944526582</v>
      </c>
      <c r="N11" s="70">
        <v>7864.9289012010504</v>
      </c>
      <c r="O11" s="70">
        <v>0</v>
      </c>
      <c r="P11" s="70">
        <v>2765.7156283000718</v>
      </c>
      <c r="Q11" s="73">
        <v>105976.95090512199</v>
      </c>
    </row>
    <row r="12" spans="2:17" ht="15.5" customHeight="1" x14ac:dyDescent="0.35">
      <c r="B12" s="67" t="s">
        <v>113</v>
      </c>
      <c r="C12" s="70">
        <v>0</v>
      </c>
      <c r="D12" s="70">
        <v>19887.389584267239</v>
      </c>
      <c r="E12" s="70">
        <v>9873.9054079879788</v>
      </c>
      <c r="F12" s="70">
        <v>58339.08499149506</v>
      </c>
      <c r="G12" s="70">
        <v>7536.066851530969</v>
      </c>
      <c r="H12" s="70">
        <v>7766.7437075962034</v>
      </c>
      <c r="I12" s="70">
        <v>186527.39616068089</v>
      </c>
      <c r="J12" s="70">
        <v>177643.43845966781</v>
      </c>
      <c r="K12" s="70">
        <v>0</v>
      </c>
      <c r="L12" s="70">
        <v>22265.377941735151</v>
      </c>
      <c r="M12" s="70">
        <v>59038.615363942983</v>
      </c>
      <c r="N12" s="70">
        <v>31167.326694438219</v>
      </c>
      <c r="O12" s="70">
        <v>361077.25625502103</v>
      </c>
      <c r="P12" s="70">
        <v>17351.351941636502</v>
      </c>
      <c r="Q12" s="73">
        <v>958473.95336000016</v>
      </c>
    </row>
    <row r="13" spans="2:17" ht="15.5"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15.5" customHeight="1" x14ac:dyDescent="0.35">
      <c r="B14" s="67" t="s">
        <v>115</v>
      </c>
      <c r="C14" s="70">
        <v>0</v>
      </c>
      <c r="D14" s="70">
        <v>0</v>
      </c>
      <c r="E14" s="70">
        <v>0</v>
      </c>
      <c r="F14" s="70">
        <v>0</v>
      </c>
      <c r="G14" s="70">
        <v>0</v>
      </c>
      <c r="H14" s="70">
        <v>0</v>
      </c>
      <c r="I14" s="70">
        <v>0</v>
      </c>
      <c r="J14" s="70">
        <v>0</v>
      </c>
      <c r="K14" s="70">
        <v>249549.37250500001</v>
      </c>
      <c r="L14" s="70">
        <v>0</v>
      </c>
      <c r="M14" s="70">
        <v>0</v>
      </c>
      <c r="N14" s="70">
        <v>0</v>
      </c>
      <c r="O14" s="70">
        <v>0</v>
      </c>
      <c r="P14" s="70">
        <v>0</v>
      </c>
      <c r="Q14" s="73">
        <v>249549.37250500001</v>
      </c>
    </row>
    <row r="15" spans="2:17" ht="15.5" customHeight="1" x14ac:dyDescent="0.35">
      <c r="B15" s="67" t="s">
        <v>116</v>
      </c>
      <c r="C15" s="70">
        <v>0</v>
      </c>
      <c r="D15" s="70">
        <v>1929.3815019745009</v>
      </c>
      <c r="E15" s="70">
        <v>63.923149558130767</v>
      </c>
      <c r="F15" s="70">
        <v>3751.4112733651891</v>
      </c>
      <c r="G15" s="70">
        <v>5373.6231546923946</v>
      </c>
      <c r="H15" s="70">
        <v>43.713061773940922</v>
      </c>
      <c r="I15" s="70">
        <v>745.00261229551779</v>
      </c>
      <c r="J15" s="70">
        <v>11.426975973740189</v>
      </c>
      <c r="K15" s="70">
        <v>0</v>
      </c>
      <c r="L15" s="70">
        <v>75.98035998607574</v>
      </c>
      <c r="M15" s="70">
        <v>47427.602238587999</v>
      </c>
      <c r="N15" s="70">
        <v>313.41378050242452</v>
      </c>
      <c r="O15" s="70">
        <v>776.4153468269725</v>
      </c>
      <c r="P15" s="70">
        <v>762.63111554593638</v>
      </c>
      <c r="Q15" s="73">
        <v>61274.524571082831</v>
      </c>
    </row>
    <row r="16" spans="2:17" ht="15.5" customHeight="1" x14ac:dyDescent="0.35">
      <c r="B16" s="67" t="s">
        <v>117</v>
      </c>
      <c r="C16" s="70">
        <v>0</v>
      </c>
      <c r="D16" s="70">
        <v>0</v>
      </c>
      <c r="E16" s="70">
        <v>0</v>
      </c>
      <c r="F16" s="70">
        <v>0</v>
      </c>
      <c r="G16" s="70">
        <v>0</v>
      </c>
      <c r="H16" s="70">
        <v>0</v>
      </c>
      <c r="I16" s="70">
        <v>0</v>
      </c>
      <c r="J16" s="70">
        <v>0</v>
      </c>
      <c r="K16" s="70">
        <v>0</v>
      </c>
      <c r="L16" s="70">
        <v>0</v>
      </c>
      <c r="M16" s="70">
        <v>0</v>
      </c>
      <c r="N16" s="70">
        <v>0</v>
      </c>
      <c r="O16" s="70">
        <v>89205.361187500006</v>
      </c>
      <c r="P16" s="70">
        <v>0</v>
      </c>
      <c r="Q16" s="73">
        <v>89205.361187500006</v>
      </c>
    </row>
    <row r="17" spans="2:17" ht="15.5" customHeight="1" x14ac:dyDescent="0.35">
      <c r="B17" s="67" t="s">
        <v>118</v>
      </c>
      <c r="C17" s="70">
        <v>13.77</v>
      </c>
      <c r="D17" s="70">
        <v>1591.768</v>
      </c>
      <c r="E17" s="70">
        <v>2593.4029999999998</v>
      </c>
      <c r="F17" s="70">
        <v>4708.3149999999996</v>
      </c>
      <c r="G17" s="70">
        <v>3074.502</v>
      </c>
      <c r="H17" s="70">
        <v>3100.51</v>
      </c>
      <c r="I17" s="70">
        <v>65438.006218900009</v>
      </c>
      <c r="J17" s="70">
        <v>19548.267</v>
      </c>
      <c r="K17" s="70">
        <v>678.33199999999999</v>
      </c>
      <c r="L17" s="70">
        <v>2192.518</v>
      </c>
      <c r="M17" s="70">
        <v>3060.1930000000002</v>
      </c>
      <c r="N17" s="70">
        <v>5020.2489999999998</v>
      </c>
      <c r="O17" s="70">
        <v>9759.3629999999994</v>
      </c>
      <c r="P17" s="70">
        <v>6776.0529999999999</v>
      </c>
      <c r="Q17" s="73">
        <v>127555.2492189</v>
      </c>
    </row>
    <row r="18" spans="2:17" ht="15.5" customHeight="1" x14ac:dyDescent="0.35">
      <c r="B18" s="67" t="s">
        <v>119</v>
      </c>
      <c r="C18" s="70">
        <v>0</v>
      </c>
      <c r="D18" s="70">
        <v>5245.9005427425764</v>
      </c>
      <c r="E18" s="70">
        <v>5644.5357853595133</v>
      </c>
      <c r="F18" s="70">
        <v>18361.372701042452</v>
      </c>
      <c r="G18" s="70">
        <v>3404.1289597007781</v>
      </c>
      <c r="H18" s="70">
        <v>5542.2673775411786</v>
      </c>
      <c r="I18" s="70">
        <v>79162.60489280468</v>
      </c>
      <c r="J18" s="70">
        <v>58344.01398100084</v>
      </c>
      <c r="K18" s="70">
        <v>0</v>
      </c>
      <c r="L18" s="70">
        <v>45553.125559739346</v>
      </c>
      <c r="M18" s="70">
        <v>7090.8902460956142</v>
      </c>
      <c r="N18" s="70">
        <v>10771.52680351651</v>
      </c>
      <c r="O18" s="70">
        <v>68773.074391600006</v>
      </c>
      <c r="P18" s="70">
        <v>2587.4608578534649</v>
      </c>
      <c r="Q18" s="73">
        <v>310480.90209899697</v>
      </c>
    </row>
    <row r="19" spans="2:17" ht="15.5" customHeight="1" x14ac:dyDescent="0.35">
      <c r="B19" s="67" t="s">
        <v>120</v>
      </c>
      <c r="C19" s="70">
        <v>12920.745000000001</v>
      </c>
      <c r="D19" s="70">
        <v>24595.692999999999</v>
      </c>
      <c r="E19" s="70">
        <v>4917.7610000000004</v>
      </c>
      <c r="F19" s="70">
        <v>106472.095</v>
      </c>
      <c r="G19" s="70">
        <v>14571.763999999999</v>
      </c>
      <c r="H19" s="70">
        <v>14760.870999999999</v>
      </c>
      <c r="I19" s="70">
        <v>36811.786999999997</v>
      </c>
      <c r="J19" s="70">
        <v>38939.224000000002</v>
      </c>
      <c r="K19" s="70">
        <v>0</v>
      </c>
      <c r="L19" s="70">
        <v>3487.049</v>
      </c>
      <c r="M19" s="70">
        <v>30818.01</v>
      </c>
      <c r="N19" s="70">
        <v>39310.911999999997</v>
      </c>
      <c r="O19" s="70">
        <v>123456.094</v>
      </c>
      <c r="P19" s="70">
        <v>10377.412</v>
      </c>
      <c r="Q19" s="73">
        <v>461439.41700000002</v>
      </c>
    </row>
    <row r="20" spans="2:17" ht="15.5" customHeight="1" x14ac:dyDescent="0.35">
      <c r="B20" s="67" t="s">
        <v>121</v>
      </c>
      <c r="C20" s="70">
        <v>1521.1199789089351</v>
      </c>
      <c r="D20" s="70">
        <v>8049.3333820101461</v>
      </c>
      <c r="E20" s="70">
        <v>6381.0915103495072</v>
      </c>
      <c r="F20" s="70">
        <v>47809.985069176997</v>
      </c>
      <c r="G20" s="70">
        <v>10359.68591492507</v>
      </c>
      <c r="H20" s="70">
        <v>10608.029285794169</v>
      </c>
      <c r="I20" s="70">
        <v>51317.727364769038</v>
      </c>
      <c r="J20" s="70">
        <v>62198.183727333198</v>
      </c>
      <c r="K20" s="70">
        <v>0</v>
      </c>
      <c r="L20" s="70">
        <v>4631.338734675277</v>
      </c>
      <c r="M20" s="70">
        <v>17716.831800113101</v>
      </c>
      <c r="N20" s="70">
        <v>30158.62905320292</v>
      </c>
      <c r="O20" s="70">
        <v>0</v>
      </c>
      <c r="P20" s="70">
        <v>4827.0101787416161</v>
      </c>
      <c r="Q20" s="73">
        <v>255578.96599999999</v>
      </c>
    </row>
    <row r="21" spans="2:17" ht="15.5" customHeight="1" x14ac:dyDescent="0.35">
      <c r="B21" s="67" t="s">
        <v>122</v>
      </c>
      <c r="C21" s="70">
        <v>4633.7539999999999</v>
      </c>
      <c r="D21" s="70">
        <v>12525.285</v>
      </c>
      <c r="E21" s="70">
        <v>10759.066000000001</v>
      </c>
      <c r="F21" s="70">
        <v>49504.245000000003</v>
      </c>
      <c r="G21" s="70">
        <v>13520.9</v>
      </c>
      <c r="H21" s="70">
        <v>22234.575000000001</v>
      </c>
      <c r="I21" s="70">
        <v>217706.889</v>
      </c>
      <c r="J21" s="70">
        <v>73595.936000000002</v>
      </c>
      <c r="K21" s="70">
        <v>0</v>
      </c>
      <c r="L21" s="70">
        <v>15818.811</v>
      </c>
      <c r="M21" s="70">
        <v>27230.088</v>
      </c>
      <c r="N21" s="70">
        <v>54207.281999999999</v>
      </c>
      <c r="O21" s="70">
        <v>17086.094000000001</v>
      </c>
      <c r="P21" s="70">
        <v>1474.7639999999999</v>
      </c>
      <c r="Q21" s="73">
        <v>520297.68900000001</v>
      </c>
    </row>
    <row r="22" spans="2:17" ht="15.5" customHeight="1" x14ac:dyDescent="0.35">
      <c r="B22" s="67" t="s">
        <v>123</v>
      </c>
      <c r="C22" s="70">
        <v>0</v>
      </c>
      <c r="D22" s="70">
        <v>9844.8983582253622</v>
      </c>
      <c r="E22" s="70">
        <v>3499.7731077086301</v>
      </c>
      <c r="F22" s="70">
        <v>14732.75655376841</v>
      </c>
      <c r="G22" s="70">
        <v>1888.5894740725871</v>
      </c>
      <c r="H22" s="70">
        <v>11842.22200379823</v>
      </c>
      <c r="I22" s="70">
        <v>47558.741004732408</v>
      </c>
      <c r="J22" s="70">
        <v>30307.03310865301</v>
      </c>
      <c r="K22" s="70">
        <v>0</v>
      </c>
      <c r="L22" s="70">
        <v>1315.984296551489</v>
      </c>
      <c r="M22" s="70">
        <v>6500.6533905568804</v>
      </c>
      <c r="N22" s="70">
        <v>23699.417568668661</v>
      </c>
      <c r="O22" s="70">
        <v>0</v>
      </c>
      <c r="P22" s="70">
        <v>20750.579370678221</v>
      </c>
      <c r="Q22" s="73">
        <v>171940.6482374139</v>
      </c>
    </row>
    <row r="23" spans="2:17" ht="15.5" customHeight="1" x14ac:dyDescent="0.35">
      <c r="B23" s="67" t="s">
        <v>124</v>
      </c>
      <c r="C23" s="70">
        <v>0</v>
      </c>
      <c r="D23" s="70">
        <v>0</v>
      </c>
      <c r="E23" s="70">
        <v>0</v>
      </c>
      <c r="F23" s="70">
        <v>0</v>
      </c>
      <c r="G23" s="70">
        <v>0</v>
      </c>
      <c r="H23" s="70">
        <v>0</v>
      </c>
      <c r="I23" s="70">
        <v>0</v>
      </c>
      <c r="J23" s="70">
        <v>0</v>
      </c>
      <c r="K23" s="70">
        <v>0</v>
      </c>
      <c r="L23" s="70">
        <v>0</v>
      </c>
      <c r="M23" s="70">
        <v>0</v>
      </c>
      <c r="N23" s="70">
        <v>0</v>
      </c>
      <c r="O23" s="70">
        <v>569068.28547999985</v>
      </c>
      <c r="P23" s="70">
        <v>0</v>
      </c>
      <c r="Q23" s="73">
        <v>569068.28547999985</v>
      </c>
    </row>
    <row r="24" spans="2:17" ht="15.5" customHeight="1" x14ac:dyDescent="0.35">
      <c r="B24" s="67" t="s">
        <v>125</v>
      </c>
      <c r="C24" s="70">
        <v>0</v>
      </c>
      <c r="D24" s="70">
        <v>16551.008000000002</v>
      </c>
      <c r="E24" s="70">
        <v>2109.4920000000002</v>
      </c>
      <c r="F24" s="70">
        <v>65037.529000000002</v>
      </c>
      <c r="G24" s="70">
        <v>4363.7340000000004</v>
      </c>
      <c r="H24" s="70">
        <v>8995.6280000000006</v>
      </c>
      <c r="I24" s="70">
        <v>26832.93</v>
      </c>
      <c r="J24" s="70">
        <v>24742.726999999999</v>
      </c>
      <c r="K24" s="70">
        <v>0</v>
      </c>
      <c r="L24" s="70">
        <v>974.56100000000004</v>
      </c>
      <c r="M24" s="70">
        <v>16222.296</v>
      </c>
      <c r="N24" s="70">
        <v>16276.089</v>
      </c>
      <c r="O24" s="70">
        <v>7908.2560000000003</v>
      </c>
      <c r="P24" s="70">
        <v>1360.1089999999999</v>
      </c>
      <c r="Q24" s="73">
        <v>191374.359</v>
      </c>
    </row>
    <row r="25" spans="2:17" ht="15.5" customHeight="1" x14ac:dyDescent="0.35">
      <c r="B25" s="67" t="s">
        <v>126</v>
      </c>
      <c r="C25" s="70">
        <v>0</v>
      </c>
      <c r="D25" s="70">
        <v>6605.7980921682383</v>
      </c>
      <c r="E25" s="70">
        <v>2786.3210291446449</v>
      </c>
      <c r="F25" s="70">
        <v>11004.56284461344</v>
      </c>
      <c r="G25" s="70">
        <v>2756.701381548633</v>
      </c>
      <c r="H25" s="70">
        <v>366.90717107461739</v>
      </c>
      <c r="I25" s="70">
        <v>36334.049203501512</v>
      </c>
      <c r="J25" s="70">
        <v>21432.21587033739</v>
      </c>
      <c r="K25" s="70">
        <v>0</v>
      </c>
      <c r="L25" s="70">
        <v>746.55737315314002</v>
      </c>
      <c r="M25" s="70">
        <v>6403.605761193171</v>
      </c>
      <c r="N25" s="70">
        <v>7443.6913690252222</v>
      </c>
      <c r="O25" s="70">
        <v>0</v>
      </c>
      <c r="P25" s="70">
        <v>48856.698754240002</v>
      </c>
      <c r="Q25" s="73">
        <v>144737.10884999999</v>
      </c>
    </row>
    <row r="26" spans="2:17" ht="15.5" customHeight="1" x14ac:dyDescent="0.35">
      <c r="B26" s="67" t="s">
        <v>127</v>
      </c>
      <c r="C26" s="70">
        <v>0</v>
      </c>
      <c r="D26" s="70">
        <v>2847.1104331226638</v>
      </c>
      <c r="E26" s="70">
        <v>1298.0503485048191</v>
      </c>
      <c r="F26" s="70">
        <v>5448.2113240787758</v>
      </c>
      <c r="G26" s="70">
        <v>16595.643708349351</v>
      </c>
      <c r="H26" s="70">
        <v>756.02932470696703</v>
      </c>
      <c r="I26" s="70">
        <v>37862.468601495333</v>
      </c>
      <c r="J26" s="70">
        <v>140028.43139344401</v>
      </c>
      <c r="K26" s="70">
        <v>0</v>
      </c>
      <c r="L26" s="70">
        <v>2221.0861510240379</v>
      </c>
      <c r="M26" s="70">
        <v>2106.0816902551219</v>
      </c>
      <c r="N26" s="70">
        <v>10193.39537928322</v>
      </c>
      <c r="O26" s="70">
        <v>115413.47663373849</v>
      </c>
      <c r="P26" s="70">
        <v>5904.2290119972658</v>
      </c>
      <c r="Q26" s="73">
        <v>340674.21399999998</v>
      </c>
    </row>
    <row r="27" spans="2:17" ht="15.5" customHeight="1" x14ac:dyDescent="0.35">
      <c r="B27" s="67" t="s">
        <v>128</v>
      </c>
      <c r="C27" s="70">
        <v>7202.1279999999997</v>
      </c>
      <c r="D27" s="70">
        <v>11973.977000000001</v>
      </c>
      <c r="E27" s="70">
        <v>2456.2420000000002</v>
      </c>
      <c r="F27" s="70">
        <v>73601.467999999993</v>
      </c>
      <c r="G27" s="70">
        <v>5819.1149999999998</v>
      </c>
      <c r="H27" s="70">
        <v>19334.255000000001</v>
      </c>
      <c r="I27" s="70">
        <v>61572.54</v>
      </c>
      <c r="J27" s="70">
        <v>21635.804</v>
      </c>
      <c r="K27" s="70">
        <v>0</v>
      </c>
      <c r="L27" s="70">
        <v>1877.7760000000001</v>
      </c>
      <c r="M27" s="70">
        <v>7925.88</v>
      </c>
      <c r="N27" s="70">
        <v>43912.949000000001</v>
      </c>
      <c r="O27" s="70">
        <v>0</v>
      </c>
      <c r="P27" s="70">
        <v>13380.298000000001</v>
      </c>
      <c r="Q27" s="73">
        <v>270692.43199999997</v>
      </c>
    </row>
    <row r="28" spans="2:17" ht="15.5" customHeight="1" x14ac:dyDescent="0.35">
      <c r="B28" s="67" t="s">
        <v>129</v>
      </c>
      <c r="C28" s="70">
        <v>254.00200000000001</v>
      </c>
      <c r="D28" s="70">
        <v>1219.9549999999999</v>
      </c>
      <c r="E28" s="70">
        <v>1005.579</v>
      </c>
      <c r="F28" s="70">
        <v>9831.2729999999992</v>
      </c>
      <c r="G28" s="70">
        <v>2061.3389999999999</v>
      </c>
      <c r="H28" s="70">
        <v>17524.21</v>
      </c>
      <c r="I28" s="70">
        <v>36405.116000000002</v>
      </c>
      <c r="J28" s="70">
        <v>12215.811</v>
      </c>
      <c r="K28" s="70">
        <v>0</v>
      </c>
      <c r="L28" s="70">
        <v>845.64499999999998</v>
      </c>
      <c r="M28" s="70">
        <v>623.75800000000004</v>
      </c>
      <c r="N28" s="70">
        <v>6568.7749999999996</v>
      </c>
      <c r="O28" s="70">
        <v>61479.51</v>
      </c>
      <c r="P28" s="70">
        <v>1265.2149999999999</v>
      </c>
      <c r="Q28" s="73">
        <v>151300.18799999999</v>
      </c>
    </row>
    <row r="29" spans="2:17" ht="15.5" customHeight="1" x14ac:dyDescent="0.35">
      <c r="B29" s="67" t="s">
        <v>130</v>
      </c>
      <c r="C29" s="70">
        <v>0</v>
      </c>
      <c r="D29" s="70">
        <v>1918.552188558981</v>
      </c>
      <c r="E29" s="70">
        <v>11995.021974018129</v>
      </c>
      <c r="F29" s="70">
        <v>30963.948165872309</v>
      </c>
      <c r="G29" s="70">
        <v>38996.506338324187</v>
      </c>
      <c r="H29" s="70">
        <v>477.85645416891163</v>
      </c>
      <c r="I29" s="70">
        <v>61127.574137972631</v>
      </c>
      <c r="J29" s="70">
        <v>11838.655951600431</v>
      </c>
      <c r="K29" s="70">
        <v>0</v>
      </c>
      <c r="L29" s="70">
        <v>31880.757904743321</v>
      </c>
      <c r="M29" s="70">
        <v>13007.305138876251</v>
      </c>
      <c r="N29" s="70">
        <v>46267.43246419014</v>
      </c>
      <c r="O29" s="70">
        <v>0</v>
      </c>
      <c r="P29" s="70">
        <v>0</v>
      </c>
      <c r="Q29" s="73">
        <v>248473.6107183253</v>
      </c>
    </row>
    <row r="30" spans="2:17" ht="15.5" customHeight="1" x14ac:dyDescent="0.35">
      <c r="B30" s="67" t="s">
        <v>131</v>
      </c>
      <c r="C30" s="70">
        <v>3168.7190930497868</v>
      </c>
      <c r="D30" s="70">
        <v>3889.8899814203978</v>
      </c>
      <c r="E30" s="70">
        <v>1810.316931939898</v>
      </c>
      <c r="F30" s="70">
        <v>2608.593109517064</v>
      </c>
      <c r="G30" s="70">
        <v>708.41870987448249</v>
      </c>
      <c r="H30" s="70">
        <v>5568.2472665803207</v>
      </c>
      <c r="I30" s="70">
        <v>19592.61298604984</v>
      </c>
      <c r="J30" s="70">
        <v>23255.941541014749</v>
      </c>
      <c r="K30" s="70">
        <v>0</v>
      </c>
      <c r="L30" s="70">
        <v>1004.715560136304</v>
      </c>
      <c r="M30" s="70">
        <v>4840.962317312451</v>
      </c>
      <c r="N30" s="70">
        <v>6464.7697477800484</v>
      </c>
      <c r="O30" s="70">
        <v>0</v>
      </c>
      <c r="P30" s="70">
        <v>3977.8578198246469</v>
      </c>
      <c r="Q30" s="73">
        <v>76891.045064499995</v>
      </c>
    </row>
    <row r="31" spans="2:17" ht="15.5" customHeight="1" x14ac:dyDescent="0.35">
      <c r="B31" s="67" t="s">
        <v>132</v>
      </c>
      <c r="C31" s="70">
        <v>0</v>
      </c>
      <c r="D31" s="70">
        <v>18465.165551219179</v>
      </c>
      <c r="E31" s="70">
        <v>19856.925994099751</v>
      </c>
      <c r="F31" s="70">
        <v>74953.542818578091</v>
      </c>
      <c r="G31" s="70">
        <v>18815.341976262629</v>
      </c>
      <c r="H31" s="70">
        <v>12543.27372676447</v>
      </c>
      <c r="I31" s="70">
        <v>147717.53026270249</v>
      </c>
      <c r="J31" s="70">
        <v>83764.232576972412</v>
      </c>
      <c r="K31" s="70">
        <v>0</v>
      </c>
      <c r="L31" s="70">
        <v>39166.579961024217</v>
      </c>
      <c r="M31" s="70">
        <v>44263.89822446194</v>
      </c>
      <c r="N31" s="70">
        <v>20649.682350143052</v>
      </c>
      <c r="O31" s="70">
        <v>401222.09810743708</v>
      </c>
      <c r="P31" s="70">
        <v>7664.6483403341217</v>
      </c>
      <c r="Q31" s="73">
        <v>889082.91988999967</v>
      </c>
    </row>
    <row r="32" spans="2:17" ht="15.5" customHeight="1" x14ac:dyDescent="0.35">
      <c r="B32" s="67" t="s">
        <v>133</v>
      </c>
      <c r="C32" s="70">
        <v>0</v>
      </c>
      <c r="D32" s="70">
        <v>3299.0459999999998</v>
      </c>
      <c r="E32" s="70">
        <v>1528.8019999999999</v>
      </c>
      <c r="F32" s="70">
        <v>20763.825000000001</v>
      </c>
      <c r="G32" s="70">
        <v>5781.6670000000004</v>
      </c>
      <c r="H32" s="70">
        <v>1.1859999999999999</v>
      </c>
      <c r="I32" s="70">
        <v>67032.534</v>
      </c>
      <c r="J32" s="70">
        <v>70845.574999999997</v>
      </c>
      <c r="K32" s="70">
        <v>0</v>
      </c>
      <c r="L32" s="70">
        <v>6946.442</v>
      </c>
      <c r="M32" s="70">
        <v>3560.4789999999998</v>
      </c>
      <c r="N32" s="70">
        <v>19252.631000000001</v>
      </c>
      <c r="O32" s="70">
        <v>57772.000590000003</v>
      </c>
      <c r="P32" s="70">
        <v>3208.9670000000001</v>
      </c>
      <c r="Q32" s="73">
        <v>259993.15458999999</v>
      </c>
    </row>
    <row r="33" spans="2:17" ht="15.5" customHeight="1" x14ac:dyDescent="0.35">
      <c r="B33" s="67" t="s">
        <v>134</v>
      </c>
      <c r="C33" s="70">
        <v>611.84109273698698</v>
      </c>
      <c r="D33" s="70">
        <v>3674.055201617135</v>
      </c>
      <c r="E33" s="70">
        <v>786.31428280422313</v>
      </c>
      <c r="F33" s="70">
        <v>8304.9944091645066</v>
      </c>
      <c r="G33" s="70">
        <v>4112.2523769296613</v>
      </c>
      <c r="H33" s="70">
        <v>2816.1476347972721</v>
      </c>
      <c r="I33" s="70">
        <v>29200.071026907801</v>
      </c>
      <c r="J33" s="70">
        <v>46643.68732112318</v>
      </c>
      <c r="K33" s="70">
        <v>0</v>
      </c>
      <c r="L33" s="70">
        <v>1172.488532019245</v>
      </c>
      <c r="M33" s="70">
        <v>1388.619320843942</v>
      </c>
      <c r="N33" s="70">
        <v>4845.8290566201258</v>
      </c>
      <c r="O33" s="70">
        <v>0</v>
      </c>
      <c r="P33" s="70">
        <v>2282.6487551922019</v>
      </c>
      <c r="Q33" s="73">
        <v>105838.9490107563</v>
      </c>
    </row>
    <row r="34" spans="2:17" ht="15.5" customHeight="1" x14ac:dyDescent="0.35">
      <c r="B34" s="67" t="s">
        <v>135</v>
      </c>
      <c r="C34" s="70">
        <v>0</v>
      </c>
      <c r="D34" s="70">
        <v>12350.210999999999</v>
      </c>
      <c r="E34" s="70">
        <v>5130.6580000000004</v>
      </c>
      <c r="F34" s="70">
        <v>146103.073</v>
      </c>
      <c r="G34" s="70">
        <v>10884.009</v>
      </c>
      <c r="H34" s="70">
        <v>9345.6380000000008</v>
      </c>
      <c r="I34" s="70">
        <v>136224.709</v>
      </c>
      <c r="J34" s="70">
        <v>91358.256999999998</v>
      </c>
      <c r="K34" s="70">
        <v>0</v>
      </c>
      <c r="L34" s="70">
        <v>6108.1522500000001</v>
      </c>
      <c r="M34" s="70">
        <v>26245.723000000002</v>
      </c>
      <c r="N34" s="70">
        <v>1652.93</v>
      </c>
      <c r="O34" s="70">
        <v>0</v>
      </c>
      <c r="P34" s="70">
        <v>0</v>
      </c>
      <c r="Q34" s="73">
        <v>445403.36025000003</v>
      </c>
    </row>
    <row r="35" spans="2:17" ht="15.5" customHeight="1" x14ac:dyDescent="0.35">
      <c r="B35" s="67" t="s">
        <v>136</v>
      </c>
      <c r="C35" s="70">
        <v>4.2731678363563024</v>
      </c>
      <c r="D35" s="70">
        <v>1513.12096019923</v>
      </c>
      <c r="E35" s="70">
        <v>0.4980382093655365</v>
      </c>
      <c r="F35" s="70">
        <v>862.19307337922248</v>
      </c>
      <c r="G35" s="70">
        <v>1347.407274571975</v>
      </c>
      <c r="H35" s="70">
        <v>33.007083895133427</v>
      </c>
      <c r="I35" s="70">
        <v>1959.9142834981369</v>
      </c>
      <c r="J35" s="70">
        <v>1964.675628387314</v>
      </c>
      <c r="K35" s="70">
        <v>0</v>
      </c>
      <c r="L35" s="70">
        <v>33.630030087407853</v>
      </c>
      <c r="M35" s="70">
        <v>34.222695556552843</v>
      </c>
      <c r="N35" s="70">
        <v>663.04304929514853</v>
      </c>
      <c r="O35" s="70">
        <v>84987.159094342293</v>
      </c>
      <c r="P35" s="70">
        <v>747.72329074186837</v>
      </c>
      <c r="Q35" s="73">
        <v>94150.867670000007</v>
      </c>
    </row>
    <row r="36" spans="2:17" ht="15.5" customHeight="1" x14ac:dyDescent="0.35">
      <c r="B36" s="67" t="s">
        <v>137</v>
      </c>
      <c r="C36" s="70">
        <v>0</v>
      </c>
      <c r="D36" s="70">
        <v>2034.153558857942</v>
      </c>
      <c r="E36" s="70">
        <v>787.3821515230818</v>
      </c>
      <c r="F36" s="70">
        <v>6596.2643946010603</v>
      </c>
      <c r="G36" s="70">
        <v>5035.5203344802212</v>
      </c>
      <c r="H36" s="70">
        <v>1287.095443132594</v>
      </c>
      <c r="I36" s="70">
        <v>27107.502457456922</v>
      </c>
      <c r="J36" s="70">
        <v>56697.282609157613</v>
      </c>
      <c r="K36" s="70">
        <v>0</v>
      </c>
      <c r="L36" s="70">
        <v>352.68717645047923</v>
      </c>
      <c r="M36" s="70">
        <v>6008.8213707080986</v>
      </c>
      <c r="N36" s="70">
        <v>5591.8958238876403</v>
      </c>
      <c r="O36" s="70">
        <v>2805.1214349808261</v>
      </c>
      <c r="P36" s="70">
        <v>1287.166018866661</v>
      </c>
      <c r="Q36" s="73">
        <v>115590.89277410319</v>
      </c>
    </row>
    <row r="37" spans="2:17" ht="15.5" customHeight="1" x14ac:dyDescent="0.35">
      <c r="B37" s="67" t="s">
        <v>138</v>
      </c>
      <c r="C37" s="70">
        <v>0</v>
      </c>
      <c r="D37" s="70">
        <v>7838.9443173297059</v>
      </c>
      <c r="E37" s="70">
        <v>10977.670195484759</v>
      </c>
      <c r="F37" s="70">
        <v>31259.320703456789</v>
      </c>
      <c r="G37" s="70">
        <v>6471.2202814397924</v>
      </c>
      <c r="H37" s="70">
        <v>13420.24915638009</v>
      </c>
      <c r="I37" s="70">
        <v>37743.57112183018</v>
      </c>
      <c r="J37" s="70">
        <v>33721.529032145743</v>
      </c>
      <c r="K37" s="70">
        <v>0</v>
      </c>
      <c r="L37" s="70">
        <v>1474.4933752714501</v>
      </c>
      <c r="M37" s="70">
        <v>21839.785565571641</v>
      </c>
      <c r="N37" s="70">
        <v>52037.775776948882</v>
      </c>
      <c r="O37" s="70">
        <v>669.77050752480557</v>
      </c>
      <c r="P37" s="70">
        <v>895.96951450865208</v>
      </c>
      <c r="Q37" s="73">
        <v>218350.2995478925</v>
      </c>
    </row>
    <row r="38" spans="2:17" ht="15.5" customHeight="1" x14ac:dyDescent="0.35">
      <c r="B38" s="67" t="s">
        <v>139</v>
      </c>
      <c r="C38" s="70">
        <v>6091.018</v>
      </c>
      <c r="D38" s="70">
        <v>15901.394</v>
      </c>
      <c r="E38" s="70">
        <v>22896.109</v>
      </c>
      <c r="F38" s="70">
        <v>37425.563999999998</v>
      </c>
      <c r="G38" s="70">
        <v>25633.3</v>
      </c>
      <c r="H38" s="70">
        <v>12697.535</v>
      </c>
      <c r="I38" s="70">
        <v>108330.894</v>
      </c>
      <c r="J38" s="70">
        <v>44384.459000000003</v>
      </c>
      <c r="K38" s="70">
        <v>0</v>
      </c>
      <c r="L38" s="70">
        <v>29353.902999999998</v>
      </c>
      <c r="M38" s="70">
        <v>33879.588000000003</v>
      </c>
      <c r="N38" s="70">
        <v>29463.38</v>
      </c>
      <c r="O38" s="70">
        <v>151741.079</v>
      </c>
      <c r="P38" s="70">
        <v>27605.433000000001</v>
      </c>
      <c r="Q38" s="73">
        <v>545403.65599999996</v>
      </c>
    </row>
    <row r="39" spans="2:17" ht="15.5"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73">
        <v>0</v>
      </c>
    </row>
    <row r="40" spans="2:17" ht="15.5"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73">
        <v>0</v>
      </c>
    </row>
    <row r="41" spans="2:17" ht="15.5" customHeight="1" x14ac:dyDescent="0.35">
      <c r="B41" s="71" t="s">
        <v>7</v>
      </c>
      <c r="C41" s="72">
        <f t="shared" ref="C41:Q41" si="0">SUM(C6:C40)</f>
        <v>46681.583087260777</v>
      </c>
      <c r="D41" s="72">
        <f t="shared" si="0"/>
        <v>230680.12021784694</v>
      </c>
      <c r="E41" s="72">
        <f t="shared" si="0"/>
        <v>155590.01596809554</v>
      </c>
      <c r="F41" s="72">
        <f t="shared" si="0"/>
        <v>1053922.3130472559</v>
      </c>
      <c r="G41" s="72">
        <f t="shared" si="0"/>
        <v>270772.51913530903</v>
      </c>
      <c r="H41" s="72">
        <f t="shared" si="0"/>
        <v>255701.04086619339</v>
      </c>
      <c r="I41" s="72">
        <f t="shared" si="0"/>
        <v>2053842.9394589146</v>
      </c>
      <c r="J41" s="72">
        <f t="shared" si="0"/>
        <v>1442735.1935101349</v>
      </c>
      <c r="K41" s="72">
        <f t="shared" si="0"/>
        <v>253070.70803031872</v>
      </c>
      <c r="L41" s="72">
        <f t="shared" si="0"/>
        <v>273375.53174401063</v>
      </c>
      <c r="M41" s="72">
        <f t="shared" si="0"/>
        <v>444696.63706247701</v>
      </c>
      <c r="N41" s="72">
        <f t="shared" si="0"/>
        <v>988257.72048064845</v>
      </c>
      <c r="O41" s="72">
        <f t="shared" si="0"/>
        <v>2771562.6822144715</v>
      </c>
      <c r="P41" s="72">
        <f t="shared" si="0"/>
        <v>208410.3937078061</v>
      </c>
      <c r="Q41" s="72">
        <f t="shared" si="0"/>
        <v>10449299.398530742</v>
      </c>
    </row>
    <row r="42" spans="2:17" ht="14.5" customHeight="1" x14ac:dyDescent="0.35">
      <c r="B42" s="369" t="s">
        <v>142</v>
      </c>
      <c r="C42" s="301"/>
      <c r="D42" s="301"/>
      <c r="E42" s="301"/>
      <c r="F42" s="301"/>
      <c r="G42" s="301"/>
      <c r="H42" s="301"/>
      <c r="I42" s="301"/>
      <c r="J42" s="301"/>
      <c r="K42" s="301"/>
      <c r="L42" s="301"/>
      <c r="M42" s="301"/>
      <c r="N42" s="301"/>
      <c r="O42" s="301"/>
      <c r="P42" s="301"/>
      <c r="Q42" s="302"/>
    </row>
    <row r="43" spans="2:17" ht="15.5" customHeight="1" x14ac:dyDescent="0.35">
      <c r="B43" s="67" t="s">
        <v>143</v>
      </c>
      <c r="C43" s="70">
        <v>1703.941146774052</v>
      </c>
      <c r="D43" s="70">
        <v>17347.163079759361</v>
      </c>
      <c r="E43" s="70">
        <v>3128.1127250451</v>
      </c>
      <c r="F43" s="70">
        <v>45135.187119372102</v>
      </c>
      <c r="G43" s="70">
        <v>3657.690654701325</v>
      </c>
      <c r="H43" s="70">
        <v>5851.7872514343653</v>
      </c>
      <c r="I43" s="70">
        <v>508.74959537745548</v>
      </c>
      <c r="J43" s="70">
        <v>2338.4043780555148</v>
      </c>
      <c r="K43" s="70">
        <v>0</v>
      </c>
      <c r="L43" s="70">
        <v>4587.7424923136132</v>
      </c>
      <c r="M43" s="70">
        <v>1657.657569696094</v>
      </c>
      <c r="N43" s="70">
        <v>1340.134138438917</v>
      </c>
      <c r="O43" s="70">
        <v>40197.951197725582</v>
      </c>
      <c r="P43" s="70">
        <v>33885.121024951659</v>
      </c>
      <c r="Q43" s="73">
        <v>161339.6423736451</v>
      </c>
    </row>
    <row r="44" spans="2:17" ht="15.5" customHeight="1" x14ac:dyDescent="0.35">
      <c r="B44" s="67" t="s">
        <v>144</v>
      </c>
      <c r="C44" s="70">
        <v>-55.228545442140373</v>
      </c>
      <c r="D44" s="70">
        <v>9735.6933998891509</v>
      </c>
      <c r="E44" s="70">
        <v>0</v>
      </c>
      <c r="F44" s="70">
        <v>52423.338429103213</v>
      </c>
      <c r="G44" s="70">
        <v>2427.686064207508</v>
      </c>
      <c r="H44" s="70">
        <v>3466.2463925056632</v>
      </c>
      <c r="I44" s="70">
        <v>0</v>
      </c>
      <c r="J44" s="70">
        <v>7384.7977076383577</v>
      </c>
      <c r="K44" s="70">
        <v>0</v>
      </c>
      <c r="L44" s="70">
        <v>4495.3926560366654</v>
      </c>
      <c r="M44" s="70">
        <v>0</v>
      </c>
      <c r="N44" s="70">
        <v>0</v>
      </c>
      <c r="O44" s="70">
        <v>34539.691212725244</v>
      </c>
      <c r="P44" s="70">
        <v>24080.050870633509</v>
      </c>
      <c r="Q44" s="73">
        <v>138497.66818729709</v>
      </c>
    </row>
    <row r="45" spans="2:17" ht="15.5" customHeight="1" x14ac:dyDescent="0.35">
      <c r="B45" s="67" t="s">
        <v>145</v>
      </c>
      <c r="C45" s="70">
        <v>44.772022016513837</v>
      </c>
      <c r="D45" s="70">
        <v>3406.570173366822</v>
      </c>
      <c r="E45" s="70">
        <v>14496.89187787117</v>
      </c>
      <c r="F45" s="70">
        <v>14496.89187787117</v>
      </c>
      <c r="G45" s="70">
        <v>1206.903386592471</v>
      </c>
      <c r="H45" s="70">
        <v>2141.838254917528</v>
      </c>
      <c r="I45" s="70">
        <v>2040.196315450997</v>
      </c>
      <c r="J45" s="70">
        <v>2040.196315450997</v>
      </c>
      <c r="K45" s="70">
        <v>0</v>
      </c>
      <c r="L45" s="70">
        <v>155.20566149485799</v>
      </c>
      <c r="M45" s="70">
        <v>1366.5534688394309</v>
      </c>
      <c r="N45" s="70">
        <v>155.20566149485799</v>
      </c>
      <c r="O45" s="70">
        <v>10855.019631054291</v>
      </c>
      <c r="P45" s="70">
        <v>3103.1016375119971</v>
      </c>
      <c r="Q45" s="73">
        <v>55509.34628393309</v>
      </c>
    </row>
    <row r="46" spans="2:17" ht="15.5" customHeight="1" x14ac:dyDescent="0.35">
      <c r="B46" s="64" t="s">
        <v>146</v>
      </c>
      <c r="C46" s="70">
        <v>35185.035131578399</v>
      </c>
      <c r="D46" s="70">
        <v>2833.9762560600202</v>
      </c>
      <c r="E46" s="70">
        <v>99726.297111613792</v>
      </c>
      <c r="F46" s="70">
        <v>3632.3287532989789</v>
      </c>
      <c r="G46" s="70">
        <v>17823.557717982301</v>
      </c>
      <c r="H46" s="70">
        <v>291.32964446873427</v>
      </c>
      <c r="I46" s="70">
        <v>711.67937997405249</v>
      </c>
      <c r="J46" s="70">
        <v>9295.3438644101698</v>
      </c>
      <c r="K46" s="70">
        <v>0</v>
      </c>
      <c r="L46" s="70">
        <v>51.548488318154853</v>
      </c>
      <c r="M46" s="70">
        <v>65231.336474285257</v>
      </c>
      <c r="N46" s="70">
        <v>36502.45003563552</v>
      </c>
      <c r="O46" s="70">
        <v>9660.8357196383004</v>
      </c>
      <c r="P46" s="70">
        <v>2637.1501113841982</v>
      </c>
      <c r="Q46" s="73">
        <v>283582.86868864793</v>
      </c>
    </row>
    <row r="47" spans="2:17" ht="15.5" customHeight="1" x14ac:dyDescent="0.35">
      <c r="B47" s="67" t="s">
        <v>147</v>
      </c>
      <c r="C47" s="70">
        <v>992.5205593810964</v>
      </c>
      <c r="D47" s="70">
        <v>14058.29046185175</v>
      </c>
      <c r="E47" s="70">
        <v>185.16700575341349</v>
      </c>
      <c r="F47" s="70">
        <v>44197.563038790337</v>
      </c>
      <c r="G47" s="70">
        <v>13913.86705303833</v>
      </c>
      <c r="H47" s="70">
        <v>4524.847912009297</v>
      </c>
      <c r="I47" s="70">
        <v>714.37759779957048</v>
      </c>
      <c r="J47" s="70">
        <v>4007.0520835557541</v>
      </c>
      <c r="K47" s="70">
        <v>0</v>
      </c>
      <c r="L47" s="70">
        <v>3774.3386416025501</v>
      </c>
      <c r="M47" s="70">
        <v>1002.88873465248</v>
      </c>
      <c r="N47" s="70">
        <v>3243.076416658887</v>
      </c>
      <c r="O47" s="70">
        <v>7156.9861662612466</v>
      </c>
      <c r="P47" s="70">
        <v>4804.2653286453069</v>
      </c>
      <c r="Q47" s="73">
        <v>102575.24099999999</v>
      </c>
    </row>
    <row r="48" spans="2:17" ht="15.5" customHeight="1" x14ac:dyDescent="0.35">
      <c r="B48" s="71" t="s">
        <v>7</v>
      </c>
      <c r="C48" s="72">
        <f t="shared" ref="C48:Q48" si="1">SUM(C43:C47)</f>
        <v>37871.040314307924</v>
      </c>
      <c r="D48" s="72">
        <f t="shared" si="1"/>
        <v>47381.693370927103</v>
      </c>
      <c r="E48" s="72">
        <f t="shared" si="1"/>
        <v>117536.46872028348</v>
      </c>
      <c r="F48" s="72">
        <f t="shared" si="1"/>
        <v>159885.30921843578</v>
      </c>
      <c r="G48" s="72">
        <f t="shared" si="1"/>
        <v>39029.704876521937</v>
      </c>
      <c r="H48" s="72">
        <f t="shared" si="1"/>
        <v>16276.049455335589</v>
      </c>
      <c r="I48" s="72">
        <f t="shared" si="1"/>
        <v>3975.0028886020755</v>
      </c>
      <c r="J48" s="72">
        <f t="shared" si="1"/>
        <v>25065.794349110794</v>
      </c>
      <c r="K48" s="72">
        <f t="shared" si="1"/>
        <v>0</v>
      </c>
      <c r="L48" s="72">
        <f t="shared" si="1"/>
        <v>13064.22793976584</v>
      </c>
      <c r="M48" s="72">
        <f t="shared" si="1"/>
        <v>69258.436247473262</v>
      </c>
      <c r="N48" s="72">
        <f t="shared" si="1"/>
        <v>41240.866252228181</v>
      </c>
      <c r="O48" s="72">
        <f t="shared" si="1"/>
        <v>102410.48392740467</v>
      </c>
      <c r="P48" s="72">
        <f t="shared" si="1"/>
        <v>68509.688973126671</v>
      </c>
      <c r="Q48" s="72">
        <f t="shared" si="1"/>
        <v>741504.76653352322</v>
      </c>
    </row>
    <row r="49" spans="2:17" ht="14.5" customHeight="1" x14ac:dyDescent="0.35">
      <c r="B49" s="326" t="s">
        <v>149</v>
      </c>
      <c r="C49" s="308"/>
      <c r="D49" s="308"/>
      <c r="E49" s="308"/>
      <c r="F49" s="308"/>
      <c r="G49" s="308"/>
      <c r="H49" s="308"/>
      <c r="I49" s="308"/>
      <c r="J49" s="308"/>
      <c r="K49" s="308"/>
      <c r="L49" s="308"/>
      <c r="M49" s="308"/>
      <c r="N49" s="308"/>
      <c r="O49" s="308"/>
      <c r="P49" s="308"/>
      <c r="Q49" s="308"/>
    </row>
  </sheetData>
  <sheetProtection algorithmName="SHA-512" hashValue="Yp7vug8KFbx+tnUCxvhRwdDBBZU7Q6guVDC9I6JqB5JW0bPkD7y86GMUeP6ctAf2s149UiLYLJrbQxIbCZRPSA==" saltValue="3zMEPK5HcuoSA6eorHVhfQ==" spinCount="100000" sheet="1" objects="1" scenarios="1"/>
  <mergeCells count="4">
    <mergeCell ref="B42:Q42"/>
    <mergeCell ref="B49:Q49"/>
    <mergeCell ref="B3:Q3"/>
    <mergeCell ref="B5:Q5"/>
  </mergeCells>
  <pageMargins left="0.7" right="0.7" top="0.75" bottom="0.75" header="0.3" footer="0.3"/>
  <pageSetup paperSize="9" scale="33"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4">
    <tabColor rgb="FFA2D668"/>
    <pageSetUpPr fitToPage="1"/>
  </sheetPr>
  <dimension ref="B3:Q49"/>
  <sheetViews>
    <sheetView showGridLines="0" zoomScale="70" zoomScaleNormal="70" workbookViewId="0">
      <pane xSplit="2" ySplit="5" topLeftCell="L33" activePane="bottomRight" state="frozen"/>
      <selection activeCell="J41" sqref="J41:K41"/>
      <selection pane="topRight" activeCell="J41" sqref="J41:K41"/>
      <selection pane="bottomLeft" activeCell="J41" sqref="J41:K41"/>
      <selection pane="bottomRight" activeCell="J41" sqref="J41:K41"/>
    </sheetView>
  </sheetViews>
  <sheetFormatPr defaultColWidth="9.453125" defaultRowHeight="14" x14ac:dyDescent="0.3"/>
  <cols>
    <col min="1" max="1" width="15.453125" style="2" customWidth="1"/>
    <col min="2" max="2" width="51.453125" style="2" customWidth="1"/>
    <col min="3" max="17" width="21.54296875" style="2" customWidth="1"/>
    <col min="18" max="19" width="6.453125" style="2" bestFit="1" customWidth="1"/>
    <col min="20" max="20" width="13.54296875" style="2" customWidth="1"/>
    <col min="21" max="119" width="9.453125" style="2" customWidth="1"/>
    <col min="120" max="16384" width="9.453125" style="2"/>
  </cols>
  <sheetData>
    <row r="3" spans="2:17" ht="14.5" customHeight="1" x14ac:dyDescent="0.35">
      <c r="B3" s="361" t="e">
        <f>_xlfn.CONCAT('Table of Contents'!#REF!,": ",'Table of Contents'!#REF!)</f>
        <v>#REF!</v>
      </c>
      <c r="C3" s="301"/>
      <c r="D3" s="301"/>
      <c r="E3" s="301"/>
      <c r="F3" s="301"/>
      <c r="G3" s="301"/>
      <c r="H3" s="301"/>
      <c r="I3" s="301"/>
      <c r="J3" s="301"/>
      <c r="K3" s="301"/>
      <c r="L3" s="301"/>
      <c r="M3" s="301"/>
      <c r="N3" s="301"/>
      <c r="O3" s="301"/>
      <c r="P3" s="301"/>
      <c r="Q3" s="302"/>
    </row>
    <row r="4" spans="2:17" ht="28" customHeight="1" x14ac:dyDescent="0.3">
      <c r="B4" s="26" t="s">
        <v>87</v>
      </c>
      <c r="C4" s="27" t="s">
        <v>216</v>
      </c>
      <c r="D4" s="27" t="s">
        <v>217</v>
      </c>
      <c r="E4" s="27" t="s">
        <v>218</v>
      </c>
      <c r="F4" s="27" t="s">
        <v>219</v>
      </c>
      <c r="G4" s="27" t="s">
        <v>220</v>
      </c>
      <c r="H4" s="27" t="s">
        <v>221</v>
      </c>
      <c r="I4" s="27" t="s">
        <v>222</v>
      </c>
      <c r="J4" s="27" t="s">
        <v>223</v>
      </c>
      <c r="K4" s="27" t="s">
        <v>224</v>
      </c>
      <c r="L4" s="27" t="s">
        <v>225</v>
      </c>
      <c r="M4" s="27" t="s">
        <v>226</v>
      </c>
      <c r="N4" s="27" t="s">
        <v>227</v>
      </c>
      <c r="O4" s="27" t="s">
        <v>228</v>
      </c>
      <c r="P4" s="27" t="s">
        <v>229</v>
      </c>
      <c r="Q4" s="27" t="s">
        <v>230</v>
      </c>
    </row>
    <row r="5" spans="2:17" ht="14.5" customHeight="1" x14ac:dyDescent="0.35">
      <c r="B5" s="362" t="s">
        <v>106</v>
      </c>
      <c r="C5" s="301"/>
      <c r="D5" s="301"/>
      <c r="E5" s="301"/>
      <c r="F5" s="301"/>
      <c r="G5" s="301"/>
      <c r="H5" s="301"/>
      <c r="I5" s="301"/>
      <c r="J5" s="301"/>
      <c r="K5" s="301"/>
      <c r="L5" s="301"/>
      <c r="M5" s="301"/>
      <c r="N5" s="301"/>
      <c r="O5" s="301"/>
      <c r="P5" s="301"/>
      <c r="Q5" s="302"/>
    </row>
    <row r="6" spans="2:17" x14ac:dyDescent="0.3">
      <c r="B6" s="37" t="s">
        <v>107</v>
      </c>
      <c r="C6" s="28">
        <v>-142.65598683737909</v>
      </c>
      <c r="D6" s="28">
        <v>-489.08474006929271</v>
      </c>
      <c r="E6" s="28">
        <v>-310.78932116200161</v>
      </c>
      <c r="F6" s="28">
        <v>-1091.884058193815</v>
      </c>
      <c r="G6" s="28">
        <v>5596.6629751593009</v>
      </c>
      <c r="H6" s="28">
        <v>1174.5017782231509</v>
      </c>
      <c r="I6" s="28">
        <v>1537.0779397269121</v>
      </c>
      <c r="J6" s="28">
        <v>303.78792272045041</v>
      </c>
      <c r="K6" s="28">
        <v>-733.58897990002504</v>
      </c>
      <c r="L6" s="28">
        <v>3306.6566638574</v>
      </c>
      <c r="M6" s="28">
        <v>-4900.7784213291561</v>
      </c>
      <c r="N6" s="28">
        <v>-364347.13856159418</v>
      </c>
      <c r="O6" s="28">
        <v>327551.81851338479</v>
      </c>
      <c r="P6" s="28">
        <v>5496.1973460138915</v>
      </c>
      <c r="Q6" s="40">
        <v>-27049.216930000021</v>
      </c>
    </row>
    <row r="7" spans="2:17" x14ac:dyDescent="0.3">
      <c r="B7" s="37" t="s">
        <v>108</v>
      </c>
      <c r="C7" s="28">
        <v>-3804.8867611098758</v>
      </c>
      <c r="D7" s="28">
        <v>-2654.5415746045492</v>
      </c>
      <c r="E7" s="28">
        <v>1679.0246042054421</v>
      </c>
      <c r="F7" s="28">
        <v>3228.7027441946439</v>
      </c>
      <c r="G7" s="28">
        <v>-41455.542531631538</v>
      </c>
      <c r="H7" s="28">
        <v>-52271.895654313521</v>
      </c>
      <c r="I7" s="28">
        <v>-59612.291852739261</v>
      </c>
      <c r="J7" s="28">
        <v>387931.75915602339</v>
      </c>
      <c r="K7" s="28">
        <v>-127009.4274738949</v>
      </c>
      <c r="L7" s="28">
        <v>-131794.23781116601</v>
      </c>
      <c r="M7" s="28">
        <v>36715.55065922271</v>
      </c>
      <c r="N7" s="28">
        <v>-105002.58297460061</v>
      </c>
      <c r="O7" s="28">
        <v>-110.9338246947457</v>
      </c>
      <c r="P7" s="28">
        <v>-1245.9981544374889</v>
      </c>
      <c r="Q7" s="40">
        <v>-95407.301449546256</v>
      </c>
    </row>
    <row r="8" spans="2:17" x14ac:dyDescent="0.3">
      <c r="B8" s="37" t="s">
        <v>109</v>
      </c>
      <c r="C8" s="28">
        <v>-1589.9034722896961</v>
      </c>
      <c r="D8" s="28">
        <v>-41585.727356650772</v>
      </c>
      <c r="E8" s="28">
        <v>12146.60758081353</v>
      </c>
      <c r="F8" s="28">
        <v>-123437.2084425873</v>
      </c>
      <c r="G8" s="28">
        <v>-15891.5967534949</v>
      </c>
      <c r="H8" s="28">
        <v>-21308.826692305829</v>
      </c>
      <c r="I8" s="28">
        <v>-95935.536674343472</v>
      </c>
      <c r="J8" s="28">
        <v>-145480.73761531679</v>
      </c>
      <c r="K8" s="28">
        <v>0</v>
      </c>
      <c r="L8" s="28">
        <v>22929.62500328902</v>
      </c>
      <c r="M8" s="28">
        <v>-8217.6071218456855</v>
      </c>
      <c r="N8" s="28">
        <v>-30806.238936890099</v>
      </c>
      <c r="O8" s="28">
        <v>35156.043755047212</v>
      </c>
      <c r="P8" s="28">
        <v>50192.689533832563</v>
      </c>
      <c r="Q8" s="40">
        <v>-363828.41719274229</v>
      </c>
    </row>
    <row r="9" spans="2:17" x14ac:dyDescent="0.3">
      <c r="B9" s="37" t="s">
        <v>110</v>
      </c>
      <c r="C9" s="28">
        <v>2873.9161809556258</v>
      </c>
      <c r="D9" s="28">
        <v>-1615.5656301053129</v>
      </c>
      <c r="E9" s="28">
        <v>2902.066563301893</v>
      </c>
      <c r="F9" s="28">
        <v>12678.709646124589</v>
      </c>
      <c r="G9" s="28">
        <v>-3976.8049551126619</v>
      </c>
      <c r="H9" s="28">
        <v>4789.5950335692114</v>
      </c>
      <c r="I9" s="28">
        <v>-126229.3617591856</v>
      </c>
      <c r="J9" s="28">
        <v>-72810.226550803854</v>
      </c>
      <c r="K9" s="28">
        <v>0</v>
      </c>
      <c r="L9" s="28">
        <v>4639.9877057831363</v>
      </c>
      <c r="M9" s="28">
        <v>5036.1354989718011</v>
      </c>
      <c r="N9" s="28">
        <v>70217.259209869502</v>
      </c>
      <c r="O9" s="28">
        <v>-23956.8448283248</v>
      </c>
      <c r="P9" s="28">
        <v>-20163.225383915</v>
      </c>
      <c r="Q9" s="40">
        <v>-145614.35926887151</v>
      </c>
    </row>
    <row r="10" spans="2:17" x14ac:dyDescent="0.3">
      <c r="B10" s="37" t="s">
        <v>111</v>
      </c>
      <c r="C10" s="28">
        <v>0</v>
      </c>
      <c r="D10" s="28">
        <v>0</v>
      </c>
      <c r="E10" s="28">
        <v>0</v>
      </c>
      <c r="F10" s="28">
        <v>0</v>
      </c>
      <c r="G10" s="28">
        <v>0</v>
      </c>
      <c r="H10" s="28">
        <v>0</v>
      </c>
      <c r="I10" s="28">
        <v>0</v>
      </c>
      <c r="J10" s="28">
        <v>0</v>
      </c>
      <c r="K10" s="28">
        <v>0</v>
      </c>
      <c r="L10" s="28">
        <v>0</v>
      </c>
      <c r="M10" s="28">
        <v>0</v>
      </c>
      <c r="N10" s="28">
        <v>0</v>
      </c>
      <c r="O10" s="28">
        <v>522899.16</v>
      </c>
      <c r="P10" s="28">
        <v>0</v>
      </c>
      <c r="Q10" s="40">
        <v>522899.16</v>
      </c>
    </row>
    <row r="11" spans="2:17" x14ac:dyDescent="0.3">
      <c r="B11" s="37" t="s">
        <v>112</v>
      </c>
      <c r="C11" s="28">
        <v>0</v>
      </c>
      <c r="D11" s="28">
        <v>4257.5980230794567</v>
      </c>
      <c r="E11" s="28">
        <v>-3713.614197072478</v>
      </c>
      <c r="F11" s="28">
        <v>-5524.8877491845778</v>
      </c>
      <c r="G11" s="28">
        <v>-806.3853858884238</v>
      </c>
      <c r="H11" s="28">
        <v>-747.50927825801818</v>
      </c>
      <c r="I11" s="28">
        <v>-52637.430559357417</v>
      </c>
      <c r="J11" s="28">
        <v>30926.080785905051</v>
      </c>
      <c r="K11" s="28">
        <v>0</v>
      </c>
      <c r="L11" s="28">
        <v>-1124.7979168161089</v>
      </c>
      <c r="M11" s="28">
        <v>-7422.171239365759</v>
      </c>
      <c r="N11" s="28">
        <v>-7929.0925365469011</v>
      </c>
      <c r="O11" s="28">
        <v>0</v>
      </c>
      <c r="P11" s="28">
        <v>-12566.52244518636</v>
      </c>
      <c r="Q11" s="40">
        <v>-57288.732498691526</v>
      </c>
    </row>
    <row r="12" spans="2:17" x14ac:dyDescent="0.3">
      <c r="B12" s="37" t="s">
        <v>113</v>
      </c>
      <c r="C12" s="28">
        <v>0</v>
      </c>
      <c r="D12" s="28">
        <v>-21085.49745326725</v>
      </c>
      <c r="E12" s="28">
        <v>17170.63030201201</v>
      </c>
      <c r="F12" s="28">
        <v>12417.110798504989</v>
      </c>
      <c r="G12" s="28">
        <v>8202.9353084690611</v>
      </c>
      <c r="H12" s="28">
        <v>-2359.357267596195</v>
      </c>
      <c r="I12" s="28">
        <v>-23760.714870681171</v>
      </c>
      <c r="J12" s="28">
        <v>-86661.222589667523</v>
      </c>
      <c r="K12" s="28">
        <v>0</v>
      </c>
      <c r="L12" s="28">
        <v>20749.001848264881</v>
      </c>
      <c r="M12" s="28">
        <v>53340.507956057081</v>
      </c>
      <c r="N12" s="28">
        <v>-71502.989594438273</v>
      </c>
      <c r="O12" s="28">
        <v>70192.503394980129</v>
      </c>
      <c r="P12" s="28">
        <v>-131801.45655163651</v>
      </c>
      <c r="Q12" s="40">
        <v>-155098.54871899879</v>
      </c>
    </row>
    <row r="13" spans="2:17" x14ac:dyDescent="0.3">
      <c r="B13" s="37" t="s">
        <v>114</v>
      </c>
      <c r="C13" s="28">
        <v>0</v>
      </c>
      <c r="D13" s="28">
        <v>0</v>
      </c>
      <c r="E13" s="28">
        <v>0</v>
      </c>
      <c r="F13" s="28">
        <v>0</v>
      </c>
      <c r="G13" s="28">
        <v>0</v>
      </c>
      <c r="H13" s="28">
        <v>0</v>
      </c>
      <c r="I13" s="28">
        <v>0</v>
      </c>
      <c r="J13" s="28">
        <v>0</v>
      </c>
      <c r="K13" s="28">
        <v>0</v>
      </c>
      <c r="L13" s="28">
        <v>0</v>
      </c>
      <c r="M13" s="28">
        <v>0</v>
      </c>
      <c r="N13" s="28">
        <v>0</v>
      </c>
      <c r="O13" s="28">
        <v>0</v>
      </c>
      <c r="P13" s="28">
        <v>0</v>
      </c>
      <c r="Q13" s="40">
        <v>0</v>
      </c>
    </row>
    <row r="14" spans="2:17" x14ac:dyDescent="0.3">
      <c r="B14" s="37" t="s">
        <v>115</v>
      </c>
      <c r="C14" s="28">
        <v>0</v>
      </c>
      <c r="D14" s="28">
        <v>0</v>
      </c>
      <c r="E14" s="28">
        <v>0</v>
      </c>
      <c r="F14" s="28">
        <v>89.200010000000006</v>
      </c>
      <c r="G14" s="28">
        <v>0</v>
      </c>
      <c r="H14" s="28">
        <v>0</v>
      </c>
      <c r="I14" s="28">
        <v>-53154.369623074039</v>
      </c>
      <c r="J14" s="28">
        <v>-254550.05142260689</v>
      </c>
      <c r="K14" s="28">
        <v>-184195.05465360539</v>
      </c>
      <c r="L14" s="28">
        <v>0</v>
      </c>
      <c r="M14" s="28">
        <v>0</v>
      </c>
      <c r="N14" s="28">
        <v>0</v>
      </c>
      <c r="O14" s="28">
        <v>0</v>
      </c>
      <c r="P14" s="28">
        <v>0</v>
      </c>
      <c r="Q14" s="40">
        <v>-491810.27568928641</v>
      </c>
    </row>
    <row r="15" spans="2:17" x14ac:dyDescent="0.3">
      <c r="B15" s="37" t="s">
        <v>116</v>
      </c>
      <c r="C15" s="28">
        <v>0</v>
      </c>
      <c r="D15" s="28">
        <v>-950.33972295272679</v>
      </c>
      <c r="E15" s="28">
        <v>80.808096232683283</v>
      </c>
      <c r="F15" s="28">
        <v>15895.014632658649</v>
      </c>
      <c r="G15" s="28">
        <v>30347.67074609335</v>
      </c>
      <c r="H15" s="28">
        <v>-651.72387281288491</v>
      </c>
      <c r="I15" s="28">
        <v>-6390.2409922955176</v>
      </c>
      <c r="J15" s="28">
        <v>-11.426975973740189</v>
      </c>
      <c r="K15" s="28">
        <v>0</v>
      </c>
      <c r="L15" s="28">
        <v>-3887.918573819049</v>
      </c>
      <c r="M15" s="28">
        <v>267357.85843352682</v>
      </c>
      <c r="N15" s="28">
        <v>192.80331233073059</v>
      </c>
      <c r="O15" s="28">
        <v>-23472.23002228923</v>
      </c>
      <c r="P15" s="28">
        <v>-314473.63336518977</v>
      </c>
      <c r="Q15" s="40">
        <v>-35963.358304490677</v>
      </c>
    </row>
    <row r="16" spans="2:17" x14ac:dyDescent="0.3">
      <c r="B16" s="37" t="s">
        <v>117</v>
      </c>
      <c r="C16" s="28">
        <v>0</v>
      </c>
      <c r="D16" s="28">
        <v>0</v>
      </c>
      <c r="E16" s="28">
        <v>0</v>
      </c>
      <c r="F16" s="28">
        <v>0</v>
      </c>
      <c r="G16" s="28">
        <v>0</v>
      </c>
      <c r="H16" s="28">
        <v>0</v>
      </c>
      <c r="I16" s="28">
        <v>0</v>
      </c>
      <c r="J16" s="28">
        <v>0</v>
      </c>
      <c r="K16" s="28">
        <v>0</v>
      </c>
      <c r="L16" s="28">
        <v>0</v>
      </c>
      <c r="M16" s="28">
        <v>0</v>
      </c>
      <c r="N16" s="28">
        <v>0</v>
      </c>
      <c r="O16" s="28">
        <v>104848.12899018649</v>
      </c>
      <c r="P16" s="28">
        <v>0</v>
      </c>
      <c r="Q16" s="40">
        <v>104848.12899018649</v>
      </c>
    </row>
    <row r="17" spans="2:17" x14ac:dyDescent="0.3">
      <c r="B17" s="37" t="s">
        <v>118</v>
      </c>
      <c r="C17" s="28">
        <v>4036.2020499999999</v>
      </c>
      <c r="D17" s="28">
        <v>740.69600000000003</v>
      </c>
      <c r="E17" s="28">
        <v>-373.87639999999942</v>
      </c>
      <c r="F17" s="28">
        <v>-23570.412949999991</v>
      </c>
      <c r="G17" s="28">
        <v>8121.6085999999996</v>
      </c>
      <c r="H17" s="28">
        <v>5443.7311999999993</v>
      </c>
      <c r="I17" s="28">
        <v>-53866.137218900018</v>
      </c>
      <c r="J17" s="28">
        <v>54677.521000000001</v>
      </c>
      <c r="K17" s="28">
        <v>-5.766</v>
      </c>
      <c r="L17" s="28">
        <v>-962.947</v>
      </c>
      <c r="M17" s="28">
        <v>12971.066000000001</v>
      </c>
      <c r="N17" s="28">
        <v>23171.833859999999</v>
      </c>
      <c r="O17" s="28">
        <v>16568.281230000001</v>
      </c>
      <c r="P17" s="28">
        <v>1245.8331800000001</v>
      </c>
      <c r="Q17" s="40">
        <v>48197.633551099992</v>
      </c>
    </row>
    <row r="18" spans="2:17" x14ac:dyDescent="0.3">
      <c r="B18" s="37" t="s">
        <v>119</v>
      </c>
      <c r="C18" s="28">
        <v>0</v>
      </c>
      <c r="D18" s="28">
        <v>-3541.703961742578</v>
      </c>
      <c r="E18" s="28">
        <v>-2867.5961443595202</v>
      </c>
      <c r="F18" s="28">
        <v>-34017.947798042384</v>
      </c>
      <c r="G18" s="28">
        <v>-3826.805571700766</v>
      </c>
      <c r="H18" s="28">
        <v>2477.244524458823</v>
      </c>
      <c r="I18" s="28">
        <v>-57711.36895280474</v>
      </c>
      <c r="J18" s="28">
        <v>-50701.270675000691</v>
      </c>
      <c r="K18" s="28">
        <v>37581.828000000001</v>
      </c>
      <c r="L18" s="28">
        <v>-10808.853566739321</v>
      </c>
      <c r="M18" s="28">
        <v>18652.501219904389</v>
      </c>
      <c r="N18" s="28">
        <v>-3964.7741525165102</v>
      </c>
      <c r="O18" s="28">
        <v>12065.04469840005</v>
      </c>
      <c r="P18" s="28">
        <v>2893.3896006465379</v>
      </c>
      <c r="Q18" s="40">
        <v>-93770.312779496715</v>
      </c>
    </row>
    <row r="19" spans="2:17" x14ac:dyDescent="0.3">
      <c r="B19" s="37" t="s">
        <v>120</v>
      </c>
      <c r="C19" s="28">
        <v>-7291.9030000000002</v>
      </c>
      <c r="D19" s="28">
        <v>11192.638999999999</v>
      </c>
      <c r="E19" s="28">
        <v>25615.569</v>
      </c>
      <c r="F19" s="28">
        <v>-56259.457000000002</v>
      </c>
      <c r="G19" s="28">
        <v>2166.752</v>
      </c>
      <c r="H19" s="28">
        <v>106792.599</v>
      </c>
      <c r="I19" s="28">
        <v>-40856.582999999999</v>
      </c>
      <c r="J19" s="28">
        <v>-83320.237999999998</v>
      </c>
      <c r="K19" s="28">
        <v>56914.79</v>
      </c>
      <c r="L19" s="28">
        <v>4094.6959999999999</v>
      </c>
      <c r="M19" s="28">
        <v>11272.749</v>
      </c>
      <c r="N19" s="28">
        <v>-59393.678999999996</v>
      </c>
      <c r="O19" s="28">
        <v>46806.135000000002</v>
      </c>
      <c r="P19" s="28">
        <v>40210.281999999999</v>
      </c>
      <c r="Q19" s="40">
        <v>57944.351000000002</v>
      </c>
    </row>
    <row r="20" spans="2:17" x14ac:dyDescent="0.3">
      <c r="B20" s="37" t="s">
        <v>121</v>
      </c>
      <c r="C20" s="28">
        <v>1203.713021091065</v>
      </c>
      <c r="D20" s="28">
        <v>-4082.462382010146</v>
      </c>
      <c r="E20" s="28">
        <v>1859.582489650493</v>
      </c>
      <c r="F20" s="28">
        <v>-116232.411069177</v>
      </c>
      <c r="G20" s="28">
        <v>-31618.686914925082</v>
      </c>
      <c r="H20" s="28">
        <v>-2345.5492857941699</v>
      </c>
      <c r="I20" s="28">
        <v>-79766.786364769039</v>
      </c>
      <c r="J20" s="28">
        <v>-143113.1137273332</v>
      </c>
      <c r="K20" s="28">
        <v>0</v>
      </c>
      <c r="L20" s="28">
        <v>-8936.0407346752763</v>
      </c>
      <c r="M20" s="28">
        <v>4912.5101998869031</v>
      </c>
      <c r="N20" s="28">
        <v>-41945.906053202933</v>
      </c>
      <c r="O20" s="28">
        <v>0</v>
      </c>
      <c r="P20" s="28">
        <v>-4378.6211787416159</v>
      </c>
      <c r="Q20" s="40">
        <v>-424443.772</v>
      </c>
    </row>
    <row r="21" spans="2:17" x14ac:dyDescent="0.3">
      <c r="B21" s="37" t="s">
        <v>122</v>
      </c>
      <c r="C21" s="28">
        <v>1010.4349999999999</v>
      </c>
      <c r="D21" s="28">
        <v>-9698.76</v>
      </c>
      <c r="E21" s="28">
        <v>-3826.9609999999998</v>
      </c>
      <c r="F21" s="28">
        <v>-61200.040999999997</v>
      </c>
      <c r="G21" s="28">
        <v>-34664.796999999999</v>
      </c>
      <c r="H21" s="28">
        <v>-8241.0310000000009</v>
      </c>
      <c r="I21" s="28">
        <v>-169073.30799999999</v>
      </c>
      <c r="J21" s="28">
        <v>-34905.116999999998</v>
      </c>
      <c r="K21" s="28">
        <v>0</v>
      </c>
      <c r="L21" s="28">
        <v>-8248.268</v>
      </c>
      <c r="M21" s="28">
        <v>-15886.861999999999</v>
      </c>
      <c r="N21" s="28">
        <v>62293.190999999999</v>
      </c>
      <c r="O21" s="28">
        <v>-23795.402999999998</v>
      </c>
      <c r="P21" s="28">
        <v>4485.0540000000001</v>
      </c>
      <c r="Q21" s="40">
        <v>-301751.86800000002</v>
      </c>
    </row>
    <row r="22" spans="2:17" x14ac:dyDescent="0.3">
      <c r="B22" s="37" t="s">
        <v>123</v>
      </c>
      <c r="C22" s="28">
        <v>0</v>
      </c>
      <c r="D22" s="28">
        <v>34998.650641774642</v>
      </c>
      <c r="E22" s="28">
        <v>-6070.2141077086289</v>
      </c>
      <c r="F22" s="28">
        <v>11661.86844623159</v>
      </c>
      <c r="G22" s="28">
        <v>7106.9485259274124</v>
      </c>
      <c r="H22" s="28">
        <v>30327.626996201769</v>
      </c>
      <c r="I22" s="28">
        <v>-299713.75100473239</v>
      </c>
      <c r="J22" s="28">
        <v>15216.970891346989</v>
      </c>
      <c r="K22" s="28">
        <v>1396.088</v>
      </c>
      <c r="L22" s="28">
        <v>-6180.2232965514904</v>
      </c>
      <c r="M22" s="28">
        <v>29856.069609443119</v>
      </c>
      <c r="N22" s="28">
        <v>34077.708431331339</v>
      </c>
      <c r="O22" s="28">
        <v>0</v>
      </c>
      <c r="P22" s="28">
        <v>43842.841629321767</v>
      </c>
      <c r="Q22" s="40">
        <v>-103479.41523741389</v>
      </c>
    </row>
    <row r="23" spans="2:17" x14ac:dyDescent="0.3">
      <c r="B23" s="37" t="s">
        <v>124</v>
      </c>
      <c r="C23" s="28">
        <v>0</v>
      </c>
      <c r="D23" s="28">
        <v>0</v>
      </c>
      <c r="E23" s="28">
        <v>0</v>
      </c>
      <c r="F23" s="28">
        <v>0</v>
      </c>
      <c r="G23" s="28">
        <v>0</v>
      </c>
      <c r="H23" s="28">
        <v>0</v>
      </c>
      <c r="I23" s="28">
        <v>0</v>
      </c>
      <c r="J23" s="28">
        <v>0</v>
      </c>
      <c r="K23" s="28">
        <v>0</v>
      </c>
      <c r="L23" s="28">
        <v>0</v>
      </c>
      <c r="M23" s="28">
        <v>0</v>
      </c>
      <c r="N23" s="28">
        <v>0</v>
      </c>
      <c r="O23" s="28">
        <v>-723270.06669841812</v>
      </c>
      <c r="P23" s="28">
        <v>0</v>
      </c>
      <c r="Q23" s="40">
        <v>-723270.06669841812</v>
      </c>
    </row>
    <row r="24" spans="2:17" x14ac:dyDescent="0.3">
      <c r="B24" s="37" t="s">
        <v>125</v>
      </c>
      <c r="C24" s="28">
        <v>0</v>
      </c>
      <c r="D24" s="28">
        <v>-24007.043000000001</v>
      </c>
      <c r="E24" s="28">
        <v>4137.6440000000002</v>
      </c>
      <c r="F24" s="28">
        <v>-78026.623999999996</v>
      </c>
      <c r="G24" s="28">
        <v>3583.7730000000001</v>
      </c>
      <c r="H24" s="28">
        <v>44216.093999999997</v>
      </c>
      <c r="I24" s="28">
        <v>-8431.6170000000002</v>
      </c>
      <c r="J24" s="28">
        <v>-68107.951000000001</v>
      </c>
      <c r="K24" s="28">
        <v>0</v>
      </c>
      <c r="L24" s="28">
        <v>926.81799999999998</v>
      </c>
      <c r="M24" s="28">
        <v>-9849.1270000000004</v>
      </c>
      <c r="N24" s="28">
        <v>22956.311000000002</v>
      </c>
      <c r="O24" s="28">
        <v>6940.7529999999997</v>
      </c>
      <c r="P24" s="28">
        <v>855.36300000000006</v>
      </c>
      <c r="Q24" s="40">
        <v>-104805.606</v>
      </c>
    </row>
    <row r="25" spans="2:17" x14ac:dyDescent="0.3">
      <c r="B25" s="37" t="s">
        <v>126</v>
      </c>
      <c r="C25" s="28">
        <v>0</v>
      </c>
      <c r="D25" s="28">
        <v>-61537.113914991722</v>
      </c>
      <c r="E25" s="28">
        <v>-32003.10703887292</v>
      </c>
      <c r="F25" s="28">
        <v>-20665.572385070409</v>
      </c>
      <c r="G25" s="28">
        <v>-20093.599199650482</v>
      </c>
      <c r="H25" s="28">
        <v>-10579.321956908751</v>
      </c>
      <c r="I25" s="28">
        <v>141935.81435543959</v>
      </c>
      <c r="J25" s="28">
        <v>127539.5779315612</v>
      </c>
      <c r="K25" s="28">
        <v>-6637.5230000000001</v>
      </c>
      <c r="L25" s="28">
        <v>-3113.486984398261</v>
      </c>
      <c r="M25" s="28">
        <v>-82253.531689092386</v>
      </c>
      <c r="N25" s="28">
        <v>-26965.672659416228</v>
      </c>
      <c r="O25" s="28">
        <v>0</v>
      </c>
      <c r="P25" s="28">
        <v>-199962.6893871467</v>
      </c>
      <c r="Q25" s="40">
        <v>-194336.22592854709</v>
      </c>
    </row>
    <row r="26" spans="2:17" x14ac:dyDescent="0.3">
      <c r="B26" s="37" t="s">
        <v>127</v>
      </c>
      <c r="C26" s="28">
        <v>0</v>
      </c>
      <c r="D26" s="28">
        <v>2429.5275301739098</v>
      </c>
      <c r="E26" s="28">
        <v>1172.8747406581831</v>
      </c>
      <c r="F26" s="28">
        <v>31779.8872618983</v>
      </c>
      <c r="G26" s="28">
        <v>-38836.380584722618</v>
      </c>
      <c r="H26" s="28">
        <v>2573.0183636642678</v>
      </c>
      <c r="I26" s="28">
        <v>121708.87521990659</v>
      </c>
      <c r="J26" s="28">
        <v>123533.2063548367</v>
      </c>
      <c r="K26" s="28">
        <v>0</v>
      </c>
      <c r="L26" s="28">
        <v>6512.7398987762253</v>
      </c>
      <c r="M26" s="28">
        <v>-1294.22718007815</v>
      </c>
      <c r="N26" s="28">
        <v>22875.17725948591</v>
      </c>
      <c r="O26" s="28">
        <v>-221516.29517165851</v>
      </c>
      <c r="P26" s="28">
        <v>45546.893032605141</v>
      </c>
      <c r="Q26" s="40">
        <v>96485.296725545966</v>
      </c>
    </row>
    <row r="27" spans="2:17" x14ac:dyDescent="0.3">
      <c r="B27" s="37" t="s">
        <v>128</v>
      </c>
      <c r="C27" s="28">
        <v>-8811.8045121978066</v>
      </c>
      <c r="D27" s="28">
        <v>25107.456694256271</v>
      </c>
      <c r="E27" s="28">
        <v>-1215.5291516278501</v>
      </c>
      <c r="F27" s="28">
        <v>-149654.48621355099</v>
      </c>
      <c r="G27" s="28">
        <v>-18845.9546143275</v>
      </c>
      <c r="H27" s="28">
        <v>68368.644706244799</v>
      </c>
      <c r="I27" s="28">
        <v>2473.7531462935949</v>
      </c>
      <c r="J27" s="28">
        <v>6708.945923415743</v>
      </c>
      <c r="K27" s="28">
        <v>11461.366</v>
      </c>
      <c r="L27" s="28">
        <v>5506.1779999999999</v>
      </c>
      <c r="M27" s="28">
        <v>-18693.37706881604</v>
      </c>
      <c r="N27" s="28">
        <v>56947.419517898947</v>
      </c>
      <c r="O27" s="28">
        <v>0</v>
      </c>
      <c r="P27" s="28">
        <v>152624.84087660111</v>
      </c>
      <c r="Q27" s="40">
        <v>131977.45330419019</v>
      </c>
    </row>
    <row r="28" spans="2:17" x14ac:dyDescent="0.3">
      <c r="B28" s="37" t="s">
        <v>129</v>
      </c>
      <c r="C28" s="28">
        <v>5205.4287338160048</v>
      </c>
      <c r="D28" s="28">
        <v>701.02336089759649</v>
      </c>
      <c r="E28" s="28">
        <v>-472.45478194600202</v>
      </c>
      <c r="F28" s="28">
        <v>12998.69656957699</v>
      </c>
      <c r="G28" s="28">
        <v>8765.4476088208303</v>
      </c>
      <c r="H28" s="28">
        <v>13760.48558659741</v>
      </c>
      <c r="I28" s="28">
        <v>-57487.471738682063</v>
      </c>
      <c r="J28" s="28">
        <v>-38480.401019331897</v>
      </c>
      <c r="K28" s="28">
        <v>0</v>
      </c>
      <c r="L28" s="28">
        <v>-3649.6114771973862</v>
      </c>
      <c r="M28" s="28">
        <v>-2813.7707075410672</v>
      </c>
      <c r="N28" s="28">
        <v>-817.86510982494053</v>
      </c>
      <c r="O28" s="28">
        <v>-52249.763120904892</v>
      </c>
      <c r="P28" s="28">
        <v>4155.7707298981641</v>
      </c>
      <c r="Q28" s="40">
        <v>-110384.4853658213</v>
      </c>
    </row>
    <row r="29" spans="2:17" x14ac:dyDescent="0.3">
      <c r="B29" s="37" t="s">
        <v>130</v>
      </c>
      <c r="C29" s="28">
        <v>8.1558289701143512</v>
      </c>
      <c r="D29" s="28">
        <v>-3364.4765121093292</v>
      </c>
      <c r="E29" s="28">
        <v>4583.1889913720124</v>
      </c>
      <c r="F29" s="28">
        <v>3953.9787898613399</v>
      </c>
      <c r="G29" s="28">
        <v>6501.9243673709634</v>
      </c>
      <c r="H29" s="28">
        <v>601.08189834790051</v>
      </c>
      <c r="I29" s="28">
        <v>336.17845810516923</v>
      </c>
      <c r="J29" s="28">
        <v>2938.393063689115</v>
      </c>
      <c r="K29" s="28">
        <v>0</v>
      </c>
      <c r="L29" s="28">
        <v>3005.4042009693121</v>
      </c>
      <c r="M29" s="28">
        <v>13551.39220222623</v>
      </c>
      <c r="N29" s="28">
        <v>4146.1624247676064</v>
      </c>
      <c r="O29" s="28">
        <v>0</v>
      </c>
      <c r="P29" s="28">
        <v>11.947010131838979</v>
      </c>
      <c r="Q29" s="40">
        <v>36273.330723702267</v>
      </c>
    </row>
    <row r="30" spans="2:17" x14ac:dyDescent="0.3">
      <c r="B30" s="37" t="s">
        <v>131</v>
      </c>
      <c r="C30" s="28">
        <v>1579.6892201677599</v>
      </c>
      <c r="D30" s="28">
        <v>11225.07017043081</v>
      </c>
      <c r="E30" s="28">
        <v>4218.6086465690978</v>
      </c>
      <c r="F30" s="28">
        <v>-85589.718109341498</v>
      </c>
      <c r="G30" s="28">
        <v>1764.5634792710821</v>
      </c>
      <c r="H30" s="28">
        <v>26309.811389386748</v>
      </c>
      <c r="I30" s="28">
        <v>19248.02680077434</v>
      </c>
      <c r="J30" s="28">
        <v>-137964.768976753</v>
      </c>
      <c r="K30" s="28">
        <v>0</v>
      </c>
      <c r="L30" s="28">
        <v>370.0732205030555</v>
      </c>
      <c r="M30" s="28">
        <v>-10134.79418611544</v>
      </c>
      <c r="N30" s="28">
        <v>6298.722825876288</v>
      </c>
      <c r="O30" s="28">
        <v>0</v>
      </c>
      <c r="P30" s="28">
        <v>5630.7839698022772</v>
      </c>
      <c r="Q30" s="40">
        <v>-157043.9315494285</v>
      </c>
    </row>
    <row r="31" spans="2:17" x14ac:dyDescent="0.3">
      <c r="B31" s="37" t="s">
        <v>132</v>
      </c>
      <c r="C31" s="28">
        <v>1106.668964600075</v>
      </c>
      <c r="D31" s="28">
        <v>-5499.213833873715</v>
      </c>
      <c r="E31" s="28">
        <v>13082.94429243977</v>
      </c>
      <c r="F31" s="28">
        <v>-45517.21432608171</v>
      </c>
      <c r="G31" s="28">
        <v>-11768.172992783189</v>
      </c>
      <c r="H31" s="28">
        <v>-8776.8954210011707</v>
      </c>
      <c r="I31" s="28">
        <v>-54812.800377309737</v>
      </c>
      <c r="J31" s="28">
        <v>-59918.291745990078</v>
      </c>
      <c r="K31" s="28">
        <v>0</v>
      </c>
      <c r="L31" s="28">
        <v>-29983.122409450101</v>
      </c>
      <c r="M31" s="28">
        <v>-40421.346792944263</v>
      </c>
      <c r="N31" s="28">
        <v>42166.880414169304</v>
      </c>
      <c r="O31" s="28">
        <v>-55290.518250871057</v>
      </c>
      <c r="P31" s="28">
        <v>-2991.380009678378</v>
      </c>
      <c r="Q31" s="40">
        <v>-258622.46248877421</v>
      </c>
    </row>
    <row r="32" spans="2:17" x14ac:dyDescent="0.3">
      <c r="B32" s="37" t="s">
        <v>133</v>
      </c>
      <c r="C32" s="28">
        <v>0</v>
      </c>
      <c r="D32" s="28">
        <v>-3863.875</v>
      </c>
      <c r="E32" s="28">
        <v>3256.9369999999999</v>
      </c>
      <c r="F32" s="28">
        <v>22364.215</v>
      </c>
      <c r="G32" s="28">
        <v>13807.108</v>
      </c>
      <c r="H32" s="28">
        <v>23.315000000000001</v>
      </c>
      <c r="I32" s="28">
        <v>-58126.993000000002</v>
      </c>
      <c r="J32" s="28">
        <v>-31588.992999999999</v>
      </c>
      <c r="K32" s="28">
        <v>23811.304</v>
      </c>
      <c r="L32" s="28">
        <v>-1297.7529999999999</v>
      </c>
      <c r="M32" s="28">
        <v>-2148.0569999999998</v>
      </c>
      <c r="N32" s="28">
        <v>-2275.8960000000002</v>
      </c>
      <c r="O32" s="28">
        <v>10743.340650000129</v>
      </c>
      <c r="P32" s="28">
        <v>-2431.6849999999999</v>
      </c>
      <c r="Q32" s="40">
        <v>-27727.03234999987</v>
      </c>
    </row>
    <row r="33" spans="2:17" x14ac:dyDescent="0.3">
      <c r="B33" s="37" t="s">
        <v>134</v>
      </c>
      <c r="C33" s="28">
        <v>-465.0364331616438</v>
      </c>
      <c r="D33" s="28">
        <v>-1977.5731401351049</v>
      </c>
      <c r="E33" s="28">
        <v>1215.683085290075</v>
      </c>
      <c r="F33" s="28">
        <v>-12623.24143830494</v>
      </c>
      <c r="G33" s="28">
        <v>-28033.372999344501</v>
      </c>
      <c r="H33" s="28">
        <v>3729.269383117608</v>
      </c>
      <c r="I33" s="28">
        <v>46480.578615580322</v>
      </c>
      <c r="J33" s="28">
        <v>-54727.24198783809</v>
      </c>
      <c r="K33" s="28">
        <v>0</v>
      </c>
      <c r="L33" s="28">
        <v>-10646.160546276629</v>
      </c>
      <c r="M33" s="28">
        <v>-340.79017235540761</v>
      </c>
      <c r="N33" s="28">
        <v>7793.4358611925572</v>
      </c>
      <c r="O33" s="28">
        <v>0</v>
      </c>
      <c r="P33" s="28">
        <v>5701.6968250848649</v>
      </c>
      <c r="Q33" s="40">
        <v>-43892.75294715089</v>
      </c>
    </row>
    <row r="34" spans="2:17" x14ac:dyDescent="0.3">
      <c r="B34" s="37" t="s">
        <v>135</v>
      </c>
      <c r="C34" s="28">
        <v>0</v>
      </c>
      <c r="D34" s="28">
        <v>11563.867</v>
      </c>
      <c r="E34" s="28">
        <v>11437.857</v>
      </c>
      <c r="F34" s="28">
        <v>-10359.462</v>
      </c>
      <c r="G34" s="28">
        <v>176806.34400000001</v>
      </c>
      <c r="H34" s="28">
        <v>24219.276000000002</v>
      </c>
      <c r="I34" s="28">
        <v>-315279.12400000001</v>
      </c>
      <c r="J34" s="28">
        <v>119606.181</v>
      </c>
      <c r="K34" s="28">
        <v>-117791.96799999999</v>
      </c>
      <c r="L34" s="28">
        <v>12139.733749999999</v>
      </c>
      <c r="M34" s="28">
        <v>175285.02600000001</v>
      </c>
      <c r="N34" s="28">
        <v>-112875.768</v>
      </c>
      <c r="O34" s="28">
        <v>4074.1129999999998</v>
      </c>
      <c r="P34" s="28">
        <v>-281538.87900000002</v>
      </c>
      <c r="Q34" s="40">
        <v>-302712.80325</v>
      </c>
    </row>
    <row r="35" spans="2:17" x14ac:dyDescent="0.3">
      <c r="B35" s="37" t="s">
        <v>136</v>
      </c>
      <c r="C35" s="28">
        <v>37758.531969130447</v>
      </c>
      <c r="D35" s="28">
        <v>-10451.439384035109</v>
      </c>
      <c r="E35" s="28">
        <v>32.634189454234217</v>
      </c>
      <c r="F35" s="28">
        <v>-1476.5886830827681</v>
      </c>
      <c r="G35" s="28">
        <v>12348.408036440729</v>
      </c>
      <c r="H35" s="28">
        <v>196.46581865050399</v>
      </c>
      <c r="I35" s="28">
        <v>-11832.36467555566</v>
      </c>
      <c r="J35" s="28">
        <v>2527.7436537483682</v>
      </c>
      <c r="K35" s="28">
        <v>0</v>
      </c>
      <c r="L35" s="28">
        <v>3320.0693782759672</v>
      </c>
      <c r="M35" s="28">
        <v>4457.8752769624953</v>
      </c>
      <c r="N35" s="28">
        <v>15353.65804433879</v>
      </c>
      <c r="O35" s="28">
        <v>-5822.6996333037469</v>
      </c>
      <c r="P35" s="28">
        <v>11057.7557722068</v>
      </c>
      <c r="Q35" s="40">
        <v>57470.049763231058</v>
      </c>
    </row>
    <row r="36" spans="2:17" x14ac:dyDescent="0.3">
      <c r="B36" s="37" t="s">
        <v>137</v>
      </c>
      <c r="C36" s="28">
        <v>0</v>
      </c>
      <c r="D36" s="28">
        <v>662.98059854184044</v>
      </c>
      <c r="E36" s="28">
        <v>103.0014168022622</v>
      </c>
      <c r="F36" s="28">
        <v>-1023.82706032598</v>
      </c>
      <c r="G36" s="28">
        <v>2016.2826357061481</v>
      </c>
      <c r="H36" s="28">
        <v>1374.158368672295</v>
      </c>
      <c r="I36" s="28">
        <v>-72450.095773373134</v>
      </c>
      <c r="J36" s="28">
        <v>58667.499443588393</v>
      </c>
      <c r="K36" s="28">
        <v>0</v>
      </c>
      <c r="L36" s="28">
        <v>88.267470142617412</v>
      </c>
      <c r="M36" s="28">
        <v>-453.68449958680571</v>
      </c>
      <c r="N36" s="28">
        <v>2884.311197087211</v>
      </c>
      <c r="O36" s="28">
        <v>-2308.2577548998888</v>
      </c>
      <c r="P36" s="28">
        <v>1008.677347313127</v>
      </c>
      <c r="Q36" s="40">
        <v>-9430.6866103319044</v>
      </c>
    </row>
    <row r="37" spans="2:17" x14ac:dyDescent="0.3">
      <c r="B37" s="37" t="s">
        <v>138</v>
      </c>
      <c r="C37" s="28">
        <v>0</v>
      </c>
      <c r="D37" s="28">
        <v>-2967.0650335701098</v>
      </c>
      <c r="E37" s="28">
        <v>-10172.18049134212</v>
      </c>
      <c r="F37" s="28">
        <v>-69851.052382660928</v>
      </c>
      <c r="G37" s="28">
        <v>-2038.5919156289931</v>
      </c>
      <c r="H37" s="28">
        <v>12076.502080241989</v>
      </c>
      <c r="I37" s="28">
        <v>-26449.008249749841</v>
      </c>
      <c r="J37" s="28">
        <v>-37755.205723454579</v>
      </c>
      <c r="K37" s="28">
        <v>0</v>
      </c>
      <c r="L37" s="28">
        <v>-827.10227552788751</v>
      </c>
      <c r="M37" s="28">
        <v>-20297.903760210898</v>
      </c>
      <c r="N37" s="28">
        <v>-5158.9038225793838</v>
      </c>
      <c r="O37" s="28">
        <v>-250.85155458334361</v>
      </c>
      <c r="P37" s="28">
        <v>3609.7276482444131</v>
      </c>
      <c r="Q37" s="40">
        <v>-160081.63548082169</v>
      </c>
    </row>
    <row r="38" spans="2:17" x14ac:dyDescent="0.3">
      <c r="B38" s="37" t="s">
        <v>139</v>
      </c>
      <c r="C38" s="28">
        <v>-2726.9520000000002</v>
      </c>
      <c r="D38" s="28">
        <v>-15764.486999999999</v>
      </c>
      <c r="E38" s="28">
        <v>-24953.147000000001</v>
      </c>
      <c r="F38" s="28">
        <v>-30065.328000000001</v>
      </c>
      <c r="G38" s="28">
        <v>-14025.655000000001</v>
      </c>
      <c r="H38" s="28">
        <v>4453.2700000000004</v>
      </c>
      <c r="I38" s="28">
        <v>8574.0130000000008</v>
      </c>
      <c r="J38" s="28">
        <v>-64678.328999999998</v>
      </c>
      <c r="K38" s="28">
        <v>-1256.663</v>
      </c>
      <c r="L38" s="28">
        <v>-21231.956999999999</v>
      </c>
      <c r="M38" s="28">
        <v>-27656.167000000001</v>
      </c>
      <c r="N38" s="28">
        <v>22773.330999999998</v>
      </c>
      <c r="O38" s="28">
        <v>87962.634000000005</v>
      </c>
      <c r="P38" s="28">
        <v>3457.6909999999998</v>
      </c>
      <c r="Q38" s="40">
        <v>-75137.745999999999</v>
      </c>
    </row>
    <row r="39" spans="2:17" x14ac:dyDescent="0.3">
      <c r="B39" s="37" t="s">
        <v>140</v>
      </c>
      <c r="C39" s="28">
        <v>0</v>
      </c>
      <c r="D39" s="28">
        <v>0</v>
      </c>
      <c r="E39" s="28">
        <v>0</v>
      </c>
      <c r="F39" s="28">
        <v>0</v>
      </c>
      <c r="G39" s="28">
        <v>0</v>
      </c>
      <c r="H39" s="28">
        <v>0</v>
      </c>
      <c r="I39" s="28">
        <v>0</v>
      </c>
      <c r="J39" s="28">
        <v>0</v>
      </c>
      <c r="K39" s="28">
        <v>0</v>
      </c>
      <c r="L39" s="28">
        <v>0</v>
      </c>
      <c r="M39" s="28">
        <v>0</v>
      </c>
      <c r="N39" s="28">
        <v>0</v>
      </c>
      <c r="O39" s="28">
        <v>0</v>
      </c>
      <c r="P39" s="28">
        <v>0</v>
      </c>
      <c r="Q39" s="40">
        <v>0</v>
      </c>
    </row>
    <row r="40" spans="2:17" x14ac:dyDescent="0.3">
      <c r="B40" s="93" t="s">
        <v>141</v>
      </c>
      <c r="C40" s="28">
        <v>0</v>
      </c>
      <c r="D40" s="28">
        <v>0</v>
      </c>
      <c r="E40" s="28">
        <v>0</v>
      </c>
      <c r="F40" s="28">
        <v>0</v>
      </c>
      <c r="G40" s="28">
        <v>0</v>
      </c>
      <c r="H40" s="28">
        <v>0</v>
      </c>
      <c r="I40" s="28">
        <v>0</v>
      </c>
      <c r="J40" s="28">
        <v>0</v>
      </c>
      <c r="K40" s="28">
        <v>0</v>
      </c>
      <c r="L40" s="28">
        <v>0</v>
      </c>
      <c r="M40" s="28">
        <v>0</v>
      </c>
      <c r="N40" s="28">
        <v>0</v>
      </c>
      <c r="O40" s="28">
        <v>0</v>
      </c>
      <c r="P40" s="28">
        <v>0</v>
      </c>
      <c r="Q40" s="40">
        <v>0</v>
      </c>
    </row>
    <row r="41" spans="2:17" x14ac:dyDescent="0.3">
      <c r="B41" s="38" t="s">
        <v>7</v>
      </c>
      <c r="C41" s="39">
        <f t="shared" ref="C41:Q41" si="0">SUM(C6:C40)</f>
        <v>29949.59880313469</v>
      </c>
      <c r="D41" s="39">
        <f t="shared" si="0"/>
        <v>-112256.46062096319</v>
      </c>
      <c r="E41" s="39">
        <f t="shared" si="0"/>
        <v>18716.192364710154</v>
      </c>
      <c r="F41" s="39">
        <f t="shared" si="0"/>
        <v>-799119.98076655308</v>
      </c>
      <c r="G41" s="39">
        <f t="shared" si="0"/>
        <v>21254.082864048207</v>
      </c>
      <c r="H41" s="39">
        <f t="shared" si="0"/>
        <v>245624.58069838598</v>
      </c>
      <c r="I41" s="39">
        <f t="shared" si="0"/>
        <v>-1381283.0381517266</v>
      </c>
      <c r="J41" s="39">
        <f t="shared" si="0"/>
        <v>-434196.91988323501</v>
      </c>
      <c r="K41" s="39">
        <f t="shared" si="0"/>
        <v>-306464.61510740034</v>
      </c>
      <c r="L41" s="39">
        <f t="shared" si="0"/>
        <v>-155103.22945275586</v>
      </c>
      <c r="M41" s="39">
        <f t="shared" si="0"/>
        <v>380625.04621692048</v>
      </c>
      <c r="N41" s="39">
        <f t="shared" si="0"/>
        <v>-438838.3020432617</v>
      </c>
      <c r="O41" s="39">
        <f t="shared" si="0"/>
        <v>113764.09237205039</v>
      </c>
      <c r="P41" s="39">
        <f t="shared" si="0"/>
        <v>-589526.65597422933</v>
      </c>
      <c r="Q41" s="39">
        <f t="shared" si="0"/>
        <v>-3406855.608680875</v>
      </c>
    </row>
    <row r="42" spans="2:17" ht="14.5" customHeight="1" x14ac:dyDescent="0.35">
      <c r="B42" s="359" t="s">
        <v>142</v>
      </c>
      <c r="C42" s="301"/>
      <c r="D42" s="301"/>
      <c r="E42" s="301"/>
      <c r="F42" s="301"/>
      <c r="G42" s="301"/>
      <c r="H42" s="301"/>
      <c r="I42" s="301"/>
      <c r="J42" s="301"/>
      <c r="K42" s="301"/>
      <c r="L42" s="301"/>
      <c r="M42" s="301"/>
      <c r="N42" s="301"/>
      <c r="O42" s="301"/>
      <c r="P42" s="301"/>
      <c r="Q42" s="302"/>
    </row>
    <row r="43" spans="2:17" x14ac:dyDescent="0.3">
      <c r="B43" s="37" t="s">
        <v>143</v>
      </c>
      <c r="C43" s="28">
        <v>12152.7816029281</v>
      </c>
      <c r="D43" s="28">
        <v>-107464.28765546771</v>
      </c>
      <c r="E43" s="28">
        <v>-52717.128305366292</v>
      </c>
      <c r="F43" s="28">
        <v>-186273.1570018249</v>
      </c>
      <c r="G43" s="28">
        <v>45306.002632475363</v>
      </c>
      <c r="H43" s="28">
        <v>153500.53837014039</v>
      </c>
      <c r="I43" s="28">
        <v>12315.07402745453</v>
      </c>
      <c r="J43" s="28">
        <v>52454.297919499339</v>
      </c>
      <c r="K43" s="28">
        <v>0</v>
      </c>
      <c r="L43" s="28">
        <v>21817.397210130021</v>
      </c>
      <c r="M43" s="28">
        <v>-267.91442746221833</v>
      </c>
      <c r="N43" s="28">
        <v>1439.3531460288341</v>
      </c>
      <c r="O43" s="28">
        <v>249581.9650794967</v>
      </c>
      <c r="P43" s="28">
        <v>126514.7481504147</v>
      </c>
      <c r="Q43" s="40">
        <v>328359.67074844689</v>
      </c>
    </row>
    <row r="44" spans="2:17" x14ac:dyDescent="0.3">
      <c r="B44" s="37" t="s">
        <v>144</v>
      </c>
      <c r="C44" s="28">
        <v>3761.4150444594352</v>
      </c>
      <c r="D44" s="28">
        <v>-33588.863418417946</v>
      </c>
      <c r="E44" s="28">
        <v>0</v>
      </c>
      <c r="F44" s="28">
        <v>-104207.7828995173</v>
      </c>
      <c r="G44" s="28">
        <v>1965.8914464992019</v>
      </c>
      <c r="H44" s="28">
        <v>13905.091110090791</v>
      </c>
      <c r="I44" s="28">
        <v>0</v>
      </c>
      <c r="J44" s="28">
        <v>14011.981166211959</v>
      </c>
      <c r="K44" s="28">
        <v>0</v>
      </c>
      <c r="L44" s="28">
        <v>13560.975863528591</v>
      </c>
      <c r="M44" s="28">
        <v>0</v>
      </c>
      <c r="N44" s="28">
        <v>0</v>
      </c>
      <c r="O44" s="28">
        <v>65863.698809129099</v>
      </c>
      <c r="P44" s="28">
        <v>89077.450618212912</v>
      </c>
      <c r="Q44" s="40">
        <v>64349.857740196727</v>
      </c>
    </row>
    <row r="45" spans="2:17" x14ac:dyDescent="0.3">
      <c r="B45" s="37" t="s">
        <v>145</v>
      </c>
      <c r="C45" s="28">
        <v>-1120.757538957366</v>
      </c>
      <c r="D45" s="28">
        <v>-6355.7720320886674</v>
      </c>
      <c r="E45" s="28">
        <v>51273.241286460958</v>
      </c>
      <c r="F45" s="28">
        <v>30162.394193121028</v>
      </c>
      <c r="G45" s="28">
        <v>16642.904764821302</v>
      </c>
      <c r="H45" s="28">
        <v>-15385.608168753601</v>
      </c>
      <c r="I45" s="28">
        <v>3433.452694125227</v>
      </c>
      <c r="J45" s="28">
        <v>5002.1411674016726</v>
      </c>
      <c r="K45" s="28">
        <v>0</v>
      </c>
      <c r="L45" s="28">
        <v>-6871.2233948260673</v>
      </c>
      <c r="M45" s="28">
        <v>-5204.5864640120626</v>
      </c>
      <c r="N45" s="28">
        <v>3983.9257227949411</v>
      </c>
      <c r="O45" s="28">
        <v>-29413.99569973486</v>
      </c>
      <c r="P45" s="28">
        <v>28792.22184268399</v>
      </c>
      <c r="Q45" s="40">
        <v>74938.338373036502</v>
      </c>
    </row>
    <row r="46" spans="2:17" x14ac:dyDescent="0.3">
      <c r="B46" s="82" t="s">
        <v>146</v>
      </c>
      <c r="C46" s="28">
        <v>-51970.864685390567</v>
      </c>
      <c r="D46" s="28">
        <v>-21079.348646051949</v>
      </c>
      <c r="E46" s="28">
        <v>-89672.249507501489</v>
      </c>
      <c r="F46" s="28">
        <v>466849.21532735188</v>
      </c>
      <c r="G46" s="28">
        <v>-723.27292227814723</v>
      </c>
      <c r="H46" s="28">
        <v>11522.98427984059</v>
      </c>
      <c r="I46" s="28">
        <v>-39033.954959852599</v>
      </c>
      <c r="J46" s="28">
        <v>-6347.3162674693449</v>
      </c>
      <c r="K46" s="28">
        <v>0</v>
      </c>
      <c r="L46" s="28">
        <v>-115128.04800998649</v>
      </c>
      <c r="M46" s="28">
        <v>-54427.623973678739</v>
      </c>
      <c r="N46" s="28">
        <v>-36715.968935822217</v>
      </c>
      <c r="O46" s="28">
        <v>206364.7648396322</v>
      </c>
      <c r="P46" s="28">
        <v>118522.41929670839</v>
      </c>
      <c r="Q46" s="40">
        <v>388160.73583550157</v>
      </c>
    </row>
    <row r="47" spans="2:17" x14ac:dyDescent="0.3">
      <c r="B47" s="37" t="s">
        <v>147</v>
      </c>
      <c r="C47" s="28">
        <v>-163658.4392196234</v>
      </c>
      <c r="D47" s="28">
        <v>-858613.80749310029</v>
      </c>
      <c r="E47" s="28">
        <v>221798.4407332374</v>
      </c>
      <c r="F47" s="28">
        <v>380213.41405620781</v>
      </c>
      <c r="G47" s="28">
        <v>139404.44906042551</v>
      </c>
      <c r="H47" s="28">
        <v>-114729.88649036799</v>
      </c>
      <c r="I47" s="28">
        <v>6967.4400437256081</v>
      </c>
      <c r="J47" s="28">
        <v>-10489.532170457331</v>
      </c>
      <c r="K47" s="28">
        <v>824.28448080777207</v>
      </c>
      <c r="L47" s="28">
        <v>313933.28187488631</v>
      </c>
      <c r="M47" s="28">
        <v>6785.4596998509451</v>
      </c>
      <c r="N47" s="28">
        <v>46875.712774304913</v>
      </c>
      <c r="O47" s="28">
        <v>100156.23871247171</v>
      </c>
      <c r="P47" s="28">
        <v>10030.48935086868</v>
      </c>
      <c r="Q47" s="40">
        <v>79497.545413237603</v>
      </c>
    </row>
    <row r="48" spans="2:17" x14ac:dyDescent="0.3">
      <c r="B48" s="38" t="s">
        <v>7</v>
      </c>
      <c r="C48" s="39">
        <f t="shared" ref="C48:Q48" si="1">SUM(C43:C47)</f>
        <v>-200835.8647965838</v>
      </c>
      <c r="D48" s="39">
        <f t="shared" si="1"/>
        <v>-1027102.0792451266</v>
      </c>
      <c r="E48" s="39">
        <f t="shared" si="1"/>
        <v>130682.30420683057</v>
      </c>
      <c r="F48" s="39">
        <f t="shared" si="1"/>
        <v>586744.08367533854</v>
      </c>
      <c r="G48" s="39">
        <f t="shared" si="1"/>
        <v>202595.97498194323</v>
      </c>
      <c r="H48" s="39">
        <f t="shared" si="1"/>
        <v>48813.119100950193</v>
      </c>
      <c r="I48" s="39">
        <f t="shared" si="1"/>
        <v>-16317.988194547233</v>
      </c>
      <c r="J48" s="39">
        <f t="shared" si="1"/>
        <v>54631.571815186297</v>
      </c>
      <c r="K48" s="39">
        <f t="shared" si="1"/>
        <v>824.28448080777207</v>
      </c>
      <c r="L48" s="39">
        <f t="shared" si="1"/>
        <v>227312.38354373234</v>
      </c>
      <c r="M48" s="39">
        <f t="shared" si="1"/>
        <v>-53114.665165302074</v>
      </c>
      <c r="N48" s="39">
        <f t="shared" si="1"/>
        <v>15583.022707306471</v>
      </c>
      <c r="O48" s="39">
        <f t="shared" si="1"/>
        <v>592552.67174099491</v>
      </c>
      <c r="P48" s="39">
        <f t="shared" si="1"/>
        <v>372937.32925888867</v>
      </c>
      <c r="Q48" s="39">
        <f t="shared" si="1"/>
        <v>935306.1481104194</v>
      </c>
    </row>
    <row r="49" spans="2:17" x14ac:dyDescent="0.3">
      <c r="B49" s="360" t="s">
        <v>149</v>
      </c>
      <c r="C49" s="308"/>
      <c r="D49" s="308"/>
      <c r="E49" s="308"/>
      <c r="F49" s="308"/>
      <c r="G49" s="308"/>
      <c r="H49" s="308"/>
      <c r="I49" s="308"/>
      <c r="J49" s="308"/>
      <c r="K49" s="308"/>
      <c r="L49" s="308"/>
      <c r="M49" s="308"/>
      <c r="N49" s="308"/>
      <c r="O49" s="308"/>
      <c r="P49" s="308"/>
      <c r="Q49" s="308"/>
    </row>
  </sheetData>
  <sheetProtection algorithmName="SHA-512" hashValue="vT339hJjQ+rJlacmDzpy8gRRZTLBqDmSuu7wnFQMBf01tnurvqd2V/LNalHmEd3Md303lb1vOXZ+R+j9wtKuWw==" saltValue="973u6sSrRGS+5XpWq2UJNw==" spinCount="100000" sheet="1" objects="1" scenarios="1"/>
  <mergeCells count="4">
    <mergeCell ref="B42:Q42"/>
    <mergeCell ref="B49:Q49"/>
    <mergeCell ref="B3:Q3"/>
    <mergeCell ref="B5:Q5"/>
  </mergeCells>
  <pageMargins left="0.7" right="0.7" top="0.75" bottom="0.75" header="0.3" footer="0.3"/>
  <pageSetup paperSize="9" scale="33"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1">
    <tabColor rgb="FF92D050"/>
    <pageSetUpPr fitToPage="1"/>
  </sheetPr>
  <dimension ref="B3:Q50"/>
  <sheetViews>
    <sheetView showGridLines="0" zoomScale="76" zoomScaleNormal="100" workbookViewId="0">
      <pane xSplit="2" ySplit="5" topLeftCell="P39" activePane="bottomRight" state="frozen"/>
      <selection activeCell="A4" sqref="A4:XFD4"/>
      <selection pane="topRight" activeCell="A4" sqref="A4:XFD4"/>
      <selection pane="bottomLeft" activeCell="A4" sqref="A4:XFD4"/>
      <selection pane="bottomRight" activeCell="I46" sqref="B3:Q49"/>
    </sheetView>
  </sheetViews>
  <sheetFormatPr defaultColWidth="12" defaultRowHeight="15.5" x14ac:dyDescent="0.35"/>
  <cols>
    <col min="1" max="1" width="17" style="76" customWidth="1"/>
    <col min="2" max="2" width="53.90625" style="76" customWidth="1"/>
    <col min="3" max="3" width="20.36328125" style="76" customWidth="1"/>
    <col min="4" max="4" width="15.90625" style="76" bestFit="1" customWidth="1"/>
    <col min="5" max="5" width="16.1796875" style="76" bestFit="1" customWidth="1"/>
    <col min="6" max="6" width="16.7265625" style="76" bestFit="1" customWidth="1"/>
    <col min="7" max="7" width="16.1796875" style="76" bestFit="1" customWidth="1"/>
    <col min="8" max="8" width="19.81640625" style="76" bestFit="1" customWidth="1"/>
    <col min="9" max="9" width="15.90625" style="76" bestFit="1" customWidth="1"/>
    <col min="10" max="10" width="19.81640625" style="76" bestFit="1" customWidth="1"/>
    <col min="11" max="11" width="21.1796875" style="76" bestFit="1" customWidth="1"/>
    <col min="12" max="12" width="20" style="76" bestFit="1" customWidth="1"/>
    <col min="13" max="13" width="20.54296875" style="76" bestFit="1" customWidth="1"/>
    <col min="14" max="14" width="16.7265625" style="76" bestFit="1" customWidth="1"/>
    <col min="15" max="15" width="16.54296875" style="76" bestFit="1" customWidth="1"/>
    <col min="16" max="16" width="15.90625" style="76" bestFit="1" customWidth="1"/>
    <col min="17" max="17" width="22" style="76" bestFit="1" customWidth="1"/>
    <col min="18" max="18" width="16.54296875" style="76" customWidth="1"/>
    <col min="19" max="19" width="16.54296875" style="76" bestFit="1" customWidth="1"/>
    <col min="20" max="118" width="12" style="76" customWidth="1"/>
    <col min="119" max="16384" width="12" style="76"/>
  </cols>
  <sheetData>
    <row r="3" spans="2:17" s="275" customFormat="1" ht="22" x14ac:dyDescent="0.5">
      <c r="B3" s="367" t="str">
        <f>_xlfn.CONCAT('Table of Contents'!B35,": ",'Table of Contents'!C35)</f>
        <v>APPENDIX 23: SUMMARY OF GENERAL INSURANCE BUSINESS REVENUE ACCOUNTS FOR THE PERIOD ENDED 31.03.2026</v>
      </c>
      <c r="C3" s="298"/>
      <c r="D3" s="298"/>
      <c r="E3" s="298"/>
      <c r="F3" s="298"/>
      <c r="G3" s="298"/>
      <c r="H3" s="298"/>
      <c r="I3" s="298"/>
      <c r="J3" s="298"/>
      <c r="K3" s="298"/>
      <c r="L3" s="298"/>
      <c r="M3" s="298"/>
      <c r="N3" s="298"/>
      <c r="O3" s="298"/>
      <c r="P3" s="298"/>
      <c r="Q3" s="299"/>
    </row>
    <row r="4" spans="2:17" ht="31" x14ac:dyDescent="0.35">
      <c r="B4" s="65" t="s">
        <v>87</v>
      </c>
      <c r="C4" s="66" t="s">
        <v>234</v>
      </c>
      <c r="D4" s="66" t="s">
        <v>235</v>
      </c>
      <c r="E4" s="66" t="s">
        <v>236</v>
      </c>
      <c r="F4" s="66" t="s">
        <v>237</v>
      </c>
      <c r="G4" s="66" t="s">
        <v>238</v>
      </c>
      <c r="H4" s="66" t="s">
        <v>239</v>
      </c>
      <c r="I4" s="66" t="s">
        <v>240</v>
      </c>
      <c r="J4" s="66" t="s">
        <v>239</v>
      </c>
      <c r="K4" s="66" t="s">
        <v>241</v>
      </c>
      <c r="L4" s="66" t="s">
        <v>242</v>
      </c>
      <c r="M4" s="66" t="s">
        <v>210</v>
      </c>
      <c r="N4" s="66" t="s">
        <v>211</v>
      </c>
      <c r="O4" s="66" t="s">
        <v>243</v>
      </c>
      <c r="P4" s="66" t="s">
        <v>212</v>
      </c>
      <c r="Q4" s="66" t="s">
        <v>244</v>
      </c>
    </row>
    <row r="5" spans="2:17" ht="20" customHeight="1" x14ac:dyDescent="0.35">
      <c r="B5" s="369" t="s">
        <v>106</v>
      </c>
      <c r="C5" s="301"/>
      <c r="D5" s="301"/>
      <c r="E5" s="301"/>
      <c r="F5" s="301"/>
      <c r="G5" s="301"/>
      <c r="H5" s="301"/>
      <c r="I5" s="301"/>
      <c r="J5" s="301"/>
      <c r="K5" s="301"/>
      <c r="L5" s="301"/>
      <c r="M5" s="301"/>
      <c r="N5" s="301"/>
      <c r="O5" s="301"/>
      <c r="P5" s="301"/>
      <c r="Q5" s="302"/>
    </row>
    <row r="6" spans="2:17" ht="20" customHeight="1" x14ac:dyDescent="0.35">
      <c r="B6" s="67" t="s">
        <v>107</v>
      </c>
      <c r="C6" s="70">
        <v>3685906.5212799991</v>
      </c>
      <c r="D6" s="70">
        <v>0</v>
      </c>
      <c r="E6" s="70">
        <v>1129957.5</v>
      </c>
      <c r="F6" s="70">
        <v>2555949.02128</v>
      </c>
      <c r="G6" s="70">
        <v>3430371.9576900001</v>
      </c>
      <c r="H6" s="70">
        <v>0</v>
      </c>
      <c r="I6" s="70">
        <v>3849616.553023167</v>
      </c>
      <c r="J6" s="70">
        <v>0</v>
      </c>
      <c r="K6" s="70">
        <v>2136704.4259468322</v>
      </c>
      <c r="L6" s="70">
        <v>1670524.8469555881</v>
      </c>
      <c r="M6" s="70">
        <v>112831.3113812438</v>
      </c>
      <c r="N6" s="70">
        <v>380397.48453999998</v>
      </c>
      <c r="O6" s="70">
        <v>-27049.216930000021</v>
      </c>
      <c r="P6" s="70">
        <v>212605.86970000001</v>
      </c>
      <c r="Q6" s="73">
        <v>185556.65276999999</v>
      </c>
    </row>
    <row r="7" spans="2:17" ht="20" customHeight="1" x14ac:dyDescent="0.35">
      <c r="B7" s="67" t="s">
        <v>108</v>
      </c>
      <c r="C7" s="70">
        <v>848299.34304999991</v>
      </c>
      <c r="D7" s="70">
        <v>0</v>
      </c>
      <c r="E7" s="70">
        <v>41654.995000000003</v>
      </c>
      <c r="F7" s="70">
        <v>806644.34804999991</v>
      </c>
      <c r="G7" s="70">
        <v>638753.38412412349</v>
      </c>
      <c r="H7" s="70">
        <v>0</v>
      </c>
      <c r="I7" s="70">
        <v>715231.47005412343</v>
      </c>
      <c r="J7" s="70">
        <v>0</v>
      </c>
      <c r="K7" s="70">
        <v>730166.26211999985</v>
      </c>
      <c r="L7" s="70">
        <v>495685.11915254412</v>
      </c>
      <c r="M7" s="70">
        <v>57161.238417002089</v>
      </c>
      <c r="N7" s="70">
        <v>272727.20600000001</v>
      </c>
      <c r="O7" s="70">
        <v>-95407.301449546256</v>
      </c>
      <c r="P7" s="70">
        <v>45789.716999999997</v>
      </c>
      <c r="Q7" s="73">
        <v>-49617.584449546208</v>
      </c>
    </row>
    <row r="8" spans="2:17" ht="20" customHeight="1" x14ac:dyDescent="0.35">
      <c r="B8" s="67" t="s">
        <v>109</v>
      </c>
      <c r="C8" s="70">
        <v>7072321.7189999996</v>
      </c>
      <c r="D8" s="70">
        <v>77966.396999999997</v>
      </c>
      <c r="E8" s="70">
        <v>2739050.9745455892</v>
      </c>
      <c r="F8" s="70">
        <v>4411237.1414544107</v>
      </c>
      <c r="G8" s="70">
        <v>4383496.4045636384</v>
      </c>
      <c r="H8" s="70">
        <v>0</v>
      </c>
      <c r="I8" s="70">
        <v>5725496.7017214242</v>
      </c>
      <c r="J8" s="70">
        <v>0</v>
      </c>
      <c r="K8" s="70">
        <v>3069236.8442966258</v>
      </c>
      <c r="L8" s="70">
        <v>2316479.4096841668</v>
      </c>
      <c r="M8" s="70">
        <v>237500.22185405201</v>
      </c>
      <c r="N8" s="70">
        <v>879085.62995114981</v>
      </c>
      <c r="O8" s="70">
        <v>-363828.41719274229</v>
      </c>
      <c r="P8" s="70">
        <v>601951.92134139419</v>
      </c>
      <c r="Q8" s="73">
        <v>238123.5041486519</v>
      </c>
    </row>
    <row r="9" spans="2:17" ht="20" customHeight="1" x14ac:dyDescent="0.35">
      <c r="B9" s="67" t="s">
        <v>110</v>
      </c>
      <c r="C9" s="70">
        <v>4815582.9570794785</v>
      </c>
      <c r="D9" s="70">
        <v>78153.818629999994</v>
      </c>
      <c r="E9" s="70">
        <v>1237142.456324989</v>
      </c>
      <c r="F9" s="70">
        <v>3656594.3193844892</v>
      </c>
      <c r="G9" s="70">
        <v>4241221.1510699997</v>
      </c>
      <c r="H9" s="70">
        <v>0</v>
      </c>
      <c r="I9" s="70">
        <v>5102113.6191600002</v>
      </c>
      <c r="J9" s="70">
        <v>0</v>
      </c>
      <c r="K9" s="70">
        <v>2795701.8512944891</v>
      </c>
      <c r="L9" s="70">
        <v>1835089.683273359</v>
      </c>
      <c r="M9" s="70">
        <v>302807.17817999987</v>
      </c>
      <c r="N9" s="70">
        <v>803419.34911000077</v>
      </c>
      <c r="O9" s="70">
        <v>-145614.35926887151</v>
      </c>
      <c r="P9" s="70">
        <v>654771.46878000081</v>
      </c>
      <c r="Q9" s="73">
        <v>509157.10951112933</v>
      </c>
    </row>
    <row r="10" spans="2:17" ht="20" customHeight="1" x14ac:dyDescent="0.35">
      <c r="B10" s="67" t="s">
        <v>111</v>
      </c>
      <c r="C10" s="70">
        <v>2503251.7259999998</v>
      </c>
      <c r="D10" s="70">
        <v>0</v>
      </c>
      <c r="E10" s="70">
        <v>2252926.5529999998</v>
      </c>
      <c r="F10" s="70">
        <v>250325.17300000001</v>
      </c>
      <c r="G10" s="70">
        <v>320174.429</v>
      </c>
      <c r="H10" s="70">
        <v>0</v>
      </c>
      <c r="I10" s="70">
        <v>80235.255999999994</v>
      </c>
      <c r="J10" s="70">
        <v>0</v>
      </c>
      <c r="K10" s="70">
        <v>490264.34600000002</v>
      </c>
      <c r="L10" s="70">
        <v>16658.973999999998</v>
      </c>
      <c r="M10" s="70">
        <v>-184165.14</v>
      </c>
      <c r="N10" s="70">
        <v>134871.35200000001</v>
      </c>
      <c r="O10" s="70">
        <v>522899.16</v>
      </c>
      <c r="P10" s="70">
        <v>17855.662</v>
      </c>
      <c r="Q10" s="73">
        <v>540754.82200000004</v>
      </c>
    </row>
    <row r="11" spans="2:17" ht="20" customHeight="1" x14ac:dyDescent="0.35">
      <c r="B11" s="67" t="s">
        <v>112</v>
      </c>
      <c r="C11" s="70">
        <v>544358.41632999992</v>
      </c>
      <c r="D11" s="70">
        <v>8184.415</v>
      </c>
      <c r="E11" s="70">
        <v>127327.5043161418</v>
      </c>
      <c r="F11" s="70">
        <v>425215.32701385819</v>
      </c>
      <c r="G11" s="70">
        <v>860906.6430572205</v>
      </c>
      <c r="H11" s="70">
        <v>71427.199372779622</v>
      </c>
      <c r="I11" s="70">
        <v>766223.86835655209</v>
      </c>
      <c r="J11" s="70">
        <v>92319.683680875984</v>
      </c>
      <c r="K11" s="70">
        <v>499005.61740643007</v>
      </c>
      <c r="L11" s="70">
        <v>405694.62299999979</v>
      </c>
      <c r="M11" s="70">
        <v>44622.775999999998</v>
      </c>
      <c r="N11" s="70">
        <v>105976.95090512199</v>
      </c>
      <c r="O11" s="70">
        <v>-57288.732498691526</v>
      </c>
      <c r="P11" s="70">
        <v>23555.66099832152</v>
      </c>
      <c r="Q11" s="73">
        <v>-33733.071500370017</v>
      </c>
    </row>
    <row r="12" spans="2:17" ht="20" customHeight="1" x14ac:dyDescent="0.35">
      <c r="B12" s="67" t="s">
        <v>113</v>
      </c>
      <c r="C12" s="70">
        <v>7412727.015730002</v>
      </c>
      <c r="D12" s="70">
        <v>85701.798330000005</v>
      </c>
      <c r="E12" s="70">
        <v>756063.48432000005</v>
      </c>
      <c r="F12" s="70">
        <v>6742365.3297400028</v>
      </c>
      <c r="G12" s="70">
        <v>7016778.9477700004</v>
      </c>
      <c r="H12" s="70">
        <v>0</v>
      </c>
      <c r="I12" s="70">
        <v>9282581.2937700003</v>
      </c>
      <c r="J12" s="70">
        <v>0</v>
      </c>
      <c r="K12" s="70">
        <v>4476562.9837400019</v>
      </c>
      <c r="L12" s="70">
        <v>3245330.6312099998</v>
      </c>
      <c r="M12" s="70">
        <v>427856.947889</v>
      </c>
      <c r="N12" s="70">
        <v>958473.95336000016</v>
      </c>
      <c r="O12" s="70">
        <v>-155098.54871899879</v>
      </c>
      <c r="P12" s="70">
        <v>377869.43648999999</v>
      </c>
      <c r="Q12" s="73">
        <v>222770.8877710012</v>
      </c>
    </row>
    <row r="13" spans="2:17" ht="20" customHeight="1" x14ac:dyDescent="0.35">
      <c r="B13" s="67" t="s">
        <v>114</v>
      </c>
      <c r="C13" s="70">
        <v>0</v>
      </c>
      <c r="D13" s="70">
        <v>0</v>
      </c>
      <c r="E13" s="70">
        <v>0</v>
      </c>
      <c r="F13" s="70">
        <v>0</v>
      </c>
      <c r="G13" s="70">
        <v>0</v>
      </c>
      <c r="H13" s="70">
        <v>0</v>
      </c>
      <c r="I13" s="70">
        <v>0</v>
      </c>
      <c r="J13" s="70">
        <v>0</v>
      </c>
      <c r="K13" s="70">
        <v>0</v>
      </c>
      <c r="L13" s="70">
        <v>0</v>
      </c>
      <c r="M13" s="70">
        <v>0</v>
      </c>
      <c r="N13" s="70">
        <v>0</v>
      </c>
      <c r="O13" s="70">
        <v>0</v>
      </c>
      <c r="P13" s="70">
        <v>0</v>
      </c>
      <c r="Q13" s="73">
        <v>0</v>
      </c>
    </row>
    <row r="14" spans="2:17" ht="20" customHeight="1" x14ac:dyDescent="0.35">
      <c r="B14" s="67" t="s">
        <v>115</v>
      </c>
      <c r="C14" s="70">
        <v>757751.15909999947</v>
      </c>
      <c r="D14" s="70">
        <v>0</v>
      </c>
      <c r="E14" s="70">
        <v>15464.00628</v>
      </c>
      <c r="F14" s="70">
        <v>742287.15281999949</v>
      </c>
      <c r="G14" s="70">
        <v>554809.58589999995</v>
      </c>
      <c r="H14" s="70">
        <v>0</v>
      </c>
      <c r="I14" s="70">
        <v>558971.00071705447</v>
      </c>
      <c r="J14" s="70">
        <v>0</v>
      </c>
      <c r="K14" s="70">
        <v>738125.73800294497</v>
      </c>
      <c r="L14" s="70">
        <v>904368.28240227129</v>
      </c>
      <c r="M14" s="70">
        <v>76018.358784960001</v>
      </c>
      <c r="N14" s="70">
        <v>249549.37250500001</v>
      </c>
      <c r="O14" s="70">
        <v>-491810.27568928641</v>
      </c>
      <c r="P14" s="70">
        <v>-62690.068999999989</v>
      </c>
      <c r="Q14" s="73">
        <v>-554500.34468928631</v>
      </c>
    </row>
    <row r="15" spans="2:17" ht="20" customHeight="1" x14ac:dyDescent="0.35">
      <c r="B15" s="67" t="s">
        <v>116</v>
      </c>
      <c r="C15" s="70">
        <v>594767.31700000004</v>
      </c>
      <c r="D15" s="70">
        <v>0</v>
      </c>
      <c r="E15" s="70">
        <v>449880.76498436881</v>
      </c>
      <c r="F15" s="70">
        <v>144886.55201563131</v>
      </c>
      <c r="G15" s="70">
        <v>157456.5281015553</v>
      </c>
      <c r="H15" s="70">
        <v>0</v>
      </c>
      <c r="I15" s="70">
        <v>219797.5885254727</v>
      </c>
      <c r="J15" s="70">
        <v>0</v>
      </c>
      <c r="K15" s="70">
        <v>82545.491591713842</v>
      </c>
      <c r="L15" s="70">
        <v>63088.258596000102</v>
      </c>
      <c r="M15" s="70">
        <v>-5853.9332708783904</v>
      </c>
      <c r="N15" s="70">
        <v>61274.524571082831</v>
      </c>
      <c r="O15" s="70">
        <v>-35963.358304490677</v>
      </c>
      <c r="P15" s="70">
        <v>36411.339215730732</v>
      </c>
      <c r="Q15" s="73">
        <v>447.98091124010091</v>
      </c>
    </row>
    <row r="16" spans="2:17" ht="20" customHeight="1" x14ac:dyDescent="0.35">
      <c r="B16" s="67" t="s">
        <v>117</v>
      </c>
      <c r="C16" s="70">
        <v>1204994.17239</v>
      </c>
      <c r="D16" s="70">
        <v>0</v>
      </c>
      <c r="E16" s="70">
        <v>118925.981</v>
      </c>
      <c r="F16" s="70">
        <v>1086068.1913900001</v>
      </c>
      <c r="G16" s="70">
        <v>15431.131686208981</v>
      </c>
      <c r="H16" s="70">
        <v>0</v>
      </c>
      <c r="I16" s="70">
        <v>912361.16871389607</v>
      </c>
      <c r="J16" s="70">
        <v>0</v>
      </c>
      <c r="K16" s="70">
        <v>189138.15436231301</v>
      </c>
      <c r="L16" s="70">
        <v>13540.42928520157</v>
      </c>
      <c r="M16" s="70">
        <v>-18455.765100575019</v>
      </c>
      <c r="N16" s="70">
        <v>89205.361187500006</v>
      </c>
      <c r="O16" s="70">
        <v>104848.12899018649</v>
      </c>
      <c r="P16" s="70">
        <v>34895.824174296831</v>
      </c>
      <c r="Q16" s="73">
        <v>139743.9531644833</v>
      </c>
    </row>
    <row r="17" spans="2:17" ht="20" customHeight="1" x14ac:dyDescent="0.35">
      <c r="B17" s="67" t="s">
        <v>118</v>
      </c>
      <c r="C17" s="70">
        <v>1605528.686</v>
      </c>
      <c r="D17" s="70">
        <v>1105</v>
      </c>
      <c r="E17" s="70">
        <v>441022.49800000002</v>
      </c>
      <c r="F17" s="70">
        <v>1165611.1880000001</v>
      </c>
      <c r="G17" s="70">
        <v>1394984.4909999999</v>
      </c>
      <c r="H17" s="70">
        <v>0</v>
      </c>
      <c r="I17" s="70">
        <v>1689700.8959999999</v>
      </c>
      <c r="J17" s="70">
        <v>0</v>
      </c>
      <c r="K17" s="70">
        <v>870894.78300000005</v>
      </c>
      <c r="L17" s="70">
        <v>618204.17895000009</v>
      </c>
      <c r="M17" s="70">
        <v>76937.721279999998</v>
      </c>
      <c r="N17" s="70">
        <v>127555.2492189</v>
      </c>
      <c r="O17" s="70">
        <v>48197.633551099992</v>
      </c>
      <c r="P17" s="70">
        <v>141318.66099999999</v>
      </c>
      <c r="Q17" s="73">
        <v>189516.2945511</v>
      </c>
    </row>
    <row r="18" spans="2:17" ht="20" customHeight="1" x14ac:dyDescent="0.35">
      <c r="B18" s="67" t="s">
        <v>119</v>
      </c>
      <c r="C18" s="70">
        <v>2223565.0469999998</v>
      </c>
      <c r="D18" s="70">
        <v>120548.674</v>
      </c>
      <c r="E18" s="70">
        <v>1093571.1075474999</v>
      </c>
      <c r="F18" s="70">
        <v>1250542.6134525</v>
      </c>
      <c r="G18" s="70">
        <v>1226470.835</v>
      </c>
      <c r="H18" s="70">
        <v>103450.94091</v>
      </c>
      <c r="I18" s="70">
        <v>1557498.403983</v>
      </c>
      <c r="J18" s="70">
        <v>83450.94090999999</v>
      </c>
      <c r="K18" s="70">
        <v>939515.04446950019</v>
      </c>
      <c r="L18" s="70">
        <v>650828.02298999985</v>
      </c>
      <c r="M18" s="70">
        <v>71976.432159999997</v>
      </c>
      <c r="N18" s="70">
        <v>310480.90209899697</v>
      </c>
      <c r="O18" s="70">
        <v>-93770.312779496715</v>
      </c>
      <c r="P18" s="70">
        <v>83177.168000000005</v>
      </c>
      <c r="Q18" s="73">
        <v>-10593.144779496701</v>
      </c>
    </row>
    <row r="19" spans="2:17" ht="20" customHeight="1" x14ac:dyDescent="0.35">
      <c r="B19" s="67" t="s">
        <v>120</v>
      </c>
      <c r="C19" s="70">
        <v>7314908.9119999995</v>
      </c>
      <c r="D19" s="70">
        <v>27793.716</v>
      </c>
      <c r="E19" s="70">
        <v>3922652.165</v>
      </c>
      <c r="F19" s="70">
        <v>3420050.463</v>
      </c>
      <c r="G19" s="70">
        <v>2919021.9849999999</v>
      </c>
      <c r="H19" s="70">
        <v>0</v>
      </c>
      <c r="I19" s="70">
        <v>4646550.9239999996</v>
      </c>
      <c r="J19" s="70">
        <v>0</v>
      </c>
      <c r="K19" s="70">
        <v>1692521.524</v>
      </c>
      <c r="L19" s="70">
        <v>1421527.898</v>
      </c>
      <c r="M19" s="70">
        <v>-248390.14199999999</v>
      </c>
      <c r="N19" s="70">
        <v>461439.41700000002</v>
      </c>
      <c r="O19" s="70">
        <v>57944.351000000002</v>
      </c>
      <c r="P19" s="70">
        <v>441010.36099999998</v>
      </c>
      <c r="Q19" s="73">
        <v>498954.712</v>
      </c>
    </row>
    <row r="20" spans="2:17" ht="20" customHeight="1" x14ac:dyDescent="0.35">
      <c r="B20" s="67" t="s">
        <v>121</v>
      </c>
      <c r="C20" s="70">
        <v>1404502.31</v>
      </c>
      <c r="D20" s="70">
        <v>1119.414</v>
      </c>
      <c r="E20" s="70">
        <v>301227.13699999999</v>
      </c>
      <c r="F20" s="70">
        <v>1104394.5870000001</v>
      </c>
      <c r="G20" s="70">
        <v>1470128.2779999999</v>
      </c>
      <c r="H20" s="70">
        <v>0</v>
      </c>
      <c r="I20" s="70">
        <v>1773094.3319999999</v>
      </c>
      <c r="J20" s="70">
        <v>0</v>
      </c>
      <c r="K20" s="70">
        <v>801428.53300000005</v>
      </c>
      <c r="L20" s="70">
        <v>914961.10199999996</v>
      </c>
      <c r="M20" s="70">
        <v>55332.237000000001</v>
      </c>
      <c r="N20" s="70">
        <v>255578.96599999999</v>
      </c>
      <c r="O20" s="70">
        <v>-424443.772</v>
      </c>
      <c r="P20" s="70">
        <v>89362.448999999993</v>
      </c>
      <c r="Q20" s="73">
        <v>-335081.32299999992</v>
      </c>
    </row>
    <row r="21" spans="2:17" ht="20" customHeight="1" x14ac:dyDescent="0.35">
      <c r="B21" s="67" t="s">
        <v>122</v>
      </c>
      <c r="C21" s="70">
        <v>2776923.7319999998</v>
      </c>
      <c r="D21" s="70">
        <v>15790</v>
      </c>
      <c r="E21" s="70">
        <v>1196882.1850000001</v>
      </c>
      <c r="F21" s="70">
        <v>1595831.547</v>
      </c>
      <c r="G21" s="70">
        <v>1984318.615</v>
      </c>
      <c r="H21" s="70">
        <v>8089.86</v>
      </c>
      <c r="I21" s="70">
        <v>2380878.372</v>
      </c>
      <c r="J21" s="70">
        <v>8089.86</v>
      </c>
      <c r="K21" s="70">
        <v>1199271.79</v>
      </c>
      <c r="L21" s="70">
        <v>877636.63300000003</v>
      </c>
      <c r="M21" s="70">
        <v>103089.336</v>
      </c>
      <c r="N21" s="70">
        <v>520297.68900000001</v>
      </c>
      <c r="O21" s="70">
        <v>-301751.86800000002</v>
      </c>
      <c r="P21" s="70">
        <v>386504.61800000002</v>
      </c>
      <c r="Q21" s="73">
        <v>84752.75</v>
      </c>
    </row>
    <row r="22" spans="2:17" ht="20" customHeight="1" x14ac:dyDescent="0.35">
      <c r="B22" s="67" t="s">
        <v>123</v>
      </c>
      <c r="C22" s="70">
        <v>1349036.246</v>
      </c>
      <c r="D22" s="70">
        <v>13421.9</v>
      </c>
      <c r="E22" s="70">
        <v>348777.79399999999</v>
      </c>
      <c r="F22" s="70">
        <v>1013680.352</v>
      </c>
      <c r="G22" s="70">
        <v>967402.97900000005</v>
      </c>
      <c r="H22" s="70">
        <v>0</v>
      </c>
      <c r="I22" s="70">
        <v>1334959.9240000001</v>
      </c>
      <c r="J22" s="70">
        <v>0</v>
      </c>
      <c r="K22" s="70">
        <v>646123.40700000001</v>
      </c>
      <c r="L22" s="70">
        <v>482640.549</v>
      </c>
      <c r="M22" s="70">
        <v>95021.625</v>
      </c>
      <c r="N22" s="70">
        <v>171940.6482374139</v>
      </c>
      <c r="O22" s="70">
        <v>-103479.41523741389</v>
      </c>
      <c r="P22" s="70">
        <v>24660.807000000001</v>
      </c>
      <c r="Q22" s="73">
        <v>-78818.608237413937</v>
      </c>
    </row>
    <row r="23" spans="2:17" ht="20" customHeight="1" x14ac:dyDescent="0.35">
      <c r="B23" s="67" t="s">
        <v>124</v>
      </c>
      <c r="C23" s="70">
        <v>4956327.1334643001</v>
      </c>
      <c r="D23" s="70">
        <v>0</v>
      </c>
      <c r="E23" s="70">
        <v>99535.540265208067</v>
      </c>
      <c r="F23" s="70">
        <v>4856791.593199092</v>
      </c>
      <c r="G23" s="70">
        <v>5630729.5692599993</v>
      </c>
      <c r="H23" s="70">
        <v>0</v>
      </c>
      <c r="I23" s="70">
        <v>7067731.18671</v>
      </c>
      <c r="J23" s="70">
        <v>0</v>
      </c>
      <c r="K23" s="70">
        <v>3419789.9757490908</v>
      </c>
      <c r="L23" s="70">
        <v>3261100.702</v>
      </c>
      <c r="M23" s="70">
        <v>312891.05496750929</v>
      </c>
      <c r="N23" s="70">
        <v>569068.28547999985</v>
      </c>
      <c r="O23" s="70">
        <v>-723270.06669841812</v>
      </c>
      <c r="P23" s="70">
        <v>314967.91129919433</v>
      </c>
      <c r="Q23" s="73">
        <v>-408302.15539922379</v>
      </c>
    </row>
    <row r="24" spans="2:17" ht="20" customHeight="1" x14ac:dyDescent="0.35">
      <c r="B24" s="67" t="s">
        <v>125</v>
      </c>
      <c r="C24" s="70">
        <v>1030888.807</v>
      </c>
      <c r="D24" s="70">
        <v>33207.06</v>
      </c>
      <c r="E24" s="70">
        <v>516878.96600000001</v>
      </c>
      <c r="F24" s="70">
        <v>547216.90099999995</v>
      </c>
      <c r="G24" s="70">
        <v>495623.07400000002</v>
      </c>
      <c r="H24" s="70">
        <v>64882.813000000002</v>
      </c>
      <c r="I24" s="70">
        <v>681909.06900000002</v>
      </c>
      <c r="J24" s="70">
        <v>68134.319000000003</v>
      </c>
      <c r="K24" s="70">
        <v>357679.4</v>
      </c>
      <c r="L24" s="70">
        <v>244939.34099999999</v>
      </c>
      <c r="M24" s="70">
        <v>26171.306</v>
      </c>
      <c r="N24" s="70">
        <v>191374.359</v>
      </c>
      <c r="O24" s="70">
        <v>-104805.606</v>
      </c>
      <c r="P24" s="70">
        <v>139818.76</v>
      </c>
      <c r="Q24" s="73">
        <v>35013.154000000002</v>
      </c>
    </row>
    <row r="25" spans="2:17" ht="20" customHeight="1" x14ac:dyDescent="0.35">
      <c r="B25" s="67" t="s">
        <v>126</v>
      </c>
      <c r="C25" s="70">
        <v>450537.49200000003</v>
      </c>
      <c r="D25" s="70">
        <v>0</v>
      </c>
      <c r="E25" s="70">
        <v>184487.8342530806</v>
      </c>
      <c r="F25" s="70">
        <v>266049.65774691937</v>
      </c>
      <c r="G25" s="70">
        <v>515407.06300000002</v>
      </c>
      <c r="H25" s="70">
        <v>122221.677</v>
      </c>
      <c r="I25" s="70">
        <v>617080.40989891568</v>
      </c>
      <c r="J25" s="70">
        <v>157896.88425819681</v>
      </c>
      <c r="K25" s="70">
        <v>128701.10358980689</v>
      </c>
      <c r="L25" s="70">
        <v>169848.07012835401</v>
      </c>
      <c r="M25" s="70">
        <v>8452.1505399999987</v>
      </c>
      <c r="N25" s="70">
        <v>144737.10884999999</v>
      </c>
      <c r="O25" s="70">
        <v>-194336.22592854709</v>
      </c>
      <c r="P25" s="70">
        <v>21758.32030894667</v>
      </c>
      <c r="Q25" s="73">
        <v>-172577.90561960041</v>
      </c>
    </row>
    <row r="26" spans="2:17" ht="20" customHeight="1" x14ac:dyDescent="0.35">
      <c r="B26" s="67" t="s">
        <v>127</v>
      </c>
      <c r="C26" s="70">
        <v>3687655.3105799998</v>
      </c>
      <c r="D26" s="70">
        <v>0</v>
      </c>
      <c r="E26" s="70">
        <v>1025491.026884353</v>
      </c>
      <c r="F26" s="70">
        <v>2662164.283695647</v>
      </c>
      <c r="G26" s="70">
        <v>2662489.412726027</v>
      </c>
      <c r="H26" s="70">
        <v>50801.439095351518</v>
      </c>
      <c r="I26" s="70">
        <v>3470857.098093336</v>
      </c>
      <c r="J26" s="70">
        <v>30572.604316716861</v>
      </c>
      <c r="K26" s="70">
        <v>1874025.4331069731</v>
      </c>
      <c r="L26" s="70">
        <v>1262445.667654196</v>
      </c>
      <c r="M26" s="70">
        <v>174420.25472723151</v>
      </c>
      <c r="N26" s="70">
        <v>340674.21399999998</v>
      </c>
      <c r="O26" s="70">
        <v>96485.296725545966</v>
      </c>
      <c r="P26" s="70">
        <v>82557.245069999961</v>
      </c>
      <c r="Q26" s="73">
        <v>179042.54179554601</v>
      </c>
    </row>
    <row r="27" spans="2:17" ht="20" customHeight="1" x14ac:dyDescent="0.35">
      <c r="B27" s="67" t="s">
        <v>128</v>
      </c>
      <c r="C27" s="70">
        <v>3940861.88</v>
      </c>
      <c r="D27" s="70">
        <v>198170.34700000001</v>
      </c>
      <c r="E27" s="70">
        <v>2520153.9539999999</v>
      </c>
      <c r="F27" s="70">
        <v>1618878.273</v>
      </c>
      <c r="G27" s="70">
        <v>1521772.2709999999</v>
      </c>
      <c r="H27" s="70">
        <v>0</v>
      </c>
      <c r="I27" s="70">
        <v>2166910.1660000002</v>
      </c>
      <c r="J27" s="70">
        <v>0</v>
      </c>
      <c r="K27" s="70">
        <v>973740.37800000003</v>
      </c>
      <c r="L27" s="70">
        <v>533715.71085788379</v>
      </c>
      <c r="M27" s="70">
        <v>37354.781837925962</v>
      </c>
      <c r="N27" s="70">
        <v>270692.43199999997</v>
      </c>
      <c r="O27" s="70">
        <v>131977.45330419019</v>
      </c>
      <c r="P27" s="70">
        <v>281682.57</v>
      </c>
      <c r="Q27" s="73">
        <v>413660.02330419008</v>
      </c>
    </row>
    <row r="28" spans="2:17" ht="20" customHeight="1" x14ac:dyDescent="0.35">
      <c r="B28" s="67" t="s">
        <v>129</v>
      </c>
      <c r="C28" s="70">
        <v>653032.9765799999</v>
      </c>
      <c r="D28" s="70">
        <v>-92.18473999994039</v>
      </c>
      <c r="E28" s="70">
        <v>146425.07986999999</v>
      </c>
      <c r="F28" s="70">
        <v>506515.71197000012</v>
      </c>
      <c r="G28" s="70">
        <v>351622.25099999999</v>
      </c>
      <c r="H28" s="70">
        <v>0</v>
      </c>
      <c r="I28" s="70">
        <v>551327.90992983116</v>
      </c>
      <c r="J28" s="70">
        <v>0</v>
      </c>
      <c r="K28" s="70">
        <v>306810.053040169</v>
      </c>
      <c r="L28" s="70">
        <v>239888.92675794361</v>
      </c>
      <c r="M28" s="70">
        <v>26005.42364804665</v>
      </c>
      <c r="N28" s="70">
        <v>151300.18799999999</v>
      </c>
      <c r="O28" s="70">
        <v>-110384.4853658213</v>
      </c>
      <c r="P28" s="70">
        <v>37472.180999999997</v>
      </c>
      <c r="Q28" s="73">
        <v>-72912.304365821255</v>
      </c>
    </row>
    <row r="29" spans="2:17" ht="20" customHeight="1" x14ac:dyDescent="0.35">
      <c r="B29" s="67" t="s">
        <v>130</v>
      </c>
      <c r="C29" s="70">
        <v>1165576.3157499989</v>
      </c>
      <c r="D29" s="70">
        <v>101141.36304</v>
      </c>
      <c r="E29" s="70">
        <v>657978.76936000003</v>
      </c>
      <c r="F29" s="70">
        <v>608738.9094299993</v>
      </c>
      <c r="G29" s="70">
        <v>809501.375</v>
      </c>
      <c r="H29" s="70">
        <v>0</v>
      </c>
      <c r="I29" s="70">
        <v>968377.73199999996</v>
      </c>
      <c r="J29" s="70">
        <v>0</v>
      </c>
      <c r="K29" s="70">
        <v>449862.55242999922</v>
      </c>
      <c r="L29" s="70">
        <v>154623.89328797109</v>
      </c>
      <c r="M29" s="70">
        <v>10491.71770000069</v>
      </c>
      <c r="N29" s="70">
        <v>248473.6107183253</v>
      </c>
      <c r="O29" s="70">
        <v>36273.330723702267</v>
      </c>
      <c r="P29" s="70">
        <v>74392.441097624047</v>
      </c>
      <c r="Q29" s="73">
        <v>110665.7718213263</v>
      </c>
    </row>
    <row r="30" spans="2:17" ht="20" customHeight="1" x14ac:dyDescent="0.35">
      <c r="B30" s="67" t="s">
        <v>131</v>
      </c>
      <c r="C30" s="70">
        <v>540888.12899999996</v>
      </c>
      <c r="D30" s="70">
        <v>2899.3139999999999</v>
      </c>
      <c r="E30" s="70">
        <v>284025.06054999988</v>
      </c>
      <c r="F30" s="70">
        <v>259762.38245</v>
      </c>
      <c r="G30" s="70">
        <v>618610.28363267286</v>
      </c>
      <c r="H30" s="70">
        <v>0</v>
      </c>
      <c r="I30" s="70">
        <v>756217.65461211535</v>
      </c>
      <c r="J30" s="70">
        <v>0</v>
      </c>
      <c r="K30" s="70">
        <v>122155.0114705576</v>
      </c>
      <c r="L30" s="70">
        <v>170028.08900548611</v>
      </c>
      <c r="M30" s="70">
        <v>32279.808949999999</v>
      </c>
      <c r="N30" s="70">
        <v>76891.045064499995</v>
      </c>
      <c r="O30" s="70">
        <v>-157043.9315494285</v>
      </c>
      <c r="P30" s="70">
        <v>24028.394226604509</v>
      </c>
      <c r="Q30" s="73">
        <v>-133015.53732282401</v>
      </c>
    </row>
    <row r="31" spans="2:17" ht="20" customHeight="1" x14ac:dyDescent="0.35">
      <c r="B31" s="67" t="s">
        <v>132</v>
      </c>
      <c r="C31" s="70">
        <v>7300993.0032499935</v>
      </c>
      <c r="D31" s="70">
        <v>176448.323</v>
      </c>
      <c r="E31" s="70">
        <v>2153549.410116042</v>
      </c>
      <c r="F31" s="70">
        <v>5323891.9161339523</v>
      </c>
      <c r="G31" s="70">
        <v>5642574.6623428296</v>
      </c>
      <c r="H31" s="70">
        <v>109619.31600000001</v>
      </c>
      <c r="I31" s="70">
        <v>7242399.1056180913</v>
      </c>
      <c r="J31" s="70">
        <v>109619.31600000001</v>
      </c>
      <c r="K31" s="70">
        <v>3724067.4728586902</v>
      </c>
      <c r="L31" s="70">
        <v>2729372.7828333569</v>
      </c>
      <c r="M31" s="70">
        <v>364234.23262410739</v>
      </c>
      <c r="N31" s="70">
        <v>889082.91988999967</v>
      </c>
      <c r="O31" s="70">
        <v>-258622.46248877421</v>
      </c>
      <c r="P31" s="70">
        <v>437026.78014999989</v>
      </c>
      <c r="Q31" s="73">
        <v>178404.31766122571</v>
      </c>
    </row>
    <row r="32" spans="2:17" ht="20" customHeight="1" x14ac:dyDescent="0.35">
      <c r="B32" s="67" t="s">
        <v>133</v>
      </c>
      <c r="C32" s="70">
        <v>1390221.42524</v>
      </c>
      <c r="D32" s="70">
        <v>22779.577000000001</v>
      </c>
      <c r="E32" s="70">
        <v>230398.804</v>
      </c>
      <c r="F32" s="70">
        <v>1182602.1982400001</v>
      </c>
      <c r="G32" s="70">
        <v>1236901.2050000001</v>
      </c>
      <c r="H32" s="70">
        <v>0</v>
      </c>
      <c r="I32" s="70">
        <v>1671062.736</v>
      </c>
      <c r="J32" s="70">
        <v>0</v>
      </c>
      <c r="K32" s="70">
        <v>748440.6672400001</v>
      </c>
      <c r="L32" s="70">
        <v>434797.78899999999</v>
      </c>
      <c r="M32" s="70">
        <v>81376.755999999994</v>
      </c>
      <c r="N32" s="70">
        <v>259993.15458999999</v>
      </c>
      <c r="O32" s="70">
        <v>-27727.03234999987</v>
      </c>
      <c r="P32" s="70">
        <v>37576.942000000003</v>
      </c>
      <c r="Q32" s="73">
        <v>9849.9096500001251</v>
      </c>
    </row>
    <row r="33" spans="2:17" ht="20" customHeight="1" x14ac:dyDescent="0.35">
      <c r="B33" s="67" t="s">
        <v>134</v>
      </c>
      <c r="C33" s="70">
        <v>1002658.345711</v>
      </c>
      <c r="D33" s="70">
        <v>11633.3487</v>
      </c>
      <c r="E33" s="70">
        <v>172898.394</v>
      </c>
      <c r="F33" s="70">
        <v>841393.30041099992</v>
      </c>
      <c r="G33" s="70">
        <v>861703.16799999995</v>
      </c>
      <c r="H33" s="70">
        <v>0</v>
      </c>
      <c r="I33" s="70">
        <v>1069167.588998568</v>
      </c>
      <c r="J33" s="70">
        <v>0</v>
      </c>
      <c r="K33" s="70">
        <v>633928.87941243243</v>
      </c>
      <c r="L33" s="70">
        <v>518483.25834882719</v>
      </c>
      <c r="M33" s="70">
        <v>53499.425000000003</v>
      </c>
      <c r="N33" s="70">
        <v>105838.9490107563</v>
      </c>
      <c r="O33" s="70">
        <v>-43892.75294715089</v>
      </c>
      <c r="P33" s="70">
        <v>59943.664999999928</v>
      </c>
      <c r="Q33" s="73">
        <v>16050.912052849029</v>
      </c>
    </row>
    <row r="34" spans="2:17" ht="20" customHeight="1" x14ac:dyDescent="0.35">
      <c r="B34" s="67" t="s">
        <v>135</v>
      </c>
      <c r="C34" s="70">
        <v>2540607.7259999998</v>
      </c>
      <c r="D34" s="70">
        <v>0</v>
      </c>
      <c r="E34" s="70">
        <v>840278.58100000001</v>
      </c>
      <c r="F34" s="70">
        <v>1700329.145</v>
      </c>
      <c r="G34" s="70">
        <v>2227190.6519999998</v>
      </c>
      <c r="H34" s="70">
        <v>0</v>
      </c>
      <c r="I34" s="70">
        <v>2629154.8429999999</v>
      </c>
      <c r="J34" s="70">
        <v>0</v>
      </c>
      <c r="K34" s="70">
        <v>1298364.9539999999</v>
      </c>
      <c r="L34" s="70">
        <v>990526.18900000001</v>
      </c>
      <c r="M34" s="70">
        <v>165148.20800000001</v>
      </c>
      <c r="N34" s="70">
        <v>445403.36025000003</v>
      </c>
      <c r="O34" s="70">
        <v>-302712.80325</v>
      </c>
      <c r="P34" s="70">
        <v>204689.386</v>
      </c>
      <c r="Q34" s="73">
        <v>-98023.417249999999</v>
      </c>
    </row>
    <row r="35" spans="2:17" ht="20" customHeight="1" x14ac:dyDescent="0.35">
      <c r="B35" s="67" t="s">
        <v>136</v>
      </c>
      <c r="C35" s="70">
        <v>907330.68400000001</v>
      </c>
      <c r="D35" s="70">
        <v>0</v>
      </c>
      <c r="E35" s="70">
        <v>28773.922200000001</v>
      </c>
      <c r="F35" s="70">
        <v>878556.76179999998</v>
      </c>
      <c r="G35" s="70">
        <v>511856.06475750468</v>
      </c>
      <c r="H35" s="70">
        <v>27406.545999999998</v>
      </c>
      <c r="I35" s="70">
        <v>974168.01646468334</v>
      </c>
      <c r="J35" s="70">
        <v>46769.882651729393</v>
      </c>
      <c r="K35" s="70">
        <v>396881.47344109212</v>
      </c>
      <c r="L35" s="70">
        <v>164050.04136</v>
      </c>
      <c r="M35" s="70">
        <v>81210.514647860953</v>
      </c>
      <c r="N35" s="70">
        <v>94150.867670000007</v>
      </c>
      <c r="O35" s="70">
        <v>57470.049763231058</v>
      </c>
      <c r="P35" s="70">
        <v>25410.34615921021</v>
      </c>
      <c r="Q35" s="73">
        <v>82880.395922441268</v>
      </c>
    </row>
    <row r="36" spans="2:17" ht="20" customHeight="1" x14ac:dyDescent="0.35">
      <c r="B36" s="67" t="s">
        <v>137</v>
      </c>
      <c r="C36" s="70">
        <v>450184.33539999998</v>
      </c>
      <c r="D36" s="70">
        <v>2695.991</v>
      </c>
      <c r="E36" s="70">
        <v>70108.880142462163</v>
      </c>
      <c r="F36" s="70">
        <v>382771.44625753781</v>
      </c>
      <c r="G36" s="70">
        <v>429677.60556694452</v>
      </c>
      <c r="H36" s="70">
        <v>0</v>
      </c>
      <c r="I36" s="70">
        <v>583176.53289000003</v>
      </c>
      <c r="J36" s="70">
        <v>0</v>
      </c>
      <c r="K36" s="70">
        <v>229272.51893448239</v>
      </c>
      <c r="L36" s="70">
        <v>87251.183901542929</v>
      </c>
      <c r="M36" s="70">
        <v>35861.128869168271</v>
      </c>
      <c r="N36" s="70">
        <v>115590.89277410319</v>
      </c>
      <c r="O36" s="70">
        <v>-9430.6866103319044</v>
      </c>
      <c r="P36" s="70">
        <v>0</v>
      </c>
      <c r="Q36" s="73">
        <v>-9430.6866103319044</v>
      </c>
    </row>
    <row r="37" spans="2:17" ht="20" customHeight="1" x14ac:dyDescent="0.35">
      <c r="B37" s="67" t="s">
        <v>138</v>
      </c>
      <c r="C37" s="70">
        <v>1330447.415</v>
      </c>
      <c r="D37" s="70">
        <v>13329.465</v>
      </c>
      <c r="E37" s="70">
        <v>566756.26296830084</v>
      </c>
      <c r="F37" s="70">
        <v>777020.61703169916</v>
      </c>
      <c r="G37" s="70">
        <v>289788.79599999997</v>
      </c>
      <c r="H37" s="70">
        <v>0</v>
      </c>
      <c r="I37" s="70">
        <v>771897.55287802476</v>
      </c>
      <c r="J37" s="70">
        <v>0</v>
      </c>
      <c r="K37" s="70">
        <v>294911.8601536745</v>
      </c>
      <c r="L37" s="70">
        <v>226078.30211249471</v>
      </c>
      <c r="M37" s="70">
        <v>10564.89397410904</v>
      </c>
      <c r="N37" s="70">
        <v>218350.2995478925</v>
      </c>
      <c r="O37" s="70">
        <v>-160081.63548082169</v>
      </c>
      <c r="P37" s="70">
        <v>115596.38339456001</v>
      </c>
      <c r="Q37" s="73">
        <v>-44485.25208626168</v>
      </c>
    </row>
    <row r="38" spans="2:17" ht="20" customHeight="1" x14ac:dyDescent="0.35">
      <c r="B38" s="67" t="s">
        <v>139</v>
      </c>
      <c r="C38" s="70">
        <v>3409565.2880000002</v>
      </c>
      <c r="D38" s="70">
        <v>23512.048999999999</v>
      </c>
      <c r="E38" s="70">
        <v>604981.11499999999</v>
      </c>
      <c r="F38" s="70">
        <v>2828096.2220000001</v>
      </c>
      <c r="G38" s="70">
        <v>2458037.34</v>
      </c>
      <c r="H38" s="70">
        <v>0</v>
      </c>
      <c r="I38" s="70">
        <v>3508730.7620000001</v>
      </c>
      <c r="J38" s="70">
        <v>0</v>
      </c>
      <c r="K38" s="70">
        <v>1777402.8</v>
      </c>
      <c r="L38" s="70">
        <v>1139160.2930000001</v>
      </c>
      <c r="M38" s="70">
        <v>167976.59700000001</v>
      </c>
      <c r="N38" s="70">
        <v>545403.65599999996</v>
      </c>
      <c r="O38" s="70">
        <v>-75137.745999999999</v>
      </c>
      <c r="P38" s="70">
        <v>263224.68300000002</v>
      </c>
      <c r="Q38" s="73">
        <v>188086.93700000001</v>
      </c>
    </row>
    <row r="39" spans="2:17" ht="20" customHeight="1" x14ac:dyDescent="0.35">
      <c r="B39" s="67" t="s">
        <v>140</v>
      </c>
      <c r="C39" s="70">
        <v>0</v>
      </c>
      <c r="D39" s="70">
        <v>0</v>
      </c>
      <c r="E39" s="70">
        <v>0</v>
      </c>
      <c r="F39" s="70">
        <v>0</v>
      </c>
      <c r="G39" s="70">
        <v>0</v>
      </c>
      <c r="H39" s="70">
        <v>0</v>
      </c>
      <c r="I39" s="70">
        <v>0</v>
      </c>
      <c r="J39" s="70">
        <v>0</v>
      </c>
      <c r="K39" s="70">
        <v>0</v>
      </c>
      <c r="L39" s="70">
        <v>0</v>
      </c>
      <c r="M39" s="70">
        <v>0</v>
      </c>
      <c r="N39" s="70">
        <v>0</v>
      </c>
      <c r="O39" s="70">
        <v>0</v>
      </c>
      <c r="P39" s="70">
        <v>0</v>
      </c>
      <c r="Q39" s="73">
        <v>0</v>
      </c>
    </row>
    <row r="40" spans="2:17" ht="20" customHeight="1" x14ac:dyDescent="0.35">
      <c r="B40" s="67" t="s">
        <v>141</v>
      </c>
      <c r="C40" s="70">
        <v>0</v>
      </c>
      <c r="D40" s="70">
        <v>0</v>
      </c>
      <c r="E40" s="70">
        <v>0</v>
      </c>
      <c r="F40" s="70">
        <v>0</v>
      </c>
      <c r="G40" s="70">
        <v>0</v>
      </c>
      <c r="H40" s="70">
        <v>0</v>
      </c>
      <c r="I40" s="70">
        <v>0</v>
      </c>
      <c r="J40" s="70">
        <v>0</v>
      </c>
      <c r="K40" s="70">
        <v>0</v>
      </c>
      <c r="L40" s="70">
        <v>0</v>
      </c>
      <c r="M40" s="70">
        <v>0</v>
      </c>
      <c r="N40" s="70">
        <v>0</v>
      </c>
      <c r="O40" s="70">
        <v>0</v>
      </c>
      <c r="P40" s="70">
        <v>0</v>
      </c>
      <c r="Q40" s="73">
        <v>0</v>
      </c>
    </row>
    <row r="41" spans="2:17" ht="20" customHeight="1" x14ac:dyDescent="0.35">
      <c r="B41" s="71" t="s">
        <v>7</v>
      </c>
      <c r="C41" s="72">
        <f t="shared" ref="C41:Q41" si="0">SUM(C6:C40)</f>
        <v>80872201.546934754</v>
      </c>
      <c r="D41" s="72">
        <f t="shared" si="0"/>
        <v>1015509.78596</v>
      </c>
      <c r="E41" s="72">
        <f t="shared" si="0"/>
        <v>26275248.706928041</v>
      </c>
      <c r="F41" s="72">
        <f t="shared" si="0"/>
        <v>55612462.625966743</v>
      </c>
      <c r="G41" s="72">
        <f t="shared" si="0"/>
        <v>57845212.139248729</v>
      </c>
      <c r="H41" s="72">
        <f t="shared" si="0"/>
        <v>557899.79137813114</v>
      </c>
      <c r="I41" s="72">
        <f t="shared" si="0"/>
        <v>75325479.736118272</v>
      </c>
      <c r="J41" s="72">
        <f t="shared" si="0"/>
        <v>596853.49081751902</v>
      </c>
      <c r="K41" s="72">
        <f t="shared" si="0"/>
        <v>38093241.329657815</v>
      </c>
      <c r="L41" s="72">
        <f t="shared" si="0"/>
        <v>28258568.881747186</v>
      </c>
      <c r="M41" s="72">
        <f t="shared" si="0"/>
        <v>2792228.6580607644</v>
      </c>
      <c r="N41" s="72">
        <f t="shared" si="0"/>
        <v>10449299.398530742</v>
      </c>
      <c r="O41" s="72">
        <f t="shared" si="0"/>
        <v>-3406855.608680875</v>
      </c>
      <c r="P41" s="72">
        <f t="shared" si="0"/>
        <v>5229196.9034058843</v>
      </c>
      <c r="Q41" s="72">
        <f t="shared" si="0"/>
        <v>1822341.2947250088</v>
      </c>
    </row>
    <row r="42" spans="2:17" ht="20" customHeight="1" x14ac:dyDescent="0.35">
      <c r="B42" s="369" t="s">
        <v>142</v>
      </c>
      <c r="C42" s="301"/>
      <c r="D42" s="301"/>
      <c r="E42" s="301"/>
      <c r="F42" s="301"/>
      <c r="G42" s="301"/>
      <c r="H42" s="301"/>
      <c r="I42" s="301"/>
      <c r="J42" s="301"/>
      <c r="K42" s="301"/>
      <c r="L42" s="301"/>
      <c r="M42" s="301"/>
      <c r="N42" s="301"/>
      <c r="O42" s="301"/>
      <c r="P42" s="301"/>
      <c r="Q42" s="302"/>
    </row>
    <row r="43" spans="2:17" ht="20" customHeight="1" x14ac:dyDescent="0.35">
      <c r="B43" s="67" t="s">
        <v>143</v>
      </c>
      <c r="C43" s="70">
        <v>0</v>
      </c>
      <c r="D43" s="70">
        <v>2231613.2349999999</v>
      </c>
      <c r="E43" s="70">
        <v>297924.01699999999</v>
      </c>
      <c r="F43" s="70">
        <v>1933689.2180000001</v>
      </c>
      <c r="G43" s="70">
        <v>1022930.276</v>
      </c>
      <c r="H43" s="70">
        <v>0</v>
      </c>
      <c r="I43" s="70">
        <v>1619940.9909999999</v>
      </c>
      <c r="J43" s="70">
        <v>0</v>
      </c>
      <c r="K43" s="70">
        <v>1336678.503</v>
      </c>
      <c r="L43" s="70">
        <v>382056.31887790811</v>
      </c>
      <c r="M43" s="70">
        <v>464922.87099999998</v>
      </c>
      <c r="N43" s="70">
        <v>161339.6423736451</v>
      </c>
      <c r="O43" s="70">
        <v>328359.67074844689</v>
      </c>
      <c r="P43" s="70">
        <v>59311.322</v>
      </c>
      <c r="Q43" s="73">
        <v>387670.99274844688</v>
      </c>
    </row>
    <row r="44" spans="2:17" ht="20" customHeight="1" x14ac:dyDescent="0.35">
      <c r="B44" s="67" t="s">
        <v>144</v>
      </c>
      <c r="C44" s="70">
        <v>0</v>
      </c>
      <c r="D44" s="70">
        <v>1615442.175765645</v>
      </c>
      <c r="E44" s="70">
        <v>251939.64093354871</v>
      </c>
      <c r="F44" s="70">
        <v>1363502.534832096</v>
      </c>
      <c r="G44" s="70">
        <v>1544109.197107296</v>
      </c>
      <c r="H44" s="70">
        <v>1886.2099144058191</v>
      </c>
      <c r="I44" s="70">
        <v>1501266.9522735721</v>
      </c>
      <c r="J44" s="70">
        <v>1886.2099144058191</v>
      </c>
      <c r="K44" s="70">
        <v>1406344.7796658201</v>
      </c>
      <c r="L44" s="70">
        <v>828063.45392636594</v>
      </c>
      <c r="M44" s="70">
        <v>375433.79981195967</v>
      </c>
      <c r="N44" s="70">
        <v>138497.66818729709</v>
      </c>
      <c r="O44" s="70">
        <v>64349.857740196727</v>
      </c>
      <c r="P44" s="70">
        <v>160321.47496289469</v>
      </c>
      <c r="Q44" s="73">
        <v>224671.33270309141</v>
      </c>
    </row>
    <row r="45" spans="2:17" ht="20" customHeight="1" x14ac:dyDescent="0.35">
      <c r="B45" s="67" t="s">
        <v>145</v>
      </c>
      <c r="C45" s="70">
        <v>0</v>
      </c>
      <c r="D45" s="70">
        <v>752831.47400000005</v>
      </c>
      <c r="E45" s="70">
        <v>231594.82399999999</v>
      </c>
      <c r="F45" s="70">
        <v>521236.65</v>
      </c>
      <c r="G45" s="70">
        <v>1525584.9176978311</v>
      </c>
      <c r="H45" s="70">
        <v>52.909907175184522</v>
      </c>
      <c r="I45" s="70">
        <v>1211524.9854082661</v>
      </c>
      <c r="J45" s="70">
        <v>12835.354550222941</v>
      </c>
      <c r="K45" s="70">
        <v>822514.13764651725</v>
      </c>
      <c r="L45" s="70">
        <v>412031.62698954792</v>
      </c>
      <c r="M45" s="70">
        <v>280034.826</v>
      </c>
      <c r="N45" s="70">
        <v>55509.34628393309</v>
      </c>
      <c r="O45" s="70">
        <v>74938.338373036502</v>
      </c>
      <c r="P45" s="70">
        <v>53070.6</v>
      </c>
      <c r="Q45" s="73">
        <v>128008.93837303649</v>
      </c>
    </row>
    <row r="46" spans="2:17" ht="20" customHeight="1" x14ac:dyDescent="0.35">
      <c r="B46" s="67" t="s">
        <v>146</v>
      </c>
      <c r="C46" s="70"/>
      <c r="D46" s="70">
        <v>2858276.373519999</v>
      </c>
      <c r="E46" s="70">
        <v>1234976.838659998</v>
      </c>
      <c r="F46" s="70">
        <v>1623299.5348600009</v>
      </c>
      <c r="G46" s="70">
        <v>3197171.0279999999</v>
      </c>
      <c r="H46" s="70">
        <v>147827.098</v>
      </c>
      <c r="I46" s="70">
        <v>2057246.067178397</v>
      </c>
      <c r="J46" s="70">
        <v>105029.43517745459</v>
      </c>
      <c r="K46" s="70">
        <v>2806022.1585041489</v>
      </c>
      <c r="L46" s="70">
        <v>1482796.9193500001</v>
      </c>
      <c r="M46" s="70">
        <v>651481.63462999987</v>
      </c>
      <c r="N46" s="70">
        <v>283582.86868864793</v>
      </c>
      <c r="O46" s="70">
        <v>388160.73583550157</v>
      </c>
      <c r="P46" s="70">
        <v>1014402.294814399</v>
      </c>
      <c r="Q46" s="73">
        <v>1402563.0306499009</v>
      </c>
    </row>
    <row r="47" spans="2:17" ht="20" customHeight="1" x14ac:dyDescent="0.35">
      <c r="B47" s="67" t="s">
        <v>147</v>
      </c>
      <c r="C47" s="70">
        <v>0</v>
      </c>
      <c r="D47" s="70">
        <v>1474913.233952201</v>
      </c>
      <c r="E47" s="70">
        <v>556846.49037438142</v>
      </c>
      <c r="F47" s="70">
        <v>918066.74357781874</v>
      </c>
      <c r="G47" s="70">
        <v>1370017.273894296</v>
      </c>
      <c r="H47" s="70">
        <v>0</v>
      </c>
      <c r="I47" s="70">
        <v>1557755.7588092231</v>
      </c>
      <c r="J47" s="70">
        <v>0</v>
      </c>
      <c r="K47" s="70">
        <v>730328.25866289181</v>
      </c>
      <c r="L47" s="70">
        <v>251638.58130781731</v>
      </c>
      <c r="M47" s="70">
        <v>296616.89094183681</v>
      </c>
      <c r="N47" s="70">
        <v>102575.24099999999</v>
      </c>
      <c r="O47" s="70">
        <v>79497.545413237603</v>
      </c>
      <c r="P47" s="70">
        <v>82495.78959</v>
      </c>
      <c r="Q47" s="73">
        <v>161993.33500323771</v>
      </c>
    </row>
    <row r="48" spans="2:17" s="138" customFormat="1" ht="20" customHeight="1" x14ac:dyDescent="0.35">
      <c r="B48" s="71" t="s">
        <v>7</v>
      </c>
      <c r="C48" s="72">
        <f t="shared" ref="C48:Q48" si="1">SUM(C43:C47)</f>
        <v>0</v>
      </c>
      <c r="D48" s="72">
        <f t="shared" si="1"/>
        <v>8933076.4922378454</v>
      </c>
      <c r="E48" s="72">
        <f t="shared" si="1"/>
        <v>2573281.8109679278</v>
      </c>
      <c r="F48" s="72">
        <f t="shared" si="1"/>
        <v>6359794.6812699148</v>
      </c>
      <c r="G48" s="72">
        <f t="shared" si="1"/>
        <v>8659812.6926994231</v>
      </c>
      <c r="H48" s="72">
        <f t="shared" si="1"/>
        <v>149766.217821581</v>
      </c>
      <c r="I48" s="72">
        <f t="shared" si="1"/>
        <v>7947734.7546694586</v>
      </c>
      <c r="J48" s="72">
        <f t="shared" si="1"/>
        <v>119750.99964208335</v>
      </c>
      <c r="K48" s="72">
        <f t="shared" si="1"/>
        <v>7101887.8374793781</v>
      </c>
      <c r="L48" s="72">
        <f t="shared" si="1"/>
        <v>3356586.9004516392</v>
      </c>
      <c r="M48" s="72">
        <f t="shared" si="1"/>
        <v>2068490.0223837965</v>
      </c>
      <c r="N48" s="72">
        <f t="shared" si="1"/>
        <v>741504.76653352322</v>
      </c>
      <c r="O48" s="72">
        <f t="shared" si="1"/>
        <v>935306.1481104194</v>
      </c>
      <c r="P48" s="72">
        <f t="shared" si="1"/>
        <v>1369601.4813672935</v>
      </c>
      <c r="Q48" s="72">
        <f t="shared" si="1"/>
        <v>2304907.6294777133</v>
      </c>
    </row>
    <row r="49" spans="2:17" ht="20" customHeight="1" x14ac:dyDescent="0.5">
      <c r="B49" s="371" t="s">
        <v>149</v>
      </c>
      <c r="C49" s="358"/>
      <c r="D49" s="358"/>
      <c r="E49" s="358"/>
      <c r="F49" s="358"/>
      <c r="G49" s="358"/>
      <c r="H49" s="358"/>
      <c r="I49" s="358"/>
      <c r="J49" s="358"/>
      <c r="K49" s="358"/>
      <c r="L49" s="358"/>
      <c r="M49" s="358"/>
      <c r="N49" s="358"/>
      <c r="O49" s="358"/>
      <c r="P49" s="358"/>
      <c r="Q49" s="358"/>
    </row>
    <row r="50" spans="2:17" x14ac:dyDescent="0.35">
      <c r="B50" s="104"/>
      <c r="C50" s="204"/>
      <c r="D50" s="204"/>
      <c r="E50" s="204"/>
      <c r="F50" s="204"/>
      <c r="G50" s="204"/>
      <c r="H50" s="204"/>
      <c r="I50" s="204"/>
      <c r="J50" s="204"/>
      <c r="K50" s="204"/>
      <c r="L50" s="204"/>
      <c r="M50" s="204"/>
      <c r="N50" s="204"/>
      <c r="O50" s="204"/>
      <c r="P50" s="204"/>
      <c r="Q50" s="204"/>
    </row>
  </sheetData>
  <sheetProtection algorithmName="SHA-512" hashValue="hKDIEOaB3jtEVIR9oA/D4rCeKkAxc0OlCFJKZV6i7Yegt8BzzbicysBIqsTBAHxWD3AC7wcNY7YEq+AWMFjyag==" saltValue="ojmjw4jnsJvcS+8aEYu0bg==" spinCount="100000" sheet="1" objects="1" scenarios="1"/>
  <mergeCells count="4">
    <mergeCell ref="B42:Q42"/>
    <mergeCell ref="B49:Q49"/>
    <mergeCell ref="B3:Q3"/>
    <mergeCell ref="B5:Q5"/>
  </mergeCells>
  <pageMargins left="0.7" right="0.7" top="0.75" bottom="0.75" header="0.3" footer="0.3"/>
  <pageSetup paperSize="9" scale="35"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tabColor rgb="FF92D050"/>
    <pageSetUpPr fitToPage="1"/>
  </sheetPr>
  <dimension ref="B3:Q49"/>
  <sheetViews>
    <sheetView showGridLines="0" topLeftCell="B2" zoomScale="55" zoomScaleNormal="55" workbookViewId="0">
      <selection activeCell="B3" sqref="B3:L35"/>
    </sheetView>
  </sheetViews>
  <sheetFormatPr defaultColWidth="11.54296875" defaultRowHeight="15.5" x14ac:dyDescent="0.35"/>
  <cols>
    <col min="1" max="1" width="17.453125" style="132" customWidth="1"/>
    <col min="2" max="2" width="45.36328125" style="132" customWidth="1"/>
    <col min="3" max="4" width="20.36328125" style="132" customWidth="1"/>
    <col min="5" max="5" width="21.54296875" style="132" customWidth="1"/>
    <col min="6" max="6" width="20.36328125" style="132" customWidth="1"/>
    <col min="7" max="7" width="18.26953125" style="132" customWidth="1"/>
    <col min="8" max="8" width="45.36328125" style="186" bestFit="1" customWidth="1"/>
    <col min="9" max="9" width="22.7265625" style="132" customWidth="1"/>
    <col min="10" max="11" width="22.1796875" style="132" customWidth="1"/>
    <col min="12" max="12" width="22.08984375" style="132" customWidth="1"/>
    <col min="13" max="52" width="11.54296875" style="132" customWidth="1"/>
    <col min="53" max="16384" width="11.54296875" style="132"/>
  </cols>
  <sheetData>
    <row r="3" spans="2:12" s="276" customFormat="1" ht="22" x14ac:dyDescent="0.5">
      <c r="B3" s="373" t="str">
        <f>_xlfn.CONCAT('Table of Contents'!B36,": ",'Table of Contents'!C36)</f>
        <v>APPENDIX 24: SUMMARY OF BUSINESS RESULTS UNDER MICRO INSURANCE BUSINESS FOR THE PERIOD ENDED 31.03.2026</v>
      </c>
      <c r="C3" s="358"/>
      <c r="D3" s="358"/>
      <c r="E3" s="358"/>
      <c r="F3" s="358"/>
      <c r="G3" s="358"/>
      <c r="H3" s="358"/>
      <c r="I3" s="358"/>
      <c r="J3" s="358"/>
      <c r="K3" s="358"/>
      <c r="L3" s="374"/>
    </row>
    <row r="4" spans="2:12" s="276" customFormat="1" ht="22" x14ac:dyDescent="0.5">
      <c r="B4" s="291"/>
      <c r="C4" s="292"/>
      <c r="D4" s="292"/>
      <c r="E4" s="292"/>
      <c r="F4" s="293"/>
      <c r="H4" s="294"/>
      <c r="I4" s="273"/>
      <c r="J4" s="273"/>
      <c r="K4" s="273"/>
      <c r="L4" s="274"/>
    </row>
    <row r="5" spans="2:12" ht="34" customHeight="1" x14ac:dyDescent="0.35">
      <c r="B5" s="372" t="s">
        <v>245</v>
      </c>
      <c r="C5" s="301"/>
      <c r="D5" s="301"/>
      <c r="E5" s="301"/>
      <c r="F5" s="302"/>
      <c r="H5" s="375" t="s">
        <v>246</v>
      </c>
      <c r="I5" s="301"/>
      <c r="J5" s="301"/>
      <c r="K5" s="301"/>
      <c r="L5" s="302"/>
    </row>
    <row r="6" spans="2:12" s="187" customFormat="1" ht="34" customHeight="1" x14ac:dyDescent="0.35">
      <c r="B6" s="106" t="s">
        <v>87</v>
      </c>
      <c r="C6" s="208" t="s">
        <v>181</v>
      </c>
      <c r="D6" s="208" t="s">
        <v>182</v>
      </c>
      <c r="E6" s="74" t="s">
        <v>247</v>
      </c>
      <c r="F6" s="208" t="s">
        <v>180</v>
      </c>
      <c r="H6" s="65" t="s">
        <v>87</v>
      </c>
      <c r="I6" s="66" t="s">
        <v>181</v>
      </c>
      <c r="J6" s="66" t="s">
        <v>182</v>
      </c>
      <c r="K6" s="66" t="s">
        <v>247</v>
      </c>
      <c r="L6" s="66" t="s">
        <v>180</v>
      </c>
    </row>
    <row r="7" spans="2:12" ht="34" customHeight="1" x14ac:dyDescent="0.35">
      <c r="B7" s="67" t="s">
        <v>1</v>
      </c>
      <c r="C7" s="180">
        <f>'APPENDIX 22_M'!C6</f>
        <v>0</v>
      </c>
      <c r="D7" s="180">
        <f>'APPENDIX 22_M'!D6</f>
        <v>0</v>
      </c>
      <c r="E7" s="180">
        <f>'APPENDIX 22_M'!E6</f>
        <v>0</v>
      </c>
      <c r="F7" s="181">
        <f t="shared" ref="F7:F12" si="0">SUM(C7:E7)</f>
        <v>0</v>
      </c>
      <c r="H7" s="67" t="s">
        <v>1</v>
      </c>
      <c r="I7" s="68">
        <f>'APPENDIX 24_M'!C6</f>
        <v>0</v>
      </c>
      <c r="J7" s="68">
        <f>'APPENDIX 24_M'!D6</f>
        <v>0</v>
      </c>
      <c r="K7" s="68">
        <f>'APPENDIX 24_M'!E6</f>
        <v>0</v>
      </c>
      <c r="L7" s="69">
        <f t="shared" ref="L7:L12" si="1">SUM(I7:K7)</f>
        <v>0</v>
      </c>
    </row>
    <row r="8" spans="2:12" ht="34" customHeight="1" x14ac:dyDescent="0.35">
      <c r="B8" s="67" t="s">
        <v>2</v>
      </c>
      <c r="C8" s="180">
        <f>'APPENDIX 22_M'!C7</f>
        <v>0</v>
      </c>
      <c r="D8" s="180">
        <f>'APPENDIX 22_M'!D7</f>
        <v>0</v>
      </c>
      <c r="E8" s="180">
        <f>'APPENDIX 22_M'!E7</f>
        <v>0</v>
      </c>
      <c r="F8" s="181">
        <f t="shared" si="0"/>
        <v>0</v>
      </c>
      <c r="H8" s="67" t="s">
        <v>2</v>
      </c>
      <c r="I8" s="68">
        <f>'APPENDIX 24_M'!C7</f>
        <v>0</v>
      </c>
      <c r="J8" s="68">
        <f>'APPENDIX 24_M'!D7</f>
        <v>0</v>
      </c>
      <c r="K8" s="68">
        <f>'APPENDIX 24_M'!E7</f>
        <v>0</v>
      </c>
      <c r="L8" s="69">
        <f t="shared" si="1"/>
        <v>0</v>
      </c>
    </row>
    <row r="9" spans="2:12" ht="34" customHeight="1" x14ac:dyDescent="0.35">
      <c r="B9" s="67" t="s">
        <v>3</v>
      </c>
      <c r="C9" s="180">
        <f>'APPENDIX 22_M'!C8</f>
        <v>0</v>
      </c>
      <c r="D9" s="180">
        <f>'APPENDIX 22_M'!D8</f>
        <v>399447.68174893071</v>
      </c>
      <c r="E9" s="180">
        <f>'APPENDIX 22_M'!E8</f>
        <v>0</v>
      </c>
      <c r="F9" s="181">
        <f t="shared" si="0"/>
        <v>399447.68174893071</v>
      </c>
      <c r="H9" s="67" t="s">
        <v>3</v>
      </c>
      <c r="I9" s="68">
        <f>'APPENDIX 24_M'!C8</f>
        <v>0</v>
      </c>
      <c r="J9" s="68">
        <f>'APPENDIX 24_M'!D8</f>
        <v>235211.04129000011</v>
      </c>
      <c r="K9" s="68">
        <f>'APPENDIX 24_M'!E8</f>
        <v>0</v>
      </c>
      <c r="L9" s="69">
        <f t="shared" si="1"/>
        <v>235211.04129000011</v>
      </c>
    </row>
    <row r="10" spans="2:12" ht="34" customHeight="1" x14ac:dyDescent="0.35">
      <c r="B10" s="67" t="s">
        <v>4</v>
      </c>
      <c r="C10" s="180">
        <f>'APPENDIX 22_M'!C9</f>
        <v>845.65</v>
      </c>
      <c r="D10" s="180">
        <f>'APPENDIX 22_M'!D9</f>
        <v>19694.293000000001</v>
      </c>
      <c r="E10" s="180">
        <f>'APPENDIX 22_M'!E9</f>
        <v>51.780999999999999</v>
      </c>
      <c r="F10" s="181">
        <f t="shared" si="0"/>
        <v>20591.724000000002</v>
      </c>
      <c r="H10" s="67" t="s">
        <v>4</v>
      </c>
      <c r="I10" s="68">
        <f>'APPENDIX 24_M'!C9</f>
        <v>1876.08</v>
      </c>
      <c r="J10" s="68">
        <f>'APPENDIX 24_M'!D9</f>
        <v>207.24700000000001</v>
      </c>
      <c r="K10" s="68">
        <f>'APPENDIX 24_M'!E9</f>
        <v>754.29300000000001</v>
      </c>
      <c r="L10" s="69">
        <f t="shared" si="1"/>
        <v>2837.62</v>
      </c>
    </row>
    <row r="11" spans="2:12" ht="34" customHeight="1" x14ac:dyDescent="0.35">
      <c r="B11" s="67" t="s">
        <v>5</v>
      </c>
      <c r="C11" s="180">
        <f>'APPENDIX 22_M'!C10</f>
        <v>0</v>
      </c>
      <c r="D11" s="180">
        <f>'APPENDIX 22_M'!D10</f>
        <v>0</v>
      </c>
      <c r="E11" s="180">
        <f>'APPENDIX 22_M'!E10</f>
        <v>0</v>
      </c>
      <c r="F11" s="181">
        <f t="shared" si="0"/>
        <v>0</v>
      </c>
      <c r="H11" s="67" t="s">
        <v>5</v>
      </c>
      <c r="I11" s="68">
        <f>'APPENDIX 24_M'!C10</f>
        <v>0</v>
      </c>
      <c r="J11" s="68">
        <f>'APPENDIX 24_M'!D10</f>
        <v>0</v>
      </c>
      <c r="K11" s="68">
        <f>'APPENDIX 24_M'!E10</f>
        <v>0</v>
      </c>
      <c r="L11" s="69">
        <f t="shared" si="1"/>
        <v>0</v>
      </c>
    </row>
    <row r="12" spans="2:12" ht="34" customHeight="1" x14ac:dyDescent="0.35">
      <c r="B12" s="67" t="s">
        <v>6</v>
      </c>
      <c r="C12" s="180">
        <f>'APPENDIX 22_M'!C11</f>
        <v>3142.8150000000001</v>
      </c>
      <c r="D12" s="180">
        <f>'APPENDIX 22_M'!D11</f>
        <v>59040.724000000002</v>
      </c>
      <c r="E12" s="180">
        <f>'APPENDIX 22_M'!E11</f>
        <v>90172.107000000004</v>
      </c>
      <c r="F12" s="181">
        <f t="shared" si="0"/>
        <v>152355.64600000001</v>
      </c>
      <c r="H12" s="67" t="s">
        <v>6</v>
      </c>
      <c r="I12" s="68">
        <f>'APPENDIX 24_M'!C11</f>
        <v>3577.3119999999999</v>
      </c>
      <c r="J12" s="68">
        <f>'APPENDIX 24_M'!D11</f>
        <v>10447.209999999999</v>
      </c>
      <c r="K12" s="68">
        <f>'APPENDIX 24_M'!E11</f>
        <v>16591.736000000001</v>
      </c>
      <c r="L12" s="69">
        <f t="shared" si="1"/>
        <v>30616.258000000002</v>
      </c>
    </row>
    <row r="13" spans="2:12" s="186" customFormat="1" ht="34" customHeight="1" x14ac:dyDescent="0.35">
      <c r="B13" s="71" t="s">
        <v>7</v>
      </c>
      <c r="C13" s="182">
        <f>SUM(C7:C12)</f>
        <v>3988.4650000000001</v>
      </c>
      <c r="D13" s="182">
        <f>SUM(D7:D12)</f>
        <v>478182.69874893071</v>
      </c>
      <c r="E13" s="182">
        <f>SUM(E7:E12)</f>
        <v>90223.888000000006</v>
      </c>
      <c r="F13" s="182">
        <f>SUM(F7:F12)</f>
        <v>572395.05174893071</v>
      </c>
      <c r="H13" s="71" t="s">
        <v>7</v>
      </c>
      <c r="I13" s="72">
        <f>SUM(I7:I12)</f>
        <v>5453.3919999999998</v>
      </c>
      <c r="J13" s="72">
        <f>SUM(J7:J12)</f>
        <v>245865.49829000011</v>
      </c>
      <c r="K13" s="72">
        <f>SUM(K7:K12)</f>
        <v>17346.029000000002</v>
      </c>
      <c r="L13" s="72">
        <f>SUM(L7:L12)</f>
        <v>268664.91929000011</v>
      </c>
    </row>
    <row r="14" spans="2:12" s="186" customFormat="1" ht="34" customHeight="1" x14ac:dyDescent="0.35">
      <c r="B14" s="205"/>
      <c r="C14" s="206"/>
      <c r="D14" s="206"/>
      <c r="E14" s="206"/>
      <c r="F14" s="207"/>
      <c r="H14" s="205"/>
      <c r="I14" s="206"/>
      <c r="J14" s="206"/>
      <c r="K14" s="206"/>
      <c r="L14" s="207"/>
    </row>
    <row r="15" spans="2:12" s="186" customFormat="1" ht="34" customHeight="1" x14ac:dyDescent="0.35">
      <c r="B15" s="372" t="s">
        <v>248</v>
      </c>
      <c r="C15" s="301"/>
      <c r="D15" s="301"/>
      <c r="E15" s="301"/>
      <c r="F15" s="302"/>
      <c r="H15" s="375" t="s">
        <v>249</v>
      </c>
      <c r="I15" s="301"/>
      <c r="J15" s="301"/>
      <c r="K15" s="301"/>
      <c r="L15" s="302"/>
    </row>
    <row r="16" spans="2:12" s="186" customFormat="1" ht="34" customHeight="1" x14ac:dyDescent="0.35">
      <c r="B16" s="106" t="s">
        <v>87</v>
      </c>
      <c r="C16" s="74" t="s">
        <v>181</v>
      </c>
      <c r="D16" s="74" t="s">
        <v>182</v>
      </c>
      <c r="E16" s="74" t="s">
        <v>247</v>
      </c>
      <c r="F16" s="74" t="s">
        <v>180</v>
      </c>
      <c r="H16" s="65" t="s">
        <v>87</v>
      </c>
      <c r="I16" s="66" t="s">
        <v>181</v>
      </c>
      <c r="J16" s="66" t="s">
        <v>182</v>
      </c>
      <c r="K16" s="66" t="s">
        <v>247</v>
      </c>
      <c r="L16" s="96" t="s">
        <v>230</v>
      </c>
    </row>
    <row r="17" spans="2:12" s="186" customFormat="1" ht="34" customHeight="1" x14ac:dyDescent="0.35">
      <c r="B17" s="106"/>
      <c r="C17" s="209" t="s">
        <v>250</v>
      </c>
      <c r="D17" s="209" t="s">
        <v>250</v>
      </c>
      <c r="E17" s="209" t="s">
        <v>250</v>
      </c>
      <c r="F17" s="210" t="s">
        <v>250</v>
      </c>
      <c r="H17" s="67" t="s">
        <v>1</v>
      </c>
      <c r="I17" s="70">
        <f>'APPENDIX 27_M'!C6</f>
        <v>0</v>
      </c>
      <c r="J17" s="70">
        <f>'APPENDIX 27_M'!D6</f>
        <v>0</v>
      </c>
      <c r="K17" s="70">
        <f>'APPENDIX 27_M'!E6</f>
        <v>0</v>
      </c>
      <c r="L17" s="73">
        <f t="shared" ref="L17:L22" si="2">SUM(I17:K17)</f>
        <v>0</v>
      </c>
    </row>
    <row r="18" spans="2:12" s="186" customFormat="1" ht="34" customHeight="1" x14ac:dyDescent="0.35">
      <c r="B18" s="67" t="s">
        <v>1</v>
      </c>
      <c r="C18" s="193">
        <f>'APPENDIX 23_M'!C6</f>
        <v>0</v>
      </c>
      <c r="D18" s="193">
        <f>'APPENDIX 23_M'!D6</f>
        <v>0</v>
      </c>
      <c r="E18" s="193">
        <f>'APPENDIX 23_M'!E6</f>
        <v>0</v>
      </c>
      <c r="F18" s="194">
        <f>'APPENDIX 23_M'!F6</f>
        <v>0</v>
      </c>
      <c r="H18" s="67" t="s">
        <v>2</v>
      </c>
      <c r="I18" s="70">
        <f>'APPENDIX 27_M'!C7</f>
        <v>0</v>
      </c>
      <c r="J18" s="70">
        <f>'APPENDIX 27_M'!D7</f>
        <v>0</v>
      </c>
      <c r="K18" s="70">
        <f>'APPENDIX 27_M'!E7</f>
        <v>0</v>
      </c>
      <c r="L18" s="73">
        <f t="shared" si="2"/>
        <v>0</v>
      </c>
    </row>
    <row r="19" spans="2:12" s="186" customFormat="1" ht="34" customHeight="1" x14ac:dyDescent="0.35">
      <c r="B19" s="67" t="s">
        <v>2</v>
      </c>
      <c r="C19" s="193">
        <f>'APPENDIX 23_M'!C7</f>
        <v>0</v>
      </c>
      <c r="D19" s="193">
        <f>'APPENDIX 23_M'!D7</f>
        <v>0</v>
      </c>
      <c r="E19" s="193">
        <f>'APPENDIX 23_M'!E7</f>
        <v>0</v>
      </c>
      <c r="F19" s="194">
        <f>'APPENDIX 23_M'!F7</f>
        <v>0</v>
      </c>
      <c r="H19" s="67" t="s">
        <v>3</v>
      </c>
      <c r="I19" s="70">
        <f>'APPENDIX 27_M'!C8</f>
        <v>0</v>
      </c>
      <c r="J19" s="70">
        <f>'APPENDIX 27_M'!D8</f>
        <v>-17492.436050081491</v>
      </c>
      <c r="K19" s="70">
        <f>'APPENDIX 27_M'!E8</f>
        <v>0</v>
      </c>
      <c r="L19" s="73">
        <f t="shared" si="2"/>
        <v>-17492.436050081491</v>
      </c>
    </row>
    <row r="20" spans="2:12" s="186" customFormat="1" ht="34" customHeight="1" x14ac:dyDescent="0.35">
      <c r="B20" s="67" t="s">
        <v>3</v>
      </c>
      <c r="C20" s="193">
        <f>'APPENDIX 23_M'!C8</f>
        <v>0</v>
      </c>
      <c r="D20" s="193">
        <f>'APPENDIX 23_M'!D8</f>
        <v>83.534532469285409</v>
      </c>
      <c r="E20" s="193">
        <f>'APPENDIX 23_M'!E8</f>
        <v>0</v>
      </c>
      <c r="F20" s="194">
        <f>'APPENDIX 23_M'!F8</f>
        <v>69.785313574677829</v>
      </c>
      <c r="H20" s="67" t="s">
        <v>4</v>
      </c>
      <c r="I20" s="70">
        <f>'APPENDIX 27_M'!C9</f>
        <v>-1681.2047490695991</v>
      </c>
      <c r="J20" s="70">
        <f>'APPENDIX 27_M'!D9</f>
        <v>-5883.6584581480074</v>
      </c>
      <c r="K20" s="70">
        <f>'APPENDIX 27_M'!E9</f>
        <v>-727.61189223735846</v>
      </c>
      <c r="L20" s="73">
        <f t="shared" si="2"/>
        <v>-8292.4750994549649</v>
      </c>
    </row>
    <row r="21" spans="2:12" s="186" customFormat="1" ht="34" customHeight="1" x14ac:dyDescent="0.35">
      <c r="B21" s="67" t="s">
        <v>4</v>
      </c>
      <c r="C21" s="193">
        <f>'APPENDIX 23_M'!C9</f>
        <v>21.20239239908085</v>
      </c>
      <c r="D21" s="193">
        <f>'APPENDIX 23_M'!D9</f>
        <v>4.1185707997228205</v>
      </c>
      <c r="E21" s="193">
        <f>'APPENDIX 23_M'!E9</f>
        <v>5.7391674364554092E-2</v>
      </c>
      <c r="F21" s="194">
        <f>'APPENDIX 23_M'!F9</f>
        <v>3.5974671578803479</v>
      </c>
      <c r="H21" s="67" t="s">
        <v>5</v>
      </c>
      <c r="I21" s="70">
        <f>'APPENDIX 27_M'!C10</f>
        <v>0</v>
      </c>
      <c r="J21" s="70">
        <f>'APPENDIX 27_M'!D10</f>
        <v>0</v>
      </c>
      <c r="K21" s="70">
        <f>'APPENDIX 27_M'!E10</f>
        <v>0</v>
      </c>
      <c r="L21" s="73">
        <f t="shared" si="2"/>
        <v>0</v>
      </c>
    </row>
    <row r="22" spans="2:12" s="186" customFormat="1" ht="34" customHeight="1" x14ac:dyDescent="0.35">
      <c r="B22" s="67" t="s">
        <v>5</v>
      </c>
      <c r="C22" s="193">
        <f>'APPENDIX 23_M'!C10</f>
        <v>0</v>
      </c>
      <c r="D22" s="193">
        <f>'APPENDIX 23_M'!D10</f>
        <v>0</v>
      </c>
      <c r="E22" s="193">
        <f>'APPENDIX 23_M'!E10</f>
        <v>0</v>
      </c>
      <c r="F22" s="194">
        <f>'APPENDIX 23_M'!F10</f>
        <v>0</v>
      </c>
      <c r="H22" s="67" t="s">
        <v>6</v>
      </c>
      <c r="I22" s="70">
        <f>'APPENDIX 27_M'!C11</f>
        <v>-4646.6831673338902</v>
      </c>
      <c r="J22" s="70">
        <f>'APPENDIX 27_M'!D11</f>
        <v>63891.987933120523</v>
      </c>
      <c r="K22" s="70">
        <f>'APPENDIX 27_M'!E11</f>
        <v>-30024.09858619572</v>
      </c>
      <c r="L22" s="73">
        <f t="shared" si="2"/>
        <v>29221.206179590914</v>
      </c>
    </row>
    <row r="23" spans="2:12" s="186" customFormat="1" ht="34" customHeight="1" x14ac:dyDescent="0.35">
      <c r="B23" s="67" t="s">
        <v>6</v>
      </c>
      <c r="C23" s="193">
        <f>'APPENDIX 23_M'!C11</f>
        <v>78.79760760091915</v>
      </c>
      <c r="D23" s="193">
        <f>'APPENDIX 23_M'!D11</f>
        <v>12.346896730991782</v>
      </c>
      <c r="E23" s="193">
        <f>'APPENDIX 23_M'!E11</f>
        <v>99.942608325635433</v>
      </c>
      <c r="F23" s="194">
        <f>'APPENDIX 23_M'!F11</f>
        <v>26.617219267441826</v>
      </c>
      <c r="H23" s="71" t="s">
        <v>7</v>
      </c>
      <c r="I23" s="72">
        <f>SUM(I17:I22)</f>
        <v>-6327.8879164034897</v>
      </c>
      <c r="J23" s="72">
        <f>SUM(J17:J22)</f>
        <v>40515.893424891023</v>
      </c>
      <c r="K23" s="72">
        <f>SUM(K17:K22)</f>
        <v>-30751.710478433077</v>
      </c>
      <c r="L23" s="72">
        <f>SUM(L17:L22)</f>
        <v>3436.295030054458</v>
      </c>
    </row>
    <row r="24" spans="2:12" s="186" customFormat="1" ht="34" customHeight="1" x14ac:dyDescent="0.35">
      <c r="B24" s="71" t="s">
        <v>7</v>
      </c>
      <c r="C24" s="196">
        <f>SUM(C18:C23)</f>
        <v>100</v>
      </c>
      <c r="D24" s="196">
        <f>SUM(D18:D23)</f>
        <v>100.00000000000001</v>
      </c>
      <c r="E24" s="196">
        <f>SUM(E18:E23)</f>
        <v>99.999999999999986</v>
      </c>
      <c r="F24" s="196">
        <f>SUM(F18:F23)</f>
        <v>100</v>
      </c>
      <c r="H24" s="205"/>
      <c r="I24" s="206"/>
      <c r="J24" s="206"/>
      <c r="K24" s="206"/>
      <c r="L24" s="207"/>
    </row>
    <row r="25" spans="2:12" ht="34" customHeight="1" x14ac:dyDescent="0.35">
      <c r="B25" s="376"/>
      <c r="C25" s="301"/>
      <c r="D25" s="301"/>
      <c r="E25" s="301"/>
      <c r="F25" s="302"/>
      <c r="H25" s="375" t="s">
        <v>251</v>
      </c>
      <c r="I25" s="301"/>
      <c r="J25" s="301"/>
      <c r="K25" s="301"/>
      <c r="L25" s="302"/>
    </row>
    <row r="26" spans="2:12" ht="34" customHeight="1" x14ac:dyDescent="0.35">
      <c r="B26" s="375" t="s">
        <v>252</v>
      </c>
      <c r="C26" s="301"/>
      <c r="D26" s="301"/>
      <c r="E26" s="301"/>
      <c r="F26" s="302"/>
      <c r="H26" s="65" t="s">
        <v>87</v>
      </c>
      <c r="I26" s="96" t="s">
        <v>181</v>
      </c>
      <c r="J26" s="96" t="s">
        <v>182</v>
      </c>
      <c r="K26" s="96" t="s">
        <v>247</v>
      </c>
      <c r="L26" s="96" t="s">
        <v>253</v>
      </c>
    </row>
    <row r="27" spans="2:12" ht="34" customHeight="1" x14ac:dyDescent="0.35">
      <c r="B27" s="74" t="s">
        <v>87</v>
      </c>
      <c r="C27" s="74" t="s">
        <v>181</v>
      </c>
      <c r="D27" s="74" t="s">
        <v>182</v>
      </c>
      <c r="E27" s="74" t="s">
        <v>247</v>
      </c>
      <c r="F27" s="74" t="s">
        <v>180</v>
      </c>
      <c r="H27" s="211"/>
      <c r="I27" s="212" t="s">
        <v>250</v>
      </c>
      <c r="J27" s="212" t="s">
        <v>250</v>
      </c>
      <c r="K27" s="212" t="s">
        <v>250</v>
      </c>
      <c r="L27" s="212" t="s">
        <v>250</v>
      </c>
    </row>
    <row r="28" spans="2:12" ht="34" customHeight="1" x14ac:dyDescent="0.35">
      <c r="B28" s="67" t="s">
        <v>1</v>
      </c>
      <c r="C28" s="68">
        <f>'APPENDIX 25_M'!C6</f>
        <v>0</v>
      </c>
      <c r="D28" s="68">
        <f>'APPENDIX 25_M'!D6</f>
        <v>0</v>
      </c>
      <c r="E28" s="68">
        <f>'APPENDIX 25_M'!E6</f>
        <v>0</v>
      </c>
      <c r="F28" s="69">
        <f t="shared" ref="F28:F33" si="3">SUM(C28:E28)</f>
        <v>0</v>
      </c>
      <c r="H28" s="75" t="s">
        <v>1</v>
      </c>
      <c r="I28" s="99" t="str">
        <f>'APPENDIX 26_M'!C6</f>
        <v>0.00</v>
      </c>
      <c r="J28" s="99" t="str">
        <f>'APPENDIX 26_M'!D6</f>
        <v>0.00</v>
      </c>
      <c r="K28" s="99" t="str">
        <f>'APPENDIX 26_M'!E6</f>
        <v>0.00</v>
      </c>
      <c r="L28" s="100" t="str">
        <f>'APPENDIX 26_M'!F6</f>
        <v>0.00</v>
      </c>
    </row>
    <row r="29" spans="2:12" ht="34" customHeight="1" x14ac:dyDescent="0.35">
      <c r="B29" s="67" t="s">
        <v>2</v>
      </c>
      <c r="C29" s="68">
        <f>'APPENDIX 25_M'!C7</f>
        <v>0</v>
      </c>
      <c r="D29" s="68">
        <f>'APPENDIX 25_M'!D7</f>
        <v>0</v>
      </c>
      <c r="E29" s="68">
        <f>'APPENDIX 25_M'!E7</f>
        <v>0</v>
      </c>
      <c r="F29" s="69">
        <f t="shared" si="3"/>
        <v>0</v>
      </c>
      <c r="H29" s="75" t="s">
        <v>2</v>
      </c>
      <c r="I29" s="99" t="str">
        <f>'APPENDIX 26_M'!C7</f>
        <v>0.00</v>
      </c>
      <c r="J29" s="99" t="str">
        <f>'APPENDIX 26_M'!D7</f>
        <v>0.00</v>
      </c>
      <c r="K29" s="99" t="str">
        <f>'APPENDIX 26_M'!E7</f>
        <v>0.00</v>
      </c>
      <c r="L29" s="100" t="str">
        <f>'APPENDIX 26_M'!F7</f>
        <v>0.00</v>
      </c>
    </row>
    <row r="30" spans="2:12" ht="34" customHeight="1" x14ac:dyDescent="0.35">
      <c r="B30" s="67" t="s">
        <v>3</v>
      </c>
      <c r="C30" s="68">
        <f>'APPENDIX 25_M'!C8</f>
        <v>0</v>
      </c>
      <c r="D30" s="68">
        <f>'APPENDIX 25_M'!D8</f>
        <v>224510.80568000011</v>
      </c>
      <c r="E30" s="68">
        <f>'APPENDIX 25_M'!E8</f>
        <v>0</v>
      </c>
      <c r="F30" s="69">
        <f t="shared" si="3"/>
        <v>224510.80568000011</v>
      </c>
      <c r="H30" s="75" t="s">
        <v>3</v>
      </c>
      <c r="I30" s="99" t="str">
        <f>'APPENDIX 26_M'!C8</f>
        <v>0.00</v>
      </c>
      <c r="J30" s="99">
        <f>'APPENDIX 26_M'!D8</f>
        <v>66.833365012273688</v>
      </c>
      <c r="K30" s="99" t="str">
        <f>'APPENDIX 26_M'!E8</f>
        <v>0.00</v>
      </c>
      <c r="L30" s="100">
        <f>'APPENDIX 26_M'!F8</f>
        <v>66.833365012273688</v>
      </c>
    </row>
    <row r="31" spans="2:12" ht="34" customHeight="1" x14ac:dyDescent="0.35">
      <c r="B31" s="67" t="s">
        <v>4</v>
      </c>
      <c r="C31" s="68">
        <f>'APPENDIX 25_M'!C9</f>
        <v>1934.87</v>
      </c>
      <c r="D31" s="68">
        <f>'APPENDIX 25_M'!D9</f>
        <v>344.61989999999997</v>
      </c>
      <c r="E31" s="68">
        <f>'APPENDIX 25_M'!E9</f>
        <v>716.97649999999999</v>
      </c>
      <c r="F31" s="69">
        <f t="shared" si="3"/>
        <v>2996.4664000000002</v>
      </c>
      <c r="H31" s="75" t="s">
        <v>4</v>
      </c>
      <c r="I31" s="99">
        <f>'APPENDIX 26_M'!C9</f>
        <v>347.59121963312742</v>
      </c>
      <c r="J31" s="99">
        <f>'APPENDIX 26_M'!D9</f>
        <v>2.4954087262753681</v>
      </c>
      <c r="K31" s="99">
        <f>'APPENDIX 26_M'!E9</f>
        <v>1974.640325515117</v>
      </c>
      <c r="L31" s="100">
        <f>'APPENDIX 26_M'!F9</f>
        <v>20.80428871643722</v>
      </c>
    </row>
    <row r="32" spans="2:12" ht="34" customHeight="1" x14ac:dyDescent="0.35">
      <c r="B32" s="67" t="s">
        <v>5</v>
      </c>
      <c r="C32" s="68">
        <f>'APPENDIX 25_M'!C10</f>
        <v>0</v>
      </c>
      <c r="D32" s="68">
        <f>'APPENDIX 25_M'!D10</f>
        <v>0</v>
      </c>
      <c r="E32" s="68">
        <f>'APPENDIX 25_M'!E10</f>
        <v>0</v>
      </c>
      <c r="F32" s="69">
        <f t="shared" si="3"/>
        <v>0</v>
      </c>
      <c r="H32" s="75" t="s">
        <v>5</v>
      </c>
      <c r="I32" s="99" t="str">
        <f>'APPENDIX 26_M'!C10</f>
        <v>0.00</v>
      </c>
      <c r="J32" s="99" t="str">
        <f>'APPENDIX 26_M'!D10</f>
        <v>0.00</v>
      </c>
      <c r="K32" s="99" t="str">
        <f>'APPENDIX 26_M'!E10</f>
        <v>0.00</v>
      </c>
      <c r="L32" s="100" t="str">
        <f>'APPENDIX 26_M'!F10</f>
        <v>0.00</v>
      </c>
    </row>
    <row r="33" spans="2:12" ht="34" customHeight="1" x14ac:dyDescent="0.35">
      <c r="B33" s="67" t="s">
        <v>6</v>
      </c>
      <c r="C33" s="68">
        <f>'APPENDIX 25_M'!C11</f>
        <v>3469.9630654967209</v>
      </c>
      <c r="D33" s="68">
        <f>'APPENDIX 25_M'!D11</f>
        <v>10717.896833843681</v>
      </c>
      <c r="E33" s="68">
        <f>'APPENDIX 25_M'!E11</f>
        <v>17776.50582106868</v>
      </c>
      <c r="F33" s="69">
        <f t="shared" si="3"/>
        <v>31964.365720409081</v>
      </c>
      <c r="H33" s="75" t="s">
        <v>6</v>
      </c>
      <c r="I33" s="99">
        <f>'APPENDIX 26_M'!C11</f>
        <v>127.27971680293015</v>
      </c>
      <c r="J33" s="99">
        <f>'APPENDIX 26_M'!D11</f>
        <v>11.750278116115117</v>
      </c>
      <c r="K33" s="99">
        <f>'APPENDIX 26_M'!E11</f>
        <v>117.80040222058545</v>
      </c>
      <c r="L33" s="100">
        <f>'APPENDIX 26_M'!F11</f>
        <v>29.316877267714691</v>
      </c>
    </row>
    <row r="34" spans="2:12" ht="34" customHeight="1" x14ac:dyDescent="0.35">
      <c r="B34" s="71" t="s">
        <v>7</v>
      </c>
      <c r="C34" s="72">
        <f>SUM(C28:C33)</f>
        <v>5404.8330654967212</v>
      </c>
      <c r="D34" s="72">
        <f>SUM(D28:D33)</f>
        <v>235573.32241384377</v>
      </c>
      <c r="E34" s="72">
        <f>SUM(E28:E33)</f>
        <v>18493.482321068681</v>
      </c>
      <c r="F34" s="72">
        <f>SUM(F28:F33)</f>
        <v>259471.6378004092</v>
      </c>
      <c r="G34" s="213"/>
      <c r="H34" s="71" t="s">
        <v>7</v>
      </c>
      <c r="I34" s="101">
        <f>'APPENDIX 26_M'!C12</f>
        <v>164.63589191700098</v>
      </c>
      <c r="J34" s="101">
        <f>'APPENDIX 26_M'!D12</f>
        <v>53.423998525400243</v>
      </c>
      <c r="K34" s="101">
        <f>'APPENDIX 26_M'!E12</f>
        <v>122.2574577922429</v>
      </c>
      <c r="L34" s="101">
        <f>'APPENDIX 26_M'!F12</f>
        <v>56.485472772571946</v>
      </c>
    </row>
    <row r="35" spans="2:12" ht="34" customHeight="1" x14ac:dyDescent="0.35">
      <c r="B35" s="303" t="s">
        <v>254</v>
      </c>
      <c r="C35" s="324"/>
      <c r="D35" s="324"/>
      <c r="E35" s="324"/>
      <c r="F35" s="324"/>
      <c r="G35" s="324"/>
      <c r="H35" s="324"/>
      <c r="I35" s="324"/>
      <c r="J35" s="324"/>
      <c r="K35" s="324"/>
      <c r="L35" s="324"/>
    </row>
    <row r="36" spans="2:12" x14ac:dyDescent="0.35">
      <c r="H36" s="214"/>
      <c r="I36" s="214"/>
      <c r="J36" s="214"/>
      <c r="K36" s="214"/>
      <c r="L36" s="214"/>
    </row>
    <row r="49" spans="2:17" ht="22" x14ac:dyDescent="0.5">
      <c r="B49" s="276"/>
      <c r="C49" s="276"/>
      <c r="D49" s="276"/>
      <c r="E49" s="276"/>
      <c r="F49" s="276"/>
      <c r="G49" s="276"/>
      <c r="H49" s="277"/>
      <c r="I49" s="276"/>
      <c r="J49" s="276"/>
      <c r="K49" s="276"/>
      <c r="L49" s="276"/>
      <c r="M49" s="276"/>
      <c r="N49" s="276"/>
      <c r="O49" s="276"/>
      <c r="P49" s="276"/>
      <c r="Q49" s="276"/>
    </row>
  </sheetData>
  <sheetProtection algorithmName="SHA-512" hashValue="4Rp6dmmh12O4ZpCycHNYk98MQTifW1zzt8cKapvawf0OKASDo1kP7OlN2HlhtgORt7q6X9kekNL3yo8dCRPbaw==" saltValue="P/Ta1uGiNXX0YYQtnMDa5w==" spinCount="100000" sheet="1" objects="1" scenarios="1"/>
  <mergeCells count="9">
    <mergeCell ref="B5:F5"/>
    <mergeCell ref="B3:L3"/>
    <mergeCell ref="H5:L5"/>
    <mergeCell ref="B26:F26"/>
    <mergeCell ref="B35:L35"/>
    <mergeCell ref="H25:L25"/>
    <mergeCell ref="B15:F15"/>
    <mergeCell ref="H15:L15"/>
    <mergeCell ref="B25:F25"/>
  </mergeCells>
  <pageMargins left="0.7" right="0.7" top="0.75" bottom="0.75" header="0.3" footer="0.3"/>
  <pageSetup scale="34"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tabColor rgb="FF92D050"/>
    <pageSetUpPr fitToPage="1"/>
  </sheetPr>
  <dimension ref="B3:H13"/>
  <sheetViews>
    <sheetView showGridLines="0" zoomScale="70" zoomScaleNormal="70" workbookViewId="0">
      <selection activeCell="B15" sqref="B15"/>
    </sheetView>
  </sheetViews>
  <sheetFormatPr defaultColWidth="11.54296875" defaultRowHeight="14.5" x14ac:dyDescent="0.35"/>
  <cols>
    <col min="1" max="1" width="17.453125" customWidth="1"/>
    <col min="2" max="2" width="52" bestFit="1" customWidth="1"/>
    <col min="3" max="5" width="19.54296875" customWidth="1"/>
    <col min="6" max="6" width="21.453125" customWidth="1"/>
    <col min="7" max="7" width="19.453125" bestFit="1" customWidth="1"/>
    <col min="8" max="8" width="13.54296875" style="42" bestFit="1" customWidth="1"/>
    <col min="9" max="9" width="11.54296875" customWidth="1"/>
  </cols>
  <sheetData>
    <row r="3" spans="2:7" x14ac:dyDescent="0.35">
      <c r="B3" s="352" t="str">
        <f>_xlfn.CONCAT("SUMMARY OF BUSINESS RESULTS UNDER MICRO INSURANCE BUSINESS FOR THE PERIOD ENDED"," ",Details!F18)</f>
        <v>SUMMARY OF BUSINESS RESULTS UNDER MICRO INSURANCE BUSINESS FOR THE PERIOD ENDED 31.03.2026</v>
      </c>
      <c r="C3" s="301"/>
      <c r="D3" s="301"/>
      <c r="E3" s="301"/>
      <c r="F3" s="301"/>
      <c r="G3" s="302"/>
    </row>
    <row r="4" spans="2:7" s="94" customFormat="1" ht="28" customHeight="1" x14ac:dyDescent="0.35">
      <c r="B4" s="92" t="s">
        <v>87</v>
      </c>
      <c r="C4" s="98" t="s">
        <v>181</v>
      </c>
      <c r="D4" s="98" t="s">
        <v>182</v>
      </c>
      <c r="E4" s="98" t="str">
        <f>'GDP (Micro)'!E4</f>
        <v>Bundled</v>
      </c>
      <c r="F4" s="98" t="s">
        <v>230</v>
      </c>
      <c r="G4" s="98" t="s">
        <v>198</v>
      </c>
    </row>
    <row r="5" spans="2:7" x14ac:dyDescent="0.35">
      <c r="B5" s="377" t="s">
        <v>106</v>
      </c>
      <c r="C5" s="301"/>
      <c r="D5" s="301"/>
      <c r="E5" s="301"/>
      <c r="F5" s="301"/>
      <c r="G5" s="302"/>
    </row>
    <row r="6" spans="2:7" x14ac:dyDescent="0.35">
      <c r="B6" s="88" t="str">
        <f>'GDP (Micro)'!B6</f>
        <v>APA MICRO INSURANCE</v>
      </c>
      <c r="C6" s="45">
        <f>'GDP (Micro)'!C6+'INWARD (Micro)'!C6</f>
        <v>0</v>
      </c>
      <c r="D6" s="45">
        <f>'GDP (Micro)'!D6+'INWARD (Micro)'!D6</f>
        <v>0</v>
      </c>
      <c r="E6" s="45">
        <f>'GDP (Micro)'!E6+'INWARD (Micro)'!E6</f>
        <v>0</v>
      </c>
      <c r="F6" s="46">
        <f t="shared" ref="F6:F11" si="0">SUM(C6:E6)</f>
        <v>0</v>
      </c>
      <c r="G6" s="89">
        <f t="shared" ref="G6:G11" si="1">(F6/$F$12)*100</f>
        <v>0</v>
      </c>
    </row>
    <row r="7" spans="2:7" x14ac:dyDescent="0.35">
      <c r="B7" s="88" t="str">
        <f>'GDP (Micro)'!B7</f>
        <v>BIRDVIEW MICRO INSURANCE</v>
      </c>
      <c r="C7" s="45">
        <f>'GDP (Micro)'!C7+'INWARD (Micro)'!C7</f>
        <v>0</v>
      </c>
      <c r="D7" s="45">
        <f>'GDP (Micro)'!D7+'INWARD (Micro)'!D7</f>
        <v>0</v>
      </c>
      <c r="E7" s="45">
        <f>'GDP (Micro)'!E7+'INWARD (Micro)'!E7</f>
        <v>0</v>
      </c>
      <c r="F7" s="46">
        <f t="shared" si="0"/>
        <v>0</v>
      </c>
      <c r="G7" s="89">
        <f t="shared" si="1"/>
        <v>0</v>
      </c>
    </row>
    <row r="8" spans="2:7" x14ac:dyDescent="0.35">
      <c r="B8" s="88" t="str">
        <f>'GDP (Micro)'!B8</f>
        <v>BRITAM MICRO INSURANCE</v>
      </c>
      <c r="C8" s="45">
        <f>'GDP (Micro)'!C8+'INWARD (Micro)'!C8</f>
        <v>0</v>
      </c>
      <c r="D8" s="45">
        <f>'GDP (Micro)'!D8+'INWARD (Micro)'!D8</f>
        <v>399447.68174893071</v>
      </c>
      <c r="E8" s="45">
        <f>'GDP (Micro)'!E8+'INWARD (Micro)'!E8</f>
        <v>0</v>
      </c>
      <c r="F8" s="46">
        <f t="shared" si="0"/>
        <v>399447.68174893071</v>
      </c>
      <c r="G8" s="89">
        <f t="shared" si="1"/>
        <v>69.785313574677829</v>
      </c>
    </row>
    <row r="9" spans="2:7" x14ac:dyDescent="0.35">
      <c r="B9" s="88" t="str">
        <f>'GDP (Micro)'!B9</f>
        <v>CIC MICRO INSURANCE</v>
      </c>
      <c r="C9" s="45">
        <f>'GDP (Micro)'!C9+'INWARD (Micro)'!C9</f>
        <v>845.65</v>
      </c>
      <c r="D9" s="45">
        <f>'GDP (Micro)'!D9+'INWARD (Micro)'!D9</f>
        <v>19694.293000000001</v>
      </c>
      <c r="E9" s="45">
        <f>'GDP (Micro)'!E9+'INWARD (Micro)'!E9</f>
        <v>51.780999999999999</v>
      </c>
      <c r="F9" s="46">
        <f t="shared" si="0"/>
        <v>20591.724000000002</v>
      </c>
      <c r="G9" s="89">
        <f t="shared" si="1"/>
        <v>3.5974671578803479</v>
      </c>
    </row>
    <row r="10" spans="2:7" x14ac:dyDescent="0.35">
      <c r="B10" s="88" t="str">
        <f>'GDP (Micro)'!B10</f>
        <v>STAR DISCOVER MICRO INSURANCE</v>
      </c>
      <c r="C10" s="45">
        <f>'GDP (Micro)'!C10+'INWARD (Micro)'!C10</f>
        <v>0</v>
      </c>
      <c r="D10" s="45">
        <f>'GDP (Micro)'!D10+'INWARD (Micro)'!D10</f>
        <v>0</v>
      </c>
      <c r="E10" s="45">
        <f>'GDP (Micro)'!E10+'INWARD (Micro)'!E10</f>
        <v>0</v>
      </c>
      <c r="F10" s="46">
        <f t="shared" si="0"/>
        <v>0</v>
      </c>
      <c r="G10" s="89">
        <f t="shared" si="1"/>
        <v>0</v>
      </c>
    </row>
    <row r="11" spans="2:7" x14ac:dyDescent="0.35">
      <c r="B11" s="88" t="str">
        <f>'GDP (Micro)'!B11</f>
        <v>TURACO MICRO INSURANCE</v>
      </c>
      <c r="C11" s="45">
        <f>'GDP (Micro)'!C11+'INWARD (Micro)'!C11</f>
        <v>3142.8150000000001</v>
      </c>
      <c r="D11" s="45">
        <f>'GDP (Micro)'!D11+'INWARD (Micro)'!D11</f>
        <v>59040.724000000002</v>
      </c>
      <c r="E11" s="45">
        <f>'GDP (Micro)'!E11+'INWARD (Micro)'!E11</f>
        <v>90172.107000000004</v>
      </c>
      <c r="F11" s="46">
        <f t="shared" si="0"/>
        <v>152355.64600000001</v>
      </c>
      <c r="G11" s="89">
        <f t="shared" si="1"/>
        <v>26.617219267441826</v>
      </c>
    </row>
    <row r="12" spans="2:7" s="42" customFormat="1" x14ac:dyDescent="0.35">
      <c r="B12" s="90" t="s">
        <v>7</v>
      </c>
      <c r="C12" s="47">
        <f>SUM(C6:C11)</f>
        <v>3988.4650000000001</v>
      </c>
      <c r="D12" s="47">
        <f>SUM(D6:D11)</f>
        <v>478182.69874893071</v>
      </c>
      <c r="E12" s="47">
        <f>SUM(E6:E11)</f>
        <v>90223.888000000006</v>
      </c>
      <c r="F12" s="47">
        <f>SUM(F6:F11)</f>
        <v>572395.05174893071</v>
      </c>
      <c r="G12" s="97">
        <f>SUM(G6:G11)</f>
        <v>100</v>
      </c>
    </row>
    <row r="13" spans="2:7" s="42" customFormat="1" x14ac:dyDescent="0.35">
      <c r="B13" s="378" t="s">
        <v>149</v>
      </c>
      <c r="C13" s="324"/>
      <c r="D13" s="324"/>
      <c r="E13" s="324"/>
      <c r="F13" s="324"/>
      <c r="G13" s="324"/>
    </row>
  </sheetData>
  <sheetProtection algorithmName="SHA-512" hashValue="c8euIC1mvl6vLdUW82At8vzkujEy2Dwk4CAZf1rkmkvkGmufDxU6+8Rynd9TNdb9qlvcwWHrdlltCBsujrgZHQ==" saltValue="NzP18Cms6+82I63poBWoRQ==" spinCount="100000" sheet="1" objects="1" scenarios="1"/>
  <mergeCells count="3">
    <mergeCell ref="B3:G3"/>
    <mergeCell ref="B5:G5"/>
    <mergeCell ref="B13:G13"/>
  </mergeCells>
  <pageMargins left="0.7" right="0.7" top="0.75" bottom="0.75" header="0.3" footer="0.3"/>
  <pageSetup scale="34"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tabColor rgb="FF92D050"/>
  </sheetPr>
  <dimension ref="B3:F13"/>
  <sheetViews>
    <sheetView showGridLines="0" zoomScale="70" zoomScaleNormal="70" workbookViewId="0">
      <selection activeCell="B15" sqref="B15"/>
    </sheetView>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108" width="9.453125" style="2" customWidth="1"/>
    <col min="109" max="16384" width="9.453125" style="2"/>
  </cols>
  <sheetData>
    <row r="3" spans="2:6" ht="14.5" customHeight="1" x14ac:dyDescent="0.35">
      <c r="B3" s="361" t="str">
        <f>_xlfn.CONCAT("GDP: SUMMARY OF GROSS DIRECT PREMIUM UNDER MICRO INSURANCE BUSINESS FOR THE PERIOD ENDED"," ",Details!F18)</f>
        <v>GDP: SUMMARY OF GROSS DIRECT PREMIUM UNDER MICRO INSURANCE BUSINESS FOR THE PERIOD ENDED 31.03.2026</v>
      </c>
      <c r="C3" s="301"/>
      <c r="D3" s="301"/>
      <c r="E3" s="301"/>
      <c r="F3" s="302"/>
    </row>
    <row r="4" spans="2:6" ht="28" customHeight="1" x14ac:dyDescent="0.3">
      <c r="B4" s="26" t="s">
        <v>87</v>
      </c>
      <c r="C4" s="27" t="s">
        <v>181</v>
      </c>
      <c r="D4" s="27" t="s">
        <v>182</v>
      </c>
      <c r="E4" s="27" t="s">
        <v>247</v>
      </c>
      <c r="F4" s="44" t="s">
        <v>230</v>
      </c>
    </row>
    <row r="5" spans="2:6" ht="14.5" customHeight="1" x14ac:dyDescent="0.35">
      <c r="B5" s="362" t="s">
        <v>106</v>
      </c>
      <c r="C5" s="301"/>
      <c r="D5" s="301"/>
      <c r="E5" s="301"/>
      <c r="F5" s="302"/>
    </row>
    <row r="6" spans="2:6" x14ac:dyDescent="0.3">
      <c r="B6" s="37" t="s">
        <v>1</v>
      </c>
      <c r="C6" s="28">
        <v>0</v>
      </c>
      <c r="D6" s="28">
        <v>0</v>
      </c>
      <c r="E6" s="28">
        <v>0</v>
      </c>
      <c r="F6" s="40">
        <v>0</v>
      </c>
    </row>
    <row r="7" spans="2:6" x14ac:dyDescent="0.3">
      <c r="B7" s="37" t="s">
        <v>2</v>
      </c>
      <c r="C7" s="28">
        <v>0</v>
      </c>
      <c r="D7" s="28">
        <v>0</v>
      </c>
      <c r="E7" s="28">
        <v>0</v>
      </c>
      <c r="F7" s="40">
        <v>0</v>
      </c>
    </row>
    <row r="8" spans="2:6" x14ac:dyDescent="0.3">
      <c r="B8" s="37" t="s">
        <v>3</v>
      </c>
      <c r="C8" s="28">
        <v>0</v>
      </c>
      <c r="D8" s="28">
        <v>334199.28863893071</v>
      </c>
      <c r="E8" s="28">
        <v>0</v>
      </c>
      <c r="F8" s="40">
        <v>334199.28863893071</v>
      </c>
    </row>
    <row r="9" spans="2:6" x14ac:dyDescent="0.3">
      <c r="B9" s="37" t="s">
        <v>4</v>
      </c>
      <c r="C9" s="28">
        <v>845.65</v>
      </c>
      <c r="D9" s="28">
        <v>19694.293000000001</v>
      </c>
      <c r="E9" s="28">
        <v>51.780999999999999</v>
      </c>
      <c r="F9" s="40">
        <v>20591.723999999998</v>
      </c>
    </row>
    <row r="10" spans="2:6" x14ac:dyDescent="0.3">
      <c r="B10" s="37" t="s">
        <v>5</v>
      </c>
      <c r="C10" s="28">
        <v>0</v>
      </c>
      <c r="D10" s="28">
        <v>0</v>
      </c>
      <c r="E10" s="28">
        <v>0</v>
      </c>
      <c r="F10" s="40">
        <v>0</v>
      </c>
    </row>
    <row r="11" spans="2:6" x14ac:dyDescent="0.3">
      <c r="B11" s="37" t="s">
        <v>6</v>
      </c>
      <c r="C11" s="28">
        <v>3142.8150000000001</v>
      </c>
      <c r="D11" s="28">
        <v>59040.724000000002</v>
      </c>
      <c r="E11" s="28">
        <v>90172.107000000004</v>
      </c>
      <c r="F11" s="40">
        <v>152355.64600000001</v>
      </c>
    </row>
    <row r="12" spans="2:6" x14ac:dyDescent="0.3">
      <c r="B12" s="38" t="s">
        <v>7</v>
      </c>
      <c r="C12" s="39">
        <f>SUM(C6:C11)</f>
        <v>3988.4650000000001</v>
      </c>
      <c r="D12" s="39">
        <f>SUM(D6:D11)</f>
        <v>412934.3056389307</v>
      </c>
      <c r="E12" s="39">
        <f>SUM(E6:E11)</f>
        <v>90223.888000000006</v>
      </c>
      <c r="F12" s="39">
        <f>SUM(F6:F11)</f>
        <v>507146.6586389307</v>
      </c>
    </row>
    <row r="13" spans="2:6" x14ac:dyDescent="0.3">
      <c r="B13" s="360" t="s">
        <v>149</v>
      </c>
      <c r="C13" s="308"/>
      <c r="D13" s="308"/>
      <c r="E13" s="308"/>
      <c r="F13" s="308"/>
    </row>
  </sheetData>
  <sheetProtection algorithmName="SHA-512" hashValue="oqERopXkmR1Jik0jmwvgaaD1hCEmdbsLdg/o/sPds4ml7csKgoui8Z6Dc4WriQWEf1PtFDR+xq4I3rYgdx6UVg==" saltValue="qyf4zdZ0UwfY+TyOROP+Fg==" spinCount="100000" sheet="1" objects="1" scenarios="1"/>
  <mergeCells count="3">
    <mergeCell ref="B13:F13"/>
    <mergeCell ref="B3:F3"/>
    <mergeCell ref="B5:F5"/>
  </mergeCell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3">
    <tabColor rgb="FF92D050"/>
  </sheetPr>
  <dimension ref="B3:F13"/>
  <sheetViews>
    <sheetView showGridLines="0" zoomScale="70" zoomScaleNormal="70" workbookViewId="0">
      <selection activeCell="B15" sqref="B15"/>
    </sheetView>
  </sheetViews>
  <sheetFormatPr defaultColWidth="9.453125" defaultRowHeight="14" x14ac:dyDescent="0.3"/>
  <cols>
    <col min="1" max="1" width="12.453125" style="2" customWidth="1"/>
    <col min="2" max="2" width="51.453125" style="2" customWidth="1"/>
    <col min="3" max="6" width="21.54296875" style="2" customWidth="1"/>
    <col min="7" max="8" width="6.453125" style="2" bestFit="1" customWidth="1"/>
    <col min="9" max="9" width="14.54296875" style="2" bestFit="1" customWidth="1"/>
    <col min="10" max="108" width="9.453125" style="2" customWidth="1"/>
    <col min="109" max="16384" width="9.453125" style="2"/>
  </cols>
  <sheetData>
    <row r="3" spans="2:6" ht="14.5" customHeight="1" x14ac:dyDescent="0.35">
      <c r="B3" s="361" t="str">
        <f>_xlfn.CONCAT("INWARD: SUMMARY OF NET PREMIUM INCOME UNDER MICRO INSURANCE BUSINESS FOR THE PERIOD ENDED"," ",Details!F18)</f>
        <v>INWARD: SUMMARY OF NET PREMIUM INCOME UNDER MICRO INSURANCE BUSINESS FOR THE PERIOD ENDED 31.03.2026</v>
      </c>
      <c r="C3" s="301"/>
      <c r="D3" s="301"/>
      <c r="E3" s="301"/>
      <c r="F3" s="302"/>
    </row>
    <row r="4" spans="2:6" x14ac:dyDescent="0.3">
      <c r="B4" s="26" t="s">
        <v>87</v>
      </c>
      <c r="C4" s="91" t="s">
        <v>181</v>
      </c>
      <c r="D4" s="91" t="s">
        <v>182</v>
      </c>
      <c r="E4" s="91" t="s">
        <v>247</v>
      </c>
      <c r="F4" s="91" t="s">
        <v>180</v>
      </c>
    </row>
    <row r="5" spans="2:6" ht="14.5" customHeight="1" x14ac:dyDescent="0.35">
      <c r="B5" s="362" t="s">
        <v>106</v>
      </c>
      <c r="C5" s="301"/>
      <c r="D5" s="301"/>
      <c r="E5" s="301"/>
      <c r="F5" s="302"/>
    </row>
    <row r="6" spans="2:6" x14ac:dyDescent="0.3">
      <c r="B6" s="37" t="s">
        <v>1</v>
      </c>
      <c r="C6" s="28">
        <v>0</v>
      </c>
      <c r="D6" s="28">
        <v>0</v>
      </c>
      <c r="E6" s="28">
        <v>0</v>
      </c>
      <c r="F6" s="40">
        <v>0</v>
      </c>
    </row>
    <row r="7" spans="2:6" x14ac:dyDescent="0.3">
      <c r="B7" s="37" t="s">
        <v>2</v>
      </c>
      <c r="C7" s="28">
        <v>0</v>
      </c>
      <c r="D7" s="28">
        <v>0</v>
      </c>
      <c r="E7" s="28">
        <v>0</v>
      </c>
      <c r="F7" s="40">
        <v>0</v>
      </c>
    </row>
    <row r="8" spans="2:6" x14ac:dyDescent="0.3">
      <c r="B8" s="37" t="s">
        <v>3</v>
      </c>
      <c r="C8" s="28">
        <v>0</v>
      </c>
      <c r="D8" s="28">
        <v>65248.393109999997</v>
      </c>
      <c r="E8" s="28">
        <v>0</v>
      </c>
      <c r="F8" s="40">
        <v>65248.393109999997</v>
      </c>
    </row>
    <row r="9" spans="2:6" x14ac:dyDescent="0.3">
      <c r="B9" s="37" t="s">
        <v>4</v>
      </c>
      <c r="C9" s="28">
        <v>0</v>
      </c>
      <c r="D9" s="28">
        <v>0</v>
      </c>
      <c r="E9" s="28">
        <v>0</v>
      </c>
      <c r="F9" s="40">
        <v>0</v>
      </c>
    </row>
    <row r="10" spans="2:6" x14ac:dyDescent="0.3">
      <c r="B10" s="37" t="s">
        <v>5</v>
      </c>
      <c r="C10" s="28">
        <v>0</v>
      </c>
      <c r="D10" s="28">
        <v>0</v>
      </c>
      <c r="E10" s="28">
        <v>0</v>
      </c>
      <c r="F10" s="40">
        <v>0</v>
      </c>
    </row>
    <row r="11" spans="2:6" x14ac:dyDescent="0.3">
      <c r="B11" s="37" t="s">
        <v>6</v>
      </c>
      <c r="C11" s="28">
        <v>0</v>
      </c>
      <c r="D11" s="28">
        <v>0</v>
      </c>
      <c r="E11" s="28">
        <v>0</v>
      </c>
      <c r="F11" s="40">
        <v>0</v>
      </c>
    </row>
    <row r="12" spans="2:6" x14ac:dyDescent="0.3">
      <c r="B12" s="38" t="s">
        <v>7</v>
      </c>
      <c r="C12" s="39">
        <f>SUM(C6:C11)</f>
        <v>0</v>
      </c>
      <c r="D12" s="39">
        <f>SUM(D6:D11)</f>
        <v>65248.393109999997</v>
      </c>
      <c r="E12" s="39">
        <f>SUM(E6:E11)</f>
        <v>0</v>
      </c>
      <c r="F12" s="39">
        <f>SUM(F6:F11)</f>
        <v>65248.393109999997</v>
      </c>
    </row>
    <row r="13" spans="2:6" x14ac:dyDescent="0.3">
      <c r="B13" s="360" t="s">
        <v>149</v>
      </c>
      <c r="C13" s="308"/>
      <c r="D13" s="308"/>
      <c r="E13" s="308"/>
      <c r="F13" s="308"/>
    </row>
  </sheetData>
  <sheetProtection algorithmName="SHA-512" hashValue="jsn/V9+Wxpapy8NUZA64Ma8Pd2HDz17aORm3N4xnMA/Z9OTjMQg2tPuoWN9mgnxYXM4maT+ctl0Ggld0anig8w==" saltValue="HNtPmjPSNjTwTPa78zIZvA==" spinCount="100000" sheet="1" objects="1" scenarios="1"/>
  <mergeCells count="3">
    <mergeCell ref="B13:F13"/>
    <mergeCell ref="B3:F3"/>
    <mergeCell ref="B5:F5"/>
  </mergeCell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tabColor rgb="FF92D050"/>
    <pageSetUpPr fitToPage="1"/>
  </sheetPr>
  <dimension ref="B3:F13"/>
  <sheetViews>
    <sheetView showGridLines="0" zoomScale="70" zoomScaleNormal="70" workbookViewId="0">
      <selection activeCell="F11" sqref="F11"/>
    </sheetView>
  </sheetViews>
  <sheetFormatPr defaultColWidth="9.453125" defaultRowHeight="14.5" x14ac:dyDescent="0.35"/>
  <cols>
    <col min="1" max="1" width="16.54296875" customWidth="1"/>
    <col min="2" max="2" width="43.453125" customWidth="1"/>
    <col min="3" max="6" width="23.36328125" customWidth="1"/>
    <col min="7" max="7" width="2" customWidth="1"/>
    <col min="8" max="9" width="9.453125" customWidth="1"/>
  </cols>
  <sheetData>
    <row r="3" spans="2:6" x14ac:dyDescent="0.35">
      <c r="B3" s="352" t="str">
        <f>_xlfn.CONCAT("SUMMARY OF MICRO INSURANCE BUSINESS MARKET SHARE PER CLASS FOR THE PERIOD ENDED"," ",Details!F18)</f>
        <v>SUMMARY OF MICRO INSURANCE BUSINESS MARKET SHARE PER CLASS FOR THE PERIOD ENDED 31.03.2026</v>
      </c>
      <c r="C3" s="301"/>
      <c r="D3" s="301"/>
      <c r="E3" s="301"/>
      <c r="F3" s="302"/>
    </row>
    <row r="4" spans="2:6" s="94" customFormat="1" x14ac:dyDescent="0.35">
      <c r="B4" s="92" t="s">
        <v>87</v>
      </c>
      <c r="C4" s="91" t="s">
        <v>181</v>
      </c>
      <c r="D4" s="91" t="s">
        <v>182</v>
      </c>
      <c r="E4" s="91" t="s">
        <v>247</v>
      </c>
      <c r="F4" s="91" t="s">
        <v>180</v>
      </c>
    </row>
    <row r="5" spans="2:6" x14ac:dyDescent="0.35">
      <c r="B5" s="377" t="s">
        <v>106</v>
      </c>
      <c r="C5" s="301"/>
      <c r="D5" s="301"/>
      <c r="E5" s="301"/>
      <c r="F5" s="302"/>
    </row>
    <row r="6" spans="2:6" x14ac:dyDescent="0.35">
      <c r="B6" s="83" t="str">
        <f>'APPENDIX 22_M'!B6</f>
        <v>APA MICRO INSURANCE</v>
      </c>
      <c r="C6" s="84">
        <f>IFERROR('APPENDIX 22_M'!C6/'APPENDIX 22_M'!C$12*100,"")</f>
        <v>0</v>
      </c>
      <c r="D6" s="84">
        <f>IFERROR('APPENDIX 22_M'!D6/'APPENDIX 22_M'!D$12*100,"")</f>
        <v>0</v>
      </c>
      <c r="E6" s="84">
        <f>IFERROR('APPENDIX 22_M'!E6/'APPENDIX 22_M'!E$12*100,"")</f>
        <v>0</v>
      </c>
      <c r="F6" s="85">
        <f>IFERROR('APPENDIX 22_M'!F6/'APPENDIX 22_M'!F$12*100,"")</f>
        <v>0</v>
      </c>
    </row>
    <row r="7" spans="2:6" x14ac:dyDescent="0.35">
      <c r="B7" s="83" t="str">
        <f>'APPENDIX 22_M'!B7</f>
        <v>BIRDVIEW MICRO INSURANCE</v>
      </c>
      <c r="C7" s="84">
        <f>IFERROR('APPENDIX 22_M'!C7/'APPENDIX 22_M'!C$12*100,"")</f>
        <v>0</v>
      </c>
      <c r="D7" s="84">
        <f>IFERROR('APPENDIX 22_M'!D7/'APPENDIX 22_M'!D$12*100,"")</f>
        <v>0</v>
      </c>
      <c r="E7" s="84">
        <f>IFERROR('APPENDIX 22_M'!E7/'APPENDIX 22_M'!E$12*100,"")</f>
        <v>0</v>
      </c>
      <c r="F7" s="85">
        <f>IFERROR('APPENDIX 22_M'!F7/'APPENDIX 22_M'!F$12*100,"")</f>
        <v>0</v>
      </c>
    </row>
    <row r="8" spans="2:6" x14ac:dyDescent="0.35">
      <c r="B8" s="83" t="str">
        <f>'APPENDIX 22_M'!B8</f>
        <v>BRITAM MICRO INSURANCE</v>
      </c>
      <c r="C8" s="84">
        <f>IFERROR('APPENDIX 22_M'!C8/'APPENDIX 22_M'!C$12*100,"")</f>
        <v>0</v>
      </c>
      <c r="D8" s="84">
        <f>IFERROR('APPENDIX 22_M'!D8/'APPENDIX 22_M'!D$12*100,"")</f>
        <v>83.534532469285409</v>
      </c>
      <c r="E8" s="84">
        <f>IFERROR('APPENDIX 22_M'!E8/'APPENDIX 22_M'!E$12*100,"")</f>
        <v>0</v>
      </c>
      <c r="F8" s="85">
        <f>IFERROR('APPENDIX 22_M'!F8/'APPENDIX 22_M'!F$12*100,"")</f>
        <v>69.785313574677829</v>
      </c>
    </row>
    <row r="9" spans="2:6" x14ac:dyDescent="0.35">
      <c r="B9" s="83" t="str">
        <f>'APPENDIX 22_M'!B9</f>
        <v>CIC MICRO INSURANCE</v>
      </c>
      <c r="C9" s="84">
        <f>IFERROR('APPENDIX 22_M'!C9/'APPENDIX 22_M'!C$12*100,"")</f>
        <v>21.20239239908085</v>
      </c>
      <c r="D9" s="84">
        <f>IFERROR('APPENDIX 22_M'!D9/'APPENDIX 22_M'!D$12*100,"")</f>
        <v>4.1185707997228205</v>
      </c>
      <c r="E9" s="84">
        <f>IFERROR('APPENDIX 22_M'!E9/'APPENDIX 22_M'!E$12*100,"")</f>
        <v>5.7391674364554092E-2</v>
      </c>
      <c r="F9" s="85">
        <f>IFERROR('APPENDIX 22_M'!F9/'APPENDIX 22_M'!F$12*100,"")</f>
        <v>3.5974671578803479</v>
      </c>
    </row>
    <row r="10" spans="2:6" x14ac:dyDescent="0.35">
      <c r="B10" s="83" t="str">
        <f>'APPENDIX 22_M'!B10</f>
        <v>STAR DISCOVER MICRO INSURANCE</v>
      </c>
      <c r="C10" s="84">
        <f>IFERROR('APPENDIX 22_M'!C10/'APPENDIX 22_M'!C$12*100,"")</f>
        <v>0</v>
      </c>
      <c r="D10" s="84">
        <f>IFERROR('APPENDIX 22_M'!D10/'APPENDIX 22_M'!D$12*100,"")</f>
        <v>0</v>
      </c>
      <c r="E10" s="84">
        <f>IFERROR('APPENDIX 22_M'!E10/'APPENDIX 22_M'!E$12*100,"")</f>
        <v>0</v>
      </c>
      <c r="F10" s="85">
        <f>IFERROR('APPENDIX 22_M'!F10/'APPENDIX 22_M'!F$12*100,"")</f>
        <v>0</v>
      </c>
    </row>
    <row r="11" spans="2:6" x14ac:dyDescent="0.35">
      <c r="B11" s="83" t="str">
        <f>'APPENDIX 22_M'!B11</f>
        <v>TURACO MICRO INSURANCE</v>
      </c>
      <c r="C11" s="84">
        <f>IFERROR('APPENDIX 22_M'!C11/'APPENDIX 22_M'!C$12*100,"")</f>
        <v>78.79760760091915</v>
      </c>
      <c r="D11" s="84">
        <f>IFERROR('APPENDIX 22_M'!D11/'APPENDIX 22_M'!D$12*100,"")</f>
        <v>12.346896730991782</v>
      </c>
      <c r="E11" s="84">
        <f>IFERROR('APPENDIX 22_M'!E11/'APPENDIX 22_M'!E$12*100,"")</f>
        <v>99.942608325635433</v>
      </c>
      <c r="F11" s="85">
        <f>IFERROR('APPENDIX 22_M'!F11/'APPENDIX 22_M'!F$12*100,"")</f>
        <v>26.617219267441826</v>
      </c>
    </row>
    <row r="12" spans="2:6" x14ac:dyDescent="0.35">
      <c r="B12" s="86" t="s">
        <v>7</v>
      </c>
      <c r="C12" s="87">
        <f>SUM(C6:C11)</f>
        <v>100</v>
      </c>
      <c r="D12" s="87">
        <f>SUM(D6:D11)</f>
        <v>100.00000000000001</v>
      </c>
      <c r="E12" s="87">
        <f>SUM(E6:E11)</f>
        <v>99.999999999999986</v>
      </c>
      <c r="F12" s="87">
        <f>SUM(F6:F11)</f>
        <v>100</v>
      </c>
    </row>
    <row r="13" spans="2:6" x14ac:dyDescent="0.35">
      <c r="B13" s="379" t="s">
        <v>232</v>
      </c>
      <c r="C13" s="324"/>
      <c r="D13" s="324"/>
      <c r="E13" s="324"/>
      <c r="F13" s="324"/>
    </row>
  </sheetData>
  <sheetProtection algorithmName="SHA-512" hashValue="mqjif7hUbwQfm60n6eWOkEUrF3wT7xMP6MWv4cfqgpMdBoio2WojbDMY7tnujt2KCVFhPkvCYlB/h9W4E7KqPw==" saltValue="Et4DANsb1tE2lMj4zltS1A==" spinCount="100000" sheet="1" objects="1" scenarios="1"/>
  <mergeCells count="3">
    <mergeCell ref="B13:F13"/>
    <mergeCell ref="B3:F3"/>
    <mergeCell ref="B5:F5"/>
  </mergeCells>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5">
    <tabColor rgb="FF92D050"/>
    <pageSetUpPr fitToPage="1"/>
  </sheetPr>
  <dimension ref="B3:F13"/>
  <sheetViews>
    <sheetView showGridLines="0" zoomScale="70" zoomScaleNormal="70" workbookViewId="0">
      <selection activeCell="F11" sqref="F11"/>
    </sheetView>
  </sheetViews>
  <sheetFormatPr defaultColWidth="9.453125" defaultRowHeight="14" x14ac:dyDescent="0.3"/>
  <cols>
    <col min="1" max="1" width="17" style="2" customWidth="1"/>
    <col min="2" max="2" width="45.453125" style="2" bestFit="1" customWidth="1"/>
    <col min="3" max="6" width="21.26953125" style="2" customWidth="1"/>
    <col min="7" max="7" width="11.54296875" style="2" customWidth="1"/>
    <col min="8" max="8" width="16.453125" style="2" customWidth="1"/>
    <col min="9" max="107" width="9.453125" style="2" customWidth="1"/>
    <col min="108" max="16384" width="9.453125" style="2"/>
  </cols>
  <sheetData>
    <row r="3" spans="2:6" ht="14.5" customHeight="1" x14ac:dyDescent="0.35">
      <c r="B3" s="361" t="str">
        <f>_xlfn.CONCAT("SUMMARY OF CLAIMS PAID UNDER MICRO INSURANCE BUSINESS FOR THE PERIOD ENDED"," ",Details!F18)</f>
        <v>SUMMARY OF CLAIMS PAID UNDER MICRO INSURANCE BUSINESS FOR THE PERIOD ENDED 31.03.2026</v>
      </c>
      <c r="C3" s="301"/>
      <c r="D3" s="301"/>
      <c r="E3" s="301"/>
      <c r="F3" s="302"/>
    </row>
    <row r="4" spans="2:6" x14ac:dyDescent="0.3">
      <c r="B4" s="26" t="s">
        <v>87</v>
      </c>
      <c r="C4" s="27" t="s">
        <v>181</v>
      </c>
      <c r="D4" s="27" t="s">
        <v>182</v>
      </c>
      <c r="E4" s="27" t="s">
        <v>247</v>
      </c>
      <c r="F4" s="27" t="s">
        <v>180</v>
      </c>
    </row>
    <row r="5" spans="2:6" ht="14.5" customHeight="1" x14ac:dyDescent="0.35">
      <c r="B5" s="362" t="s">
        <v>106</v>
      </c>
      <c r="C5" s="301"/>
      <c r="D5" s="301"/>
      <c r="E5" s="301"/>
      <c r="F5" s="302"/>
    </row>
    <row r="6" spans="2:6" x14ac:dyDescent="0.3">
      <c r="B6" s="37" t="s">
        <v>1</v>
      </c>
      <c r="C6" s="80">
        <v>0</v>
      </c>
      <c r="D6" s="80">
        <v>0</v>
      </c>
      <c r="E6" s="80">
        <v>0</v>
      </c>
      <c r="F6" s="81">
        <v>0</v>
      </c>
    </row>
    <row r="7" spans="2:6" x14ac:dyDescent="0.3">
      <c r="B7" s="37" t="s">
        <v>2</v>
      </c>
      <c r="C7" s="80">
        <v>0</v>
      </c>
      <c r="D7" s="80">
        <v>0</v>
      </c>
      <c r="E7" s="80">
        <v>0</v>
      </c>
      <c r="F7" s="81">
        <v>0</v>
      </c>
    </row>
    <row r="8" spans="2:6" x14ac:dyDescent="0.3">
      <c r="B8" s="37" t="s">
        <v>3</v>
      </c>
      <c r="C8" s="28">
        <v>0</v>
      </c>
      <c r="D8" s="28">
        <v>235211.04129000011</v>
      </c>
      <c r="E8" s="28">
        <v>0</v>
      </c>
      <c r="F8" s="81">
        <v>235211.04129000011</v>
      </c>
    </row>
    <row r="9" spans="2:6" x14ac:dyDescent="0.3">
      <c r="B9" s="37" t="s">
        <v>4</v>
      </c>
      <c r="C9" s="28">
        <v>1876.08</v>
      </c>
      <c r="D9" s="28">
        <v>207.24700000000001</v>
      </c>
      <c r="E9" s="28">
        <v>754.29300000000001</v>
      </c>
      <c r="F9" s="81">
        <v>2837.62</v>
      </c>
    </row>
    <row r="10" spans="2:6" x14ac:dyDescent="0.3">
      <c r="B10" s="37" t="s">
        <v>5</v>
      </c>
      <c r="C10" s="28">
        <v>0</v>
      </c>
      <c r="D10" s="28">
        <v>0</v>
      </c>
      <c r="E10" s="28">
        <v>0</v>
      </c>
      <c r="F10" s="81">
        <v>0</v>
      </c>
    </row>
    <row r="11" spans="2:6" x14ac:dyDescent="0.3">
      <c r="B11" s="37" t="s">
        <v>6</v>
      </c>
      <c r="C11" s="28">
        <v>3577.3119999999999</v>
      </c>
      <c r="D11" s="28">
        <v>10447.209999999999</v>
      </c>
      <c r="E11" s="28">
        <v>16591.736000000001</v>
      </c>
      <c r="F11" s="81">
        <v>30616.258000000002</v>
      </c>
    </row>
    <row r="12" spans="2:6" x14ac:dyDescent="0.3">
      <c r="B12" s="38" t="s">
        <v>7</v>
      </c>
      <c r="C12" s="39">
        <f>SUM(C6:C11)</f>
        <v>5453.3919999999998</v>
      </c>
      <c r="D12" s="39">
        <f>SUM(D6:D11)</f>
        <v>245865.49829000011</v>
      </c>
      <c r="E12" s="39">
        <f>SUM(E6:E11)</f>
        <v>17346.029000000002</v>
      </c>
      <c r="F12" s="39">
        <f>SUM(F6:F11)</f>
        <v>268664.91929000011</v>
      </c>
    </row>
    <row r="13" spans="2:6" x14ac:dyDescent="0.3">
      <c r="B13" s="360" t="s">
        <v>149</v>
      </c>
      <c r="C13" s="308"/>
      <c r="D13" s="308"/>
      <c r="E13" s="308"/>
      <c r="F13" s="308"/>
    </row>
  </sheetData>
  <sheetProtection algorithmName="SHA-512" hashValue="CpqdhbLtk6aIjNwT91zMYTvPn6AUN0vd0KmELcGUTp31DuWja9PKcpbKI80CAwklcaLpGZITjDBQieJAbBvXrw==" saltValue="H3S3goL1Jqlj5X3kSz9ruw==" spinCount="100000" sheet="1" objects="1" scenarios="1"/>
  <mergeCells count="3">
    <mergeCell ref="B13:F13"/>
    <mergeCell ref="B3:F3"/>
    <mergeCell ref="B5:F5"/>
  </mergeCells>
  <pageMargins left="0.7" right="0.7" top="0.75" bottom="0.75" header="0.3" footer="0.3"/>
  <pageSetup scale="34"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6">
    <tabColor rgb="FF92D050"/>
  </sheetPr>
  <dimension ref="B3:F13"/>
  <sheetViews>
    <sheetView showGridLines="0" zoomScale="70" zoomScaleNormal="70" workbookViewId="0">
      <selection activeCell="F11" sqref="F11"/>
    </sheetView>
  </sheetViews>
  <sheetFormatPr defaultColWidth="9.453125" defaultRowHeight="14" x14ac:dyDescent="0.3"/>
  <cols>
    <col min="1" max="1" width="16.453125" style="2" customWidth="1"/>
    <col min="2" max="2" width="49.453125" style="2" customWidth="1"/>
    <col min="3" max="6" width="26.1796875" style="2" customWidth="1"/>
    <col min="7" max="7" width="21.54296875" style="2" customWidth="1"/>
    <col min="8" max="8" width="14.54296875" style="2" bestFit="1" customWidth="1"/>
    <col min="9" max="107" width="9.453125" style="2" customWidth="1"/>
    <col min="108" max="16384" width="9.453125" style="2"/>
  </cols>
  <sheetData>
    <row r="3" spans="2:6" ht="14.5" customHeight="1" x14ac:dyDescent="0.35">
      <c r="B3" s="370" t="str">
        <f>_xlfn.CONCAT("SUMMARY OF CLAIMS INCURRED UNDER MICRO INSURANCE BUSINESS FOR THE PERIOD ENDED"," ",Details!F18)</f>
        <v>SUMMARY OF CLAIMS INCURRED UNDER MICRO INSURANCE BUSINESS FOR THE PERIOD ENDED 31.03.2026</v>
      </c>
      <c r="C3" s="301"/>
      <c r="D3" s="301"/>
      <c r="E3" s="301"/>
      <c r="F3" s="302"/>
    </row>
    <row r="4" spans="2:6" s="41" customFormat="1" ht="15.5" customHeight="1" x14ac:dyDescent="0.35">
      <c r="B4" s="74" t="s">
        <v>87</v>
      </c>
      <c r="C4" s="74" t="s">
        <v>181</v>
      </c>
      <c r="D4" s="74" t="s">
        <v>182</v>
      </c>
      <c r="E4" s="74" t="s">
        <v>247</v>
      </c>
      <c r="F4" s="74" t="s">
        <v>180</v>
      </c>
    </row>
    <row r="5" spans="2:6" ht="14.5" customHeight="1" x14ac:dyDescent="0.35">
      <c r="B5" s="368" t="s">
        <v>106</v>
      </c>
      <c r="C5" s="301"/>
      <c r="D5" s="301"/>
      <c r="E5" s="301"/>
      <c r="F5" s="302"/>
    </row>
    <row r="6" spans="2:6" ht="15.5" customHeight="1" x14ac:dyDescent="0.35">
      <c r="B6" s="67" t="s">
        <v>1</v>
      </c>
      <c r="C6" s="68">
        <v>0</v>
      </c>
      <c r="D6" s="68">
        <v>0</v>
      </c>
      <c r="E6" s="68">
        <v>0</v>
      </c>
      <c r="F6" s="69">
        <v>0</v>
      </c>
    </row>
    <row r="7" spans="2:6" ht="15.5" customHeight="1" x14ac:dyDescent="0.35">
      <c r="B7" s="67" t="s">
        <v>2</v>
      </c>
      <c r="C7" s="68">
        <v>0</v>
      </c>
      <c r="D7" s="68">
        <v>0</v>
      </c>
      <c r="E7" s="68">
        <v>0</v>
      </c>
      <c r="F7" s="69">
        <v>0</v>
      </c>
    </row>
    <row r="8" spans="2:6" ht="15.5" customHeight="1" x14ac:dyDescent="0.35">
      <c r="B8" s="67" t="s">
        <v>3</v>
      </c>
      <c r="C8" s="70">
        <v>0</v>
      </c>
      <c r="D8" s="70">
        <v>224510.80568000011</v>
      </c>
      <c r="E8" s="70">
        <v>0</v>
      </c>
      <c r="F8" s="69">
        <v>224510.80568000011</v>
      </c>
    </row>
    <row r="9" spans="2:6" ht="15.5" customHeight="1" x14ac:dyDescent="0.35">
      <c r="B9" s="67" t="s">
        <v>4</v>
      </c>
      <c r="C9" s="70">
        <v>1934.87</v>
      </c>
      <c r="D9" s="70">
        <v>344.61989999999997</v>
      </c>
      <c r="E9" s="70">
        <v>716.97649999999999</v>
      </c>
      <c r="F9" s="69">
        <v>2996.4663999999998</v>
      </c>
    </row>
    <row r="10" spans="2:6" ht="15.5" customHeight="1" x14ac:dyDescent="0.35">
      <c r="B10" s="67" t="s">
        <v>5</v>
      </c>
      <c r="C10" s="70">
        <v>0</v>
      </c>
      <c r="D10" s="70">
        <v>0</v>
      </c>
      <c r="E10" s="70">
        <v>0</v>
      </c>
      <c r="F10" s="69">
        <v>0</v>
      </c>
    </row>
    <row r="11" spans="2:6" ht="15.5" customHeight="1" x14ac:dyDescent="0.35">
      <c r="B11" s="67" t="s">
        <v>6</v>
      </c>
      <c r="C11" s="70">
        <v>3469.9630654967209</v>
      </c>
      <c r="D11" s="70">
        <v>10717.896833843681</v>
      </c>
      <c r="E11" s="70">
        <v>17776.50582106868</v>
      </c>
      <c r="F11" s="69">
        <v>31964.36572040907</v>
      </c>
    </row>
    <row r="12" spans="2:6" ht="15.5" customHeight="1" x14ac:dyDescent="0.35">
      <c r="B12" s="71" t="s">
        <v>7</v>
      </c>
      <c r="C12" s="72">
        <f>SUM(C6:C11)</f>
        <v>5404.8330654967212</v>
      </c>
      <c r="D12" s="72">
        <f>SUM(D6:D11)</f>
        <v>235573.32241384377</v>
      </c>
      <c r="E12" s="72">
        <f>SUM(E6:E11)</f>
        <v>18493.482321068681</v>
      </c>
      <c r="F12" s="72">
        <f>SUM(F6:F11)</f>
        <v>259471.63780040917</v>
      </c>
    </row>
    <row r="13" spans="2:6" ht="15.5" customHeight="1" x14ac:dyDescent="0.35">
      <c r="B13" s="303" t="s">
        <v>149</v>
      </c>
      <c r="C13" s="324"/>
      <c r="D13" s="324"/>
      <c r="E13" s="324"/>
      <c r="F13" s="324"/>
    </row>
  </sheetData>
  <sheetProtection algorithmName="SHA-512" hashValue="kkoYXNkrPMxGTu+bdtQh6oseLL1nK0ofyIE+zPAqJi1EqnRNQxqdC8Pl/YDb1jCRO2LlyPVuoH3KmIiBMmMeJw==" saltValue="DzTra0pOvPNVaoUvy3OTSw==" spinCount="100000" sheet="1" objects="1" scenarios="1"/>
  <mergeCells count="3">
    <mergeCell ref="B13:F13"/>
    <mergeCell ref="B3:F3"/>
    <mergeCell ref="B5:F5"/>
  </mergeCells>
  <pageMargins left="0.7" right="0.7" top="0.75" bottom="0.75" header="0.3" footer="0.3"/>
  <pageSetup paperSize="9" scale="31"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7">
    <tabColor rgb="FF92D050"/>
    <pageSetUpPr fitToPage="1"/>
  </sheetPr>
  <dimension ref="B3:F13"/>
  <sheetViews>
    <sheetView showGridLines="0" zoomScale="70" zoomScaleNormal="70" workbookViewId="0">
      <selection activeCell="F7" sqref="F7"/>
    </sheetView>
  </sheetViews>
  <sheetFormatPr defaultColWidth="9.453125" defaultRowHeight="14" x14ac:dyDescent="0.3"/>
  <cols>
    <col min="1" max="1" width="17.453125" style="2" customWidth="1"/>
    <col min="2" max="2" width="50.6328125" style="2" bestFit="1" customWidth="1"/>
    <col min="3" max="6" width="27.81640625" style="2" customWidth="1"/>
    <col min="7" max="7" width="2.453125" style="2" customWidth="1"/>
    <col min="8" max="106" width="9.453125" style="2" customWidth="1"/>
    <col min="107" max="16384" width="9.453125" style="2"/>
  </cols>
  <sheetData>
    <row r="3" spans="2:6" ht="14.5" customHeight="1" x14ac:dyDescent="0.35">
      <c r="B3" s="370" t="str">
        <f>_xlfn.CONCAT("SUMMARY OF INCURRED CLAIMS RATIOS UNDER MICRO INSURANCE BUSINESS FOR THE PERIOD ENDED"," ",Details!F18)</f>
        <v>SUMMARY OF INCURRED CLAIMS RATIOS UNDER MICRO INSURANCE BUSINESS FOR THE PERIOD ENDED 31.03.2026</v>
      </c>
      <c r="C3" s="301"/>
      <c r="D3" s="301"/>
      <c r="E3" s="301"/>
      <c r="F3" s="302"/>
    </row>
    <row r="4" spans="2:6" ht="15.5" customHeight="1" x14ac:dyDescent="0.35">
      <c r="B4" s="65" t="s">
        <v>87</v>
      </c>
      <c r="C4" s="96" t="s">
        <v>181</v>
      </c>
      <c r="D4" s="96" t="s">
        <v>182</v>
      </c>
      <c r="E4" s="96" t="s">
        <v>247</v>
      </c>
      <c r="F4" s="96" t="s">
        <v>230</v>
      </c>
    </row>
    <row r="5" spans="2:6" ht="14.5" customHeight="1" x14ac:dyDescent="0.35">
      <c r="B5" s="368" t="s">
        <v>106</v>
      </c>
      <c r="C5" s="301"/>
      <c r="D5" s="301"/>
      <c r="E5" s="301"/>
      <c r="F5" s="302"/>
    </row>
    <row r="6" spans="2:6" ht="15.5" customHeight="1" x14ac:dyDescent="0.35">
      <c r="B6" s="75" t="str">
        <f>'APPENDIX 25_M'!B6</f>
        <v>APA MICRO INSURANCE</v>
      </c>
      <c r="C6" s="99" t="str">
        <f>IFERROR('APPENDIX 25_M'!C6/'NEPI (Micro)'!C6*100,"0.00")</f>
        <v>0.00</v>
      </c>
      <c r="D6" s="99" t="str">
        <f>IFERROR('APPENDIX 25_M'!D6/'NEPI (Micro)'!D6*100,"0.00")</f>
        <v>0.00</v>
      </c>
      <c r="E6" s="99" t="str">
        <f>IFERROR('APPENDIX 25_M'!E6/'NEPI (Micro)'!E6*100,"0.00")</f>
        <v>0.00</v>
      </c>
      <c r="F6" s="100" t="str">
        <f>IFERROR('APPENDIX 25_M'!F6/'NEPI (Micro)'!F6*100,"0.00")</f>
        <v>0.00</v>
      </c>
    </row>
    <row r="7" spans="2:6" ht="15.5" customHeight="1" x14ac:dyDescent="0.35">
      <c r="B7" s="75" t="str">
        <f>'APPENDIX 25_M'!B7</f>
        <v>BIRDVIEW MICRO INSURANCE</v>
      </c>
      <c r="C7" s="99" t="str">
        <f>IFERROR('APPENDIX 25_M'!C7/'NEPI (Micro)'!C7*100,"0.00")</f>
        <v>0.00</v>
      </c>
      <c r="D7" s="99" t="str">
        <f>IFERROR('APPENDIX 25_M'!D7/'NEPI (Micro)'!D7*100,"0.00")</f>
        <v>0.00</v>
      </c>
      <c r="E7" s="99" t="str">
        <f>IFERROR('APPENDIX 25_M'!E7/'NEPI (Micro)'!E7*100,"0.00")</f>
        <v>0.00</v>
      </c>
      <c r="F7" s="100" t="str">
        <f>IFERROR('APPENDIX 25_M'!F7/'NEPI (Micro)'!F7*100,"0.00")</f>
        <v>0.00</v>
      </c>
    </row>
    <row r="8" spans="2:6" ht="15.5" customHeight="1" x14ac:dyDescent="0.35">
      <c r="B8" s="75" t="str">
        <f>'APPENDIX 25_M'!B8</f>
        <v>BRITAM MICRO INSURANCE</v>
      </c>
      <c r="C8" s="99" t="str">
        <f>IFERROR('APPENDIX 25_M'!C8/'NEPI (Micro)'!C8*100,"0.00")</f>
        <v>0.00</v>
      </c>
      <c r="D8" s="99">
        <f>IFERROR('APPENDIX 25_M'!D8/'NEPI (Micro)'!D8*100,"0.00")</f>
        <v>66.833365012273688</v>
      </c>
      <c r="E8" s="99" t="str">
        <f>IFERROR('APPENDIX 25_M'!E8/'NEPI (Micro)'!E8*100,"0.00")</f>
        <v>0.00</v>
      </c>
      <c r="F8" s="100">
        <f>IFERROR('APPENDIX 25_M'!F8/'NEPI (Micro)'!F8*100,"0.00")</f>
        <v>66.833365012273688</v>
      </c>
    </row>
    <row r="9" spans="2:6" ht="15.5" customHeight="1" x14ac:dyDescent="0.35">
      <c r="B9" s="75" t="str">
        <f>'APPENDIX 25_M'!B9</f>
        <v>CIC MICRO INSURANCE</v>
      </c>
      <c r="C9" s="99">
        <f>IFERROR('APPENDIX 25_M'!C9/'NEPI (Micro)'!C9*100,"0.00")</f>
        <v>347.59121963312742</v>
      </c>
      <c r="D9" s="99">
        <f>IFERROR('APPENDIX 25_M'!D9/'NEPI (Micro)'!D9*100,"0.00")</f>
        <v>2.4954087262753681</v>
      </c>
      <c r="E9" s="99">
        <f>IFERROR('APPENDIX 25_M'!E9/'NEPI (Micro)'!E9*100,"0.00")</f>
        <v>1974.640325515117</v>
      </c>
      <c r="F9" s="100">
        <f>IFERROR('APPENDIX 25_M'!F9/'NEPI (Micro)'!F9*100,"0.00")</f>
        <v>20.80428871643722</v>
      </c>
    </row>
    <row r="10" spans="2:6" ht="15.5" customHeight="1" x14ac:dyDescent="0.35">
      <c r="B10" s="75" t="str">
        <f>'APPENDIX 25_M'!B10</f>
        <v>STAR DISCOVER MICRO INSURANCE</v>
      </c>
      <c r="C10" s="99" t="str">
        <f>IFERROR('APPENDIX 25_M'!C10/'NEPI (Micro)'!C10*100,"0.00")</f>
        <v>0.00</v>
      </c>
      <c r="D10" s="99" t="str">
        <f>IFERROR('APPENDIX 25_M'!D10/'NEPI (Micro)'!D10*100,"0.00")</f>
        <v>0.00</v>
      </c>
      <c r="E10" s="99" t="str">
        <f>IFERROR('APPENDIX 25_M'!E10/'NEPI (Micro)'!E10*100,"0.00")</f>
        <v>0.00</v>
      </c>
      <c r="F10" s="100" t="str">
        <f>IFERROR('APPENDIX 25_M'!F10/'NEPI (Micro)'!F10*100,"0.00")</f>
        <v>0.00</v>
      </c>
    </row>
    <row r="11" spans="2:6" ht="15.5" customHeight="1" x14ac:dyDescent="0.35">
      <c r="B11" s="75" t="str">
        <f>'APPENDIX 25_M'!B11</f>
        <v>TURACO MICRO INSURANCE</v>
      </c>
      <c r="C11" s="99">
        <f>IFERROR('APPENDIX 25_M'!C11/'NEPI (Micro)'!C11*100,"0.00")</f>
        <v>127.27971680293015</v>
      </c>
      <c r="D11" s="99">
        <f>IFERROR('APPENDIX 25_M'!D11/'NEPI (Micro)'!D11*100,"0.00")</f>
        <v>11.750278116115117</v>
      </c>
      <c r="E11" s="99">
        <f>IFERROR('APPENDIX 25_M'!E11/'NEPI (Micro)'!E11*100,"0.00")</f>
        <v>117.80040222058545</v>
      </c>
      <c r="F11" s="100">
        <f>IFERROR('APPENDIX 25_M'!F11/'NEPI (Micro)'!F11*100,"0.00")</f>
        <v>29.316877267714691</v>
      </c>
    </row>
    <row r="12" spans="2:6" ht="15.5" customHeight="1" x14ac:dyDescent="0.35">
      <c r="B12" s="71" t="s">
        <v>7</v>
      </c>
      <c r="C12" s="101">
        <f>IFERROR('APPENDIX 25_M'!C12/'NEPI (Micro)'!C12*100,"0.00")</f>
        <v>164.63589191700098</v>
      </c>
      <c r="D12" s="101">
        <f>IFERROR('APPENDIX 25_M'!D12/'NEPI (Micro)'!D12*100,"0.00")</f>
        <v>53.423998525400243</v>
      </c>
      <c r="E12" s="101">
        <f>IFERROR('APPENDIX 25_M'!E12/'NEPI (Micro)'!E12*100,"0.00")</f>
        <v>122.2574577922429</v>
      </c>
      <c r="F12" s="101">
        <f>IFERROR('APPENDIX 25_M'!F12/'NEPI (Micro)'!F12*100,"0.00")</f>
        <v>56.485472772571946</v>
      </c>
    </row>
    <row r="13" spans="2:6" ht="15.5" customHeight="1" x14ac:dyDescent="0.35">
      <c r="B13" s="77" t="s">
        <v>233</v>
      </c>
      <c r="C13" s="76"/>
      <c r="D13" s="76"/>
      <c r="E13" s="76"/>
      <c r="F13" s="76"/>
    </row>
  </sheetData>
  <sheetProtection algorithmName="SHA-512" hashValue="STPHDj9iS9aP0BnPlhQMS8II84gOo+k0qoYlF31ZUlHnrLI8aKGBdlyYZNQLxhMZCYm1NEQdSvXep8IwC+R9mQ==" saltValue="g361y5y76iGr9TeoQBbAWw==" spinCount="100000" sheet="1" objects="1" scenarios="1"/>
  <mergeCells count="2">
    <mergeCell ref="B3:F3"/>
    <mergeCell ref="B5:F5"/>
  </mergeCells>
  <pageMargins left="0.7" right="0.7" top="0.75" bottom="0.75" header="0.3" footer="0.3"/>
  <pageSetup paperSize="9" scale="36"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tabColor rgb="FFA2D668"/>
    <pageSetUpPr fitToPage="1"/>
  </sheetPr>
  <dimension ref="B3:F13"/>
  <sheetViews>
    <sheetView showGridLines="0" zoomScale="70" zoomScaleNormal="70" workbookViewId="0">
      <selection activeCell="F7" sqref="F7"/>
    </sheetView>
  </sheetViews>
  <sheetFormatPr defaultColWidth="9.453125" defaultRowHeight="14" x14ac:dyDescent="0.3"/>
  <cols>
    <col min="1" max="1" width="15.453125" style="2" customWidth="1"/>
    <col min="2" max="2" width="51.453125" style="2" customWidth="1"/>
    <col min="3" max="6" width="21.54296875" style="2" customWidth="1"/>
    <col min="7" max="8" width="6.453125" style="2" bestFit="1" customWidth="1"/>
    <col min="9" max="9" width="13.54296875" style="2" customWidth="1"/>
    <col min="10" max="108" width="9.453125" style="2" customWidth="1"/>
    <col min="109" max="16384" width="9.453125" style="2"/>
  </cols>
  <sheetData>
    <row r="3" spans="2:6" ht="14.5" customHeight="1" x14ac:dyDescent="0.35">
      <c r="B3" s="370" t="str">
        <f>_xlfn.CONCAT("NPI: SUMMARY OF NET PREMIUM INCOME UNDER MICRO INSURANCE BUSINESS FOR THE PERIOD ENDED"," ",Details!F18)</f>
        <v>NPI: SUMMARY OF NET PREMIUM INCOME UNDER MICRO INSURANCE BUSINESS FOR THE PERIOD ENDED 31.03.2026</v>
      </c>
      <c r="C3" s="301"/>
      <c r="D3" s="301"/>
      <c r="E3" s="301"/>
      <c r="F3" s="302"/>
    </row>
    <row r="4" spans="2:6" ht="15.5" customHeight="1" x14ac:dyDescent="0.35">
      <c r="B4" s="65" t="s">
        <v>87</v>
      </c>
      <c r="C4" s="66" t="s">
        <v>181</v>
      </c>
      <c r="D4" s="66" t="s">
        <v>182</v>
      </c>
      <c r="E4" s="66" t="s">
        <v>247</v>
      </c>
      <c r="F4" s="96" t="s">
        <v>230</v>
      </c>
    </row>
    <row r="5" spans="2:6" ht="14.5" customHeight="1" x14ac:dyDescent="0.35">
      <c r="B5" s="368" t="s">
        <v>106</v>
      </c>
      <c r="C5" s="301"/>
      <c r="D5" s="301"/>
      <c r="E5" s="301"/>
      <c r="F5" s="302"/>
    </row>
    <row r="6" spans="2:6" ht="15.5" customHeight="1" x14ac:dyDescent="0.35">
      <c r="B6" s="67" t="s">
        <v>1</v>
      </c>
      <c r="C6" s="70">
        <v>0</v>
      </c>
      <c r="D6" s="70">
        <v>0</v>
      </c>
      <c r="E6" s="70">
        <v>0</v>
      </c>
      <c r="F6" s="73">
        <v>0</v>
      </c>
    </row>
    <row r="7" spans="2:6" ht="15.5" customHeight="1" x14ac:dyDescent="0.35">
      <c r="B7" s="67" t="s">
        <v>2</v>
      </c>
      <c r="C7" s="70">
        <v>0</v>
      </c>
      <c r="D7" s="70">
        <v>0</v>
      </c>
      <c r="E7" s="70">
        <v>0</v>
      </c>
      <c r="F7" s="73">
        <v>0</v>
      </c>
    </row>
    <row r="8" spans="2:6" ht="15.5" customHeight="1" x14ac:dyDescent="0.35">
      <c r="B8" s="67" t="s">
        <v>3</v>
      </c>
      <c r="C8" s="70">
        <v>0</v>
      </c>
      <c r="D8" s="70">
        <v>317380.91231943067</v>
      </c>
      <c r="E8" s="70">
        <v>0</v>
      </c>
      <c r="F8" s="73">
        <v>317380.91231943067</v>
      </c>
    </row>
    <row r="9" spans="2:6" ht="15.5" customHeight="1" x14ac:dyDescent="0.35">
      <c r="B9" s="67" t="s">
        <v>4</v>
      </c>
      <c r="C9" s="70">
        <v>556.65099999999995</v>
      </c>
      <c r="D9" s="70">
        <v>13810.15848711796</v>
      </c>
      <c r="E9" s="70">
        <v>36.309220000000003</v>
      </c>
      <c r="F9" s="73">
        <v>14403.118707117959</v>
      </c>
    </row>
    <row r="10" spans="2:6" ht="15.5" customHeight="1" x14ac:dyDescent="0.35">
      <c r="B10" s="67" t="s">
        <v>5</v>
      </c>
      <c r="C10" s="70">
        <v>0</v>
      </c>
      <c r="D10" s="70">
        <v>0</v>
      </c>
      <c r="E10" s="70">
        <v>0</v>
      </c>
      <c r="F10" s="73">
        <v>0</v>
      </c>
    </row>
    <row r="11" spans="2:6" ht="15.5" customHeight="1" x14ac:dyDescent="0.35">
      <c r="B11" s="67" t="s">
        <v>6</v>
      </c>
      <c r="C11" s="70">
        <v>2702.5219999999999</v>
      </c>
      <c r="D11" s="70">
        <v>50769.4</v>
      </c>
      <c r="E11" s="70">
        <v>77539.423999999999</v>
      </c>
      <c r="F11" s="73">
        <v>131011.34600000001</v>
      </c>
    </row>
    <row r="12" spans="2:6" ht="15.5" customHeight="1" x14ac:dyDescent="0.35">
      <c r="B12" s="71" t="s">
        <v>7</v>
      </c>
      <c r="C12" s="72">
        <f>SUM(C6:C11)</f>
        <v>3259.1729999999998</v>
      </c>
      <c r="D12" s="72">
        <f>SUM(D6:D11)</f>
        <v>381960.47080654866</v>
      </c>
      <c r="E12" s="72">
        <f>SUM(E6:E11)</f>
        <v>77575.733219999995</v>
      </c>
      <c r="F12" s="72">
        <f>SUM(F6:F11)</f>
        <v>462795.37702654867</v>
      </c>
    </row>
    <row r="13" spans="2:6" ht="14.5" customHeight="1" x14ac:dyDescent="0.35">
      <c r="B13" s="326" t="s">
        <v>149</v>
      </c>
      <c r="C13" s="308"/>
      <c r="D13" s="308"/>
      <c r="E13" s="308"/>
      <c r="F13" s="308"/>
    </row>
  </sheetData>
  <sheetProtection algorithmName="SHA-512" hashValue="1AexdL6NWs4r8yaoxbMu14Q7xVZNbCkSOjxVnsYYQl0lWXpFAt/qiE4TAc0wmK1UDnMNpTVbGJlP6GlOo5Pa8g==" saltValue="D0Wzhu3FrM6+pIk/Ns/9t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tabColor rgb="FFA2D668"/>
    <pageSetUpPr fitToPage="1"/>
  </sheetPr>
  <dimension ref="B3:F13"/>
  <sheetViews>
    <sheetView showGridLines="0" zoomScale="70" zoomScaleNormal="70" workbookViewId="0">
      <selection activeCell="F7" sqref="F7"/>
    </sheetView>
  </sheetViews>
  <sheetFormatPr defaultColWidth="9.453125" defaultRowHeight="14" x14ac:dyDescent="0.3"/>
  <cols>
    <col min="1" max="1" width="15.453125" style="2" customWidth="1"/>
    <col min="2" max="2" width="51.453125" style="2" customWidth="1"/>
    <col min="3" max="6" width="23.26953125" style="2" customWidth="1"/>
    <col min="7" max="8" width="6.453125" style="2" bestFit="1" customWidth="1"/>
    <col min="9" max="9" width="13.54296875" style="2" customWidth="1"/>
    <col min="10" max="108" width="9.453125" style="2" customWidth="1"/>
    <col min="109" max="16384" width="9.453125" style="2"/>
  </cols>
  <sheetData>
    <row r="3" spans="2:6" ht="14.5" customHeight="1" x14ac:dyDescent="0.35">
      <c r="B3" s="370" t="str">
        <f>_xlfn.CONCAT("NEPI: SUMMARY OF NET EARNED PREMIUM UNDER MICRO INSURANCE BUSINESS FOR THE PERIOD ENDED"," ",Details!F18)</f>
        <v>NEPI: SUMMARY OF NET EARNED PREMIUM UNDER MICRO INSURANCE BUSINESS FOR THE PERIOD ENDED 31.03.2026</v>
      </c>
      <c r="C3" s="301"/>
      <c r="D3" s="301"/>
      <c r="E3" s="301"/>
      <c r="F3" s="302"/>
    </row>
    <row r="4" spans="2:6" ht="31" customHeight="1" x14ac:dyDescent="0.35">
      <c r="B4" s="65" t="s">
        <v>87</v>
      </c>
      <c r="C4" s="66" t="s">
        <v>181</v>
      </c>
      <c r="D4" s="66" t="s">
        <v>182</v>
      </c>
      <c r="E4" s="66" t="s">
        <v>247</v>
      </c>
      <c r="F4" s="96" t="s">
        <v>230</v>
      </c>
    </row>
    <row r="5" spans="2:6" ht="14.5" customHeight="1" x14ac:dyDescent="0.35">
      <c r="B5" s="368" t="s">
        <v>106</v>
      </c>
      <c r="C5" s="301"/>
      <c r="D5" s="301"/>
      <c r="E5" s="301"/>
      <c r="F5" s="302"/>
    </row>
    <row r="6" spans="2:6" ht="15.5" customHeight="1" x14ac:dyDescent="0.35">
      <c r="B6" s="67" t="s">
        <v>1</v>
      </c>
      <c r="C6" s="70">
        <v>0</v>
      </c>
      <c r="D6" s="70">
        <v>0</v>
      </c>
      <c r="E6" s="70">
        <v>0</v>
      </c>
      <c r="F6" s="73">
        <v>0</v>
      </c>
    </row>
    <row r="7" spans="2:6" ht="15.5" customHeight="1" x14ac:dyDescent="0.35">
      <c r="B7" s="67" t="s">
        <v>2</v>
      </c>
      <c r="C7" s="70">
        <v>0</v>
      </c>
      <c r="D7" s="70">
        <v>0</v>
      </c>
      <c r="E7" s="70">
        <v>0</v>
      </c>
      <c r="F7" s="73">
        <v>0</v>
      </c>
    </row>
    <row r="8" spans="2:6" ht="15.5" customHeight="1" x14ac:dyDescent="0.35">
      <c r="B8" s="67" t="s">
        <v>3</v>
      </c>
      <c r="C8" s="70">
        <v>0</v>
      </c>
      <c r="D8" s="70">
        <v>335926.23330991872</v>
      </c>
      <c r="E8" s="70">
        <v>0</v>
      </c>
      <c r="F8" s="73">
        <v>335926.23330991872</v>
      </c>
    </row>
    <row r="9" spans="2:6" ht="15.5" customHeight="1" x14ac:dyDescent="0.35">
      <c r="B9" s="67" t="s">
        <v>4</v>
      </c>
      <c r="C9" s="70">
        <v>556.65099999999995</v>
      </c>
      <c r="D9" s="70">
        <v>13810.15848711796</v>
      </c>
      <c r="E9" s="70">
        <v>36.309220000000003</v>
      </c>
      <c r="F9" s="73">
        <v>14403.118707117959</v>
      </c>
    </row>
    <row r="10" spans="2:6" ht="15.5" customHeight="1" x14ac:dyDescent="0.35">
      <c r="B10" s="67" t="s">
        <v>5</v>
      </c>
      <c r="C10" s="70">
        <v>0</v>
      </c>
      <c r="D10" s="70">
        <v>0</v>
      </c>
      <c r="E10" s="70">
        <v>0</v>
      </c>
      <c r="F10" s="73">
        <v>0</v>
      </c>
    </row>
    <row r="11" spans="2:6" ht="15.5" customHeight="1" x14ac:dyDescent="0.35">
      <c r="B11" s="67" t="s">
        <v>6</v>
      </c>
      <c r="C11" s="70">
        <v>2726.249831989599</v>
      </c>
      <c r="D11" s="70">
        <v>91213.984281311947</v>
      </c>
      <c r="E11" s="70">
        <v>15090.36088669845</v>
      </c>
      <c r="F11" s="73">
        <v>109030.595</v>
      </c>
    </row>
    <row r="12" spans="2:6" ht="15.5" customHeight="1" x14ac:dyDescent="0.35">
      <c r="B12" s="71" t="s">
        <v>7</v>
      </c>
      <c r="C12" s="72">
        <f>SUM(C6:C11)</f>
        <v>3282.9008319895988</v>
      </c>
      <c r="D12" s="72">
        <f>SUM(D6:D11)</f>
        <v>440950.37607834861</v>
      </c>
      <c r="E12" s="72">
        <f>SUM(E6:E11)</f>
        <v>15126.67010669845</v>
      </c>
      <c r="F12" s="72">
        <f>SUM(F6:F11)</f>
        <v>459359.94701703673</v>
      </c>
    </row>
    <row r="13" spans="2:6" ht="14.5" customHeight="1" x14ac:dyDescent="0.35">
      <c r="B13" s="326" t="s">
        <v>149</v>
      </c>
      <c r="C13" s="308"/>
      <c r="D13" s="308"/>
      <c r="E13" s="308"/>
      <c r="F13" s="308"/>
    </row>
  </sheetData>
  <sheetProtection algorithmName="SHA-512" hashValue="HblBdbgFXko7AVSbkNulBeaeGLPafLb2EmExlqLvAYLU9G9vobhCNwWyRx7SZDVCR52f0K8eRaNY8FHrlLQq+w==" saltValue="DDkeTvg8sMsGs7eADZZqNA=="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0">
    <tabColor rgb="FFA2D668"/>
    <pageSetUpPr fitToPage="1"/>
  </sheetPr>
  <dimension ref="B3:F13"/>
  <sheetViews>
    <sheetView showGridLines="0" zoomScale="70" zoomScaleNormal="70" workbookViewId="0">
      <selection activeCell="F7" sqref="F7"/>
    </sheetView>
  </sheetViews>
  <sheetFormatPr defaultColWidth="9.453125" defaultRowHeight="14" x14ac:dyDescent="0.3"/>
  <cols>
    <col min="1" max="1" width="15.453125" style="2" customWidth="1"/>
    <col min="2" max="2" width="51.453125" style="2" customWidth="1"/>
    <col min="3" max="6" width="22.08984375" style="2" customWidth="1"/>
    <col min="7" max="8" width="6.453125" style="2" bestFit="1" customWidth="1"/>
    <col min="9" max="9" width="13.54296875" style="2" customWidth="1"/>
    <col min="10" max="108" width="9.453125" style="2" customWidth="1"/>
    <col min="109" max="16384" width="9.453125" style="2"/>
  </cols>
  <sheetData>
    <row r="3" spans="2:6" ht="14.5" customHeight="1" x14ac:dyDescent="0.35">
      <c r="B3" s="370" t="str">
        <f>_xlfn.CONCAT("COM: SUMMARY OF NET COMMISSIONS UNDER MICRO INSURANCE BUSINESS FOR THE PERIOD ENDED"," ",Details!F18)</f>
        <v>COM: SUMMARY OF NET COMMISSIONS UNDER MICRO INSURANCE BUSINESS FOR THE PERIOD ENDED 31.03.2026</v>
      </c>
      <c r="C3" s="301"/>
      <c r="D3" s="301"/>
      <c r="E3" s="301"/>
      <c r="F3" s="302"/>
    </row>
    <row r="4" spans="2:6" ht="15.5" customHeight="1" x14ac:dyDescent="0.35">
      <c r="B4" s="65" t="s">
        <v>87</v>
      </c>
      <c r="C4" s="66" t="s">
        <v>181</v>
      </c>
      <c r="D4" s="66" t="s">
        <v>182</v>
      </c>
      <c r="E4" s="66" t="s">
        <v>247</v>
      </c>
      <c r="F4" s="96" t="s">
        <v>230</v>
      </c>
    </row>
    <row r="5" spans="2:6" ht="14.5" customHeight="1" x14ac:dyDescent="0.35">
      <c r="B5" s="368" t="s">
        <v>106</v>
      </c>
      <c r="C5" s="301"/>
      <c r="D5" s="301"/>
      <c r="E5" s="301"/>
      <c r="F5" s="302"/>
    </row>
    <row r="6" spans="2:6" ht="15.5" customHeight="1" x14ac:dyDescent="0.35">
      <c r="B6" s="67" t="s">
        <v>1</v>
      </c>
      <c r="C6" s="70">
        <v>0</v>
      </c>
      <c r="D6" s="70">
        <v>0</v>
      </c>
      <c r="E6" s="70">
        <v>0</v>
      </c>
      <c r="F6" s="73">
        <v>0</v>
      </c>
    </row>
    <row r="7" spans="2:6" ht="15.5" customHeight="1" x14ac:dyDescent="0.35">
      <c r="B7" s="67" t="s">
        <v>2</v>
      </c>
      <c r="C7" s="70">
        <v>0</v>
      </c>
      <c r="D7" s="70">
        <v>0</v>
      </c>
      <c r="E7" s="70">
        <v>0</v>
      </c>
      <c r="F7" s="73">
        <v>0</v>
      </c>
    </row>
    <row r="8" spans="2:6" ht="15.5" customHeight="1" x14ac:dyDescent="0.35">
      <c r="B8" s="67" t="s">
        <v>3</v>
      </c>
      <c r="C8" s="70">
        <v>0</v>
      </c>
      <c r="D8" s="70">
        <v>31454.353449999999</v>
      </c>
      <c r="E8" s="70">
        <v>0</v>
      </c>
      <c r="F8" s="73">
        <v>31454.353449999999</v>
      </c>
    </row>
    <row r="9" spans="2:6" ht="15.5" customHeight="1" x14ac:dyDescent="0.35">
      <c r="B9" s="67" t="s">
        <v>4</v>
      </c>
      <c r="C9" s="70">
        <v>-7.133719999999987</v>
      </c>
      <c r="D9" s="70">
        <v>1228.3637915729239</v>
      </c>
      <c r="E9" s="70">
        <v>3.0293450000000002</v>
      </c>
      <c r="F9" s="73">
        <v>1224.259416572924</v>
      </c>
    </row>
    <row r="10" spans="2:6" ht="15.5" customHeight="1" x14ac:dyDescent="0.35">
      <c r="B10" s="67" t="s">
        <v>5</v>
      </c>
      <c r="C10" s="70">
        <v>0</v>
      </c>
      <c r="D10" s="70">
        <v>0</v>
      </c>
      <c r="E10" s="70">
        <v>0</v>
      </c>
      <c r="F10" s="73">
        <v>0</v>
      </c>
    </row>
    <row r="11" spans="2:6" ht="15.5" customHeight="1" x14ac:dyDescent="0.35">
      <c r="B11" s="67" t="s">
        <v>6</v>
      </c>
      <c r="C11" s="70">
        <v>380.22</v>
      </c>
      <c r="D11" s="70">
        <v>6316.2330000000002</v>
      </c>
      <c r="E11" s="70">
        <v>10999.279</v>
      </c>
      <c r="F11" s="73">
        <v>17695.732</v>
      </c>
    </row>
    <row r="12" spans="2:6" ht="15.5" customHeight="1" x14ac:dyDescent="0.35">
      <c r="B12" s="71" t="s">
        <v>7</v>
      </c>
      <c r="C12" s="72">
        <f>SUM(C6:C11)</f>
        <v>373.08628000000004</v>
      </c>
      <c r="D12" s="72">
        <f>SUM(D6:D11)</f>
        <v>38998.950241572922</v>
      </c>
      <c r="E12" s="72">
        <f>SUM(E6:E11)</f>
        <v>11002.308345000001</v>
      </c>
      <c r="F12" s="72">
        <f>SUM(F6:F11)</f>
        <v>50374.344866572923</v>
      </c>
    </row>
    <row r="13" spans="2:6" ht="14.5" customHeight="1" x14ac:dyDescent="0.35">
      <c r="B13" s="326" t="s">
        <v>149</v>
      </c>
      <c r="C13" s="308"/>
      <c r="D13" s="308"/>
      <c r="E13" s="308"/>
      <c r="F13" s="308"/>
    </row>
  </sheetData>
  <sheetProtection algorithmName="SHA-512" hashValue="ThDl+4V6/DqOvw7zaM2l6DsJPTVesflUUfwfNq4Tk+iog/+iayhL/macIM/UOKn46MjWkzvFaupw31xLxaaWdA==" saltValue="Po4Tj9OrCdmh3SR2ZoebvA=="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1">
    <tabColor rgb="FFA2D668"/>
    <pageSetUpPr fitToPage="1"/>
  </sheetPr>
  <dimension ref="B3:F13"/>
  <sheetViews>
    <sheetView showGridLines="0" zoomScale="70" zoomScaleNormal="70" workbookViewId="0">
      <selection activeCell="B3" sqref="B3:Q13"/>
    </sheetView>
  </sheetViews>
  <sheetFormatPr defaultColWidth="9.453125" defaultRowHeight="14" x14ac:dyDescent="0.3"/>
  <cols>
    <col min="1" max="1" width="15.453125" style="2" customWidth="1"/>
    <col min="2" max="2" width="51.453125" style="2" customWidth="1"/>
    <col min="3" max="6" width="23.81640625" style="2" customWidth="1"/>
    <col min="7" max="8" width="6.453125" style="2" bestFit="1" customWidth="1"/>
    <col min="9" max="9" width="13.54296875" style="2" customWidth="1"/>
    <col min="10" max="108" width="9.453125" style="2" customWidth="1"/>
    <col min="109" max="16384" width="9.453125" style="2"/>
  </cols>
  <sheetData>
    <row r="3" spans="2:6" ht="14.5" customHeight="1" x14ac:dyDescent="0.35">
      <c r="B3" s="370" t="str">
        <f>_xlfn.CONCAT("MGT: SUMMARY OF MANAGEMENT EXPENSES UNDER MICRO INSURANCE BUSINESS FOR THE PERIOD ENDED"," ",Details!F18)</f>
        <v>MGT: SUMMARY OF MANAGEMENT EXPENSES UNDER MICRO INSURANCE BUSINESS FOR THE PERIOD ENDED 31.03.2026</v>
      </c>
      <c r="C3" s="301"/>
      <c r="D3" s="301"/>
      <c r="E3" s="301"/>
      <c r="F3" s="302"/>
    </row>
    <row r="4" spans="2:6" ht="15.5" customHeight="1" x14ac:dyDescent="0.35">
      <c r="B4" s="65" t="s">
        <v>87</v>
      </c>
      <c r="C4" s="66" t="str">
        <f>'COM (Micro)'!C4</f>
        <v>Life</v>
      </c>
      <c r="D4" s="66" t="str">
        <f>'COM (Micro)'!D4</f>
        <v>General</v>
      </c>
      <c r="E4" s="66" t="str">
        <f>'COM (Micro)'!E4</f>
        <v>Bundled</v>
      </c>
      <c r="F4" s="96" t="s">
        <v>230</v>
      </c>
    </row>
    <row r="5" spans="2:6" ht="14.5" customHeight="1" x14ac:dyDescent="0.35">
      <c r="B5" s="368" t="s">
        <v>106</v>
      </c>
      <c r="C5" s="301"/>
      <c r="D5" s="301"/>
      <c r="E5" s="301"/>
      <c r="F5" s="302"/>
    </row>
    <row r="6" spans="2:6" ht="15.5" customHeight="1" x14ac:dyDescent="0.35">
      <c r="B6" s="67" t="s">
        <v>1</v>
      </c>
      <c r="C6" s="70">
        <v>0</v>
      </c>
      <c r="D6" s="70">
        <v>0</v>
      </c>
      <c r="E6" s="70">
        <v>0</v>
      </c>
      <c r="F6" s="73">
        <v>0</v>
      </c>
    </row>
    <row r="7" spans="2:6" ht="15.5" customHeight="1" x14ac:dyDescent="0.35">
      <c r="B7" s="67" t="s">
        <v>2</v>
      </c>
      <c r="C7" s="70">
        <v>0</v>
      </c>
      <c r="D7" s="70">
        <v>0</v>
      </c>
      <c r="E7" s="70">
        <v>0</v>
      </c>
      <c r="F7" s="73">
        <v>0</v>
      </c>
    </row>
    <row r="8" spans="2:6" ht="15.5" customHeight="1" x14ac:dyDescent="0.35">
      <c r="B8" s="67" t="s">
        <v>3</v>
      </c>
      <c r="C8" s="70">
        <v>0</v>
      </c>
      <c r="D8" s="70">
        <v>97453.51023</v>
      </c>
      <c r="E8" s="70">
        <v>0</v>
      </c>
      <c r="F8" s="73">
        <v>97453.51023</v>
      </c>
    </row>
    <row r="9" spans="2:6" ht="15.5" customHeight="1" x14ac:dyDescent="0.35">
      <c r="B9" s="67" t="s">
        <v>4</v>
      </c>
      <c r="C9" s="70">
        <v>310.11946906959889</v>
      </c>
      <c r="D9" s="70">
        <v>18120.833253693039</v>
      </c>
      <c r="E9" s="70">
        <v>43.915267237358449</v>
      </c>
      <c r="F9" s="73">
        <v>18474.867989999999</v>
      </c>
    </row>
    <row r="10" spans="2:6" ht="15.5" customHeight="1" x14ac:dyDescent="0.35">
      <c r="B10" s="67" t="s">
        <v>5</v>
      </c>
      <c r="C10" s="70">
        <v>0</v>
      </c>
      <c r="D10" s="70">
        <v>0</v>
      </c>
      <c r="E10" s="70">
        <v>0</v>
      </c>
      <c r="F10" s="73">
        <v>0</v>
      </c>
    </row>
    <row r="11" spans="2:6" ht="15.5" customHeight="1" x14ac:dyDescent="0.35">
      <c r="B11" s="67" t="s">
        <v>6</v>
      </c>
      <c r="C11" s="70">
        <v>3522.7499338267671</v>
      </c>
      <c r="D11" s="70">
        <v>10287.866514347739</v>
      </c>
      <c r="E11" s="70">
        <v>16338.6746518255</v>
      </c>
      <c r="F11" s="73">
        <v>30149.291099999999</v>
      </c>
    </row>
    <row r="12" spans="2:6" ht="15.5" customHeight="1" x14ac:dyDescent="0.35">
      <c r="B12" s="71" t="s">
        <v>7</v>
      </c>
      <c r="C12" s="72">
        <f>SUM(C6:C11)</f>
        <v>3832.869402896366</v>
      </c>
      <c r="D12" s="72">
        <f>SUM(D6:D11)</f>
        <v>125862.20999804078</v>
      </c>
      <c r="E12" s="72">
        <f>SUM(E6:E11)</f>
        <v>16382.589919062859</v>
      </c>
      <c r="F12" s="72">
        <f>SUM(F6:F11)</f>
        <v>146077.66931999999</v>
      </c>
    </row>
    <row r="13" spans="2:6" ht="14.5" customHeight="1" x14ac:dyDescent="0.35">
      <c r="B13" s="326" t="s">
        <v>149</v>
      </c>
      <c r="C13" s="308"/>
      <c r="D13" s="308"/>
      <c r="E13" s="308"/>
      <c r="F13" s="308"/>
    </row>
  </sheetData>
  <sheetProtection algorithmName="SHA-512" hashValue="89cbmfl3wIHdQ6J+aMPtyGgndtKHfodPI5OEMM7CN8NROqA8F21PBp3khnj9vME5i43rhiASJcvBKUGIiGCuZw==" saltValue="niHxZ7iDSlD1rhmRhK7u7g=="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2">
    <tabColor rgb="FFA2D668"/>
    <pageSetUpPr fitToPage="1"/>
  </sheetPr>
  <dimension ref="B3:F13"/>
  <sheetViews>
    <sheetView showGridLines="0" zoomScale="70" zoomScaleNormal="70" workbookViewId="0">
      <selection activeCell="B3" sqref="B3:Q13"/>
    </sheetView>
  </sheetViews>
  <sheetFormatPr defaultColWidth="9.453125" defaultRowHeight="14" x14ac:dyDescent="0.3"/>
  <cols>
    <col min="1" max="1" width="15.453125" style="2" customWidth="1"/>
    <col min="2" max="2" width="51.453125" style="2" customWidth="1"/>
    <col min="3" max="6" width="26.90625" style="2" customWidth="1"/>
    <col min="7" max="8" width="6.453125" style="2" bestFit="1" customWidth="1"/>
    <col min="9" max="9" width="13.54296875" style="2" customWidth="1"/>
    <col min="10" max="108" width="9.453125" style="2" customWidth="1"/>
    <col min="109" max="16384" width="9.453125" style="2"/>
  </cols>
  <sheetData>
    <row r="3" spans="2:6" ht="14.5" customHeight="1" x14ac:dyDescent="0.35">
      <c r="B3" s="370" t="str">
        <f>_xlfn.CONCAT("SUMMARY OF UNDERWRITING PROFITS UNDER MICRO INSURANCE BUSINESS FOR THE PERIOD ENDED"," ",Details!F18)</f>
        <v>SUMMARY OF UNDERWRITING PROFITS UNDER MICRO INSURANCE BUSINESS FOR THE PERIOD ENDED 31.03.2026</v>
      </c>
      <c r="C3" s="301"/>
      <c r="D3" s="301"/>
      <c r="E3" s="301"/>
      <c r="F3" s="302"/>
    </row>
    <row r="4" spans="2:6" ht="15.5" customHeight="1" x14ac:dyDescent="0.35">
      <c r="B4" s="65" t="s">
        <v>87</v>
      </c>
      <c r="C4" s="66" t="s">
        <v>181</v>
      </c>
      <c r="D4" s="66" t="s">
        <v>182</v>
      </c>
      <c r="E4" s="66" t="s">
        <v>247</v>
      </c>
      <c r="F4" s="96" t="s">
        <v>230</v>
      </c>
    </row>
    <row r="5" spans="2:6" ht="14.5" customHeight="1" x14ac:dyDescent="0.35">
      <c r="B5" s="368" t="s">
        <v>106</v>
      </c>
      <c r="C5" s="301"/>
      <c r="D5" s="301"/>
      <c r="E5" s="301"/>
      <c r="F5" s="302"/>
    </row>
    <row r="6" spans="2:6" ht="15.5" customHeight="1" x14ac:dyDescent="0.35">
      <c r="B6" s="67" t="s">
        <v>1</v>
      </c>
      <c r="C6" s="70">
        <v>0</v>
      </c>
      <c r="D6" s="70">
        <v>0</v>
      </c>
      <c r="E6" s="70">
        <v>0</v>
      </c>
      <c r="F6" s="73">
        <v>0</v>
      </c>
    </row>
    <row r="7" spans="2:6" ht="15.5" customHeight="1" x14ac:dyDescent="0.35">
      <c r="B7" s="67" t="s">
        <v>2</v>
      </c>
      <c r="C7" s="70">
        <v>0</v>
      </c>
      <c r="D7" s="70">
        <v>0</v>
      </c>
      <c r="E7" s="70">
        <v>0</v>
      </c>
      <c r="F7" s="73">
        <v>0</v>
      </c>
    </row>
    <row r="8" spans="2:6" ht="15.5" customHeight="1" x14ac:dyDescent="0.35">
      <c r="B8" s="67" t="s">
        <v>3</v>
      </c>
      <c r="C8" s="70">
        <v>0</v>
      </c>
      <c r="D8" s="70">
        <v>-17492.436050081491</v>
      </c>
      <c r="E8" s="70">
        <v>0</v>
      </c>
      <c r="F8" s="73">
        <v>-17492.436050081491</v>
      </c>
    </row>
    <row r="9" spans="2:6" ht="15.5" customHeight="1" x14ac:dyDescent="0.35">
      <c r="B9" s="67" t="s">
        <v>4</v>
      </c>
      <c r="C9" s="70">
        <v>-1681.2047490695991</v>
      </c>
      <c r="D9" s="70">
        <v>-5883.6584581480074</v>
      </c>
      <c r="E9" s="70">
        <v>-727.61189223735846</v>
      </c>
      <c r="F9" s="73">
        <v>-8292.4750994549649</v>
      </c>
    </row>
    <row r="10" spans="2:6" ht="15.5" customHeight="1" x14ac:dyDescent="0.35">
      <c r="B10" s="67" t="s">
        <v>5</v>
      </c>
      <c r="C10" s="70">
        <v>0</v>
      </c>
      <c r="D10" s="70">
        <v>0</v>
      </c>
      <c r="E10" s="70">
        <v>0</v>
      </c>
      <c r="F10" s="73">
        <v>0</v>
      </c>
    </row>
    <row r="11" spans="2:6" ht="15.5" customHeight="1" x14ac:dyDescent="0.35">
      <c r="B11" s="67" t="s">
        <v>6</v>
      </c>
      <c r="C11" s="70">
        <v>-4646.6831673338902</v>
      </c>
      <c r="D11" s="70">
        <v>63891.987933120523</v>
      </c>
      <c r="E11" s="70">
        <v>-30024.09858619572</v>
      </c>
      <c r="F11" s="73">
        <v>29221.20617959091</v>
      </c>
    </row>
    <row r="12" spans="2:6" ht="15.5" customHeight="1" x14ac:dyDescent="0.35">
      <c r="B12" s="71" t="s">
        <v>7</v>
      </c>
      <c r="C12" s="72">
        <f>SUM(C6:C11)</f>
        <v>-6327.8879164034897</v>
      </c>
      <c r="D12" s="72">
        <f>SUM(D6:D11)</f>
        <v>40515.893424891023</v>
      </c>
      <c r="E12" s="72">
        <f>SUM(E6:E11)</f>
        <v>-30751.710478433077</v>
      </c>
      <c r="F12" s="72">
        <f>SUM(F6:F11)</f>
        <v>3436.2950300544544</v>
      </c>
    </row>
    <row r="13" spans="2:6" ht="14.5" customHeight="1" x14ac:dyDescent="0.35">
      <c r="B13" s="326" t="s">
        <v>149</v>
      </c>
      <c r="C13" s="308"/>
      <c r="D13" s="308"/>
      <c r="E13" s="308"/>
      <c r="F13" s="308"/>
    </row>
  </sheetData>
  <sheetProtection algorithmName="SHA-512" hashValue="OpX2HhC3E6rXbYrILX3fj2OrASRxMutz8O6ZjAhCKs0nxbDJUj1cdFIumumg/nf69EaRljDCe28DLp9yhGvnjw==" saltValue="7XfYsncjYEBXq0zul51Z4Q==" spinCount="100000" sheet="1" objects="1" scenarios="1"/>
  <mergeCells count="3">
    <mergeCell ref="B13:F13"/>
    <mergeCell ref="B3:F3"/>
    <mergeCell ref="B5:F5"/>
  </mergeCells>
  <pageMargins left="0.7" right="0.7" top="0.75" bottom="0.75" header="0.3" footer="0.3"/>
  <pageSetup paperSize="9" scale="33"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3">
    <tabColor rgb="FF92D050"/>
    <pageSetUpPr fitToPage="1"/>
  </sheetPr>
  <dimension ref="B3:Q49"/>
  <sheetViews>
    <sheetView showGridLines="0" zoomScale="58" zoomScaleNormal="70" workbookViewId="0">
      <selection activeCell="E6" sqref="E6"/>
    </sheetView>
  </sheetViews>
  <sheetFormatPr defaultColWidth="12" defaultRowHeight="15.5" x14ac:dyDescent="0.35"/>
  <cols>
    <col min="1" max="1" width="17" style="76" customWidth="1"/>
    <col min="2" max="2" width="47.6328125" style="76" customWidth="1"/>
    <col min="3" max="17" width="22.54296875" style="76" customWidth="1"/>
    <col min="18" max="18" width="16.54296875" style="76" customWidth="1"/>
    <col min="19" max="19" width="16.54296875" style="76" bestFit="1" customWidth="1"/>
    <col min="20" max="118" width="12" style="76" customWidth="1"/>
    <col min="119" max="16384" width="12" style="76"/>
  </cols>
  <sheetData>
    <row r="3" spans="2:17" s="275" customFormat="1" ht="22" x14ac:dyDescent="0.5">
      <c r="B3" s="367" t="str">
        <f>_xlfn.CONCAT('Table of Contents'!B37,": ",'Table of Contents'!C37)</f>
        <v>APPENDIX 25: SUMMARY OF MICROINSURANCE BUSINESS REVENUE ACCOUNTS FOR THE PERIOD ENDED 31.03.2026</v>
      </c>
      <c r="C3" s="298"/>
      <c r="D3" s="298"/>
      <c r="E3" s="298"/>
      <c r="F3" s="298"/>
      <c r="G3" s="298"/>
      <c r="H3" s="298"/>
      <c r="I3" s="298"/>
      <c r="J3" s="298"/>
      <c r="K3" s="298"/>
      <c r="L3" s="298"/>
      <c r="M3" s="298"/>
      <c r="N3" s="298"/>
      <c r="O3" s="298"/>
      <c r="P3" s="298"/>
      <c r="Q3" s="299"/>
    </row>
    <row r="4" spans="2:17" ht="31" x14ac:dyDescent="0.35">
      <c r="B4" s="65" t="s">
        <v>87</v>
      </c>
      <c r="C4" s="66" t="s">
        <v>234</v>
      </c>
      <c r="D4" s="66" t="s">
        <v>235</v>
      </c>
      <c r="E4" s="66" t="s">
        <v>236</v>
      </c>
      <c r="F4" s="66" t="s">
        <v>237</v>
      </c>
      <c r="G4" s="66" t="s">
        <v>238</v>
      </c>
      <c r="H4" s="66" t="s">
        <v>239</v>
      </c>
      <c r="I4" s="66" t="s">
        <v>240</v>
      </c>
      <c r="J4" s="66" t="s">
        <v>239</v>
      </c>
      <c r="K4" s="66" t="s">
        <v>241</v>
      </c>
      <c r="L4" s="66" t="s">
        <v>242</v>
      </c>
      <c r="M4" s="66" t="s">
        <v>210</v>
      </c>
      <c r="N4" s="66" t="s">
        <v>211</v>
      </c>
      <c r="O4" s="66" t="s">
        <v>243</v>
      </c>
      <c r="P4" s="66" t="s">
        <v>212</v>
      </c>
      <c r="Q4" s="66" t="s">
        <v>244</v>
      </c>
    </row>
    <row r="5" spans="2:17" ht="19" customHeight="1" x14ac:dyDescent="0.45">
      <c r="B5" s="382" t="s">
        <v>106</v>
      </c>
      <c r="C5" s="383"/>
      <c r="D5" s="383"/>
      <c r="E5" s="383"/>
      <c r="F5" s="383"/>
      <c r="G5" s="383"/>
      <c r="H5" s="383"/>
      <c r="I5" s="383"/>
      <c r="J5" s="383"/>
      <c r="K5" s="383"/>
      <c r="L5" s="383"/>
      <c r="M5" s="383"/>
      <c r="N5" s="383"/>
      <c r="O5" s="383"/>
      <c r="P5" s="383"/>
      <c r="Q5" s="384"/>
    </row>
    <row r="6" spans="2:17" ht="19" customHeight="1" x14ac:dyDescent="0.4">
      <c r="B6" s="266" t="s">
        <v>1</v>
      </c>
      <c r="C6" s="267">
        <v>0</v>
      </c>
      <c r="D6" s="267">
        <v>0</v>
      </c>
      <c r="E6" s="267">
        <v>0</v>
      </c>
      <c r="F6" s="267">
        <v>0</v>
      </c>
      <c r="G6" s="267">
        <v>0</v>
      </c>
      <c r="H6" s="267">
        <v>0</v>
      </c>
      <c r="I6" s="267">
        <v>0</v>
      </c>
      <c r="J6" s="267">
        <v>0</v>
      </c>
      <c r="K6" s="267">
        <v>0</v>
      </c>
      <c r="L6" s="267">
        <v>0</v>
      </c>
      <c r="M6" s="267">
        <v>0</v>
      </c>
      <c r="N6" s="267">
        <v>0</v>
      </c>
      <c r="O6" s="267">
        <v>0</v>
      </c>
      <c r="P6" s="267">
        <v>0</v>
      </c>
      <c r="Q6" s="268">
        <v>0</v>
      </c>
    </row>
    <row r="7" spans="2:17" ht="19" customHeight="1" x14ac:dyDescent="0.4">
      <c r="B7" s="266" t="s">
        <v>2</v>
      </c>
      <c r="C7" s="267">
        <v>0</v>
      </c>
      <c r="D7" s="267">
        <v>0</v>
      </c>
      <c r="E7" s="267">
        <v>0</v>
      </c>
      <c r="F7" s="267">
        <v>0</v>
      </c>
      <c r="G7" s="267">
        <v>0</v>
      </c>
      <c r="H7" s="267">
        <v>0</v>
      </c>
      <c r="I7" s="267">
        <v>0</v>
      </c>
      <c r="J7" s="267">
        <v>0</v>
      </c>
      <c r="K7" s="267">
        <v>0</v>
      </c>
      <c r="L7" s="267">
        <v>0</v>
      </c>
      <c r="M7" s="267">
        <v>0</v>
      </c>
      <c r="N7" s="267">
        <v>0</v>
      </c>
      <c r="O7" s="267">
        <v>0</v>
      </c>
      <c r="P7" s="267">
        <v>0</v>
      </c>
      <c r="Q7" s="268">
        <v>0</v>
      </c>
    </row>
    <row r="8" spans="2:17" ht="19" customHeight="1" x14ac:dyDescent="0.4">
      <c r="B8" s="266" t="s">
        <v>3</v>
      </c>
      <c r="C8" s="267">
        <v>334199.28863893071</v>
      </c>
      <c r="D8" s="267">
        <v>65248.393109999997</v>
      </c>
      <c r="E8" s="267">
        <v>82066.769429499996</v>
      </c>
      <c r="F8" s="267">
        <v>317380.91231943067</v>
      </c>
      <c r="G8" s="267">
        <v>483870.80560048798</v>
      </c>
      <c r="H8" s="267">
        <v>0</v>
      </c>
      <c r="I8" s="267">
        <v>465325.48460999998</v>
      </c>
      <c r="J8" s="267">
        <v>0</v>
      </c>
      <c r="K8" s="267">
        <v>335926.23330991872</v>
      </c>
      <c r="L8" s="267">
        <v>224510.80568000011</v>
      </c>
      <c r="M8" s="267">
        <v>31454.353449999999</v>
      </c>
      <c r="N8" s="267">
        <v>97453.51023</v>
      </c>
      <c r="O8" s="267">
        <v>-17492.436050081491</v>
      </c>
      <c r="P8" s="267">
        <v>31177.70361</v>
      </c>
      <c r="Q8" s="268">
        <v>13685.2675599185</v>
      </c>
    </row>
    <row r="9" spans="2:17" ht="19" customHeight="1" x14ac:dyDescent="0.4">
      <c r="B9" s="266" t="s">
        <v>4</v>
      </c>
      <c r="C9" s="267">
        <v>20591.723999999998</v>
      </c>
      <c r="D9" s="267">
        <v>0</v>
      </c>
      <c r="E9" s="267">
        <v>6188.60529288204</v>
      </c>
      <c r="F9" s="267">
        <v>14403.118707117959</v>
      </c>
      <c r="G9" s="267">
        <v>0</v>
      </c>
      <c r="H9" s="267">
        <v>0</v>
      </c>
      <c r="I9" s="267">
        <v>0</v>
      </c>
      <c r="J9" s="267">
        <v>0</v>
      </c>
      <c r="K9" s="267">
        <v>14403.118707117959</v>
      </c>
      <c r="L9" s="267">
        <v>2996.4663999999998</v>
      </c>
      <c r="M9" s="267">
        <v>1224.259416572924</v>
      </c>
      <c r="N9" s="267">
        <v>18474.867989999999</v>
      </c>
      <c r="O9" s="267">
        <v>-8292.4750994549649</v>
      </c>
      <c r="P9" s="267">
        <v>935.08492999999999</v>
      </c>
      <c r="Q9" s="268">
        <v>-7357.390169454965</v>
      </c>
    </row>
    <row r="10" spans="2:17" ht="19" customHeight="1" x14ac:dyDescent="0.4">
      <c r="B10" s="266" t="s">
        <v>5</v>
      </c>
      <c r="C10" s="267">
        <v>0</v>
      </c>
      <c r="D10" s="267">
        <v>0</v>
      </c>
      <c r="E10" s="267">
        <v>0</v>
      </c>
      <c r="F10" s="267">
        <v>0</v>
      </c>
      <c r="G10" s="267">
        <v>0</v>
      </c>
      <c r="H10" s="267">
        <v>0</v>
      </c>
      <c r="I10" s="267">
        <v>0</v>
      </c>
      <c r="J10" s="267">
        <v>0</v>
      </c>
      <c r="K10" s="267">
        <v>0</v>
      </c>
      <c r="L10" s="267">
        <v>0</v>
      </c>
      <c r="M10" s="267">
        <v>0</v>
      </c>
      <c r="N10" s="267">
        <v>0</v>
      </c>
      <c r="O10" s="267">
        <v>0</v>
      </c>
      <c r="P10" s="267">
        <v>0</v>
      </c>
      <c r="Q10" s="268">
        <v>0</v>
      </c>
    </row>
    <row r="11" spans="2:17" ht="19" customHeight="1" x14ac:dyDescent="0.4">
      <c r="B11" s="266" t="s">
        <v>6</v>
      </c>
      <c r="C11" s="267">
        <v>152355.64600000001</v>
      </c>
      <c r="D11" s="267">
        <v>0</v>
      </c>
      <c r="E11" s="267">
        <v>21344.3</v>
      </c>
      <c r="F11" s="267">
        <v>131011.34600000001</v>
      </c>
      <c r="G11" s="267">
        <v>60554.107999999993</v>
      </c>
      <c r="H11" s="267">
        <v>0</v>
      </c>
      <c r="I11" s="267">
        <v>82534.858999999997</v>
      </c>
      <c r="J11" s="267">
        <v>0</v>
      </c>
      <c r="K11" s="267">
        <v>109030.595</v>
      </c>
      <c r="L11" s="267">
        <v>31964.36572040907</v>
      </c>
      <c r="M11" s="267">
        <v>17695.732</v>
      </c>
      <c r="N11" s="267">
        <v>30149.291099999999</v>
      </c>
      <c r="O11" s="267">
        <v>29221.20617959091</v>
      </c>
      <c r="P11" s="267">
        <v>3207.86301</v>
      </c>
      <c r="Q11" s="268">
        <v>32429.069189590911</v>
      </c>
    </row>
    <row r="12" spans="2:17" ht="19" customHeight="1" x14ac:dyDescent="0.4">
      <c r="B12" s="269" t="s">
        <v>7</v>
      </c>
      <c r="C12" s="270">
        <f t="shared" ref="C12:Q12" si="0">SUM(C6:C11)</f>
        <v>507146.6586389307</v>
      </c>
      <c r="D12" s="270">
        <f t="shared" si="0"/>
        <v>65248.393109999997</v>
      </c>
      <c r="E12" s="270">
        <f t="shared" si="0"/>
        <v>109599.67472238204</v>
      </c>
      <c r="F12" s="270">
        <f t="shared" si="0"/>
        <v>462795.37702654867</v>
      </c>
      <c r="G12" s="270">
        <f t="shared" si="0"/>
        <v>544424.91360048798</v>
      </c>
      <c r="H12" s="270">
        <f t="shared" si="0"/>
        <v>0</v>
      </c>
      <c r="I12" s="270">
        <f t="shared" si="0"/>
        <v>547860.34360999998</v>
      </c>
      <c r="J12" s="270">
        <f t="shared" si="0"/>
        <v>0</v>
      </c>
      <c r="K12" s="270">
        <f t="shared" si="0"/>
        <v>459359.94701703673</v>
      </c>
      <c r="L12" s="270">
        <f t="shared" si="0"/>
        <v>259471.63780040917</v>
      </c>
      <c r="M12" s="270">
        <f t="shared" si="0"/>
        <v>50374.344866572923</v>
      </c>
      <c r="N12" s="270">
        <f t="shared" si="0"/>
        <v>146077.66931999999</v>
      </c>
      <c r="O12" s="270">
        <f t="shared" si="0"/>
        <v>3436.2950300544544</v>
      </c>
      <c r="P12" s="270">
        <f t="shared" si="0"/>
        <v>35320.651550000002</v>
      </c>
      <c r="Q12" s="270">
        <f t="shared" si="0"/>
        <v>38756.946580054449</v>
      </c>
    </row>
    <row r="13" spans="2:17" ht="19" customHeight="1" x14ac:dyDescent="0.45">
      <c r="B13" s="380" t="s">
        <v>149</v>
      </c>
      <c r="C13" s="381"/>
      <c r="D13" s="381"/>
      <c r="E13" s="381"/>
      <c r="F13" s="381"/>
      <c r="G13" s="381"/>
      <c r="H13" s="381"/>
      <c r="I13" s="381"/>
      <c r="J13" s="381"/>
      <c r="K13" s="381"/>
      <c r="L13" s="381"/>
      <c r="M13" s="381"/>
      <c r="N13" s="381"/>
      <c r="O13" s="381"/>
      <c r="P13" s="381"/>
      <c r="Q13" s="381"/>
    </row>
    <row r="14" spans="2:17" ht="32.5" customHeight="1" x14ac:dyDescent="0.35">
      <c r="B14" s="104"/>
      <c r="C14" s="204"/>
      <c r="D14" s="204"/>
      <c r="E14" s="204"/>
      <c r="F14" s="204"/>
      <c r="G14" s="204"/>
      <c r="H14" s="204"/>
      <c r="I14" s="204"/>
      <c r="J14" s="204"/>
      <c r="K14" s="204"/>
      <c r="L14" s="204"/>
      <c r="M14" s="204"/>
      <c r="N14" s="204"/>
      <c r="O14" s="204"/>
      <c r="P14" s="204"/>
      <c r="Q14" s="204"/>
    </row>
    <row r="49" spans="2:17" ht="21.5" x14ac:dyDescent="0.45">
      <c r="B49" s="275"/>
      <c r="C49" s="275"/>
      <c r="D49" s="275"/>
      <c r="E49" s="275"/>
      <c r="F49" s="275"/>
      <c r="G49" s="275"/>
      <c r="H49" s="275"/>
      <c r="I49" s="275"/>
      <c r="J49" s="275"/>
      <c r="K49" s="275"/>
      <c r="L49" s="275"/>
      <c r="M49" s="275"/>
      <c r="N49" s="275"/>
      <c r="O49" s="275"/>
      <c r="P49" s="275"/>
      <c r="Q49" s="275"/>
    </row>
  </sheetData>
  <sheetProtection algorithmName="SHA-512" hashValue="cK1ec/e5Tc9NOMSfw20eBHZAj6RrIivliN9g9lL7cxTwO4VYadJY7CbL6a3DL2ulL0k7fVD6++8twI/s4hc5lw==" saltValue="XIqbT0hmZp5FbKvdrfvhzw==" spinCount="100000" sheet="1" objects="1" scenarios="1"/>
  <mergeCells count="3">
    <mergeCell ref="B13:Q13"/>
    <mergeCell ref="B3:Q3"/>
    <mergeCell ref="B5:Q5"/>
  </mergeCells>
  <pageMargins left="0.7" right="0.7" top="0.75" bottom="0.75" header="0.3" footer="0.3"/>
  <pageSetup paperSize="9" scale="35"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5"/>
  <dimension ref="A1:B37"/>
  <sheetViews>
    <sheetView topLeftCell="A10" zoomScale="70" zoomScaleNormal="70" workbookViewId="0">
      <selection activeCell="B3" sqref="B3:Q13"/>
    </sheetView>
  </sheetViews>
  <sheetFormatPr defaultRowHeight="14.5" x14ac:dyDescent="0.35"/>
  <sheetData>
    <row r="1" spans="1:2" x14ac:dyDescent="0.35">
      <c r="A1" s="2" t="s">
        <v>255</v>
      </c>
      <c r="B1" s="2"/>
    </row>
    <row r="2" spans="1:2" x14ac:dyDescent="0.35">
      <c r="A2" s="2" t="s">
        <v>256</v>
      </c>
      <c r="B2" s="2"/>
    </row>
    <row r="3" spans="1:2" x14ac:dyDescent="0.35">
      <c r="A3" s="2" t="s">
        <v>257</v>
      </c>
      <c r="B3" s="2"/>
    </row>
    <row r="4" spans="1:2" x14ac:dyDescent="0.35">
      <c r="A4" s="2" t="s">
        <v>258</v>
      </c>
      <c r="B4" s="2"/>
    </row>
    <row r="5" spans="1:2" x14ac:dyDescent="0.35">
      <c r="A5" s="2" t="s">
        <v>259</v>
      </c>
      <c r="B5" s="2"/>
    </row>
    <row r="6" spans="1:2" x14ac:dyDescent="0.35">
      <c r="A6" s="2" t="s">
        <v>260</v>
      </c>
      <c r="B6" s="2"/>
    </row>
    <row r="7" spans="1:2" x14ac:dyDescent="0.35">
      <c r="A7" s="2" t="s">
        <v>261</v>
      </c>
      <c r="B7" s="2"/>
    </row>
    <row r="8" spans="1:2" x14ac:dyDescent="0.35">
      <c r="A8" s="2" t="s">
        <v>262</v>
      </c>
      <c r="B8" s="2"/>
    </row>
    <row r="9" spans="1:2" x14ac:dyDescent="0.35">
      <c r="A9" s="2" t="s">
        <v>263</v>
      </c>
      <c r="B9" s="2"/>
    </row>
    <row r="10" spans="1:2" x14ac:dyDescent="0.35">
      <c r="A10" s="2" t="s">
        <v>264</v>
      </c>
      <c r="B10" s="2"/>
    </row>
    <row r="11" spans="1:2" x14ac:dyDescent="0.35">
      <c r="A11" s="2" t="s">
        <v>265</v>
      </c>
      <c r="B11" s="2"/>
    </row>
    <row r="12" spans="1:2" x14ac:dyDescent="0.35">
      <c r="A12" s="2" t="s">
        <v>266</v>
      </c>
      <c r="B12" s="2"/>
    </row>
    <row r="13" spans="1:2" x14ac:dyDescent="0.35">
      <c r="A13" s="2" t="s">
        <v>267</v>
      </c>
      <c r="B13" s="2"/>
    </row>
    <row r="14" spans="1:2" x14ac:dyDescent="0.35">
      <c r="A14" s="2" t="s">
        <v>268</v>
      </c>
      <c r="B14" s="2"/>
    </row>
    <row r="15" spans="1:2" x14ac:dyDescent="0.35">
      <c r="A15" s="2" t="s">
        <v>269</v>
      </c>
      <c r="B15" s="2"/>
    </row>
    <row r="16" spans="1:2" ht="15.5" customHeight="1" x14ac:dyDescent="0.35">
      <c r="A16" s="2" t="s">
        <v>270</v>
      </c>
      <c r="B16" s="76"/>
    </row>
    <row r="17" spans="1:2" x14ac:dyDescent="0.35">
      <c r="A17" s="2" t="s">
        <v>271</v>
      </c>
      <c r="B17" s="2"/>
    </row>
    <row r="18" spans="1:2" x14ac:dyDescent="0.35">
      <c r="A18" s="2" t="s">
        <v>272</v>
      </c>
      <c r="B18" s="2"/>
    </row>
    <row r="19" spans="1:2" x14ac:dyDescent="0.35">
      <c r="A19" s="2" t="s">
        <v>273</v>
      </c>
      <c r="B19" s="2"/>
    </row>
    <row r="20" spans="1:2" x14ac:dyDescent="0.35">
      <c r="A20" s="2" t="s">
        <v>274</v>
      </c>
      <c r="B20" s="2"/>
    </row>
    <row r="21" spans="1:2" x14ac:dyDescent="0.35">
      <c r="A21" s="2" t="s">
        <v>275</v>
      </c>
      <c r="B21" s="2"/>
    </row>
    <row r="22" spans="1:2" x14ac:dyDescent="0.35">
      <c r="A22" s="2" t="s">
        <v>276</v>
      </c>
      <c r="B22" s="2"/>
    </row>
    <row r="23" spans="1:2" x14ac:dyDescent="0.35">
      <c r="A23" s="2" t="s">
        <v>277</v>
      </c>
      <c r="B23" s="2"/>
    </row>
    <row r="24" spans="1:2" x14ac:dyDescent="0.35">
      <c r="A24" s="2" t="s">
        <v>278</v>
      </c>
      <c r="B24" s="2"/>
    </row>
    <row r="25" spans="1:2" x14ac:dyDescent="0.35">
      <c r="A25" s="2" t="s">
        <v>279</v>
      </c>
      <c r="B25" s="2"/>
    </row>
    <row r="26" spans="1:2" x14ac:dyDescent="0.35">
      <c r="A26" s="2" t="s">
        <v>280</v>
      </c>
      <c r="B26" s="2"/>
    </row>
    <row r="27" spans="1:2" x14ac:dyDescent="0.35">
      <c r="A27" s="2" t="s">
        <v>281</v>
      </c>
      <c r="B27" s="2"/>
    </row>
    <row r="28" spans="1:2" x14ac:dyDescent="0.35">
      <c r="A28" s="2" t="s">
        <v>282</v>
      </c>
      <c r="B28" s="2"/>
    </row>
    <row r="29" spans="1:2" x14ac:dyDescent="0.35">
      <c r="A29" s="2" t="s">
        <v>283</v>
      </c>
      <c r="B29" s="2"/>
    </row>
    <row r="30" spans="1:2" x14ac:dyDescent="0.35">
      <c r="A30" s="2" t="s">
        <v>284</v>
      </c>
      <c r="B30" s="2"/>
    </row>
    <row r="31" spans="1:2" x14ac:dyDescent="0.35">
      <c r="A31" s="2" t="s">
        <v>285</v>
      </c>
      <c r="B31" s="2"/>
    </row>
    <row r="32" spans="1:2" x14ac:dyDescent="0.35">
      <c r="A32" s="2"/>
      <c r="B32" s="2"/>
    </row>
    <row r="33" spans="1:2" x14ac:dyDescent="0.35">
      <c r="A33" s="2"/>
      <c r="B33" s="2"/>
    </row>
    <row r="34" spans="1:2" x14ac:dyDescent="0.35">
      <c r="A34" s="2"/>
      <c r="B34" s="2"/>
    </row>
    <row r="35" spans="1:2" x14ac:dyDescent="0.35">
      <c r="A35" s="2"/>
      <c r="B35" s="2"/>
    </row>
    <row r="36" spans="1:2" x14ac:dyDescent="0.35">
      <c r="A36" s="2"/>
      <c r="B36" s="2"/>
    </row>
    <row r="37" spans="1:2" x14ac:dyDescent="0.35">
      <c r="A37" s="2"/>
      <c r="B37" s="2"/>
    </row>
  </sheetData>
  <sheetProtection algorithmName="SHA-512" hashValue="PkmWUMEVWQstp0nQ+KjhEKXITwcQV/VmRT97DPKCGErvYMmOcftH/ObmYi4n0bb30XRfzy0E5/wfjwwHfU1Mng==" saltValue="poqI9skW59CKO1fLTu2TOA==" spinCount="100000" sheet="1" objects="1" scenarios="1"/>
  <autoFilter ref="A1:A37" xr:uid="{00000000-0009-0000-0000-00003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33</vt:i4>
      </vt:variant>
    </vt:vector>
  </HeadingPairs>
  <TitlesOfParts>
    <vt:vector size="89" baseType="lpstr">
      <vt:lpstr>Details</vt:lpstr>
      <vt:lpstr>Reliance &amp; Limitations</vt:lpstr>
      <vt:lpstr>Table of Contents</vt:lpstr>
      <vt:lpstr>APPENDIX 1</vt:lpstr>
      <vt:lpstr>APPENDIX 2</vt:lpstr>
      <vt:lpstr>APPENDIX 3</vt:lpstr>
      <vt:lpstr>APPENDIX 4 i</vt:lpstr>
      <vt:lpstr>APPENDIX 4 ii</vt:lpstr>
      <vt:lpstr>APPENDIX 4 iii</vt:lpstr>
      <vt:lpstr>APPENDIX 5 i</vt:lpstr>
      <vt:lpstr>APPENDIX 5 ii</vt:lpstr>
      <vt:lpstr>APPENDIX 5 iii</vt:lpstr>
      <vt:lpstr>APPENDIX  5 iv</vt:lpstr>
      <vt:lpstr>APPENDIX 6</vt:lpstr>
      <vt:lpstr>APPENDIX 7</vt:lpstr>
      <vt:lpstr>APPENDIX 8</vt:lpstr>
      <vt:lpstr>APPENDIX 9</vt:lpstr>
      <vt:lpstr>APPENDIX 10</vt:lpstr>
      <vt:lpstr>APPENDIX 11</vt:lpstr>
      <vt:lpstr>APPENDIX 12</vt:lpstr>
      <vt:lpstr>APPENDIX 13</vt:lpstr>
      <vt:lpstr>LINKED</vt:lpstr>
      <vt:lpstr>NON-LINKED</vt:lpstr>
      <vt:lpstr>APPENDIX 14</vt:lpstr>
      <vt:lpstr>PENSIONS</vt:lpstr>
      <vt:lpstr>APPENDIX 15</vt:lpstr>
      <vt:lpstr>APPENDIX 16</vt:lpstr>
      <vt:lpstr>APPENDIX 17</vt:lpstr>
      <vt:lpstr>APPENDIX 18</vt:lpstr>
      <vt:lpstr>GDP</vt:lpstr>
      <vt:lpstr>INWARD</vt:lpstr>
      <vt:lpstr>APPENDIX 19</vt:lpstr>
      <vt:lpstr>APPENDIX 20</vt:lpstr>
      <vt:lpstr>APPENDIX 21</vt:lpstr>
      <vt:lpstr>APPENDIX 22</vt:lpstr>
      <vt:lpstr>NPI</vt:lpstr>
      <vt:lpstr>NEPI</vt:lpstr>
      <vt:lpstr>COM</vt:lpstr>
      <vt:lpstr>MGT</vt:lpstr>
      <vt:lpstr>UWProfit</vt:lpstr>
      <vt:lpstr>APPENDIX 23</vt:lpstr>
      <vt:lpstr>APPENDIX 24</vt:lpstr>
      <vt:lpstr>APPENDIX 22_M</vt:lpstr>
      <vt:lpstr>GDP (Micro)</vt:lpstr>
      <vt:lpstr>INWARD (Micro)</vt:lpstr>
      <vt:lpstr>APPENDIX 23_M</vt:lpstr>
      <vt:lpstr>APPENDIX 24_M</vt:lpstr>
      <vt:lpstr>APPENDIX 25_M</vt:lpstr>
      <vt:lpstr>APPENDIX 26_M</vt:lpstr>
      <vt:lpstr>NPI (Micro)</vt:lpstr>
      <vt:lpstr>NEPI (Micro)</vt:lpstr>
      <vt:lpstr>COM (Micro)</vt:lpstr>
      <vt:lpstr>MGT (Micro)</vt:lpstr>
      <vt:lpstr>APPENDIX 27_M</vt:lpstr>
      <vt:lpstr>APPENDIX 25</vt:lpstr>
      <vt:lpstr>Sheet1</vt:lpstr>
      <vt:lpstr>Appendix_1_Range</vt:lpstr>
      <vt:lpstr>Appendix_10_Range</vt:lpstr>
      <vt:lpstr>Appendix_11_Range</vt:lpstr>
      <vt:lpstr>Appendix_12_Range</vt:lpstr>
      <vt:lpstr>Appendix_13_Range</vt:lpstr>
      <vt:lpstr>Appendix_14_Range</vt:lpstr>
      <vt:lpstr>Appendix_15_Range</vt:lpstr>
      <vt:lpstr>Appendix_16_Range</vt:lpstr>
      <vt:lpstr>Appendix_17_Range</vt:lpstr>
      <vt:lpstr>Appendix_18_Range</vt:lpstr>
      <vt:lpstr>Appendix_19_Range</vt:lpstr>
      <vt:lpstr>Appendix_2_Range</vt:lpstr>
      <vt:lpstr>Appendix_20_Range</vt:lpstr>
      <vt:lpstr>Appendix_21_Range</vt:lpstr>
      <vt:lpstr>Appendix_22_Range</vt:lpstr>
      <vt:lpstr>Appendix_23_Range</vt:lpstr>
      <vt:lpstr>'APPENDIX 24'!Appendix_24_Range</vt:lpstr>
      <vt:lpstr>Appendix_25_Range</vt:lpstr>
      <vt:lpstr>Appendix_3_Range</vt:lpstr>
      <vt:lpstr>Appendix_4i_Range</vt:lpstr>
      <vt:lpstr>Appendix_4ii_Range</vt:lpstr>
      <vt:lpstr>Appendix_4iii_Range</vt:lpstr>
      <vt:lpstr>Appendix_5i_Range</vt:lpstr>
      <vt:lpstr>Appendix_5ii_Range</vt:lpstr>
      <vt:lpstr>Appendix_5iii_Range</vt:lpstr>
      <vt:lpstr>Appendix_5iv_Range</vt:lpstr>
      <vt:lpstr>Appendix_6i_Range</vt:lpstr>
      <vt:lpstr>Appendix_7_Range</vt:lpstr>
      <vt:lpstr>Appendix_8_Range</vt:lpstr>
      <vt:lpstr>Appendix_9_Range</vt:lpstr>
      <vt:lpstr>Details_Range</vt:lpstr>
      <vt:lpstr>'Reliance &amp; Limitations'!Reliances_and_Limitations</vt:lpstr>
      <vt:lpstr>'Table of Contents'!Table_of_Contents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lnjue</dc:creator>
  <cp:lastModifiedBy>Joshua Nyukuri, AIA</cp:lastModifiedBy>
  <cp:lastPrinted>2025-07-03T11:33:28Z</cp:lastPrinted>
  <dcterms:created xsi:type="dcterms:W3CDTF">2014-08-15T11:20:55Z</dcterms:created>
  <dcterms:modified xsi:type="dcterms:W3CDTF">2026-06-30T13:15:45Z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Restricted</vt:lpwstr>
  </property>
  <property fmtid="{D5CDD505-2E9C-101B-9397-08002B2CF9AE}" pid="3" name="ClassifiedBy">
    <vt:lpwstr>System</vt:lpwstr>
  </property>
  <property fmtid="{D5CDD505-2E9C-101B-9397-08002B2CF9AE}" pid="4" name="ClassificationHost">
    <vt:lpwstr>DMBURIA2020.ira.go.ke</vt:lpwstr>
  </property>
  <property fmtid="{D5CDD505-2E9C-101B-9397-08002B2CF9AE}" pid="5" name="ClassificationDate">
    <vt:lpwstr> 5/12/2022 11:08:05 AM</vt:lpwstr>
  </property>
  <property fmtid="{D5CDD505-2E9C-101B-9397-08002B2CF9AE}" pid="6" name="ClassificationGUID">
    <vt:lpwstr>{1527e4dc-add4-49cc-9728-d0b02d635621}</vt:lpwstr>
  </property>
</Properties>
</file>